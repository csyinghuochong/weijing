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65DF80C3-D946-4FEC-AB06-56FB592DD3B6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EquipProto" sheetId="1" r:id="rId1"/>
  </sheets>
  <calcPr calcId="191029"/>
</workbook>
</file>

<file path=xl/calcChain.xml><?xml version="1.0" encoding="utf-8"?>
<calcChain xmlns="http://schemas.openxmlformats.org/spreadsheetml/2006/main">
  <c r="S20" i="1" l="1"/>
  <c r="Q20" i="1"/>
  <c r="S19" i="1"/>
  <c r="Q19" i="1"/>
  <c r="S18" i="1"/>
  <c r="Q18" i="1"/>
  <c r="S17" i="1"/>
  <c r="Q17" i="1"/>
  <c r="S16" i="1"/>
  <c r="Q16" i="1"/>
  <c r="S15" i="1"/>
  <c r="Q15" i="1"/>
  <c r="S14" i="1"/>
  <c r="Q14" i="1"/>
  <c r="S13" i="1"/>
  <c r="Q13" i="1"/>
  <c r="S12" i="1"/>
  <c r="Q12" i="1"/>
  <c r="S11" i="1"/>
  <c r="Q11" i="1"/>
  <c r="S10" i="1"/>
  <c r="Q10" i="1"/>
  <c r="S9" i="1"/>
  <c r="Q9" i="1"/>
  <c r="S8" i="1"/>
  <c r="Q8" i="1"/>
  <c r="S7" i="1"/>
  <c r="Q7" i="1"/>
  <c r="S6" i="1"/>
  <c r="Q6" i="1"/>
  <c r="S318" i="1"/>
  <c r="Q318" i="1"/>
  <c r="S295" i="1"/>
  <c r="Q295" i="1"/>
  <c r="S227" i="1"/>
  <c r="Q227" i="1"/>
  <c r="S226" i="1"/>
  <c r="Q226" i="1"/>
  <c r="S225" i="1"/>
  <c r="Q225" i="1"/>
  <c r="S224" i="1"/>
  <c r="Q224" i="1"/>
  <c r="S223" i="1"/>
  <c r="Q223" i="1"/>
  <c r="S579" i="1"/>
  <c r="Q579" i="1"/>
  <c r="S578" i="1"/>
  <c r="Q578" i="1"/>
  <c r="M578" i="1"/>
  <c r="S577" i="1"/>
  <c r="Q577" i="1"/>
  <c r="M577" i="1"/>
  <c r="S516" i="1"/>
  <c r="Q516" i="1"/>
  <c r="M516" i="1"/>
  <c r="S515" i="1"/>
  <c r="Q515" i="1"/>
  <c r="M515" i="1"/>
  <c r="S514" i="1"/>
  <c r="Q514" i="1"/>
  <c r="M514" i="1"/>
  <c r="S454" i="1"/>
  <c r="Q454" i="1"/>
  <c r="M454" i="1"/>
  <c r="S453" i="1"/>
  <c r="Q453" i="1"/>
  <c r="M453" i="1"/>
  <c r="S452" i="1"/>
  <c r="Q452" i="1"/>
  <c r="M452" i="1"/>
  <c r="S392" i="1"/>
  <c r="Q392" i="1"/>
  <c r="M392" i="1"/>
  <c r="S391" i="1"/>
  <c r="Q391" i="1"/>
  <c r="M391" i="1"/>
  <c r="S390" i="1"/>
  <c r="Q390" i="1"/>
  <c r="M390" i="1"/>
  <c r="S323" i="1"/>
  <c r="Q323" i="1"/>
  <c r="S322" i="1"/>
  <c r="Q322" i="1"/>
  <c r="M322" i="1"/>
  <c r="S321" i="1"/>
  <c r="Q321" i="1"/>
  <c r="M321" i="1"/>
  <c r="S320" i="1"/>
  <c r="Q320" i="1"/>
  <c r="M320" i="1"/>
  <c r="S319" i="1"/>
  <c r="Q319" i="1"/>
  <c r="M319" i="1"/>
  <c r="L588" i="1"/>
  <c r="S585" i="1"/>
  <c r="Q585" i="1"/>
  <c r="M585" i="1"/>
  <c r="L585" i="1"/>
  <c r="S584" i="1"/>
  <c r="Q584" i="1"/>
  <c r="M584" i="1"/>
  <c r="L584" i="1"/>
  <c r="S583" i="1"/>
  <c r="Q583" i="1"/>
  <c r="M583" i="1"/>
  <c r="S582" i="1"/>
  <c r="Q582" i="1"/>
  <c r="M582" i="1"/>
  <c r="S581" i="1"/>
  <c r="Q581" i="1"/>
  <c r="M581" i="1"/>
  <c r="S580" i="1"/>
  <c r="Q580" i="1"/>
  <c r="M580" i="1"/>
  <c r="S576" i="1"/>
  <c r="Q576" i="1"/>
  <c r="S575" i="1"/>
  <c r="Q575" i="1"/>
  <c r="S574" i="1"/>
  <c r="Q574" i="1"/>
  <c r="S573" i="1"/>
  <c r="Q573" i="1"/>
  <c r="S572" i="1"/>
  <c r="Q572" i="1"/>
  <c r="M572" i="1"/>
  <c r="S571" i="1"/>
  <c r="Q571" i="1"/>
  <c r="M571" i="1"/>
  <c r="S570" i="1"/>
  <c r="Q570" i="1"/>
  <c r="M570" i="1"/>
  <c r="S569" i="1"/>
  <c r="Q569" i="1"/>
  <c r="M569" i="1"/>
  <c r="S568" i="1"/>
  <c r="Q568" i="1"/>
  <c r="M568" i="1"/>
  <c r="S567" i="1"/>
  <c r="Q567" i="1"/>
  <c r="M567" i="1"/>
  <c r="S566" i="1"/>
  <c r="Q566" i="1"/>
  <c r="M566" i="1"/>
  <c r="S565" i="1"/>
  <c r="Q565" i="1"/>
  <c r="S564" i="1"/>
  <c r="Q564" i="1"/>
  <c r="S563" i="1"/>
  <c r="Q563" i="1"/>
  <c r="M563" i="1"/>
  <c r="S562" i="1"/>
  <c r="Q562" i="1"/>
  <c r="M562" i="1"/>
  <c r="S561" i="1"/>
  <c r="Q561" i="1"/>
  <c r="M561" i="1"/>
  <c r="S560" i="1"/>
  <c r="Q560" i="1"/>
  <c r="M560" i="1"/>
  <c r="S559" i="1"/>
  <c r="S558" i="1"/>
  <c r="Q558" i="1"/>
  <c r="M558" i="1"/>
  <c r="S557" i="1"/>
  <c r="Q557" i="1"/>
  <c r="M557" i="1"/>
  <c r="S556" i="1"/>
  <c r="Q556" i="1"/>
  <c r="M556" i="1"/>
  <c r="S555" i="1"/>
  <c r="Q555" i="1"/>
  <c r="M555" i="1"/>
  <c r="S554" i="1"/>
  <c r="Q554" i="1"/>
  <c r="M554" i="1"/>
  <c r="S553" i="1"/>
  <c r="Q553" i="1"/>
  <c r="M553" i="1"/>
  <c r="S552" i="1"/>
  <c r="Q552" i="1"/>
  <c r="M552" i="1"/>
  <c r="S551" i="1"/>
  <c r="Q551" i="1"/>
  <c r="M551" i="1"/>
  <c r="S550" i="1"/>
  <c r="Q550" i="1"/>
  <c r="M550" i="1"/>
  <c r="S549" i="1"/>
  <c r="Q549" i="1"/>
  <c r="M549" i="1"/>
  <c r="S548" i="1"/>
  <c r="Q548" i="1"/>
  <c r="M548" i="1"/>
  <c r="S547" i="1"/>
  <c r="Q547" i="1"/>
  <c r="M547" i="1"/>
  <c r="S546" i="1"/>
  <c r="Q546" i="1"/>
  <c r="M546" i="1"/>
  <c r="S545" i="1"/>
  <c r="Q545" i="1"/>
  <c r="M545" i="1"/>
  <c r="S544" i="1"/>
  <c r="Q544" i="1"/>
  <c r="S543" i="1"/>
  <c r="Q543" i="1"/>
  <c r="M543" i="1"/>
  <c r="S542" i="1"/>
  <c r="Q542" i="1"/>
  <c r="M542" i="1"/>
  <c r="S541" i="1"/>
  <c r="Q541" i="1"/>
  <c r="M541" i="1"/>
  <c r="S540" i="1"/>
  <c r="Q540" i="1"/>
  <c r="M540" i="1"/>
  <c r="S539" i="1"/>
  <c r="Q539" i="1"/>
  <c r="M539" i="1"/>
  <c r="S538" i="1"/>
  <c r="Q538" i="1"/>
  <c r="M538" i="1"/>
  <c r="S537" i="1"/>
  <c r="Q537" i="1"/>
  <c r="M537" i="1"/>
  <c r="S536" i="1"/>
  <c r="Q536" i="1"/>
  <c r="M536" i="1"/>
  <c r="S535" i="1"/>
  <c r="Q535" i="1"/>
  <c r="M535" i="1"/>
  <c r="S534" i="1"/>
  <c r="Q534" i="1"/>
  <c r="M534" i="1"/>
  <c r="S533" i="1"/>
  <c r="Q533" i="1"/>
  <c r="M533" i="1"/>
  <c r="S532" i="1"/>
  <c r="Q532" i="1"/>
  <c r="M532" i="1"/>
  <c r="S531" i="1"/>
  <c r="Q531" i="1"/>
  <c r="M531" i="1"/>
  <c r="S530" i="1"/>
  <c r="Q530" i="1"/>
  <c r="M530" i="1"/>
  <c r="S529" i="1"/>
  <c r="Q529" i="1"/>
  <c r="M529" i="1"/>
  <c r="S528" i="1"/>
  <c r="Q528" i="1"/>
  <c r="M528" i="1"/>
  <c r="S527" i="1"/>
  <c r="Q527" i="1"/>
  <c r="M527" i="1"/>
  <c r="S526" i="1"/>
  <c r="Q526" i="1"/>
  <c r="M526" i="1"/>
  <c r="T525" i="1"/>
  <c r="R525" i="1"/>
  <c r="M525" i="1"/>
  <c r="T524" i="1"/>
  <c r="R524" i="1"/>
  <c r="M524" i="1"/>
  <c r="T523" i="1"/>
  <c r="R523" i="1"/>
  <c r="M523" i="1"/>
  <c r="S522" i="1"/>
  <c r="S525" i="1" s="1"/>
  <c r="Q522" i="1"/>
  <c r="Q525" i="1" s="1"/>
  <c r="M522" i="1"/>
  <c r="S521" i="1"/>
  <c r="Q521" i="1"/>
  <c r="M521" i="1"/>
  <c r="S520" i="1"/>
  <c r="S524" i="1" s="1"/>
  <c r="Q520" i="1"/>
  <c r="Q524" i="1" s="1"/>
  <c r="M520" i="1"/>
  <c r="S519" i="1"/>
  <c r="Q519" i="1"/>
  <c r="M519" i="1"/>
  <c r="S518" i="1"/>
  <c r="S523" i="1" s="1"/>
  <c r="Q518" i="1"/>
  <c r="Q523" i="1" s="1"/>
  <c r="M518" i="1"/>
  <c r="S517" i="1"/>
  <c r="Q517" i="1"/>
  <c r="M517" i="1"/>
  <c r="S513" i="1"/>
  <c r="Q513" i="1"/>
  <c r="M513" i="1"/>
  <c r="S512" i="1"/>
  <c r="Q512" i="1"/>
  <c r="M512" i="1"/>
  <c r="S511" i="1"/>
  <c r="Q511" i="1"/>
  <c r="M511" i="1"/>
  <c r="S510" i="1"/>
  <c r="Q510" i="1"/>
  <c r="M510" i="1"/>
  <c r="S509" i="1"/>
  <c r="Q509" i="1"/>
  <c r="M509" i="1"/>
  <c r="S508" i="1"/>
  <c r="Q508" i="1"/>
  <c r="M508" i="1"/>
  <c r="S507" i="1"/>
  <c r="Q507" i="1"/>
  <c r="M507" i="1"/>
  <c r="S506" i="1"/>
  <c r="Q506" i="1"/>
  <c r="M506" i="1"/>
  <c r="S505" i="1"/>
  <c r="Q505" i="1"/>
  <c r="M505" i="1"/>
  <c r="S504" i="1"/>
  <c r="Q504" i="1"/>
  <c r="M504" i="1"/>
  <c r="S503" i="1"/>
  <c r="Q503" i="1"/>
  <c r="S502" i="1"/>
  <c r="Q502" i="1"/>
  <c r="S501" i="1"/>
  <c r="Q501" i="1"/>
  <c r="S500" i="1"/>
  <c r="Q500" i="1"/>
  <c r="M500" i="1"/>
  <c r="S499" i="1"/>
  <c r="Q499" i="1"/>
  <c r="M499" i="1"/>
  <c r="S498" i="1"/>
  <c r="Q498" i="1"/>
  <c r="M498" i="1"/>
  <c r="S497" i="1"/>
  <c r="Q497" i="1"/>
  <c r="M497" i="1"/>
  <c r="S496" i="1"/>
  <c r="Q496" i="1"/>
  <c r="M496" i="1"/>
  <c r="S495" i="1"/>
  <c r="Q495" i="1"/>
  <c r="M495" i="1"/>
  <c r="S494" i="1"/>
  <c r="Q494" i="1"/>
  <c r="M494" i="1"/>
  <c r="S493" i="1"/>
  <c r="Q493" i="1"/>
  <c r="M493" i="1"/>
  <c r="S492" i="1"/>
  <c r="Q492" i="1"/>
  <c r="M492" i="1"/>
  <c r="S491" i="1"/>
  <c r="Q491" i="1"/>
  <c r="M491" i="1"/>
  <c r="S490" i="1"/>
  <c r="Q490" i="1"/>
  <c r="M490" i="1"/>
  <c r="S489" i="1"/>
  <c r="Q489" i="1"/>
  <c r="M489" i="1"/>
  <c r="S488" i="1"/>
  <c r="Q488" i="1"/>
  <c r="M488" i="1"/>
  <c r="S487" i="1"/>
  <c r="Q487" i="1"/>
  <c r="M487" i="1"/>
  <c r="S486" i="1"/>
  <c r="Q486" i="1"/>
  <c r="M486" i="1"/>
  <c r="S485" i="1"/>
  <c r="Q485" i="1"/>
  <c r="M485" i="1"/>
  <c r="S484" i="1"/>
  <c r="Q484" i="1"/>
  <c r="M484" i="1"/>
  <c r="S483" i="1"/>
  <c r="Q483" i="1"/>
  <c r="M483" i="1"/>
  <c r="S482" i="1"/>
  <c r="Q482" i="1"/>
  <c r="M482" i="1"/>
  <c r="S481" i="1"/>
  <c r="Q481" i="1"/>
  <c r="M481" i="1"/>
  <c r="S480" i="1"/>
  <c r="Q480" i="1"/>
  <c r="M480" i="1"/>
  <c r="S479" i="1"/>
  <c r="Q479" i="1"/>
  <c r="M479" i="1"/>
  <c r="S478" i="1"/>
  <c r="Q478" i="1"/>
  <c r="M478" i="1"/>
  <c r="S477" i="1"/>
  <c r="Q477" i="1"/>
  <c r="M477" i="1"/>
  <c r="S476" i="1"/>
  <c r="Q476" i="1"/>
  <c r="M476" i="1"/>
  <c r="S475" i="1"/>
  <c r="Q475" i="1"/>
  <c r="M475" i="1"/>
  <c r="S474" i="1"/>
  <c r="Q474" i="1"/>
  <c r="M474" i="1"/>
  <c r="S473" i="1"/>
  <c r="Q473" i="1"/>
  <c r="M473" i="1"/>
  <c r="S472" i="1"/>
  <c r="Q472" i="1"/>
  <c r="M472" i="1"/>
  <c r="S471" i="1"/>
  <c r="Q471" i="1"/>
  <c r="M471" i="1"/>
  <c r="S470" i="1"/>
  <c r="Q470" i="1"/>
  <c r="M470" i="1"/>
  <c r="S469" i="1"/>
  <c r="Q469" i="1"/>
  <c r="M469" i="1"/>
  <c r="S468" i="1"/>
  <c r="Q468" i="1"/>
  <c r="M468" i="1"/>
  <c r="S467" i="1"/>
  <c r="Q467" i="1"/>
  <c r="M467" i="1"/>
  <c r="S466" i="1"/>
  <c r="Q466" i="1"/>
  <c r="M466" i="1"/>
  <c r="S465" i="1"/>
  <c r="Q465" i="1"/>
  <c r="M465" i="1"/>
  <c r="S464" i="1"/>
  <c r="Q464" i="1"/>
  <c r="M464" i="1"/>
  <c r="M463" i="1"/>
  <c r="M462" i="1"/>
  <c r="M461" i="1"/>
  <c r="S460" i="1"/>
  <c r="Q460" i="1"/>
  <c r="M460" i="1"/>
  <c r="S459" i="1"/>
  <c r="Q459" i="1"/>
  <c r="M459" i="1"/>
  <c r="S458" i="1"/>
  <c r="Q458" i="1"/>
  <c r="M458" i="1"/>
  <c r="S457" i="1"/>
  <c r="Q457" i="1"/>
  <c r="M457" i="1"/>
  <c r="S456" i="1"/>
  <c r="Q456" i="1"/>
  <c r="M456" i="1"/>
  <c r="S455" i="1"/>
  <c r="Q455" i="1"/>
  <c r="M455" i="1"/>
  <c r="S451" i="1"/>
  <c r="Q451" i="1"/>
  <c r="M451" i="1"/>
  <c r="S450" i="1"/>
  <c r="Q450" i="1"/>
  <c r="M450" i="1"/>
  <c r="S449" i="1"/>
  <c r="Q449" i="1"/>
  <c r="M449" i="1"/>
  <c r="S448" i="1"/>
  <c r="Q448" i="1"/>
  <c r="M448" i="1"/>
  <c r="S447" i="1"/>
  <c r="Q447" i="1"/>
  <c r="M447" i="1"/>
  <c r="S446" i="1"/>
  <c r="Q446" i="1"/>
  <c r="M446" i="1"/>
  <c r="S445" i="1"/>
  <c r="Q445" i="1"/>
  <c r="M445" i="1"/>
  <c r="S444" i="1"/>
  <c r="Q444" i="1"/>
  <c r="M444" i="1"/>
  <c r="S443" i="1"/>
  <c r="Q443" i="1"/>
  <c r="M443" i="1"/>
  <c r="S442" i="1"/>
  <c r="Q442" i="1"/>
  <c r="M442" i="1"/>
  <c r="S441" i="1"/>
  <c r="Q441" i="1"/>
  <c r="S440" i="1"/>
  <c r="Q440" i="1"/>
  <c r="S439" i="1"/>
  <c r="Q439" i="1"/>
  <c r="S438" i="1"/>
  <c r="Q438" i="1"/>
  <c r="S437" i="1"/>
  <c r="Q437" i="1"/>
  <c r="M437" i="1"/>
  <c r="S436" i="1"/>
  <c r="Q436" i="1"/>
  <c r="M436" i="1"/>
  <c r="S435" i="1"/>
  <c r="Q435" i="1"/>
  <c r="M435" i="1"/>
  <c r="S434" i="1"/>
  <c r="Q434" i="1"/>
  <c r="M434" i="1"/>
  <c r="S433" i="1"/>
  <c r="Q433" i="1"/>
  <c r="M433" i="1"/>
  <c r="S432" i="1"/>
  <c r="Q432" i="1"/>
  <c r="M432" i="1"/>
  <c r="S431" i="1"/>
  <c r="Q431" i="1"/>
  <c r="M431" i="1"/>
  <c r="S430" i="1"/>
  <c r="Q430" i="1"/>
  <c r="M430" i="1"/>
  <c r="S429" i="1"/>
  <c r="Q429" i="1"/>
  <c r="M429" i="1"/>
  <c r="S428" i="1"/>
  <c r="Q428" i="1"/>
  <c r="M428" i="1"/>
  <c r="S427" i="1"/>
  <c r="Q427" i="1"/>
  <c r="M427" i="1"/>
  <c r="S426" i="1"/>
  <c r="Q426" i="1"/>
  <c r="M426" i="1"/>
  <c r="S425" i="1"/>
  <c r="Q425" i="1"/>
  <c r="M425" i="1"/>
  <c r="S424" i="1"/>
  <c r="Q424" i="1"/>
  <c r="M424" i="1"/>
  <c r="S423" i="1"/>
  <c r="Q423" i="1"/>
  <c r="M423" i="1"/>
  <c r="S422" i="1"/>
  <c r="Q422" i="1"/>
  <c r="M422" i="1"/>
  <c r="S421" i="1"/>
  <c r="Q421" i="1"/>
  <c r="M421" i="1"/>
  <c r="S420" i="1"/>
  <c r="Q420" i="1"/>
  <c r="M420" i="1"/>
  <c r="S419" i="1"/>
  <c r="Q419" i="1"/>
  <c r="M419" i="1"/>
  <c r="S418" i="1"/>
  <c r="Q418" i="1"/>
  <c r="M418" i="1"/>
  <c r="S417" i="1"/>
  <c r="Q417" i="1"/>
  <c r="M417" i="1"/>
  <c r="S416" i="1"/>
  <c r="Q416" i="1"/>
  <c r="M416" i="1"/>
  <c r="S415" i="1"/>
  <c r="Q415" i="1"/>
  <c r="M415" i="1"/>
  <c r="S414" i="1"/>
  <c r="Q414" i="1"/>
  <c r="M414" i="1"/>
  <c r="S413" i="1"/>
  <c r="Q413" i="1"/>
  <c r="M413" i="1"/>
  <c r="S412" i="1"/>
  <c r="Q412" i="1"/>
  <c r="M412" i="1"/>
  <c r="S411" i="1"/>
  <c r="Q411" i="1"/>
  <c r="M411" i="1"/>
  <c r="S410" i="1"/>
  <c r="Q410" i="1"/>
  <c r="M410" i="1"/>
  <c r="S409" i="1"/>
  <c r="Q409" i="1"/>
  <c r="M409" i="1"/>
  <c r="S408" i="1"/>
  <c r="Q408" i="1"/>
  <c r="M408" i="1"/>
  <c r="S407" i="1"/>
  <c r="Q407" i="1"/>
  <c r="M407" i="1"/>
  <c r="S406" i="1"/>
  <c r="Q406" i="1"/>
  <c r="M406" i="1"/>
  <c r="S405" i="1"/>
  <c r="Q405" i="1"/>
  <c r="M405" i="1"/>
  <c r="S404" i="1"/>
  <c r="Q404" i="1"/>
  <c r="M404" i="1"/>
  <c r="S403" i="1"/>
  <c r="Q403" i="1"/>
  <c r="M403" i="1"/>
  <c r="S402" i="1"/>
  <c r="Q402" i="1"/>
  <c r="M402" i="1"/>
  <c r="M401" i="1"/>
  <c r="M400" i="1"/>
  <c r="M399" i="1"/>
  <c r="S398" i="1"/>
  <c r="Q398" i="1"/>
  <c r="M398" i="1"/>
  <c r="S397" i="1"/>
  <c r="Q397" i="1"/>
  <c r="M397" i="1"/>
  <c r="S396" i="1"/>
  <c r="Q396" i="1"/>
  <c r="M396" i="1"/>
  <c r="S395" i="1"/>
  <c r="Q395" i="1"/>
  <c r="M395" i="1"/>
  <c r="S394" i="1"/>
  <c r="Q394" i="1"/>
  <c r="M394" i="1"/>
  <c r="S393" i="1"/>
  <c r="Q393" i="1"/>
  <c r="M393" i="1"/>
  <c r="S389" i="1"/>
  <c r="Q389" i="1"/>
  <c r="M389" i="1"/>
  <c r="S388" i="1"/>
  <c r="Q388" i="1"/>
  <c r="M388" i="1"/>
  <c r="S387" i="1"/>
  <c r="Q387" i="1"/>
  <c r="M387" i="1"/>
  <c r="S386" i="1"/>
  <c r="Q386" i="1"/>
  <c r="M386" i="1"/>
  <c r="S385" i="1"/>
  <c r="Q385" i="1"/>
  <c r="M385" i="1"/>
  <c r="S384" i="1"/>
  <c r="Q384" i="1"/>
  <c r="M384" i="1"/>
  <c r="S383" i="1"/>
  <c r="Q383" i="1"/>
  <c r="M383" i="1"/>
  <c r="S382" i="1"/>
  <c r="Q382" i="1"/>
  <c r="M382" i="1"/>
  <c r="S381" i="1"/>
  <c r="Q381" i="1"/>
  <c r="M381" i="1"/>
  <c r="S380" i="1"/>
  <c r="Q380" i="1"/>
  <c r="M380" i="1"/>
  <c r="S379" i="1"/>
  <c r="Q379" i="1"/>
  <c r="M379" i="1"/>
  <c r="S378" i="1"/>
  <c r="Q378" i="1"/>
  <c r="M378" i="1"/>
  <c r="S377" i="1"/>
  <c r="Q377" i="1"/>
  <c r="M377" i="1"/>
  <c r="S376" i="1"/>
  <c r="Q376" i="1"/>
  <c r="M376" i="1"/>
  <c r="S375" i="1"/>
  <c r="Q375" i="1"/>
  <c r="M375" i="1"/>
  <c r="S374" i="1"/>
  <c r="Q374" i="1"/>
  <c r="M374" i="1"/>
  <c r="S373" i="1"/>
  <c r="Q373" i="1"/>
  <c r="M373" i="1"/>
  <c r="S372" i="1"/>
  <c r="Q372" i="1"/>
  <c r="M372" i="1"/>
  <c r="S371" i="1"/>
  <c r="Q371" i="1"/>
  <c r="M371" i="1"/>
  <c r="S370" i="1"/>
  <c r="Q370" i="1"/>
  <c r="M370" i="1"/>
  <c r="S369" i="1"/>
  <c r="Q369" i="1"/>
  <c r="M369" i="1"/>
  <c r="S368" i="1"/>
  <c r="Q368" i="1"/>
  <c r="M368" i="1"/>
  <c r="S367" i="1"/>
  <c r="Q367" i="1"/>
  <c r="M367" i="1"/>
  <c r="L367" i="1"/>
  <c r="S366" i="1"/>
  <c r="Q366" i="1"/>
  <c r="M366" i="1"/>
  <c r="S365" i="1"/>
  <c r="Q365" i="1"/>
  <c r="M365" i="1"/>
  <c r="S364" i="1"/>
  <c r="Q364" i="1"/>
  <c r="M364" i="1"/>
  <c r="S363" i="1"/>
  <c r="Q363" i="1"/>
  <c r="M363" i="1"/>
  <c r="S362" i="1"/>
  <c r="Q362" i="1"/>
  <c r="M362" i="1"/>
  <c r="S361" i="1"/>
  <c r="Q361" i="1"/>
  <c r="M361" i="1"/>
  <c r="S360" i="1"/>
  <c r="Q360" i="1"/>
  <c r="M360" i="1"/>
  <c r="S359" i="1"/>
  <c r="Q359" i="1"/>
  <c r="M359" i="1"/>
  <c r="S358" i="1"/>
  <c r="Q358" i="1"/>
  <c r="M358" i="1"/>
  <c r="S357" i="1"/>
  <c r="Q357" i="1"/>
  <c r="M357" i="1"/>
  <c r="S356" i="1"/>
  <c r="Q356" i="1"/>
  <c r="M356" i="1"/>
  <c r="S355" i="1"/>
  <c r="Q355" i="1"/>
  <c r="M355" i="1"/>
  <c r="S354" i="1"/>
  <c r="Q354" i="1"/>
  <c r="M354" i="1"/>
  <c r="S353" i="1"/>
  <c r="Q353" i="1"/>
  <c r="M353" i="1"/>
  <c r="S352" i="1"/>
  <c r="Q352" i="1"/>
  <c r="M352" i="1"/>
  <c r="S351" i="1"/>
  <c r="Q351" i="1"/>
  <c r="M351" i="1"/>
  <c r="S350" i="1"/>
  <c r="Q350" i="1"/>
  <c r="M350" i="1"/>
  <c r="S349" i="1"/>
  <c r="Q349" i="1"/>
  <c r="M349" i="1"/>
  <c r="S348" i="1"/>
  <c r="Q348" i="1"/>
  <c r="M348" i="1"/>
  <c r="S347" i="1"/>
  <c r="Q347" i="1"/>
  <c r="M347" i="1"/>
  <c r="S346" i="1"/>
  <c r="Q346" i="1"/>
  <c r="M346" i="1"/>
  <c r="S345" i="1"/>
  <c r="Q345" i="1"/>
  <c r="M345" i="1"/>
  <c r="S344" i="1"/>
  <c r="Q344" i="1"/>
  <c r="M344" i="1"/>
  <c r="S343" i="1"/>
  <c r="Q343" i="1"/>
  <c r="M343" i="1"/>
  <c r="S342" i="1"/>
  <c r="Q342" i="1"/>
  <c r="M342" i="1"/>
  <c r="S341" i="1"/>
  <c r="Q341" i="1"/>
  <c r="M341" i="1"/>
  <c r="S340" i="1"/>
  <c r="Q340" i="1"/>
  <c r="M340" i="1"/>
  <c r="S339" i="1"/>
  <c r="Q339" i="1"/>
  <c r="M339" i="1"/>
  <c r="M338" i="1"/>
  <c r="M337" i="1"/>
  <c r="M336" i="1"/>
  <c r="S335" i="1"/>
  <c r="Q335" i="1"/>
  <c r="M335" i="1"/>
  <c r="S334" i="1"/>
  <c r="Q334" i="1"/>
  <c r="M334" i="1"/>
  <c r="S333" i="1"/>
  <c r="Q333" i="1"/>
  <c r="M333" i="1"/>
  <c r="S332" i="1"/>
  <c r="Q332" i="1"/>
  <c r="M332" i="1"/>
  <c r="S331" i="1"/>
  <c r="Q331" i="1"/>
  <c r="M331" i="1"/>
  <c r="S330" i="1"/>
  <c r="Q330" i="1"/>
  <c r="M330" i="1"/>
  <c r="S329" i="1"/>
  <c r="Q329" i="1"/>
  <c r="M329" i="1"/>
  <c r="S328" i="1"/>
  <c r="Q328" i="1"/>
  <c r="M328" i="1"/>
  <c r="S327" i="1"/>
  <c r="Q327" i="1"/>
  <c r="M327" i="1"/>
  <c r="S326" i="1"/>
  <c r="Q326" i="1"/>
  <c r="M326" i="1"/>
  <c r="S325" i="1"/>
  <c r="Q325" i="1"/>
  <c r="M325" i="1"/>
  <c r="S324" i="1"/>
  <c r="Q324" i="1"/>
  <c r="M324" i="1"/>
  <c r="S317" i="1"/>
  <c r="Q317" i="1"/>
  <c r="S316" i="1"/>
  <c r="Q316" i="1"/>
  <c r="S315" i="1"/>
  <c r="Q315" i="1"/>
  <c r="M315" i="1"/>
  <c r="S314" i="1"/>
  <c r="Q314" i="1"/>
  <c r="M314" i="1"/>
  <c r="S313" i="1"/>
  <c r="Q313" i="1"/>
  <c r="M313" i="1"/>
  <c r="S312" i="1"/>
  <c r="Q312" i="1"/>
  <c r="M312" i="1"/>
  <c r="S311" i="1"/>
  <c r="Q311" i="1"/>
  <c r="M311" i="1"/>
  <c r="S310" i="1"/>
  <c r="Q310" i="1"/>
  <c r="M310" i="1"/>
  <c r="S309" i="1"/>
  <c r="Q309" i="1"/>
  <c r="M309" i="1"/>
  <c r="S308" i="1"/>
  <c r="Q308" i="1"/>
  <c r="M308" i="1"/>
  <c r="S307" i="1"/>
  <c r="Q307" i="1"/>
  <c r="M307" i="1"/>
  <c r="S306" i="1"/>
  <c r="Q306" i="1"/>
  <c r="M306" i="1"/>
  <c r="S305" i="1"/>
  <c r="Q305" i="1"/>
  <c r="M305" i="1"/>
  <c r="S304" i="1"/>
  <c r="Q304" i="1"/>
  <c r="M304" i="1"/>
  <c r="S303" i="1"/>
  <c r="Q303" i="1"/>
  <c r="M303" i="1"/>
  <c r="S302" i="1"/>
  <c r="Q302" i="1"/>
  <c r="M302" i="1"/>
  <c r="S301" i="1"/>
  <c r="Q301" i="1"/>
  <c r="M301" i="1"/>
  <c r="S300" i="1"/>
  <c r="Q300" i="1"/>
  <c r="M300" i="1"/>
  <c r="S299" i="1"/>
  <c r="Q299" i="1"/>
  <c r="M299" i="1"/>
  <c r="S298" i="1"/>
  <c r="Q298" i="1"/>
  <c r="M298" i="1"/>
  <c r="S297" i="1"/>
  <c r="Q297" i="1"/>
  <c r="M297" i="1"/>
  <c r="S296" i="1"/>
  <c r="Q296" i="1"/>
  <c r="M296" i="1"/>
  <c r="S294" i="1"/>
  <c r="S293" i="1"/>
  <c r="Q293" i="1"/>
  <c r="M293" i="1"/>
  <c r="S292" i="1"/>
  <c r="Q292" i="1"/>
  <c r="M292" i="1"/>
  <c r="S291" i="1"/>
  <c r="Q291" i="1"/>
  <c r="M291" i="1"/>
  <c r="S290" i="1"/>
  <c r="Q290" i="1"/>
  <c r="M290" i="1"/>
  <c r="S289" i="1"/>
  <c r="Q289" i="1"/>
  <c r="M289" i="1"/>
  <c r="S288" i="1"/>
  <c r="Q288" i="1"/>
  <c r="M288" i="1"/>
  <c r="S287" i="1"/>
  <c r="Q287" i="1"/>
  <c r="M287" i="1"/>
  <c r="S286" i="1"/>
  <c r="Q286" i="1"/>
  <c r="M286" i="1"/>
  <c r="S285" i="1"/>
  <c r="Q285" i="1"/>
  <c r="M285" i="1"/>
  <c r="S284" i="1"/>
  <c r="Q284" i="1"/>
  <c r="M284" i="1"/>
  <c r="S283" i="1"/>
  <c r="Q283" i="1"/>
  <c r="M283" i="1"/>
  <c r="S282" i="1"/>
  <c r="Q282" i="1"/>
  <c r="M282" i="1"/>
  <c r="S281" i="1"/>
  <c r="Q281" i="1"/>
  <c r="M281" i="1"/>
  <c r="S280" i="1"/>
  <c r="Q280" i="1"/>
  <c r="M280" i="1"/>
  <c r="S279" i="1"/>
  <c r="Q279" i="1"/>
  <c r="M279" i="1"/>
  <c r="S278" i="1"/>
  <c r="Q278" i="1"/>
  <c r="M278" i="1"/>
  <c r="S277" i="1"/>
  <c r="Q277" i="1"/>
  <c r="M277" i="1"/>
  <c r="S276" i="1"/>
  <c r="Q276" i="1"/>
  <c r="M276" i="1"/>
  <c r="S275" i="1"/>
  <c r="Q275" i="1"/>
  <c r="M275" i="1"/>
  <c r="S274" i="1"/>
  <c r="Q274" i="1"/>
  <c r="M274" i="1"/>
  <c r="S273" i="1"/>
  <c r="Q273" i="1"/>
  <c r="M273" i="1"/>
  <c r="S272" i="1"/>
  <c r="Q272" i="1"/>
  <c r="M272" i="1"/>
  <c r="S271" i="1"/>
  <c r="Q271" i="1"/>
  <c r="M271" i="1"/>
  <c r="S270" i="1"/>
  <c r="Q270" i="1"/>
  <c r="M270" i="1"/>
  <c r="S269" i="1"/>
  <c r="Q269" i="1"/>
  <c r="M269" i="1"/>
  <c r="S268" i="1"/>
  <c r="Q268" i="1"/>
  <c r="M268" i="1"/>
  <c r="S267" i="1"/>
  <c r="Q267" i="1"/>
  <c r="M267" i="1"/>
  <c r="S266" i="1"/>
  <c r="Q266" i="1"/>
  <c r="M266" i="1"/>
  <c r="S265" i="1"/>
  <c r="Q265" i="1"/>
  <c r="M265" i="1"/>
  <c r="S264" i="1"/>
  <c r="Q264" i="1"/>
  <c r="M264" i="1"/>
  <c r="S263" i="1"/>
  <c r="Q263" i="1"/>
  <c r="M263" i="1"/>
  <c r="S262" i="1"/>
  <c r="Q262" i="1"/>
  <c r="M262" i="1"/>
  <c r="S261" i="1"/>
  <c r="Q261" i="1"/>
  <c r="M261" i="1"/>
  <c r="S260" i="1"/>
  <c r="Q260" i="1"/>
  <c r="M260" i="1"/>
  <c r="S259" i="1"/>
  <c r="Q259" i="1"/>
  <c r="M259" i="1"/>
  <c r="S258" i="1"/>
  <c r="Q258" i="1"/>
  <c r="M258" i="1"/>
  <c r="S257" i="1"/>
  <c r="Q257" i="1"/>
  <c r="M257" i="1"/>
  <c r="S256" i="1"/>
  <c r="Q256" i="1"/>
  <c r="M256" i="1"/>
  <c r="S255" i="1"/>
  <c r="Q255" i="1"/>
  <c r="M255" i="1"/>
  <c r="S254" i="1"/>
  <c r="Q254" i="1"/>
  <c r="M254" i="1"/>
  <c r="S253" i="1"/>
  <c r="Q253" i="1"/>
  <c r="M253" i="1"/>
  <c r="S252" i="1"/>
  <c r="Q252" i="1"/>
  <c r="M252" i="1"/>
  <c r="S251" i="1"/>
  <c r="Q251" i="1"/>
  <c r="M251" i="1"/>
  <c r="S250" i="1"/>
  <c r="Q250" i="1"/>
  <c r="M250" i="1"/>
  <c r="S249" i="1"/>
  <c r="Q249" i="1"/>
  <c r="M249" i="1"/>
  <c r="S248" i="1"/>
  <c r="Q248" i="1"/>
  <c r="M248" i="1"/>
  <c r="S247" i="1"/>
  <c r="Q247" i="1"/>
  <c r="M247" i="1"/>
  <c r="S246" i="1"/>
  <c r="Q246" i="1"/>
  <c r="M246" i="1"/>
  <c r="S245" i="1"/>
  <c r="Q245" i="1"/>
  <c r="M245" i="1"/>
  <c r="S244" i="1"/>
  <c r="Q244" i="1"/>
  <c r="M244" i="1"/>
  <c r="S243" i="1"/>
  <c r="Q243" i="1"/>
  <c r="M243" i="1"/>
  <c r="S242" i="1"/>
  <c r="Q242" i="1"/>
  <c r="M242" i="1"/>
  <c r="S241" i="1"/>
  <c r="Q241" i="1"/>
  <c r="M241" i="1"/>
  <c r="S240" i="1"/>
  <c r="Q240" i="1"/>
  <c r="M240" i="1"/>
  <c r="S239" i="1"/>
  <c r="Q239" i="1"/>
  <c r="M239" i="1"/>
  <c r="S238" i="1"/>
  <c r="Q238" i="1"/>
  <c r="M238" i="1"/>
  <c r="S237" i="1"/>
  <c r="Q237" i="1"/>
  <c r="M237" i="1"/>
  <c r="S236" i="1"/>
  <c r="Q236" i="1"/>
  <c r="M236" i="1"/>
  <c r="S235" i="1"/>
  <c r="Q235" i="1"/>
  <c r="M235" i="1"/>
  <c r="S234" i="1"/>
  <c r="Q234" i="1"/>
  <c r="M234" i="1"/>
  <c r="S233" i="1"/>
  <c r="Q233" i="1"/>
  <c r="M233" i="1"/>
  <c r="S232" i="1"/>
  <c r="Q232" i="1"/>
  <c r="M232" i="1"/>
  <c r="S231" i="1"/>
  <c r="Q231" i="1"/>
  <c r="M231" i="1"/>
  <c r="S230" i="1"/>
  <c r="Q230" i="1"/>
  <c r="M230" i="1"/>
  <c r="S229" i="1"/>
  <c r="Q229" i="1"/>
  <c r="M229" i="1"/>
  <c r="S228" i="1"/>
  <c r="Q228" i="1"/>
  <c r="M22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Administrator</author>
  </authors>
  <commentList>
    <comment ref="G3" authorId="0" shapeId="0" xr:uid="{00000000-0006-0000-0000-000001000000}">
      <text>
        <r>
          <rPr>
            <sz val="11"/>
            <color indexed="8"/>
            <rFont val="宋体"/>
            <family val="3"/>
            <charset val="134"/>
          </rPr>
          <t>作者</t>
        </r>
        <r>
          <rPr>
            <sz val="11"/>
            <color indexed="8"/>
            <rFont val="Helvetica Neue"/>
            <family val="2"/>
          </rPr>
          <t xml:space="preserve">:
</t>
        </r>
        <r>
          <rPr>
            <sz val="11"/>
            <color indexed="8"/>
            <rFont val="宋体"/>
            <family val="3"/>
            <charset val="134"/>
          </rPr>
          <t>作者</t>
        </r>
        <r>
          <rPr>
            <sz val="11"/>
            <color indexed="8"/>
            <rFont val="Helvetica Neue"/>
            <family val="2"/>
          </rPr>
          <t xml:space="preserve">:
</t>
        </r>
        <r>
          <rPr>
            <sz val="11"/>
            <color indexed="8"/>
            <rFont val="Helvetica Neue"/>
            <family val="2"/>
          </rPr>
          <t>0</t>
        </r>
        <r>
          <rPr>
            <sz val="11"/>
            <color indexed="8"/>
            <rFont val="宋体"/>
            <family val="3"/>
            <charset val="134"/>
          </rPr>
          <t xml:space="preserve">：不会出现任何随机属性
</t>
        </r>
        <r>
          <rPr>
            <sz val="11"/>
            <color indexed="8"/>
            <rFont val="Helvetica Neue"/>
            <family val="2"/>
          </rPr>
          <t>1</t>
        </r>
        <r>
          <rPr>
            <sz val="11"/>
            <color indexed="8"/>
            <rFont val="宋体"/>
            <family val="3"/>
            <charset val="134"/>
          </rPr>
          <t xml:space="preserve">：可出现随机属性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>攻击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>物防</t>
        </r>
        <r>
          <rPr>
            <sz val="11"/>
            <color indexed="8"/>
            <rFont val="Helvetica Neue"/>
            <family val="2"/>
          </rPr>
          <t xml:space="preserve"> </t>
        </r>
        <r>
          <rPr>
            <sz val="11"/>
            <color indexed="8"/>
            <rFont val="宋体"/>
            <family val="3"/>
            <charset val="134"/>
          </rPr>
          <t xml:space="preserve">魔防
</t>
        </r>
        <r>
          <rPr>
            <sz val="11"/>
            <color indexed="8"/>
            <rFont val="Helvetica Neue"/>
            <family val="2"/>
          </rPr>
          <t>2</t>
        </r>
        <r>
          <rPr>
            <sz val="11"/>
            <color indexed="8"/>
            <rFont val="宋体"/>
            <family val="3"/>
            <charset val="134"/>
          </rPr>
          <t xml:space="preserve">：可出现随机属性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>生命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>物防</t>
        </r>
        <r>
          <rPr>
            <sz val="11"/>
            <color indexed="8"/>
            <rFont val="Helvetica Neue"/>
            <family val="2"/>
          </rPr>
          <t xml:space="preserve"> </t>
        </r>
        <r>
          <rPr>
            <sz val="11"/>
            <color indexed="8"/>
            <rFont val="宋体"/>
            <family val="3"/>
            <charset val="134"/>
          </rPr>
          <t>魔防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 xml:space="preserve">攻击
</t>
        </r>
        <r>
          <rPr>
            <sz val="11"/>
            <color indexed="8"/>
            <rFont val="Helvetica Neue"/>
            <family val="2"/>
          </rPr>
          <t>3</t>
        </r>
        <r>
          <rPr>
            <sz val="11"/>
            <color indexed="8"/>
            <rFont val="宋体"/>
            <family val="3"/>
            <charset val="134"/>
          </rPr>
          <t xml:space="preserve">：可出现随机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 xml:space="preserve">生命
</t>
        </r>
        <r>
          <rPr>
            <sz val="11"/>
            <color indexed="8"/>
            <rFont val="Helvetica Neue"/>
            <family val="2"/>
          </rPr>
          <t xml:space="preserve"> </t>
        </r>
      </text>
    </comment>
    <comment ref="H3" authorId="0" shapeId="0" xr:uid="{00000000-0006-0000-0000-000002000000}">
      <text>
        <r>
          <rPr>
            <sz val="11"/>
            <color indexed="8"/>
            <rFont val="Helvetica Neue"/>
            <family val="2"/>
          </rPr>
          <t xml:space="preserve">作者:
</t>
        </r>
        <r>
          <rPr>
            <sz val="11"/>
            <color indexed="8"/>
            <rFont val="Helvetica Neue"/>
            <family val="2"/>
          </rPr>
          <t>隐藏属性最大值,表示出现隐藏属性的最大值</t>
        </r>
      </text>
    </comment>
    <comment ref="AD3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>0 显示  1不显示</t>
        </r>
      </text>
    </comment>
    <comment ref="AE3" authorId="0" shapeId="0" xr:uid="{00000000-0006-0000-0000-000004000000}">
      <text>
        <r>
          <rPr>
            <b/>
            <sz val="9"/>
            <rFont val="宋体"/>
            <family val="3"/>
            <charset val="134"/>
          </rPr>
          <t xml:space="preserve">RolePropertyAdd  增加角色属性
</t>
        </r>
        <r>
          <rPr>
            <b/>
            <sz val="9"/>
            <rFont val="宋体"/>
            <family val="3"/>
            <charset val="134"/>
          </rPr>
          <t xml:space="preserve">SkillPropertyAdd   增加技能属性
</t>
        </r>
        <r>
          <rPr>
            <b/>
            <sz val="9"/>
            <rFont val="宋体"/>
            <family val="3"/>
            <charset val="134"/>
          </rPr>
          <t xml:space="preserve">    //1.增加范围
</t>
        </r>
        <r>
          <rPr>
            <b/>
            <sz val="9"/>
            <rFont val="宋体"/>
            <family val="3"/>
            <charset val="134"/>
          </rPr>
          <t xml:space="preserve">    //2.技能伤害来源的攻击值系数,为1时表示造成100%攻击力的伤害
</t>
        </r>
        <r>
          <rPr>
            <b/>
            <sz val="9"/>
            <rFont val="宋体"/>
            <family val="3"/>
            <charset val="134"/>
          </rPr>
          <t xml:space="preserve">    //3.技能附加固定伤害值
</t>
        </r>
        <r>
          <rPr>
            <b/>
            <sz val="9"/>
            <rFont val="宋体"/>
            <family val="3"/>
            <charset val="134"/>
          </rPr>
          <t xml:space="preserve">    //4.减少冷却CD
</t>
        </r>
        <r>
          <rPr>
            <b/>
            <sz val="9"/>
            <rFont val="宋体"/>
            <family val="3"/>
            <charset val="134"/>
          </rPr>
          <t xml:space="preserve">    //5.技能持续时间
</t>
        </r>
        <r>
          <rPr>
            <b/>
            <sz val="9"/>
            <rFont val="宋体"/>
            <family val="3"/>
            <charset val="134"/>
          </rPr>
          <t xml:space="preserve">    //6.技能附加额外buff
</t>
        </r>
        <r>
          <rPr>
            <b/>
            <sz val="9"/>
            <rFont val="宋体"/>
            <family val="3"/>
            <charset val="134"/>
          </rPr>
          <t xml:space="preserve">BuffIdAdd   添加Buff属性
</t>
        </r>
        <r>
          <rPr>
            <b/>
            <sz val="9"/>
            <rFont val="宋体"/>
            <family val="3"/>
            <charset val="134"/>
          </rPr>
          <t xml:space="preserve">ReplaceSkillId  替换技能
</t>
        </r>
        <r>
          <rPr>
            <b/>
            <sz val="9"/>
            <rFont val="宋体"/>
            <family val="3"/>
            <charset val="134"/>
          </rPr>
          <t xml:space="preserve">SkillIdAdd 增加技能
</t>
        </r>
        <r>
          <rPr>
            <b/>
            <sz val="9"/>
            <rFont val="宋体"/>
            <family val="3"/>
            <charset val="134"/>
          </rPr>
          <t xml:space="preserve">BuffPropertyAdd 增加buff效果
</t>
        </r>
        <r>
          <rPr>
            <b/>
            <sz val="9"/>
            <rFont val="宋体"/>
            <family val="3"/>
            <charset val="134"/>
          </rPr>
          <t xml:space="preserve">1 buff属性值
</t>
        </r>
        <r>
          <rPr>
            <b/>
            <sz val="9"/>
            <rFont val="宋体"/>
            <family val="3"/>
            <charset val="134"/>
          </rPr>
          <t xml:space="preserve">2 buff持续时间
</t>
        </r>
      </text>
    </comment>
  </commentList>
</comments>
</file>

<file path=xl/sharedStrings.xml><?xml version="1.0" encoding="utf-8"?>
<sst xmlns="http://schemas.openxmlformats.org/spreadsheetml/2006/main" count="942" uniqueCount="702">
  <si>
    <t>#</t>
  </si>
  <si>
    <t>Id</t>
  </si>
  <si>
    <t>装备名称</t>
  </si>
  <si>
    <t>鉴定道具消耗</t>
  </si>
  <si>
    <t>套装ID</t>
  </si>
  <si>
    <t>隐藏属性类型</t>
  </si>
  <si>
    <t>隐藏属性最大值</t>
  </si>
  <si>
    <t>单条隐藏属性出现概率</t>
  </si>
  <si>
    <t>一级属性随机值</t>
  </si>
  <si>
    <t>初始宝石孔位</t>
  </si>
  <si>
    <t>血量</t>
  </si>
  <si>
    <t>最低攻击</t>
  </si>
  <si>
    <t>最高攻击</t>
  </si>
  <si>
    <t>最低防御</t>
  </si>
  <si>
    <t>最高防御</t>
  </si>
  <si>
    <t>暴击</t>
  </si>
  <si>
    <t>命中</t>
  </si>
  <si>
    <t>闪避</t>
  </si>
  <si>
    <t>伤害加成</t>
  </si>
  <si>
    <t>伤害减免</t>
  </si>
  <si>
    <t>速度</t>
  </si>
  <si>
    <t>幸运值</t>
  </si>
  <si>
    <t>附加属性类型</t>
  </si>
  <si>
    <t>附加属性值</t>
  </si>
  <si>
    <t>是否显示属性</t>
  </si>
  <si>
    <r>
      <rPr>
        <sz val="10"/>
        <color theme="0"/>
        <rFont val="Helvetica Neue"/>
        <family val="2"/>
      </rPr>
      <t>附加</t>
    </r>
  </si>
  <si>
    <t>ItemName</t>
  </si>
  <si>
    <t>AppraisalItem</t>
  </si>
  <si>
    <t>EquipSuitID</t>
  </si>
  <si>
    <t>HideType</t>
  </si>
  <si>
    <t>HideMax</t>
  </si>
  <si>
    <t>HideShowPro</t>
  </si>
  <si>
    <t>OneProRandomValue</t>
  </si>
  <si>
    <t>GemHole</t>
  </si>
  <si>
    <t>Equip_Hp</t>
  </si>
  <si>
    <t>Equip_MinAct</t>
  </si>
  <si>
    <t>Equip_MaxAct</t>
  </si>
  <si>
    <t>Equip_MinMagAct</t>
  </si>
  <si>
    <t>Equip_MaxMagAct</t>
  </si>
  <si>
    <t>Equip_MinDef</t>
  </si>
  <si>
    <t>Equip_MaxDef</t>
  </si>
  <si>
    <t>Equip_MinAdf</t>
  </si>
  <si>
    <t>Equip_MaxAdf</t>
  </si>
  <si>
    <t>Equip_Cri</t>
  </si>
  <si>
    <t>Equip_Hit</t>
  </si>
  <si>
    <t>Equip_Dodge</t>
  </si>
  <si>
    <t>Equip_DamgeAdd</t>
  </si>
  <si>
    <t>Equip_DamgeSub</t>
  </si>
  <si>
    <t>Equip_Speed</t>
  </si>
  <si>
    <t>Equip_Lucky</t>
  </si>
  <si>
    <t>AddPropreListType</t>
  </si>
  <si>
    <t>AddPropreListValue</t>
  </si>
  <si>
    <t>AddPropreListIfShow</t>
  </si>
  <si>
    <t>TianFuId</t>
  </si>
  <si>
    <t>int</t>
  </si>
  <si>
    <t>string</t>
  </si>
  <si>
    <t>double</t>
  </si>
  <si>
    <t>int[]</t>
  </si>
  <si>
    <t>long[]</t>
  </si>
  <si>
    <t>木剑</t>
  </si>
  <si>
    <t>头布</t>
  </si>
  <si>
    <t>铁盔</t>
  </si>
  <si>
    <t>小手套</t>
  </si>
  <si>
    <t>粗手套</t>
  </si>
  <si>
    <t>铁手套</t>
  </si>
  <si>
    <t>布带</t>
  </si>
  <si>
    <t>钢腰带</t>
  </si>
  <si>
    <t>小布鞋</t>
  </si>
  <si>
    <t>麻布裤</t>
  </si>
  <si>
    <t>银项链</t>
  </si>
  <si>
    <t>古铜戒指</t>
  </si>
  <si>
    <t>匕首</t>
  </si>
  <si>
    <t>布衣</t>
  </si>
  <si>
    <t>青铜头盔</t>
  </si>
  <si>
    <t>玄铁头盔</t>
  </si>
  <si>
    <t>骷髅头盔</t>
  </si>
  <si>
    <t>纯银手套</t>
  </si>
  <si>
    <t>魔力手套</t>
  </si>
  <si>
    <t>纯金手套</t>
  </si>
  <si>
    <t>白纹手套</t>
  </si>
  <si>
    <t>布纹腰带</t>
  </si>
  <si>
    <t>骷髅腰带</t>
  </si>
  <si>
    <t>布纹布靴</t>
  </si>
  <si>
    <t>布纹长裤</t>
  </si>
  <si>
    <t>纯银项链</t>
  </si>
  <si>
    <t>白骨项链</t>
  </si>
  <si>
    <t>红宝石项链</t>
  </si>
  <si>
    <t>魅力戒指</t>
  </si>
  <si>
    <t>红宝石戒指</t>
  </si>
  <si>
    <t>神兵护符</t>
  </si>
  <si>
    <t>短刀</t>
  </si>
  <si>
    <t>玄铁刀</t>
  </si>
  <si>
    <t>凌风剑</t>
  </si>
  <si>
    <t>轻型盔甲</t>
  </si>
  <si>
    <t>凌风盔甲</t>
  </si>
  <si>
    <t>狼王的项链</t>
  </si>
  <si>
    <t>僵尸护符</t>
  </si>
  <si>
    <t>骷髅王的桂冠</t>
  </si>
  <si>
    <t>蜘蛛护腿</t>
  </si>
  <si>
    <t>蜘蛛护胸</t>
  </si>
  <si>
    <t>古墓手套</t>
  </si>
  <si>
    <t>古墓腰带</t>
  </si>
  <si>
    <t>古墓鞋子</t>
  </si>
  <si>
    <t>黑暗之剑</t>
  </si>
  <si>
    <t>古旧的法术书</t>
  </si>
  <si>
    <t>闪闪发亮的宝石</t>
  </si>
  <si>
    <t>疾跑护符</t>
  </si>
  <si>
    <t>新手武器</t>
  </si>
  <si>
    <t>血域头盔</t>
  </si>
  <si>
    <t>灵巧头巾</t>
  </si>
  <si>
    <t>血域手镯</t>
  </si>
  <si>
    <t>精铁手镯</t>
  </si>
  <si>
    <t>血域腰带</t>
  </si>
  <si>
    <t>战斗腰带</t>
  </si>
  <si>
    <t>血域战靴</t>
  </si>
  <si>
    <t>战斗靴子</t>
  </si>
  <si>
    <t>血域长裤</t>
  </si>
  <si>
    <t>血色长裤</t>
  </si>
  <si>
    <t>血域战链</t>
  </si>
  <si>
    <t>骷髅项链</t>
  </si>
  <si>
    <t>血域戒指</t>
  </si>
  <si>
    <t>黑金戒指</t>
  </si>
  <si>
    <t>血域宝石</t>
  </si>
  <si>
    <t>血域护符</t>
  </si>
  <si>
    <t>血域战刃</t>
  </si>
  <si>
    <t>利刃长剑</t>
  </si>
  <si>
    <t>血色之刃</t>
  </si>
  <si>
    <t>血域战甲</t>
  </si>
  <si>
    <t>刀锋战衣</t>
  </si>
  <si>
    <t>力量戒指</t>
  </si>
  <si>
    <t>幽冥项链</t>
  </si>
  <si>
    <t>荒漠头盔</t>
  </si>
  <si>
    <t>荒漠手套</t>
  </si>
  <si>
    <t>荒漠腰带</t>
  </si>
  <si>
    <t>荒漠靴子</t>
  </si>
  <si>
    <t>生命护符</t>
  </si>
  <si>
    <t>生命饰品</t>
  </si>
  <si>
    <t>防护宝石</t>
  </si>
  <si>
    <t>骷髅灵饰</t>
  </si>
  <si>
    <t>痛苦女王的吊坠</t>
  </si>
  <si>
    <t>地狱领主的法术书</t>
  </si>
  <si>
    <t>不败的意志</t>
  </si>
  <si>
    <t>地狱领主的盔甲</t>
  </si>
  <si>
    <t>冰封头盔</t>
  </si>
  <si>
    <t>精钢头盔</t>
  </si>
  <si>
    <t>冰封手镯</t>
  </si>
  <si>
    <t>精钢手镯</t>
  </si>
  <si>
    <t>冰封腰带</t>
  </si>
  <si>
    <t>意志腰带</t>
  </si>
  <si>
    <t>冰封战靴</t>
  </si>
  <si>
    <t>雪域靴子</t>
  </si>
  <si>
    <t>冰封长裤</t>
  </si>
  <si>
    <t>魔鬼长裤</t>
  </si>
  <si>
    <t>冰封战链</t>
  </si>
  <si>
    <t>冰灵项链</t>
  </si>
  <si>
    <t>冰封戒指</t>
  </si>
  <si>
    <t>鬼灵指环</t>
  </si>
  <si>
    <t>冰封饰品</t>
  </si>
  <si>
    <t>冰封护符</t>
  </si>
  <si>
    <t>血护符</t>
  </si>
  <si>
    <t>冰封战刃</t>
  </si>
  <si>
    <t>血泣</t>
  </si>
  <si>
    <t>冰封战甲</t>
  </si>
  <si>
    <t>战斗钢甲</t>
  </si>
  <si>
    <t>破灵腰带</t>
  </si>
  <si>
    <t>破灵靴子</t>
  </si>
  <si>
    <t>冰河战甲</t>
  </si>
  <si>
    <t>冰河战盔</t>
  </si>
  <si>
    <t>冰河长裤</t>
  </si>
  <si>
    <t>勇气长剑</t>
  </si>
  <si>
    <t>破灵护符</t>
  </si>
  <si>
    <t>治愈灵石</t>
  </si>
  <si>
    <t>超强防护宝石</t>
  </si>
  <si>
    <t>冰封守护之心</t>
  </si>
  <si>
    <t>阿兹里斯的骨头</t>
  </si>
  <si>
    <t>帝陨</t>
  </si>
  <si>
    <t>阿兹里斯的项链</t>
  </si>
  <si>
    <t>永恒头盔</t>
  </si>
  <si>
    <t>战意头盔</t>
  </si>
  <si>
    <t>永恒手镯</t>
  </si>
  <si>
    <t>绿色手镯</t>
  </si>
  <si>
    <t>永恒腰带</t>
  </si>
  <si>
    <t>永恒战靴</t>
  </si>
  <si>
    <t>旋风靴</t>
  </si>
  <si>
    <t>永恒长裤</t>
  </si>
  <si>
    <t>烈焰长裤</t>
  </si>
  <si>
    <t>永恒战链</t>
  </si>
  <si>
    <t>梦境项链</t>
  </si>
  <si>
    <t>永恒戒指</t>
  </si>
  <si>
    <t>鬼魅指环</t>
  </si>
  <si>
    <t>永恒饰品</t>
  </si>
  <si>
    <t>永恒护符</t>
  </si>
  <si>
    <t>永恒战刃</t>
  </si>
  <si>
    <t>永恒战甲</t>
  </si>
  <si>
    <t>精灵项链</t>
  </si>
  <si>
    <t>精灵指环</t>
  </si>
  <si>
    <t>暮色战甲</t>
  </si>
  <si>
    <t>暮色战盔</t>
  </si>
  <si>
    <t>暮色长裤</t>
  </si>
  <si>
    <t>暮色手套</t>
  </si>
  <si>
    <t>暮色腰带</t>
  </si>
  <si>
    <t>暮色靴子</t>
  </si>
  <si>
    <t>暮色饰品</t>
  </si>
  <si>
    <t>狂暴魔法书</t>
  </si>
  <si>
    <t>高级治愈灵石</t>
  </si>
  <si>
    <t>暮色士兵的遗产</t>
  </si>
  <si>
    <t>艾力克斯的头颅</t>
  </si>
  <si>
    <t>毁灭</t>
  </si>
  <si>
    <t>艾力克斯的护符</t>
  </si>
  <si>
    <t>圣光头盔</t>
  </si>
  <si>
    <t>邪灵头盔</t>
  </si>
  <si>
    <t>圣光手镯</t>
  </si>
  <si>
    <t>除魔手镯</t>
  </si>
  <si>
    <t>圣光腰带</t>
  </si>
  <si>
    <t>斩灵腰带</t>
  </si>
  <si>
    <t>圣光战靴</t>
  </si>
  <si>
    <t>战意靴子</t>
  </si>
  <si>
    <t>圣光长裤</t>
  </si>
  <si>
    <t>骨灵长裤</t>
  </si>
  <si>
    <t>圣光战链</t>
  </si>
  <si>
    <t>心爱之链</t>
  </si>
  <si>
    <t>圣光戒指</t>
  </si>
  <si>
    <t>灵魂指环</t>
  </si>
  <si>
    <t>圣光饰品</t>
  </si>
  <si>
    <t>圣光护符</t>
  </si>
  <si>
    <t>灵光护符</t>
  </si>
  <si>
    <t>圣光战刃</t>
  </si>
  <si>
    <t>降魔之刃</t>
  </si>
  <si>
    <t>圣光战甲</t>
  </si>
  <si>
    <t>降魔甲</t>
  </si>
  <si>
    <t>熔岩项链</t>
  </si>
  <si>
    <t>熔岩指环</t>
  </si>
  <si>
    <t>炙热战甲</t>
  </si>
  <si>
    <t>炙热战盔</t>
  </si>
  <si>
    <t>炙热长裤</t>
  </si>
  <si>
    <t>炙热手套</t>
  </si>
  <si>
    <t>炙热腰带</t>
  </si>
  <si>
    <t>炙热靴子</t>
  </si>
  <si>
    <t>传说:圣光头盔</t>
  </si>
  <si>
    <t>传说:圣光手镯</t>
  </si>
  <si>
    <t>传说:圣光腰带</t>
  </si>
  <si>
    <t>传说:圣光战靴</t>
  </si>
  <si>
    <t>传说:圣光长裤</t>
  </si>
  <si>
    <t>传说:圣光战链</t>
  </si>
  <si>
    <t>传说:圣光戒指</t>
  </si>
  <si>
    <t>传说:圣光饰品</t>
  </si>
  <si>
    <t>传说:圣光护符</t>
  </si>
  <si>
    <t>传说:圣光战刃</t>
  </si>
  <si>
    <r>
      <rPr>
        <sz val="10"/>
        <color theme="0" tint="-0.34998626667073579"/>
        <rFont val="Helvetica Neue"/>
        <family val="2"/>
      </rPr>
      <t>传说</t>
    </r>
    <r>
      <rPr>
        <sz val="10"/>
        <color theme="0" tint="-0.34998626667073579"/>
        <rFont val="Helvetica Neue"/>
        <family val="2"/>
      </rPr>
      <t>:</t>
    </r>
    <r>
      <rPr>
        <sz val="10"/>
        <color theme="0" tint="-0.34998626667073579"/>
        <rFont val="Helvetica Neue"/>
        <family val="2"/>
      </rPr>
      <t>圣光战甲</t>
    </r>
  </si>
  <si>
    <t>智力之石</t>
  </si>
  <si>
    <t>105301,120701</t>
  </si>
  <si>
    <t>20,30</t>
  </si>
  <si>
    <t>0,0</t>
  </si>
  <si>
    <t>力量之石</t>
  </si>
  <si>
    <t>105101,120601</t>
  </si>
  <si>
    <t>灵魂之石</t>
  </si>
  <si>
    <t>30,50</t>
  </si>
  <si>
    <t>试炼之石</t>
  </si>
  <si>
    <t>光灵之石</t>
  </si>
  <si>
    <t>50,80</t>
  </si>
  <si>
    <t>勇猛之石</t>
  </si>
  <si>
    <t>小木盔</t>
  </si>
  <si>
    <t>玄木头盔</t>
  </si>
  <si>
    <t>迅影头盔</t>
  </si>
  <si>
    <t>勇气之盔</t>
  </si>
  <si>
    <t>布巾</t>
  </si>
  <si>
    <t>暗影头盔</t>
  </si>
  <si>
    <t>灵纹头盔</t>
  </si>
  <si>
    <t>暴灵之盔</t>
  </si>
  <si>
    <t>战灵头盔</t>
  </si>
  <si>
    <t>英勇之盔</t>
  </si>
  <si>
    <t>皮质手套</t>
  </si>
  <si>
    <t>轻灵手套</t>
  </si>
  <si>
    <t>迅影手套</t>
  </si>
  <si>
    <t>勇气之手</t>
  </si>
  <si>
    <t>布料手套</t>
  </si>
  <si>
    <t>长者手套</t>
  </si>
  <si>
    <t>灵纹手套</t>
  </si>
  <si>
    <t>暴灵之手</t>
  </si>
  <si>
    <t>玄铁手套</t>
  </si>
  <si>
    <t>战灵手套</t>
  </si>
  <si>
    <t>英勇之手</t>
  </si>
  <si>
    <t>幸运者之手</t>
  </si>
  <si>
    <t>皮质腰带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</si>
  <si>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Helvetica Neue"/>
        <family val="2"/>
      </rPr>
      <t>腰带</t>
    </r>
  </si>
  <si>
    <t>迅影腰带</t>
  </si>
  <si>
    <t>勇气之带</t>
  </si>
  <si>
    <t>布腰带</t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</si>
  <si>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Helvetica Neue"/>
        <family val="2"/>
      </rPr>
      <t>腰带</t>
    </r>
  </si>
  <si>
    <t>灵纹腰带</t>
  </si>
  <si>
    <t>暴灵之带</t>
  </si>
  <si>
    <t>铜腰带</t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</si>
  <si>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Helvetica Neue"/>
        <family val="2"/>
      </rPr>
      <t>腰带</t>
    </r>
  </si>
  <si>
    <t>战灵腰带</t>
  </si>
  <si>
    <t>英勇之带</t>
  </si>
  <si>
    <t>消逝者的腰带</t>
  </si>
  <si>
    <t>皮质靴子</t>
  </si>
  <si>
    <t>银光靴</t>
  </si>
  <si>
    <t>迅影靴子</t>
  </si>
  <si>
    <t>勇气之靴</t>
  </si>
  <si>
    <t>布靴</t>
  </si>
  <si>
    <t>宝石靴子</t>
  </si>
  <si>
    <t>灵纹靴子</t>
  </si>
  <si>
    <t>暴灵之靴</t>
  </si>
  <si>
    <t>岩石靴子</t>
  </si>
  <si>
    <t>力量战靴</t>
  </si>
  <si>
    <t>战灵靴子</t>
  </si>
  <si>
    <t>英勇之靴</t>
  </si>
  <si>
    <t>皮质护腿</t>
  </si>
  <si>
    <t>暴风长裤</t>
  </si>
  <si>
    <t>迅影护腿</t>
  </si>
  <si>
    <t>勇气之腿</t>
  </si>
  <si>
    <t>麻布护腿</t>
  </si>
  <si>
    <t>火焰长裤</t>
  </si>
  <si>
    <t>灵纹护腿</t>
  </si>
  <si>
    <t>暴灵之腿</t>
  </si>
  <si>
    <t>矿工护腿</t>
  </si>
  <si>
    <t>力量长裤</t>
  </si>
  <si>
    <t>战灵护腿</t>
  </si>
  <si>
    <t>英勇之腿</t>
  </si>
  <si>
    <t>魔灵铃铛</t>
  </si>
  <si>
    <t>精灵之链</t>
  </si>
  <si>
    <t>疾风之链</t>
  </si>
  <si>
    <t>传承:新月神链</t>
  </si>
  <si>
    <t>银戒指</t>
  </si>
  <si>
    <t>精金戒指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</si>
  <si>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Helvetica Neue"/>
        <family val="2"/>
      </rPr>
      <t>戒指</t>
    </r>
  </si>
  <si>
    <t>疾风之戒</t>
  </si>
  <si>
    <t>治愈之秋</t>
  </si>
  <si>
    <t>森之精灵</t>
  </si>
  <si>
    <t>疾风之灵</t>
  </si>
  <si>
    <t>魔法冲击之石</t>
  </si>
  <si>
    <t>耐力护符</t>
  </si>
  <si>
    <t>森林护符</t>
  </si>
  <si>
    <t>疾风之符</t>
  </si>
  <si>
    <t>咏歌者护符</t>
  </si>
  <si>
    <t>短木剑</t>
  </si>
  <si>
    <t>精金剑</t>
  </si>
  <si>
    <t>战灵战刃</t>
  </si>
  <si>
    <t>疾风之剑</t>
  </si>
  <si>
    <t>钢刀</t>
  </si>
  <si>
    <t>精钢刀</t>
  </si>
  <si>
    <t>战灵之刃</t>
  </si>
  <si>
    <t>疾风之刀</t>
  </si>
  <si>
    <r>
      <rPr>
        <sz val="10"/>
        <color theme="1"/>
        <rFont val="Helvetica Neue"/>
        <family val="2"/>
      </rPr>
      <t>传承</t>
    </r>
    <r>
      <rPr>
        <sz val="10"/>
        <color theme="1"/>
        <rFont val="Helvetica Neue"/>
        <family val="2"/>
      </rPr>
      <t>:</t>
    </r>
    <r>
      <rPr>
        <sz val="10"/>
        <color theme="1"/>
        <rFont val="Helvetica Neue"/>
        <family val="2"/>
      </rPr>
      <t>勇者的无畏</t>
    </r>
  </si>
  <si>
    <t>传承:勇者的意志</t>
  </si>
  <si>
    <t>小皮衣</t>
  </si>
  <si>
    <t>妖灵护甲</t>
  </si>
  <si>
    <t>迅影护甲</t>
  </si>
  <si>
    <t>勇气之甲</t>
  </si>
  <si>
    <t>麻布衣</t>
  </si>
  <si>
    <t>符文护甲</t>
  </si>
  <si>
    <t>灵纹护甲</t>
  </si>
  <si>
    <t>暴灵之甲</t>
  </si>
  <si>
    <t>重盔甲</t>
  </si>
  <si>
    <t>玄铁战甲</t>
  </si>
  <si>
    <t>战灵护甲</t>
  </si>
  <si>
    <t>英勇之甲</t>
  </si>
  <si>
    <t>传承:疾风者的疯狂</t>
  </si>
  <si>
    <t>传承:圣域的记忆</t>
  </si>
  <si>
    <t>传承:米希尔之力</t>
  </si>
  <si>
    <t>轻风头盔</t>
  </si>
  <si>
    <t>命运之盔</t>
  </si>
  <si>
    <t>魔法头盔</t>
  </si>
  <si>
    <t>魔光之盔</t>
  </si>
  <si>
    <t>重力头盔</t>
  </si>
  <si>
    <t>熔铸之盔</t>
  </si>
  <si>
    <t>轻风手套</t>
  </si>
  <si>
    <t>命运之手</t>
  </si>
  <si>
    <t>魔法手套</t>
  </si>
  <si>
    <t>魔光之手</t>
  </si>
  <si>
    <t>重力手套</t>
  </si>
  <si>
    <t>熔铸之手</t>
  </si>
  <si>
    <t>轻风腰带</t>
  </si>
  <si>
    <t>命运之带</t>
  </si>
  <si>
    <t>魔法腰带</t>
  </si>
  <si>
    <t>魔光之带</t>
  </si>
  <si>
    <t>重力腰带</t>
  </si>
  <si>
    <t>熔铸之带</t>
  </si>
  <si>
    <t>轻风靴子</t>
  </si>
  <si>
    <t>命运之靴</t>
  </si>
  <si>
    <t>魔法靴子</t>
  </si>
  <si>
    <t>魔光之靴</t>
  </si>
  <si>
    <t>重力靴子</t>
  </si>
  <si>
    <t>熔铸之靴</t>
  </si>
  <si>
    <t>轻风护腿</t>
  </si>
  <si>
    <t>命运之腿</t>
  </si>
  <si>
    <t>魔法护腿</t>
  </si>
  <si>
    <t>魔光之腿</t>
  </si>
  <si>
    <t>重力护腿</t>
  </si>
  <si>
    <t>熔铸之腿</t>
  </si>
  <si>
    <t>破军冲锋护腿</t>
  </si>
  <si>
    <t>暗光项链</t>
  </si>
  <si>
    <t>幽光之链</t>
  </si>
  <si>
    <t>传承:恒心使徒的魔链</t>
  </si>
  <si>
    <t>守护之戒</t>
  </si>
  <si>
    <t>幽光之戒</t>
  </si>
  <si>
    <t>追光狩猎之戒</t>
  </si>
  <si>
    <t>幽光之灵</t>
  </si>
  <si>
    <t>燃烧之火</t>
  </si>
  <si>
    <t>星之护符</t>
  </si>
  <si>
    <t>幽光之符</t>
  </si>
  <si>
    <t>闪电灵巧护符</t>
  </si>
  <si>
    <t>轻风剑</t>
  </si>
  <si>
    <t>幽光之剑</t>
  </si>
  <si>
    <t>云清刃</t>
  </si>
  <si>
    <t>幽光战刃</t>
  </si>
  <si>
    <t>传承:碧蓝之歌</t>
  </si>
  <si>
    <t>传承:有坚不摧之力</t>
  </si>
  <si>
    <t>轻风护甲</t>
  </si>
  <si>
    <t>命运之甲</t>
  </si>
  <si>
    <t>魔法护甲</t>
  </si>
  <si>
    <t>魔光之甲</t>
  </si>
  <si>
    <t>重力护甲</t>
  </si>
  <si>
    <t>熔铸之甲</t>
  </si>
  <si>
    <t>传承:光之怒</t>
  </si>
  <si>
    <t>传承:神灵启示者</t>
  </si>
  <si>
    <t>传承:降魔护卫者</t>
  </si>
  <si>
    <t>赤影头盔</t>
  </si>
  <si>
    <t>怒风之盔</t>
  </si>
  <si>
    <t>闪电头盔</t>
  </si>
  <si>
    <t>信念之盔</t>
  </si>
  <si>
    <t>巨兵头盔</t>
  </si>
  <si>
    <t>雷霆之盔</t>
  </si>
  <si>
    <t>赤影手套</t>
  </si>
  <si>
    <t>怒风之手</t>
  </si>
  <si>
    <t>闪电手套</t>
  </si>
  <si>
    <t>信念之手</t>
  </si>
  <si>
    <t>巨兵手套</t>
  </si>
  <si>
    <t>雷霆之手</t>
  </si>
  <si>
    <t>速之灵手套</t>
  </si>
  <si>
    <t>赤影腰带</t>
  </si>
  <si>
    <t>怒风之带</t>
  </si>
  <si>
    <t>闪电腰带</t>
  </si>
  <si>
    <t>信念之带</t>
  </si>
  <si>
    <t>巨兵腰带</t>
  </si>
  <si>
    <t>雷霆之带</t>
  </si>
  <si>
    <t>赤影靴子</t>
  </si>
  <si>
    <t>怒风之靴</t>
  </si>
  <si>
    <t>闪电靴子</t>
  </si>
  <si>
    <t>信念之靴</t>
  </si>
  <si>
    <t>巨兵靴子</t>
  </si>
  <si>
    <t>雷霆之靴</t>
  </si>
  <si>
    <t>赤影护腿</t>
  </si>
  <si>
    <t>怒风之腿</t>
  </si>
  <si>
    <t>闪电护腿</t>
  </si>
  <si>
    <t>信念之腿</t>
  </si>
  <si>
    <t>巨兵护腿</t>
  </si>
  <si>
    <t>雷霆之腿</t>
  </si>
  <si>
    <t>灰烬之链</t>
  </si>
  <si>
    <t>传承:末日的启示者</t>
  </si>
  <si>
    <t>树王戒指</t>
  </si>
  <si>
    <t>灰烬之戒</t>
  </si>
  <si>
    <t>灰烬之灵</t>
  </si>
  <si>
    <t>守护者的准则</t>
  </si>
  <si>
    <t>禁术召唤</t>
  </si>
  <si>
    <t>灰烬之符</t>
  </si>
  <si>
    <t>赤影剑</t>
  </si>
  <si>
    <t>灰烬之剑</t>
  </si>
  <si>
    <t>影刀</t>
  </si>
  <si>
    <t>灰烬战刃</t>
  </si>
  <si>
    <t>传承:寒冰使者的佩剑</t>
  </si>
  <si>
    <t>传承:黎明的护卫者</t>
  </si>
  <si>
    <t>赤影护甲</t>
  </si>
  <si>
    <t>怒风之甲</t>
  </si>
  <si>
    <t>闪电护甲</t>
  </si>
  <si>
    <t>信念之甲</t>
  </si>
  <si>
    <t>巨兵护甲</t>
  </si>
  <si>
    <t>雷霆之甲</t>
  </si>
  <si>
    <t>传承:正义的呼唤</t>
  </si>
  <si>
    <t>传承:暴灵的守护</t>
  </si>
  <si>
    <t>传承:神官的黄昏</t>
  </si>
  <si>
    <t>先锋头盔</t>
  </si>
  <si>
    <t>苍穹之盔</t>
  </si>
  <si>
    <t>寂静头盔</t>
  </si>
  <si>
    <t>神谕之盔</t>
  </si>
  <si>
    <t>守护头盔</t>
  </si>
  <si>
    <t>龙脊之盔</t>
  </si>
  <si>
    <t>战斗爆裂头盔</t>
  </si>
  <si>
    <t>先锋手套</t>
  </si>
  <si>
    <t>苍穹之手</t>
  </si>
  <si>
    <t>寂静手套</t>
  </si>
  <si>
    <t>神谕之手</t>
  </si>
  <si>
    <t>守护手套</t>
  </si>
  <si>
    <t>龙脊之手</t>
  </si>
  <si>
    <t>先锋腰带</t>
  </si>
  <si>
    <t>苍穹之带</t>
  </si>
  <si>
    <t>寂静腰带</t>
  </si>
  <si>
    <t>神谕之带</t>
  </si>
  <si>
    <t>守护腰带</t>
  </si>
  <si>
    <t>龙脊之带</t>
  </si>
  <si>
    <t>先锋靴子</t>
  </si>
  <si>
    <t>苍穹之靴</t>
  </si>
  <si>
    <t>寂静靴子</t>
  </si>
  <si>
    <t>神谕之靴</t>
  </si>
  <si>
    <t>守护靴子</t>
  </si>
  <si>
    <t>龙脊之靴</t>
  </si>
  <si>
    <t>先锋护腿</t>
  </si>
  <si>
    <t>苍穹之腿</t>
  </si>
  <si>
    <t>寂静护腿</t>
  </si>
  <si>
    <t>神谕之腿</t>
  </si>
  <si>
    <t>守护护腿</t>
  </si>
  <si>
    <t>龙脊之腿</t>
  </si>
  <si>
    <t>星云项链</t>
  </si>
  <si>
    <t>幻影之链</t>
  </si>
  <si>
    <t>传承:女王项链</t>
  </si>
  <si>
    <t>启航之戒</t>
  </si>
  <si>
    <t>幻影之戒</t>
  </si>
  <si>
    <t>无尽时光戒指</t>
  </si>
  <si>
    <t>幻影之灵</t>
  </si>
  <si>
    <t>神圣战斗之锚</t>
  </si>
  <si>
    <t>星云护符</t>
  </si>
  <si>
    <t>幻影之符</t>
  </si>
  <si>
    <t>先锋剑</t>
  </si>
  <si>
    <t>幻影之剑</t>
  </si>
  <si>
    <t>坚壁刀</t>
  </si>
  <si>
    <t>传承:黑暗毁灭者</t>
  </si>
  <si>
    <t>传承:末日的决战</t>
  </si>
  <si>
    <t>传承:堕落的使者</t>
  </si>
  <si>
    <t>传承:上层精灵的魔法</t>
  </si>
  <si>
    <t>先锋护甲</t>
  </si>
  <si>
    <t>苍穹之甲</t>
  </si>
  <si>
    <t>寂静护甲</t>
  </si>
  <si>
    <t>神谕之甲</t>
  </si>
  <si>
    <t>守护护甲</t>
  </si>
  <si>
    <t>龙脊之甲</t>
  </si>
  <si>
    <t>传承:尽头之声</t>
  </si>
  <si>
    <t>传承:天籁长袍</t>
  </si>
  <si>
    <t>传承:不败的意志</t>
  </si>
  <si>
    <t>雷鸣头盔</t>
  </si>
  <si>
    <t>灵犀之盔</t>
  </si>
  <si>
    <t>元素头盔</t>
  </si>
  <si>
    <t>黑月之盔</t>
  </si>
  <si>
    <t>赤心头盔</t>
  </si>
  <si>
    <t>神官之盔</t>
  </si>
  <si>
    <t>雷鸣手套</t>
  </si>
  <si>
    <t>灵犀之手</t>
  </si>
  <si>
    <t>元素手套</t>
  </si>
  <si>
    <t>黑月之手</t>
  </si>
  <si>
    <t>赤心手套</t>
  </si>
  <si>
    <t>神官之手</t>
  </si>
  <si>
    <t>雷鸣腰带</t>
  </si>
  <si>
    <t>灵犀之带</t>
  </si>
  <si>
    <t>元素腰带</t>
  </si>
  <si>
    <t>黑月之带</t>
  </si>
  <si>
    <t>赤心腰带</t>
  </si>
  <si>
    <t>神官之带</t>
  </si>
  <si>
    <t>重力灵犀腰带</t>
  </si>
  <si>
    <t>雷鸣靴子</t>
  </si>
  <si>
    <t>灵犀之靴</t>
  </si>
  <si>
    <t>元素靴子</t>
  </si>
  <si>
    <t>黑月之靴</t>
  </si>
  <si>
    <t>赤心靴子</t>
  </si>
  <si>
    <t>神官之靴</t>
  </si>
  <si>
    <t>雷鸣护腿</t>
  </si>
  <si>
    <t>灵犀之腿</t>
  </si>
  <si>
    <t>元素护腿</t>
  </si>
  <si>
    <t>黑月之腿</t>
  </si>
  <si>
    <t>赤心护腿</t>
  </si>
  <si>
    <t>神官之腿</t>
  </si>
  <si>
    <t>红炎之链</t>
  </si>
  <si>
    <t>圣灵之链</t>
  </si>
  <si>
    <t>传承:力量的召唤</t>
  </si>
  <si>
    <t>领域戒指</t>
  </si>
  <si>
    <t>圣灵之戒</t>
  </si>
  <si>
    <t>雷鸣攻击之戒</t>
  </si>
  <si>
    <t>圣灵之灵</t>
  </si>
  <si>
    <t>图腾之灵</t>
  </si>
  <si>
    <t>迷之护符</t>
  </si>
  <si>
    <t>圣灵之符</t>
  </si>
  <si>
    <t>生命永恒之符</t>
  </si>
  <si>
    <t>雷鸣剑</t>
  </si>
  <si>
    <t>圣灵之剑</t>
  </si>
  <si>
    <t>闪电刀</t>
  </si>
  <si>
    <t>圣灵战刃</t>
  </si>
  <si>
    <t>传承:圣焰之剑</t>
  </si>
  <si>
    <t>传承:远古王者之刃</t>
  </si>
  <si>
    <t>传承:天堂的权杖</t>
  </si>
  <si>
    <t>传承:时光能量魔法</t>
  </si>
  <si>
    <t>雷鸣护甲</t>
  </si>
  <si>
    <t>灵犀之甲</t>
  </si>
  <si>
    <t>元素护甲</t>
  </si>
  <si>
    <t>黑月之甲</t>
  </si>
  <si>
    <t>赤心护甲</t>
  </si>
  <si>
    <t xml:space="preserve"> 神官之甲</t>
  </si>
  <si>
    <t>传承:噩梦裁决者</t>
  </si>
  <si>
    <t>传承:祝福者外衣</t>
  </si>
  <si>
    <t>传承:怒之烈焰</t>
  </si>
  <si>
    <t>子·鼠</t>
  </si>
  <si>
    <t>丑·牛</t>
  </si>
  <si>
    <t>寅·虎</t>
  </si>
  <si>
    <t>卯·兔</t>
  </si>
  <si>
    <t>辰·龙</t>
  </si>
  <si>
    <t>105501,105401</t>
  </si>
  <si>
    <t>1,1</t>
  </si>
  <si>
    <t>巳·蛇</t>
  </si>
  <si>
    <t>105301,105201</t>
  </si>
  <si>
    <t>午·马</t>
  </si>
  <si>
    <t>105101,105401</t>
  </si>
  <si>
    <t>未·羊</t>
  </si>
  <si>
    <t>105501,105201</t>
  </si>
  <si>
    <t>申·猴</t>
  </si>
  <si>
    <t>酉·鸡</t>
  </si>
  <si>
    <t>105101,105201</t>
  </si>
  <si>
    <t>戌·狗</t>
  </si>
  <si>
    <t>105501,105301</t>
  </si>
  <si>
    <t>亥·猪</t>
  </si>
  <si>
    <t>105301,105401</t>
  </si>
  <si>
    <t>子鼠·破晓</t>
  </si>
  <si>
    <t>丑牛·破风</t>
  </si>
  <si>
    <t>寅虎·破军</t>
  </si>
  <si>
    <t>卯兔·洪流</t>
  </si>
  <si>
    <t>辰龙·挽歌</t>
  </si>
  <si>
    <t>5,5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</si>
  <si>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</si>
  <si>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</si>
  <si>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</si>
  <si>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</si>
  <si>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</si>
  <si>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</si>
  <si>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</si>
  <si>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子鼠·天启</t>
  </si>
  <si>
    <t>丑牛·天正</t>
  </si>
  <si>
    <t>寅虎·天罡</t>
  </si>
  <si>
    <t>卯兔·白鸿</t>
  </si>
  <si>
    <t>辰龙·紫金</t>
  </si>
  <si>
    <t>10,10</t>
  </si>
  <si>
    <t>巳蛇·修罗</t>
  </si>
  <si>
    <t>午马·金甲</t>
  </si>
  <si>
    <t>未羊·苍穹</t>
  </si>
  <si>
    <t>申猴·龙牙</t>
  </si>
  <si>
    <t>酉鸡·漠灵</t>
  </si>
  <si>
    <t>戌狗·无尽</t>
  </si>
  <si>
    <t>亥猪·焚天</t>
  </si>
  <si>
    <t>测试专用武器1</t>
    <phoneticPr fontId="23" type="noConversion"/>
  </si>
  <si>
    <t>测试专用武器2</t>
    <phoneticPr fontId="23" type="noConversion"/>
  </si>
  <si>
    <t>子鼠·破晓天启</t>
  </si>
  <si>
    <t>丑牛·破风天正</t>
  </si>
  <si>
    <t>寅虎·破军天罡</t>
  </si>
  <si>
    <t>卯兔·洪流白鸿</t>
  </si>
  <si>
    <t>辰龙·挽歌紫金</t>
  </si>
  <si>
    <t>巳蛇·逐风修罗</t>
  </si>
  <si>
    <t>午马·利刃金甲</t>
  </si>
  <si>
    <t>未羊·战魂苍穹</t>
  </si>
  <si>
    <t>申猴·清风龙牙</t>
  </si>
  <si>
    <t>酉鸡·天刺漠灵</t>
  </si>
  <si>
    <t>戌狗·惊鸿无尽</t>
  </si>
  <si>
    <t>亥猪·寒裂焚天</t>
  </si>
  <si>
    <t>13,13</t>
  </si>
  <si>
    <t>劣质木弓</t>
  </si>
  <si>
    <t>精制弓</t>
  </si>
  <si>
    <t>风灵之弓</t>
  </si>
  <si>
    <t>森灵之弓</t>
  </si>
  <si>
    <t>传承:鱼骨神弓</t>
  </si>
  <si>
    <t>弯月弓</t>
  </si>
  <si>
    <t>流光之弓</t>
  </si>
  <si>
    <t>传承:漠灵之弓</t>
  </si>
  <si>
    <t>精钢弓</t>
  </si>
  <si>
    <t>冰封之弓</t>
  </si>
  <si>
    <t>传承:雪人的呼唤</t>
  </si>
  <si>
    <t>灵力弓</t>
  </si>
  <si>
    <t>炙热之弓</t>
  </si>
  <si>
    <t>传承:魔焰神弓</t>
  </si>
  <si>
    <t>黑月之甲</t>
    <phoneticPr fontId="23" type="noConversion"/>
  </si>
  <si>
    <t>史诗:炙热之弓</t>
    <phoneticPr fontId="23" type="noConversion"/>
  </si>
  <si>
    <t>传承史诗:支配之弓</t>
  </si>
  <si>
    <t>圣焰之剑</t>
    <phoneticPr fontId="23" type="noConversion"/>
  </si>
  <si>
    <t>远古王者之刃</t>
    <phoneticPr fontId="23" type="noConversion"/>
  </si>
  <si>
    <t>天堂的权杖</t>
    <phoneticPr fontId="23" type="noConversion"/>
  </si>
  <si>
    <t>时光能量魔法</t>
    <phoneticPr fontId="23" type="noConversion"/>
  </si>
  <si>
    <t>魔焰神弓</t>
    <phoneticPr fontId="23" type="noConversion"/>
  </si>
  <si>
    <t>赛季晶核1</t>
    <phoneticPr fontId="23" type="noConversion"/>
  </si>
  <si>
    <t>呼唤狼王之链</t>
    <phoneticPr fontId="28" type="noConversion"/>
  </si>
  <si>
    <t>宠物:白银头饰</t>
    <phoneticPr fontId="28" type="noConversion"/>
  </si>
  <si>
    <t>宠物:白银项圈</t>
    <phoneticPr fontId="28" type="noConversion"/>
  </si>
  <si>
    <t>宠物:白银护腕</t>
    <phoneticPr fontId="28" type="noConversion"/>
  </si>
  <si>
    <t>宠物:黄金头饰</t>
    <phoneticPr fontId="28" type="noConversion"/>
  </si>
  <si>
    <t>宠物:黄金项圈</t>
    <phoneticPr fontId="28" type="noConversion"/>
  </si>
  <si>
    <t>宠物:黄金护腕</t>
    <phoneticPr fontId="28" type="noConversion"/>
  </si>
  <si>
    <t>宠物:精灵头饰</t>
  </si>
  <si>
    <t>宠物:精灵项圈</t>
  </si>
  <si>
    <t>宠物:精灵护腕</t>
  </si>
  <si>
    <t>宠物:无畏头饰</t>
    <phoneticPr fontId="28" type="noConversion"/>
  </si>
  <si>
    <t>宠物:无畏项圈</t>
    <phoneticPr fontId="28" type="noConversion"/>
  </si>
  <si>
    <t>宠物:无畏护腕</t>
    <phoneticPr fontId="28" type="noConversion"/>
  </si>
  <si>
    <t>宠物:传说头饰</t>
    <phoneticPr fontId="28" type="noConversion"/>
  </si>
  <si>
    <t>宠物:传说项圈</t>
    <phoneticPr fontId="28" type="noConversion"/>
  </si>
  <si>
    <t>宠物:传说护腕</t>
    <phoneticPr fontId="28" type="noConversion"/>
  </si>
  <si>
    <t>105503,105103</t>
  </si>
  <si>
    <t>105503,105303</t>
  </si>
  <si>
    <t>105503,105403</t>
  </si>
  <si>
    <t>8,30</t>
  </si>
  <si>
    <t>16,30</t>
  </si>
  <si>
    <t>12,45</t>
  </si>
  <si>
    <t>24,45</t>
  </si>
  <si>
    <t>16,60</t>
  </si>
  <si>
    <t>32,60</t>
  </si>
  <si>
    <t>20,75</t>
  </si>
  <si>
    <t>40,75</t>
  </si>
  <si>
    <t>25,90</t>
  </si>
  <si>
    <t>50,90</t>
  </si>
  <si>
    <t>0,0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</si>
</sst>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9">
    <font>
      <sz val="11"/>
      <color indexed="8"/>
      <name val="宋体"/>
      <charset val="134"/>
    </font>
    <font>
      <sz val="9"/>
      <color theme="1"/>
      <name val="微软雅黑"/>
      <family val="2"/>
      <charset val="134"/>
    </font>
    <font>
      <sz val="11"/>
      <color theme="0" tint="-0.34998626667073579"/>
      <name val="宋体"/>
      <family val="3"/>
      <charset val="134"/>
    </font>
    <font>
      <b/>
      <sz val="9"/>
      <color theme="1"/>
      <name val="微软雅黑"/>
      <family val="2"/>
      <charset val="134"/>
    </font>
    <font>
      <sz val="10"/>
      <color indexed="9"/>
      <name val="宋体"/>
      <family val="3"/>
      <charset val="134"/>
    </font>
    <font>
      <sz val="10"/>
      <color theme="0" tint="-0.34998626667073579"/>
      <name val="Helvetica Neue"/>
      <family val="2"/>
      <scheme val="minor"/>
    </font>
    <font>
      <sz val="10"/>
      <color theme="0"/>
      <name val="Helvetica Neue"/>
      <family val="2"/>
      <scheme val="minor"/>
    </font>
    <font>
      <sz val="10"/>
      <color theme="1"/>
      <name val="Helvetica Neue"/>
      <family val="2"/>
      <scheme val="minor"/>
    </font>
    <font>
      <sz val="10"/>
      <color theme="1"/>
      <name val="微软雅黑"/>
      <family val="2"/>
      <charset val="134"/>
    </font>
    <font>
      <sz val="10"/>
      <color indexed="8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color rgb="FFFF0000"/>
      <name val="Helvetica Neue"/>
      <family val="2"/>
      <scheme val="minor"/>
    </font>
    <font>
      <sz val="11"/>
      <color theme="1"/>
      <name val="Helvetica Neue"/>
      <family val="2"/>
      <scheme val="minor"/>
    </font>
    <font>
      <sz val="11"/>
      <color indexed="8"/>
      <name val="宋体"/>
      <family val="3"/>
      <charset val="134"/>
    </font>
    <font>
      <sz val="11"/>
      <color indexed="8"/>
      <name val="Helvetica Neue"/>
      <family val="2"/>
      <scheme val="minor"/>
    </font>
    <font>
      <sz val="11"/>
      <color theme="1"/>
      <name val="Tahoma"/>
      <family val="2"/>
    </font>
    <font>
      <sz val="10"/>
      <color theme="0"/>
      <name val="Helvetica Neue"/>
      <family val="2"/>
    </font>
    <font>
      <sz val="10"/>
      <color theme="0" tint="-0.34998626667073579"/>
      <name val="Helvetica Neue"/>
      <family val="2"/>
    </font>
    <font>
      <sz val="10"/>
      <color rgb="FF0070C0"/>
      <name val="宋体"/>
      <family val="3"/>
      <charset val="134"/>
    </font>
    <font>
      <sz val="10"/>
      <color rgb="FF0070C0"/>
      <name val="Helvetica Neue"/>
      <family val="2"/>
    </font>
    <font>
      <sz val="10"/>
      <color theme="1"/>
      <name val="Helvetica Neue"/>
      <family val="2"/>
    </font>
    <font>
      <sz val="11"/>
      <color indexed="8"/>
      <name val="Helvetica Neue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0"/>
      <name val="Helvetica Neue"/>
      <family val="2"/>
      <scheme val="minor"/>
    </font>
    <font>
      <sz val="11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Helvetica Neue"/>
      <family val="3"/>
      <charset val="134"/>
      <scheme val="minor"/>
    </font>
    <font>
      <sz val="9"/>
      <name val="Tahoma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 tint="-0.14984588152714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8153630176702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51017792291024"/>
        <bgColor indexed="64"/>
      </patternFill>
    </fill>
    <fill>
      <patternFill patternType="solid">
        <fgColor theme="4" tint="0.79979857783745845"/>
        <bgColor indexed="64"/>
      </patternFill>
    </fill>
    <fill>
      <patternFill patternType="solid">
        <fgColor theme="9" tint="0.79979857783745845"/>
        <bgColor indexed="64"/>
      </patternFill>
    </fill>
    <fill>
      <patternFill patternType="solid">
        <fgColor theme="8" tint="0.7998290963469344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7985778374584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82909634693444"/>
        <bgColor indexed="64"/>
      </patternFill>
    </fill>
    <fill>
      <patternFill patternType="solid">
        <fgColor theme="8" tint="0.79979857783745845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theme="4" tint="0.79982909634693444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theme="6" tint="0.79982909634693444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0" tint="-0.1488998077333902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88082522049623"/>
        <bgColor indexed="64"/>
      </patternFill>
    </fill>
    <fill>
      <patternFill patternType="solid">
        <fgColor theme="0" tint="-0.14862514114810632"/>
        <bgColor indexed="64"/>
      </patternFill>
    </fill>
  </fills>
  <borders count="14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hair">
        <color indexed="12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82299264503923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26">
    <xf numFmtId="0" fontId="0" fillId="0" borderId="0" applyNumberFormat="0" applyFill="0" applyBorder="0" applyProtection="0"/>
    <xf numFmtId="0" fontId="12" fillId="14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/>
    <xf numFmtId="0" fontId="12" fillId="0" borderId="0">
      <alignment vertical="center"/>
    </xf>
    <xf numFmtId="0" fontId="12" fillId="0" borderId="0">
      <alignment vertical="center"/>
    </xf>
    <xf numFmtId="0" fontId="12" fillId="2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3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2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0" borderId="0"/>
    <xf numFmtId="0" fontId="12" fillId="27" borderId="0" applyNumberFormat="0" applyBorder="0" applyAlignment="0" applyProtection="0">
      <alignment vertical="center"/>
    </xf>
    <xf numFmtId="0" fontId="12" fillId="0" borderId="0"/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5" fillId="0" borderId="0"/>
    <xf numFmtId="0" fontId="12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/>
    <xf numFmtId="0" fontId="12" fillId="29" borderId="0" applyNumberFormat="0" applyBorder="0" applyAlignment="0" applyProtection="0">
      <alignment vertical="center"/>
    </xf>
    <xf numFmtId="0" fontId="12" fillId="0" borderId="0"/>
    <xf numFmtId="0" fontId="12" fillId="29" borderId="0" applyNumberFormat="0" applyBorder="0" applyAlignment="0" applyProtection="0">
      <alignment vertical="center"/>
    </xf>
    <xf numFmtId="0" fontId="13" fillId="0" borderId="0" applyNumberFormat="0" applyFill="0" applyBorder="0" applyProtection="0"/>
    <xf numFmtId="0" fontId="12" fillId="0" borderId="0"/>
    <xf numFmtId="0" fontId="12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3" fillId="0" borderId="0" applyNumberFormat="0" applyFill="0" applyBorder="0" applyProtection="0"/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0" borderId="0"/>
    <xf numFmtId="0" fontId="12" fillId="2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2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9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/>
    <xf numFmtId="0" fontId="12" fillId="0" borderId="0"/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/>
    <xf numFmtId="0" fontId="12" fillId="0" borderId="0"/>
    <xf numFmtId="0" fontId="13" fillId="0" borderId="0" applyNumberFormat="0" applyFill="0" applyBorder="0" applyProtection="0"/>
    <xf numFmtId="0" fontId="12" fillId="0" borderId="0"/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0" borderId="0" xfId="0" applyNumberFormat="1"/>
    <xf numFmtId="0" fontId="3" fillId="3" borderId="0" xfId="0" applyFont="1" applyFill="1"/>
    <xf numFmtId="49" fontId="4" fillId="4" borderId="1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3" xfId="0" applyNumberFormat="1" applyFont="1" applyFill="1" applyBorder="1" applyAlignment="1">
      <alignment horizontal="center" vertical="center"/>
    </xf>
    <xf numFmtId="0" fontId="5" fillId="5" borderId="4" xfId="0" applyNumberFormat="1" applyFont="1" applyFill="1" applyBorder="1" applyAlignment="1">
      <alignment horizontal="center" vertical="center"/>
    </xf>
    <xf numFmtId="49" fontId="5" fillId="5" borderId="5" xfId="0" applyNumberFormat="1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NumberFormat="1" applyFont="1" applyFill="1" applyBorder="1" applyAlignment="1">
      <alignment horizontal="center" vertical="center"/>
    </xf>
    <xf numFmtId="49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6" xfId="0" applyNumberFormat="1" applyFont="1" applyFill="1" applyBorder="1" applyAlignment="1">
      <alignment horizontal="center" vertical="center"/>
    </xf>
    <xf numFmtId="0" fontId="5" fillId="5" borderId="0" xfId="0" applyNumberFormat="1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49" fontId="4" fillId="4" borderId="10" xfId="0" applyNumberFormat="1" applyFont="1" applyFill="1" applyBorder="1" applyAlignment="1">
      <alignment horizontal="center" vertical="center"/>
    </xf>
    <xf numFmtId="0" fontId="2" fillId="0" borderId="0" xfId="0" applyNumberFormat="1" applyFont="1"/>
    <xf numFmtId="49" fontId="5" fillId="5" borderId="7" xfId="0" applyNumberFormat="1" applyFont="1" applyFill="1" applyBorder="1" applyAlignment="1">
      <alignment horizontal="center" vertical="center"/>
    </xf>
    <xf numFmtId="0" fontId="7" fillId="7" borderId="7" xfId="11" applyFont="1" applyFill="1" applyBorder="1" applyAlignment="1">
      <alignment horizontal="center" vertical="center"/>
    </xf>
    <xf numFmtId="0" fontId="7" fillId="5" borderId="4" xfId="365" applyFont="1" applyFill="1" applyBorder="1" applyAlignment="1">
      <alignment horizontal="center" vertical="center"/>
    </xf>
    <xf numFmtId="0" fontId="7" fillId="2" borderId="7" xfId="11" applyFont="1" applyFill="1" applyBorder="1" applyAlignment="1">
      <alignment horizontal="center" vertical="center"/>
    </xf>
    <xf numFmtId="0" fontId="8" fillId="2" borderId="7" xfId="11" applyFont="1" applyFill="1" applyBorder="1" applyAlignment="1">
      <alignment horizontal="center" vertical="center"/>
    </xf>
    <xf numFmtId="0" fontId="7" fillId="2" borderId="4" xfId="365" applyFont="1" applyFill="1" applyBorder="1" applyAlignment="1">
      <alignment horizontal="center" vertical="center"/>
    </xf>
    <xf numFmtId="0" fontId="9" fillId="8" borderId="11" xfId="0" applyNumberFormat="1" applyFont="1" applyFill="1" applyBorder="1" applyAlignment="1">
      <alignment horizontal="center" vertical="center"/>
    </xf>
    <xf numFmtId="0" fontId="10" fillId="7" borderId="7" xfId="11" applyFont="1" applyFill="1" applyBorder="1" applyAlignment="1">
      <alignment horizontal="center" vertical="center"/>
    </xf>
    <xf numFmtId="0" fontId="9" fillId="2" borderId="11" xfId="0" applyNumberFormat="1" applyFont="1" applyFill="1" applyBorder="1" applyAlignment="1">
      <alignment horizontal="center" vertical="center"/>
    </xf>
    <xf numFmtId="0" fontId="10" fillId="2" borderId="7" xfId="11" applyFont="1" applyFill="1" applyBorder="1" applyAlignment="1">
      <alignment horizontal="center" vertical="center"/>
    </xf>
    <xf numFmtId="0" fontId="0" fillId="2" borderId="0" xfId="0" applyNumberFormat="1" applyFill="1"/>
    <xf numFmtId="0" fontId="7" fillId="3" borderId="7" xfId="11" applyFont="1" applyFill="1" applyBorder="1" applyAlignment="1">
      <alignment horizontal="center" vertical="center"/>
    </xf>
    <xf numFmtId="0" fontId="7" fillId="3" borderId="4" xfId="365" applyFont="1" applyFill="1" applyBorder="1" applyAlignment="1">
      <alignment horizontal="center" vertical="center"/>
    </xf>
    <xf numFmtId="0" fontId="7" fillId="9" borderId="7" xfId="11" applyFont="1" applyFill="1" applyBorder="1" applyAlignment="1">
      <alignment horizontal="center" vertical="center"/>
    </xf>
    <xf numFmtId="0" fontId="9" fillId="3" borderId="11" xfId="0" applyNumberFormat="1" applyFont="1" applyFill="1" applyBorder="1" applyAlignment="1">
      <alignment horizontal="center" vertical="center"/>
    </xf>
    <xf numFmtId="0" fontId="10" fillId="3" borderId="7" xfId="11" applyFont="1" applyFill="1" applyBorder="1" applyAlignment="1">
      <alignment horizontal="center" vertical="center"/>
    </xf>
    <xf numFmtId="0" fontId="0" fillId="3" borderId="0" xfId="0" applyNumberFormat="1" applyFill="1"/>
    <xf numFmtId="0" fontId="8" fillId="2" borderId="4" xfId="365" applyFont="1" applyFill="1" applyBorder="1" applyAlignment="1">
      <alignment horizontal="center" vertical="center"/>
    </xf>
    <xf numFmtId="0" fontId="8" fillId="5" borderId="4" xfId="365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8" borderId="11" xfId="0" applyNumberFormat="1" applyFont="1" applyFill="1" applyBorder="1" applyAlignment="1">
      <alignment horizontal="left" vertical="center"/>
    </xf>
    <xf numFmtId="0" fontId="9" fillId="3" borderId="11" xfId="0" applyNumberFormat="1" applyFont="1" applyFill="1" applyBorder="1" applyAlignment="1">
      <alignment horizontal="left" vertical="center"/>
    </xf>
    <xf numFmtId="0" fontId="9" fillId="2" borderId="11" xfId="0" applyNumberFormat="1" applyFont="1" applyFill="1" applyBorder="1" applyAlignment="1">
      <alignment horizontal="left" vertical="center"/>
    </xf>
    <xf numFmtId="0" fontId="11" fillId="2" borderId="7" xfId="11" applyFont="1" applyFill="1" applyBorder="1" applyAlignment="1">
      <alignment horizontal="center" vertical="center"/>
    </xf>
    <xf numFmtId="0" fontId="9" fillId="8" borderId="12" xfId="0" applyNumberFormat="1" applyFont="1" applyFill="1" applyBorder="1" applyAlignment="1">
      <alignment horizontal="left" vertical="center"/>
    </xf>
    <xf numFmtId="0" fontId="7" fillId="10" borderId="0" xfId="11" applyFont="1" applyFill="1" applyAlignment="1">
      <alignment horizontal="center" vertical="center"/>
    </xf>
    <xf numFmtId="0" fontId="7" fillId="10" borderId="7" xfId="11" applyFont="1" applyFill="1" applyBorder="1" applyAlignment="1">
      <alignment horizontal="center" vertical="center"/>
    </xf>
    <xf numFmtId="0" fontId="9" fillId="8" borderId="11" xfId="0" quotePrefix="1" applyNumberFormat="1" applyFont="1" applyFill="1" applyBorder="1" applyAlignment="1">
      <alignment horizontal="center" vertical="center"/>
    </xf>
    <xf numFmtId="0" fontId="24" fillId="5" borderId="4" xfId="0" applyNumberFormat="1" applyFont="1" applyFill="1" applyBorder="1" applyAlignment="1">
      <alignment horizontal="center" vertical="center"/>
    </xf>
    <xf numFmtId="0" fontId="24" fillId="5" borderId="6" xfId="0" applyFont="1" applyFill="1" applyBorder="1" applyAlignment="1">
      <alignment horizontal="center" vertical="center"/>
    </xf>
    <xf numFmtId="0" fontId="24" fillId="5" borderId="6" xfId="0" applyNumberFormat="1" applyFont="1" applyFill="1" applyBorder="1" applyAlignment="1">
      <alignment horizontal="center" vertical="center"/>
    </xf>
    <xf numFmtId="0" fontId="24" fillId="5" borderId="4" xfId="0" applyFont="1" applyFill="1" applyBorder="1" applyAlignment="1">
      <alignment horizontal="center" vertical="center"/>
    </xf>
    <xf numFmtId="0" fontId="24" fillId="5" borderId="0" xfId="0" applyNumberFormat="1" applyFont="1" applyFill="1" applyBorder="1" applyAlignment="1">
      <alignment horizontal="center" vertical="center"/>
    </xf>
    <xf numFmtId="0" fontId="25" fillId="0" borderId="0" xfId="0" applyNumberFormat="1" applyFont="1"/>
    <xf numFmtId="0" fontId="25" fillId="0" borderId="0" xfId="0" applyFont="1"/>
    <xf numFmtId="49" fontId="26" fillId="5" borderId="5" xfId="0" applyNumberFormat="1" applyFont="1" applyFill="1" applyBorder="1" applyAlignment="1">
      <alignment horizontal="center" vertical="center"/>
    </xf>
    <xf numFmtId="0" fontId="27" fillId="30" borderId="0" xfId="11" applyFont="1" applyFill="1" applyAlignment="1">
      <alignment horizontal="center" vertical="center"/>
    </xf>
    <xf numFmtId="0" fontId="8" fillId="7" borderId="7" xfId="11" applyFont="1" applyFill="1" applyBorder="1" applyAlignment="1">
      <alignment horizontal="center" vertical="center"/>
    </xf>
    <xf numFmtId="0" fontId="7" fillId="31" borderId="7" xfId="11" applyFont="1" applyFill="1" applyBorder="1" applyAlignment="1">
      <alignment horizontal="center" vertical="center"/>
    </xf>
    <xf numFmtId="0" fontId="7" fillId="31" borderId="4" xfId="365" applyFont="1" applyFill="1" applyBorder="1" applyAlignment="1">
      <alignment horizontal="center" vertical="center"/>
    </xf>
    <xf numFmtId="0" fontId="9" fillId="31" borderId="11" xfId="0" applyNumberFormat="1" applyFont="1" applyFill="1" applyBorder="1" applyAlignment="1">
      <alignment horizontal="center" vertical="center"/>
    </xf>
    <xf numFmtId="0" fontId="10" fillId="31" borderId="7" xfId="11" applyFont="1" applyFill="1" applyBorder="1" applyAlignment="1">
      <alignment horizontal="center" vertical="center"/>
    </xf>
    <xf numFmtId="0" fontId="9" fillId="31" borderId="12" xfId="0" applyNumberFormat="1" applyFont="1" applyFill="1" applyBorder="1" applyAlignment="1">
      <alignment horizontal="left" vertical="center"/>
    </xf>
    <xf numFmtId="0" fontId="0" fillId="31" borderId="0" xfId="0" applyNumberFormat="1" applyFill="1"/>
    <xf numFmtId="0" fontId="0" fillId="31" borderId="0" xfId="0" applyFill="1"/>
    <xf numFmtId="0" fontId="9" fillId="31" borderId="11" xfId="0" applyNumberFormat="1" applyFont="1" applyFill="1" applyBorder="1" applyAlignment="1">
      <alignment horizontal="left" vertical="center"/>
    </xf>
    <xf numFmtId="0" fontId="8" fillId="31" borderId="7" xfId="11" applyFont="1" applyFill="1" applyBorder="1" applyAlignment="1">
      <alignment horizontal="center" vertical="center"/>
    </xf>
    <xf numFmtId="0" fontId="27" fillId="32" borderId="7" xfId="11" applyFont="1" applyFill="1" applyBorder="1" applyAlignment="1">
      <alignment horizontal="center" vertical="center"/>
    </xf>
    <xf numFmtId="0" fontId="7" fillId="9" borderId="4" xfId="365" applyFont="1" applyFill="1" applyBorder="1" applyAlignment="1">
      <alignment horizontal="center" vertical="center"/>
    </xf>
    <xf numFmtId="0" fontId="9" fillId="9" borderId="11" xfId="0" applyNumberFormat="1" applyFont="1" applyFill="1" applyBorder="1" applyAlignment="1">
      <alignment horizontal="center" vertical="center"/>
    </xf>
    <xf numFmtId="0" fontId="10" fillId="9" borderId="7" xfId="11" applyFont="1" applyFill="1" applyBorder="1" applyAlignment="1">
      <alignment horizontal="center" vertical="center"/>
    </xf>
    <xf numFmtId="0" fontId="0" fillId="9" borderId="0" xfId="0" applyNumberFormat="1" applyFill="1"/>
    <xf numFmtId="0" fontId="0" fillId="9" borderId="0" xfId="0" applyFill="1"/>
    <xf numFmtId="0" fontId="7" fillId="33" borderId="0" xfId="11" applyFont="1" applyFill="1" applyAlignment="1">
      <alignment horizontal="center" vertical="center"/>
    </xf>
    <xf numFmtId="0" fontId="27" fillId="33" borderId="7" xfId="11" applyFont="1" applyFill="1" applyBorder="1" applyAlignment="1">
      <alignment horizontal="center" vertical="center"/>
    </xf>
  </cellXfs>
  <cellStyles count="426">
    <cellStyle name="20% - 强调文字颜色 1 2" xfId="2" xr:uid="{00000000-0005-0000-0000-000003000000}"/>
    <cellStyle name="20% - 强调文字颜色 1 2 2" xfId="63" xr:uid="{00000000-0005-0000-0000-00006F000000}"/>
    <cellStyle name="20% - 强调文字颜色 1 2 2 2" xfId="9" xr:uid="{00000000-0005-0000-0000-000011000000}"/>
    <cellStyle name="20% - 强调文字颜色 1 2 2 2 2" xfId="65" xr:uid="{00000000-0005-0000-0000-000071000000}"/>
    <cellStyle name="20% - 强调文字颜色 1 2 2 2 3" xfId="67" xr:uid="{00000000-0005-0000-0000-000073000000}"/>
    <cellStyle name="20% - 强调文字颜色 1 2 2 3" xfId="24" xr:uid="{00000000-0005-0000-0000-00002E000000}"/>
    <cellStyle name="20% - 强调文字颜色 1 2 2 4" xfId="52" xr:uid="{00000000-0005-0000-0000-000060000000}"/>
    <cellStyle name="20% - 强调文字颜色 1 2 2 5" xfId="61" xr:uid="{00000000-0005-0000-0000-00006C000000}"/>
    <cellStyle name="20% - 强调文字颜色 1 2 3" xfId="39" xr:uid="{00000000-0005-0000-0000-000046000000}"/>
    <cellStyle name="20% - 强调文字颜色 1 2 3 2" xfId="57" xr:uid="{00000000-0005-0000-0000-000067000000}"/>
    <cellStyle name="20% - 强调文字颜色 1 2 3 3" xfId="70" xr:uid="{00000000-0005-0000-0000-000076000000}"/>
    <cellStyle name="20% - 强调文字颜色 1 2 4" xfId="73" xr:uid="{00000000-0005-0000-0000-000079000000}"/>
    <cellStyle name="20% - 强调文字颜色 1 2 5" xfId="76" xr:uid="{00000000-0005-0000-0000-00007C000000}"/>
    <cellStyle name="20% - 强调文字颜色 1 2 6" xfId="78" xr:uid="{00000000-0005-0000-0000-00007E000000}"/>
    <cellStyle name="20% - 强调文字颜色 1 3" xfId="48" xr:uid="{00000000-0005-0000-0000-000058000000}"/>
    <cellStyle name="20% - 强调文字颜色 1 3 2" xfId="80" xr:uid="{00000000-0005-0000-0000-000080000000}"/>
    <cellStyle name="20% - 强调文字颜色 1 3 2 2" xfId="83" xr:uid="{00000000-0005-0000-0000-000083000000}"/>
    <cellStyle name="20% - 强调文字颜色 1 3 2 3" xfId="86" xr:uid="{00000000-0005-0000-0000-000086000000}"/>
    <cellStyle name="20% - 强调文字颜色 1 3 3" xfId="89" xr:uid="{00000000-0005-0000-0000-000089000000}"/>
    <cellStyle name="20% - 强调文字颜色 1 3 4" xfId="92" xr:uid="{00000000-0005-0000-0000-00008C000000}"/>
    <cellStyle name="20% - 强调文字颜色 1 3 5" xfId="95" xr:uid="{00000000-0005-0000-0000-00008F000000}"/>
    <cellStyle name="20% - 强调文字颜色 1 4" xfId="96" xr:uid="{00000000-0005-0000-0000-000090000000}"/>
    <cellStyle name="20% - 强调文字颜色 1 4 2" xfId="98" xr:uid="{00000000-0005-0000-0000-000092000000}"/>
    <cellStyle name="20% - 强调文字颜色 1 4 3" xfId="31" xr:uid="{00000000-0005-0000-0000-000038000000}"/>
    <cellStyle name="20% - 强调文字颜色 2 2" xfId="99" xr:uid="{00000000-0005-0000-0000-000093000000}"/>
    <cellStyle name="20% - 强调文字颜色 2 2 2" xfId="101" xr:uid="{00000000-0005-0000-0000-000095000000}"/>
    <cellStyle name="20% - 强调文字颜色 2 2 2 2" xfId="102" xr:uid="{00000000-0005-0000-0000-000096000000}"/>
    <cellStyle name="20% - 强调文字颜色 2 2 2 2 2" xfId="103" xr:uid="{00000000-0005-0000-0000-000097000000}"/>
    <cellStyle name="20% - 强调文字颜色 2 2 2 2 3" xfId="104" xr:uid="{00000000-0005-0000-0000-000098000000}"/>
    <cellStyle name="20% - 强调文字颜色 2 2 2 3" xfId="105" xr:uid="{00000000-0005-0000-0000-000099000000}"/>
    <cellStyle name="20% - 强调文字颜色 2 2 2 4" xfId="106" xr:uid="{00000000-0005-0000-0000-00009A000000}"/>
    <cellStyle name="20% - 强调文字颜色 2 2 2 5" xfId="107" xr:uid="{00000000-0005-0000-0000-00009B000000}"/>
    <cellStyle name="20% - 强调文字颜色 2 2 3" xfId="108" xr:uid="{00000000-0005-0000-0000-00009C000000}"/>
    <cellStyle name="20% - 强调文字颜色 2 2 3 2" xfId="109" xr:uid="{00000000-0005-0000-0000-00009D000000}"/>
    <cellStyle name="20% - 强调文字颜色 2 2 3 3" xfId="110" xr:uid="{00000000-0005-0000-0000-00009E000000}"/>
    <cellStyle name="20% - 强调文字颜色 2 2 4" xfId="111" xr:uid="{00000000-0005-0000-0000-00009F000000}"/>
    <cellStyle name="20% - 强调文字颜色 2 2 5" xfId="112" xr:uid="{00000000-0005-0000-0000-0000A0000000}"/>
    <cellStyle name="20% - 强调文字颜色 2 2 6" xfId="114" xr:uid="{00000000-0005-0000-0000-0000A2000000}"/>
    <cellStyle name="20% - 强调文字颜色 2 3" xfId="115" xr:uid="{00000000-0005-0000-0000-0000A3000000}"/>
    <cellStyle name="20% - 强调文字颜色 2 3 2" xfId="116" xr:uid="{00000000-0005-0000-0000-0000A4000000}"/>
    <cellStyle name="20% - 强调文字颜色 2 3 2 2" xfId="117" xr:uid="{00000000-0005-0000-0000-0000A5000000}"/>
    <cellStyle name="20% - 强调文字颜色 2 3 2 3" xfId="118" xr:uid="{00000000-0005-0000-0000-0000A6000000}"/>
    <cellStyle name="20% - 强调文字颜色 2 3 3" xfId="119" xr:uid="{00000000-0005-0000-0000-0000A7000000}"/>
    <cellStyle name="20% - 强调文字颜色 2 3 4" xfId="121" xr:uid="{00000000-0005-0000-0000-0000A9000000}"/>
    <cellStyle name="20% - 强调文字颜色 2 3 5" xfId="123" xr:uid="{00000000-0005-0000-0000-0000AB000000}"/>
    <cellStyle name="20% - 强调文字颜色 2 4" xfId="124" xr:uid="{00000000-0005-0000-0000-0000AC000000}"/>
    <cellStyle name="20% - 强调文字颜色 2 4 2" xfId="25" xr:uid="{00000000-0005-0000-0000-000030000000}"/>
    <cellStyle name="20% - 强调文字颜色 2 4 3" xfId="125" xr:uid="{00000000-0005-0000-0000-0000AD000000}"/>
    <cellStyle name="20% - 强调文字颜色 3 2" xfId="127" xr:uid="{00000000-0005-0000-0000-0000AF000000}"/>
    <cellStyle name="20% - 强调文字颜色 3 2 2" xfId="128" xr:uid="{00000000-0005-0000-0000-0000B0000000}"/>
    <cellStyle name="20% - 强调文字颜色 3 2 2 2" xfId="129" xr:uid="{00000000-0005-0000-0000-0000B1000000}"/>
    <cellStyle name="20% - 强调文字颜色 3 2 2 2 2" xfId="131" xr:uid="{00000000-0005-0000-0000-0000B3000000}"/>
    <cellStyle name="20% - 强调文字颜色 3 2 2 2 3" xfId="132" xr:uid="{00000000-0005-0000-0000-0000B4000000}"/>
    <cellStyle name="20% - 强调文字颜色 3 2 2 3" xfId="133" xr:uid="{00000000-0005-0000-0000-0000B5000000}"/>
    <cellStyle name="20% - 强调文字颜色 3 2 2 4" xfId="135" xr:uid="{00000000-0005-0000-0000-0000B7000000}"/>
    <cellStyle name="20% - 强调文字颜色 3 2 2 5" xfId="137" xr:uid="{00000000-0005-0000-0000-0000B9000000}"/>
    <cellStyle name="20% - 强调文字颜色 3 2 3" xfId="138" xr:uid="{00000000-0005-0000-0000-0000BA000000}"/>
    <cellStyle name="20% - 强调文字颜色 3 2 3 2" xfId="139" xr:uid="{00000000-0005-0000-0000-0000BB000000}"/>
    <cellStyle name="20% - 强调文字颜色 3 2 3 3" xfId="4" xr:uid="{00000000-0005-0000-0000-000006000000}"/>
    <cellStyle name="20% - 强调文字颜色 3 2 4" xfId="140" xr:uid="{00000000-0005-0000-0000-0000BC000000}"/>
    <cellStyle name="20% - 强调文字颜色 3 2 5" xfId="141" xr:uid="{00000000-0005-0000-0000-0000BD000000}"/>
    <cellStyle name="20% - 强调文字颜色 3 2 6" xfId="142" xr:uid="{00000000-0005-0000-0000-0000BE000000}"/>
    <cellStyle name="20% - 强调文字颜色 3 3" xfId="40" xr:uid="{00000000-0005-0000-0000-000047000000}"/>
    <cellStyle name="20% - 强调文字颜色 3 3 2" xfId="58" xr:uid="{00000000-0005-0000-0000-000068000000}"/>
    <cellStyle name="20% - 强调文字颜色 3 3 2 2" xfId="144" xr:uid="{00000000-0005-0000-0000-0000C0000000}"/>
    <cellStyle name="20% - 强调文字颜色 3 3 2 3" xfId="146" xr:uid="{00000000-0005-0000-0000-0000C2000000}"/>
    <cellStyle name="20% - 强调文字颜色 3 3 3" xfId="147" xr:uid="{00000000-0005-0000-0000-0000C3000000}"/>
    <cellStyle name="20% - 强调文字颜色 3 3 4" xfId="150" xr:uid="{00000000-0005-0000-0000-0000C6000000}"/>
    <cellStyle name="20% - 强调文字颜色 3 3 5" xfId="152" xr:uid="{00000000-0005-0000-0000-0000C8000000}"/>
    <cellStyle name="20% - 强调文字颜色 3 4" xfId="153" xr:uid="{00000000-0005-0000-0000-0000C9000000}"/>
    <cellStyle name="20% - 强调文字颜色 3 4 2" xfId="154" xr:uid="{00000000-0005-0000-0000-0000CA000000}"/>
    <cellStyle name="20% - 强调文字颜色 3 4 3" xfId="155" xr:uid="{00000000-0005-0000-0000-0000CB000000}"/>
    <cellStyle name="20% - 强调文字颜色 4 2" xfId="157" xr:uid="{00000000-0005-0000-0000-0000CD000000}"/>
    <cellStyle name="20% - 强调文字颜色 4 2 2" xfId="159" xr:uid="{00000000-0005-0000-0000-0000CF000000}"/>
    <cellStyle name="20% - 强调文字颜色 4 2 2 2" xfId="149" xr:uid="{00000000-0005-0000-0000-0000C5000000}"/>
    <cellStyle name="20% - 强调文字颜色 4 2 2 2 2" xfId="160" xr:uid="{00000000-0005-0000-0000-0000D0000000}"/>
    <cellStyle name="20% - 强调文字颜色 4 2 2 2 3" xfId="161" xr:uid="{00000000-0005-0000-0000-0000D1000000}"/>
    <cellStyle name="20% - 强调文字颜色 4 2 2 3" xfId="151" xr:uid="{00000000-0005-0000-0000-0000C7000000}"/>
    <cellStyle name="20% - 强调文字颜色 4 2 2 4" xfId="162" xr:uid="{00000000-0005-0000-0000-0000D2000000}"/>
    <cellStyle name="20% - 强调文字颜色 4 2 2 5" xfId="126" xr:uid="{00000000-0005-0000-0000-0000AE000000}"/>
    <cellStyle name="20% - 强调文字颜色 4 2 3" xfId="164" xr:uid="{00000000-0005-0000-0000-0000D4000000}"/>
    <cellStyle name="20% - 强调文字颜色 4 2 3 2" xfId="165" xr:uid="{00000000-0005-0000-0000-0000D5000000}"/>
    <cellStyle name="20% - 强调文字颜色 4 2 3 3" xfId="166" xr:uid="{00000000-0005-0000-0000-0000D6000000}"/>
    <cellStyle name="20% - 强调文字颜色 4 2 4" xfId="168" xr:uid="{00000000-0005-0000-0000-0000D8000000}"/>
    <cellStyle name="20% - 强调文字颜色 4 2 5" xfId="169" xr:uid="{00000000-0005-0000-0000-0000D9000000}"/>
    <cellStyle name="20% - 强调文字颜色 4 2 6" xfId="170" xr:uid="{00000000-0005-0000-0000-0000DA000000}"/>
    <cellStyle name="20% - 强调文字颜色 4 3" xfId="173" xr:uid="{00000000-0005-0000-0000-0000DD000000}"/>
    <cellStyle name="20% - 强调文字颜色 4 3 2" xfId="175" xr:uid="{00000000-0005-0000-0000-0000DF000000}"/>
    <cellStyle name="20% - 强调文字颜色 4 3 2 2" xfId="179" xr:uid="{00000000-0005-0000-0000-0000E3000000}"/>
    <cellStyle name="20% - 强调文字颜色 4 3 2 3" xfId="182" xr:uid="{00000000-0005-0000-0000-0000E6000000}"/>
    <cellStyle name="20% - 强调文字颜色 4 3 3" xfId="184" xr:uid="{00000000-0005-0000-0000-0000E8000000}"/>
    <cellStyle name="20% - 强调文字颜色 4 3 4" xfId="178" xr:uid="{00000000-0005-0000-0000-0000E2000000}"/>
    <cellStyle name="20% - 强调文字颜色 4 3 5" xfId="181" xr:uid="{00000000-0005-0000-0000-0000E5000000}"/>
    <cellStyle name="20% - 强调文字颜色 4 4" xfId="187" xr:uid="{00000000-0005-0000-0000-0000EB000000}"/>
    <cellStyle name="20% - 强调文字颜色 4 4 2" xfId="14" xr:uid="{00000000-0005-0000-0000-00001E000000}"/>
    <cellStyle name="20% - 强调文字颜色 4 4 3" xfId="189" xr:uid="{00000000-0005-0000-0000-0000ED000000}"/>
    <cellStyle name="20% - 强调文字颜色 5 2" xfId="190" xr:uid="{00000000-0005-0000-0000-0000EE000000}"/>
    <cellStyle name="20% - 强调文字颜色 5 2 2" xfId="191" xr:uid="{00000000-0005-0000-0000-0000EF000000}"/>
    <cellStyle name="20% - 强调文字颜色 5 2 2 2" xfId="192" xr:uid="{00000000-0005-0000-0000-0000F0000000}"/>
    <cellStyle name="20% - 强调文字颜色 5 2 2 2 2" xfId="194" xr:uid="{00000000-0005-0000-0000-0000F2000000}"/>
    <cellStyle name="20% - 强调文字颜色 5 2 2 2 3" xfId="195" xr:uid="{00000000-0005-0000-0000-0000F3000000}"/>
    <cellStyle name="20% - 强调文字颜色 5 2 2 3" xfId="196" xr:uid="{00000000-0005-0000-0000-0000F4000000}"/>
    <cellStyle name="20% - 强调文字颜色 5 2 2 4" xfId="197" xr:uid="{00000000-0005-0000-0000-0000F5000000}"/>
    <cellStyle name="20% - 强调文字颜色 5 2 2 5" xfId="198" xr:uid="{00000000-0005-0000-0000-0000F6000000}"/>
    <cellStyle name="20% - 强调文字颜色 5 2 3" xfId="199" xr:uid="{00000000-0005-0000-0000-0000F7000000}"/>
    <cellStyle name="20% - 强调文字颜色 5 2 3 2" xfId="200" xr:uid="{00000000-0005-0000-0000-0000F8000000}"/>
    <cellStyle name="20% - 强调文字颜色 5 2 3 3" xfId="19" xr:uid="{00000000-0005-0000-0000-000027000000}"/>
    <cellStyle name="20% - 强调文字颜色 5 2 4" xfId="201" xr:uid="{00000000-0005-0000-0000-0000F9000000}"/>
    <cellStyle name="20% - 强调文字颜色 5 2 5" xfId="202" xr:uid="{00000000-0005-0000-0000-0000FA000000}"/>
    <cellStyle name="20% - 强调文字颜色 5 2 6" xfId="203" xr:uid="{00000000-0005-0000-0000-0000FB000000}"/>
    <cellStyle name="20% - 强调文字颜色 5 3" xfId="204" xr:uid="{00000000-0005-0000-0000-0000FC000000}"/>
    <cellStyle name="20% - 强调文字颜色 5 3 2" xfId="205" xr:uid="{00000000-0005-0000-0000-0000FD000000}"/>
    <cellStyle name="20% - 强调文字颜色 5 3 2 2" xfId="206" xr:uid="{00000000-0005-0000-0000-0000FE000000}"/>
    <cellStyle name="20% - 强调文字颜色 5 3 2 3" xfId="193" xr:uid="{00000000-0005-0000-0000-0000F1000000}"/>
    <cellStyle name="20% - 强调文字颜色 5 3 3" xfId="16" xr:uid="{00000000-0005-0000-0000-000022000000}"/>
    <cellStyle name="20% - 强调文字颜色 5 3 4" xfId="18" xr:uid="{00000000-0005-0000-0000-000025000000}"/>
    <cellStyle name="20% - 强调文字颜色 5 3 5" xfId="21" xr:uid="{00000000-0005-0000-0000-00002A000000}"/>
    <cellStyle name="20% - 强调文字颜色 5 4" xfId="207" xr:uid="{00000000-0005-0000-0000-0000FF000000}"/>
    <cellStyle name="20% - 强调文字颜色 5 4 2" xfId="134" xr:uid="{00000000-0005-0000-0000-0000B6000000}"/>
    <cellStyle name="20% - 强调文字颜色 5 4 3" xfId="136" xr:uid="{00000000-0005-0000-0000-0000B8000000}"/>
    <cellStyle name="20% - 强调文字颜色 6 2" xfId="208" xr:uid="{00000000-0005-0000-0000-000000010000}"/>
    <cellStyle name="20% - 强调文字颜色 6 2 2" xfId="210" xr:uid="{00000000-0005-0000-0000-000002010000}"/>
    <cellStyle name="20% - 强调文字颜色 6 2 2 2" xfId="212" xr:uid="{00000000-0005-0000-0000-000004010000}"/>
    <cellStyle name="20% - 强调文字颜色 6 2 2 2 2" xfId="213" xr:uid="{00000000-0005-0000-0000-000005010000}"/>
    <cellStyle name="20% - 强调文字颜色 6 2 2 2 3" xfId="214" xr:uid="{00000000-0005-0000-0000-000006010000}"/>
    <cellStyle name="20% - 强调文字颜色 6 2 2 3" xfId="216" xr:uid="{00000000-0005-0000-0000-000008010000}"/>
    <cellStyle name="20% - 强调文字颜色 6 2 2 4" xfId="217" xr:uid="{00000000-0005-0000-0000-000009010000}"/>
    <cellStyle name="20% - 强调文字颜色 6 2 2 5" xfId="218" xr:uid="{00000000-0005-0000-0000-00000A010000}"/>
    <cellStyle name="20% - 强调文字颜色 6 2 3" xfId="219" xr:uid="{00000000-0005-0000-0000-00000B010000}"/>
    <cellStyle name="20% - 强调文字颜色 6 2 3 2" xfId="220" xr:uid="{00000000-0005-0000-0000-00000C010000}"/>
    <cellStyle name="20% - 强调文字颜色 6 2 3 3" xfId="221" xr:uid="{00000000-0005-0000-0000-00000D010000}"/>
    <cellStyle name="20% - 强调文字颜色 6 2 4" xfId="222" xr:uid="{00000000-0005-0000-0000-00000E010000}"/>
    <cellStyle name="20% - 强调文字颜色 6 2 5" xfId="223" xr:uid="{00000000-0005-0000-0000-00000F010000}"/>
    <cellStyle name="20% - 强调文字颜色 6 2 6" xfId="224" xr:uid="{00000000-0005-0000-0000-000010010000}"/>
    <cellStyle name="20% - 强调文字颜色 6 3" xfId="225" xr:uid="{00000000-0005-0000-0000-000011010000}"/>
    <cellStyle name="20% - 强调文字颜色 6 3 2" xfId="227" xr:uid="{00000000-0005-0000-0000-000013010000}"/>
    <cellStyle name="20% - 强调文字颜色 6 3 2 2" xfId="229" xr:uid="{00000000-0005-0000-0000-000015010000}"/>
    <cellStyle name="20% - 强调文字颜色 6 3 2 3" xfId="231" xr:uid="{00000000-0005-0000-0000-000017010000}"/>
    <cellStyle name="20% - 强调文字颜色 6 3 3" xfId="232" xr:uid="{00000000-0005-0000-0000-000018010000}"/>
    <cellStyle name="20% - 强调文字颜色 6 3 4" xfId="234" xr:uid="{00000000-0005-0000-0000-00001A010000}"/>
    <cellStyle name="20% - 强调文字颜色 6 3 5" xfId="34" xr:uid="{00000000-0005-0000-0000-00003E000000}"/>
    <cellStyle name="20% - 强调文字颜色 6 4" xfId="235" xr:uid="{00000000-0005-0000-0000-00001B010000}"/>
    <cellStyle name="20% - 强调文字颜色 6 4 2" xfId="237" xr:uid="{00000000-0005-0000-0000-00001D010000}"/>
    <cellStyle name="20% - 强调文字颜色 6 4 3" xfId="35" xr:uid="{00000000-0005-0000-0000-000040000000}"/>
    <cellStyle name="40% - 强调文字颜色 1 2" xfId="239" xr:uid="{00000000-0005-0000-0000-00001F010000}"/>
    <cellStyle name="40% - 强调文字颜色 1 2 2" xfId="242" xr:uid="{00000000-0005-0000-0000-000022010000}"/>
    <cellStyle name="40% - 强调文字颜色 1 2 2 2" xfId="243" xr:uid="{00000000-0005-0000-0000-000023010000}"/>
    <cellStyle name="40% - 强调文字颜色 1 2 2 2 2" xfId="245" xr:uid="{00000000-0005-0000-0000-000025010000}"/>
    <cellStyle name="40% - 强调文字颜色 1 2 2 2 3" xfId="248" xr:uid="{00000000-0005-0000-0000-000028010000}"/>
    <cellStyle name="40% - 强调文字颜色 1 2 2 3" xfId="250" xr:uid="{00000000-0005-0000-0000-00002A010000}"/>
    <cellStyle name="40% - 强调文字颜色 1 2 2 4" xfId="252" xr:uid="{00000000-0005-0000-0000-00002C010000}"/>
    <cellStyle name="40% - 强调文字颜色 1 2 2 5" xfId="253" xr:uid="{00000000-0005-0000-0000-00002D010000}"/>
    <cellStyle name="40% - 强调文字颜色 1 2 3" xfId="255" xr:uid="{00000000-0005-0000-0000-00002F010000}"/>
    <cellStyle name="40% - 强调文字颜色 1 2 3 2" xfId="113" xr:uid="{00000000-0005-0000-0000-0000A1000000}"/>
    <cellStyle name="40% - 强调文字颜色 1 2 3 3" xfId="256" xr:uid="{00000000-0005-0000-0000-000030010000}"/>
    <cellStyle name="40% - 强调文字颜色 1 2 4" xfId="259" xr:uid="{00000000-0005-0000-0000-000033010000}"/>
    <cellStyle name="40% - 强调文字颜色 1 2 5" xfId="261" xr:uid="{00000000-0005-0000-0000-000035010000}"/>
    <cellStyle name="40% - 强调文字颜色 1 2 6" xfId="262" xr:uid="{00000000-0005-0000-0000-000036010000}"/>
    <cellStyle name="40% - 强调文字颜色 1 3" xfId="264" xr:uid="{00000000-0005-0000-0000-000038010000}"/>
    <cellStyle name="40% - 强调文字颜色 1 3 2" xfId="266" xr:uid="{00000000-0005-0000-0000-00003A010000}"/>
    <cellStyle name="40% - 强调文字颜色 1 3 2 2" xfId="267" xr:uid="{00000000-0005-0000-0000-00003B010000}"/>
    <cellStyle name="40% - 强调文字颜色 1 3 2 3" xfId="1" xr:uid="{00000000-0005-0000-0000-000002000000}"/>
    <cellStyle name="40% - 强调文字颜色 1 3 3" xfId="268" xr:uid="{00000000-0005-0000-0000-00003C010000}"/>
    <cellStyle name="40% - 强调文字颜色 1 3 4" xfId="269" xr:uid="{00000000-0005-0000-0000-00003D010000}"/>
    <cellStyle name="40% - 强调文字颜色 1 3 5" xfId="5" xr:uid="{00000000-0005-0000-0000-000009000000}"/>
    <cellStyle name="40% - 强调文字颜色 1 4" xfId="270" xr:uid="{00000000-0005-0000-0000-00003E010000}"/>
    <cellStyle name="40% - 强调文字颜色 1 4 2" xfId="271" xr:uid="{00000000-0005-0000-0000-00003F010000}"/>
    <cellStyle name="40% - 强调文字颜色 1 4 3" xfId="272" xr:uid="{00000000-0005-0000-0000-000040010000}"/>
    <cellStyle name="40% - 强调文字颜色 2 2" xfId="38" xr:uid="{00000000-0005-0000-0000-000045000000}"/>
    <cellStyle name="40% - 强调文字颜色 2 2 2" xfId="56" xr:uid="{00000000-0005-0000-0000-000066000000}"/>
    <cellStyle name="40% - 强调文字颜色 2 2 2 2" xfId="273" xr:uid="{00000000-0005-0000-0000-000041010000}"/>
    <cellStyle name="40% - 强调文字颜色 2 2 2 2 2" xfId="274" xr:uid="{00000000-0005-0000-0000-000042010000}"/>
    <cellStyle name="40% - 强调文字颜色 2 2 2 2 3" xfId="275" xr:uid="{00000000-0005-0000-0000-000043010000}"/>
    <cellStyle name="40% - 强调文字颜色 2 2 2 3" xfId="276" xr:uid="{00000000-0005-0000-0000-000044010000}"/>
    <cellStyle name="40% - 强调文字颜色 2 2 2 4" xfId="278" xr:uid="{00000000-0005-0000-0000-000046010000}"/>
    <cellStyle name="40% - 强调文字颜色 2 2 2 5" xfId="280" xr:uid="{00000000-0005-0000-0000-000048010000}"/>
    <cellStyle name="40% - 强调文字颜色 2 2 3" xfId="69" xr:uid="{00000000-0005-0000-0000-000075000000}"/>
    <cellStyle name="40% - 强调文字颜色 2 2 3 2" xfId="281" xr:uid="{00000000-0005-0000-0000-000049010000}"/>
    <cellStyle name="40% - 强调文字颜色 2 2 3 3" xfId="282" xr:uid="{00000000-0005-0000-0000-00004A010000}"/>
    <cellStyle name="40% - 强调文字颜色 2 2 4" xfId="283" xr:uid="{00000000-0005-0000-0000-00004B010000}"/>
    <cellStyle name="40% - 强调文字颜色 2 2 5" xfId="284" xr:uid="{00000000-0005-0000-0000-00004C010000}"/>
    <cellStyle name="40% - 强调文字颜色 2 2 6" xfId="286" xr:uid="{00000000-0005-0000-0000-00004E010000}"/>
    <cellStyle name="40% - 强调文字颜色 2 3" xfId="72" xr:uid="{00000000-0005-0000-0000-000078000000}"/>
    <cellStyle name="40% - 强调文字颜色 2 3 2" xfId="287" xr:uid="{00000000-0005-0000-0000-00004F010000}"/>
    <cellStyle name="40% - 强调文字颜色 2 3 2 2" xfId="288" xr:uid="{00000000-0005-0000-0000-000050010000}"/>
    <cellStyle name="40% - 强调文字颜色 2 3 2 3" xfId="289" xr:uid="{00000000-0005-0000-0000-000051010000}"/>
    <cellStyle name="40% - 强调文字颜色 2 3 3" xfId="290" xr:uid="{00000000-0005-0000-0000-000052010000}"/>
    <cellStyle name="40% - 强调文字颜色 2 3 4" xfId="291" xr:uid="{00000000-0005-0000-0000-000053010000}"/>
    <cellStyle name="40% - 强调文字颜色 2 3 5" xfId="292" xr:uid="{00000000-0005-0000-0000-000054010000}"/>
    <cellStyle name="40% - 强调文字颜色 2 4" xfId="75" xr:uid="{00000000-0005-0000-0000-00007B000000}"/>
    <cellStyle name="40% - 强调文字颜色 2 4 2" xfId="293" xr:uid="{00000000-0005-0000-0000-000055010000}"/>
    <cellStyle name="40% - 强调文字颜色 2 4 3" xfId="294" xr:uid="{00000000-0005-0000-0000-000056010000}"/>
    <cellStyle name="40% - 强调文字颜色 3 2" xfId="88" xr:uid="{00000000-0005-0000-0000-000088000000}"/>
    <cellStyle name="40% - 强调文字颜色 3 2 2" xfId="295" xr:uid="{00000000-0005-0000-0000-000057010000}"/>
    <cellStyle name="40% - 强调文字颜色 3 2 2 2" xfId="297" xr:uid="{00000000-0005-0000-0000-000059010000}"/>
    <cellStyle name="40% - 强调文字颜色 3 2 2 2 2" xfId="298" xr:uid="{00000000-0005-0000-0000-00005A010000}"/>
    <cellStyle name="40% - 强调文字颜色 3 2 2 2 3" xfId="299" xr:uid="{00000000-0005-0000-0000-00005B010000}"/>
    <cellStyle name="40% - 强调文字颜色 3 2 2 3" xfId="301" xr:uid="{00000000-0005-0000-0000-00005D010000}"/>
    <cellStyle name="40% - 强调文字颜色 3 2 2 4" xfId="303" xr:uid="{00000000-0005-0000-0000-00005F010000}"/>
    <cellStyle name="40% - 强调文字颜色 3 2 2 5" xfId="100" xr:uid="{00000000-0005-0000-0000-000094000000}"/>
    <cellStyle name="40% - 强调文字颜色 3 2 3" xfId="304" xr:uid="{00000000-0005-0000-0000-000060010000}"/>
    <cellStyle name="40% - 强调文字颜色 3 2 3 2" xfId="307" xr:uid="{00000000-0005-0000-0000-000063010000}"/>
    <cellStyle name="40% - 强调文字颜色 3 2 3 3" xfId="309" xr:uid="{00000000-0005-0000-0000-000065010000}"/>
    <cellStyle name="40% - 强调文字颜色 3 2 4" xfId="296" xr:uid="{00000000-0005-0000-0000-000058010000}"/>
    <cellStyle name="40% - 强调文字颜色 3 2 5" xfId="300" xr:uid="{00000000-0005-0000-0000-00005C010000}"/>
    <cellStyle name="40% - 强调文字颜色 3 2 6" xfId="302" xr:uid="{00000000-0005-0000-0000-00005E010000}"/>
    <cellStyle name="40% - 强调文字颜色 3 3" xfId="91" xr:uid="{00000000-0005-0000-0000-00008B000000}"/>
    <cellStyle name="40% - 强调文字颜色 3 3 2" xfId="311" xr:uid="{00000000-0005-0000-0000-000067010000}"/>
    <cellStyle name="40% - 强调文字颜色 3 3 2 2" xfId="247" xr:uid="{00000000-0005-0000-0000-000027010000}"/>
    <cellStyle name="40% - 强调文字颜色 3 3 2 3" xfId="313" xr:uid="{00000000-0005-0000-0000-000069010000}"/>
    <cellStyle name="40% - 强调文字颜色 3 3 3" xfId="28" xr:uid="{00000000-0005-0000-0000-000034000000}"/>
    <cellStyle name="40% - 强调文字颜色 3 3 4" xfId="306" xr:uid="{00000000-0005-0000-0000-000062010000}"/>
    <cellStyle name="40% - 强调文字颜色 3 3 5" xfId="308" xr:uid="{00000000-0005-0000-0000-000064010000}"/>
    <cellStyle name="40% - 强调文字颜色 3 4" xfId="94" xr:uid="{00000000-0005-0000-0000-00008E000000}"/>
    <cellStyle name="40% - 强调文字颜色 3 4 2" xfId="314" xr:uid="{00000000-0005-0000-0000-00006A010000}"/>
    <cellStyle name="40% - 强调文字颜色 3 4 3" xfId="315" xr:uid="{00000000-0005-0000-0000-00006B010000}"/>
    <cellStyle name="40% - 强调文字颜色 4 2" xfId="30" xr:uid="{00000000-0005-0000-0000-000037000000}"/>
    <cellStyle name="40% - 强调文字颜色 4 2 2" xfId="316" xr:uid="{00000000-0005-0000-0000-00006C010000}"/>
    <cellStyle name="40% - 强调文字颜色 4 2 2 2" xfId="317" xr:uid="{00000000-0005-0000-0000-00006D010000}"/>
    <cellStyle name="40% - 强调文字颜色 4 2 2 2 2" xfId="319" xr:uid="{00000000-0005-0000-0000-00006F010000}"/>
    <cellStyle name="40% - 强调文字颜色 4 2 2 2 3" xfId="321" xr:uid="{00000000-0005-0000-0000-000071010000}"/>
    <cellStyle name="40% - 强调文字颜色 4 2 2 3" xfId="322" xr:uid="{00000000-0005-0000-0000-000072010000}"/>
    <cellStyle name="40% - 强调文字颜色 4 2 2 4" xfId="323" xr:uid="{00000000-0005-0000-0000-000073010000}"/>
    <cellStyle name="40% - 强调文字颜色 4 2 2 5" xfId="324" xr:uid="{00000000-0005-0000-0000-000074010000}"/>
    <cellStyle name="40% - 强调文字颜色 4 2 3" xfId="244" xr:uid="{00000000-0005-0000-0000-000024010000}"/>
    <cellStyle name="40% - 强调文字颜色 4 2 3 2" xfId="41" xr:uid="{00000000-0005-0000-0000-00004A000000}"/>
    <cellStyle name="40% - 强调文字颜色 4 2 3 3" xfId="32" xr:uid="{00000000-0005-0000-0000-00003B000000}"/>
    <cellStyle name="40% - 强调文字颜色 4 2 4" xfId="246" xr:uid="{00000000-0005-0000-0000-000026010000}"/>
    <cellStyle name="40% - 强调文字颜色 4 2 5" xfId="312" xr:uid="{00000000-0005-0000-0000-000068010000}"/>
    <cellStyle name="40% - 强调文字颜色 4 2 6" xfId="325" xr:uid="{00000000-0005-0000-0000-000075010000}"/>
    <cellStyle name="40% - 强调文字颜色 4 3" xfId="327" xr:uid="{00000000-0005-0000-0000-000077010000}"/>
    <cellStyle name="40% - 强调文字颜色 4 3 2" xfId="44" xr:uid="{00000000-0005-0000-0000-00004F000000}"/>
    <cellStyle name="40% - 强调文字颜色 4 3 2 2" xfId="238" xr:uid="{00000000-0005-0000-0000-00001E010000}"/>
    <cellStyle name="40% - 强调文字颜色 4 3 2 3" xfId="263" xr:uid="{00000000-0005-0000-0000-000037010000}"/>
    <cellStyle name="40% - 强调文字颜色 4 3 3" xfId="47" xr:uid="{00000000-0005-0000-0000-000054000000}"/>
    <cellStyle name="40% - 强调文字颜色 4 3 4" xfId="6" xr:uid="{00000000-0005-0000-0000-00000B000000}"/>
    <cellStyle name="40% - 强调文字颜色 4 3 5" xfId="49" xr:uid="{00000000-0005-0000-0000-00005A000000}"/>
    <cellStyle name="40% - 强调文字颜色 4 4" xfId="209" xr:uid="{00000000-0005-0000-0000-000001010000}"/>
    <cellStyle name="40% - 强调文字颜色 4 4 2" xfId="211" xr:uid="{00000000-0005-0000-0000-000003010000}"/>
    <cellStyle name="40% - 强调文字颜色 4 4 3" xfId="215" xr:uid="{00000000-0005-0000-0000-000007010000}"/>
    <cellStyle name="40% - 强调文字颜色 5 2" xfId="328" xr:uid="{00000000-0005-0000-0000-000078010000}"/>
    <cellStyle name="40% - 强调文字颜色 5 2 2" xfId="329" xr:uid="{00000000-0005-0000-0000-000079010000}"/>
    <cellStyle name="40% - 强调文字颜色 5 2 2 2" xfId="330" xr:uid="{00000000-0005-0000-0000-00007A010000}"/>
    <cellStyle name="40% - 强调文字颜色 5 2 2 2 2" xfId="331" xr:uid="{00000000-0005-0000-0000-00007B010000}"/>
    <cellStyle name="40% - 强调文字颜色 5 2 2 2 3" xfId="333" xr:uid="{00000000-0005-0000-0000-00007D010000}"/>
    <cellStyle name="40% - 强调文字颜色 5 2 2 3" xfId="318" xr:uid="{00000000-0005-0000-0000-00006E010000}"/>
    <cellStyle name="40% - 强调文字颜色 5 2 2 4" xfId="320" xr:uid="{00000000-0005-0000-0000-000070010000}"/>
    <cellStyle name="40% - 强调文字颜色 5 2 2 5" xfId="335" xr:uid="{00000000-0005-0000-0000-00007F010000}"/>
    <cellStyle name="40% - 强调文字颜色 5 2 3" xfId="336" xr:uid="{00000000-0005-0000-0000-000080010000}"/>
    <cellStyle name="40% - 强调文字颜色 5 2 3 2" xfId="337" xr:uid="{00000000-0005-0000-0000-000081010000}"/>
    <cellStyle name="40% - 强调文字颜色 5 2 3 3" xfId="338" xr:uid="{00000000-0005-0000-0000-000082010000}"/>
    <cellStyle name="40% - 强调文字颜色 5 2 4" xfId="339" xr:uid="{00000000-0005-0000-0000-000083010000}"/>
    <cellStyle name="40% - 强调文字颜色 5 2 5" xfId="340" xr:uid="{00000000-0005-0000-0000-000084010000}"/>
    <cellStyle name="40% - 强调文字颜色 5 2 6" xfId="341" xr:uid="{00000000-0005-0000-0000-000085010000}"/>
    <cellStyle name="40% - 强调文字颜色 5 3" xfId="342" xr:uid="{00000000-0005-0000-0000-000086010000}"/>
    <cellStyle name="40% - 强调文字颜色 5 3 2" xfId="277" xr:uid="{00000000-0005-0000-0000-000045010000}"/>
    <cellStyle name="40% - 强调文字颜色 5 3 2 2" xfId="343" xr:uid="{00000000-0005-0000-0000-000087010000}"/>
    <cellStyle name="40% - 强调文字颜色 5 3 2 3" xfId="344" xr:uid="{00000000-0005-0000-0000-000088010000}"/>
    <cellStyle name="40% - 强调文字颜色 5 3 3" xfId="279" xr:uid="{00000000-0005-0000-0000-000047010000}"/>
    <cellStyle name="40% - 强调文字颜色 5 3 4" xfId="345" xr:uid="{00000000-0005-0000-0000-000089010000}"/>
    <cellStyle name="40% - 强调文字颜色 5 3 5" xfId="346" xr:uid="{00000000-0005-0000-0000-00008A010000}"/>
    <cellStyle name="40% - 强调文字颜色 5 4" xfId="226" xr:uid="{00000000-0005-0000-0000-000012010000}"/>
    <cellStyle name="40% - 强调文字颜色 5 4 2" xfId="228" xr:uid="{00000000-0005-0000-0000-000014010000}"/>
    <cellStyle name="40% - 强调文字颜色 5 4 3" xfId="230" xr:uid="{00000000-0005-0000-0000-000016010000}"/>
    <cellStyle name="40% - 强调文字颜色 6 2" xfId="143" xr:uid="{00000000-0005-0000-0000-0000BF000000}"/>
    <cellStyle name="40% - 强调文字颜色 6 2 2" xfId="347" xr:uid="{00000000-0005-0000-0000-00008B010000}"/>
    <cellStyle name="40% - 强调文字颜色 6 2 2 2" xfId="349" xr:uid="{00000000-0005-0000-0000-00008D010000}"/>
    <cellStyle name="40% - 强调文字颜色 6 2 2 2 2" xfId="350" xr:uid="{00000000-0005-0000-0000-00008E010000}"/>
    <cellStyle name="40% - 强调文字颜色 6 2 2 2 3" xfId="352" xr:uid="{00000000-0005-0000-0000-000090010000}"/>
    <cellStyle name="40% - 强调文字颜色 6 2 2 3" xfId="241" xr:uid="{00000000-0005-0000-0000-000021010000}"/>
    <cellStyle name="40% - 强调文字颜色 6 2 2 4" xfId="254" xr:uid="{00000000-0005-0000-0000-00002E010000}"/>
    <cellStyle name="40% - 强调文字颜色 6 2 2 5" xfId="258" xr:uid="{00000000-0005-0000-0000-000032010000}"/>
    <cellStyle name="40% - 强调文字颜色 6 2 3" xfId="353" xr:uid="{00000000-0005-0000-0000-000091010000}"/>
    <cellStyle name="40% - 强调文字颜色 6 2 3 2" xfId="354" xr:uid="{00000000-0005-0000-0000-000092010000}"/>
    <cellStyle name="40% - 强调文字颜色 6 2 3 3" xfId="265" xr:uid="{00000000-0005-0000-0000-000039010000}"/>
    <cellStyle name="40% - 强调文字颜色 6 2 4" xfId="355" xr:uid="{00000000-0005-0000-0000-000093010000}"/>
    <cellStyle name="40% - 强调文字颜色 6 2 5" xfId="356" xr:uid="{00000000-0005-0000-0000-000094010000}"/>
    <cellStyle name="40% - 强调文字颜色 6 2 6" xfId="357" xr:uid="{00000000-0005-0000-0000-000095010000}"/>
    <cellStyle name="40% - 强调文字颜色 6 3" xfId="145" xr:uid="{00000000-0005-0000-0000-0000C1000000}"/>
    <cellStyle name="40% - 强调文字颜色 6 3 2" xfId="358" xr:uid="{00000000-0005-0000-0000-000096010000}"/>
    <cellStyle name="40% - 强调文字颜色 6 3 2 2" xfId="360" xr:uid="{00000000-0005-0000-0000-000098010000}"/>
    <cellStyle name="40% - 强调文字颜色 6 3 2 3" xfId="55" xr:uid="{00000000-0005-0000-0000-000065000000}"/>
    <cellStyle name="40% - 强调文字颜色 6 3 3" xfId="361" xr:uid="{00000000-0005-0000-0000-000099010000}"/>
    <cellStyle name="40% - 强调文字颜色 6 3 4" xfId="362" xr:uid="{00000000-0005-0000-0000-00009A010000}"/>
    <cellStyle name="40% - 强调文字颜色 6 3 5" xfId="363" xr:uid="{00000000-0005-0000-0000-00009B010000}"/>
    <cellStyle name="40% - 强调文字颜色 6 4" xfId="236" xr:uid="{00000000-0005-0000-0000-00001C010000}"/>
    <cellStyle name="40% - 强调文字颜色 6 4 2" xfId="10" xr:uid="{00000000-0005-0000-0000-000015000000}"/>
    <cellStyle name="40% - 强调文字颜色 6 4 3" xfId="364" xr:uid="{00000000-0005-0000-0000-00009C010000}"/>
    <cellStyle name="常规" xfId="0" builtinId="0"/>
    <cellStyle name="常规 2" xfId="365" xr:uid="{00000000-0005-0000-0000-00009D010000}"/>
    <cellStyle name="常规 2 2" xfId="366" xr:uid="{00000000-0005-0000-0000-00009E010000}"/>
    <cellStyle name="常规 2 2 2" xfId="120" xr:uid="{00000000-0005-0000-0000-0000A8000000}"/>
    <cellStyle name="常规 2 2 3" xfId="122" xr:uid="{00000000-0005-0000-0000-0000AA000000}"/>
    <cellStyle name="常规 2 3" xfId="367" xr:uid="{00000000-0005-0000-0000-00009F010000}"/>
    <cellStyle name="常规 2 3 2" xfId="368" xr:uid="{00000000-0005-0000-0000-0000A0010000}"/>
    <cellStyle name="常规 2 3 2 2" xfId="285" xr:uid="{00000000-0005-0000-0000-00004D010000}"/>
    <cellStyle name="常规 2 3 2 2 2" xfId="369" xr:uid="{00000000-0005-0000-0000-0000A1010000}"/>
    <cellStyle name="常规 2 3 2 2 2 2" xfId="334" xr:uid="{00000000-0005-0000-0000-00007E010000}"/>
    <cellStyle name="常规 2 3 2 2 2 2 2" xfId="370" xr:uid="{00000000-0005-0000-0000-0000A2010000}"/>
    <cellStyle name="常规 2 3 2 2 2 2 3" xfId="371" xr:uid="{00000000-0005-0000-0000-0000A3010000}"/>
    <cellStyle name="常规 2 3 2 2 2 3" xfId="372" xr:uid="{00000000-0005-0000-0000-0000A4010000}"/>
    <cellStyle name="常规 2 3 2 2 2 4" xfId="310" xr:uid="{00000000-0005-0000-0000-000066010000}"/>
    <cellStyle name="常规 2 3 2 2 2 5" xfId="27" xr:uid="{00000000-0005-0000-0000-000033000000}"/>
    <cellStyle name="常规 2 3 2 2 3" xfId="373" xr:uid="{00000000-0005-0000-0000-0000A5010000}"/>
    <cellStyle name="常规 2 3 2 2 3 2" xfId="374" xr:uid="{00000000-0005-0000-0000-0000A6010000}"/>
    <cellStyle name="常规 2 3 2 2 3 3" xfId="375" xr:uid="{00000000-0005-0000-0000-0000A7010000}"/>
    <cellStyle name="常规 2 3 2 2 4" xfId="377" xr:uid="{00000000-0005-0000-0000-0000A9010000}"/>
    <cellStyle name="常规 2 3 2 2 5" xfId="43" xr:uid="{00000000-0005-0000-0000-00004D000000}"/>
    <cellStyle name="常规 2 3 2 2 6" xfId="46" xr:uid="{00000000-0005-0000-0000-000052000000}"/>
    <cellStyle name="常规 2 3 2 3" xfId="62" xr:uid="{00000000-0005-0000-0000-00006E000000}"/>
    <cellStyle name="常规 2 3 2 3 2" xfId="8" xr:uid="{00000000-0005-0000-0000-000010000000}"/>
    <cellStyle name="常规 2 3 2 3 2 2" xfId="64" xr:uid="{00000000-0005-0000-0000-000070000000}"/>
    <cellStyle name="常规 2 3 2 3 2 3" xfId="66" xr:uid="{00000000-0005-0000-0000-000072000000}"/>
    <cellStyle name="常规 2 3 2 3 3" xfId="23" xr:uid="{00000000-0005-0000-0000-00002D000000}"/>
    <cellStyle name="常规 2 3 2 3 4" xfId="51" xr:uid="{00000000-0005-0000-0000-00005F000000}"/>
    <cellStyle name="常规 2 3 2 3 5" xfId="60" xr:uid="{00000000-0005-0000-0000-00006B000000}"/>
    <cellStyle name="常规 2 3 2 4" xfId="37" xr:uid="{00000000-0005-0000-0000-000044000000}"/>
    <cellStyle name="常规 2 3 2 4 2" xfId="54" xr:uid="{00000000-0005-0000-0000-000064000000}"/>
    <cellStyle name="常规 2 3 2 4 3" xfId="68" xr:uid="{00000000-0005-0000-0000-000074000000}"/>
    <cellStyle name="常规 2 3 2 5" xfId="71" xr:uid="{00000000-0005-0000-0000-000077000000}"/>
    <cellStyle name="常规 2 3 2 6" xfId="74" xr:uid="{00000000-0005-0000-0000-00007A000000}"/>
    <cellStyle name="常规 2 3 2 7" xfId="77" xr:uid="{00000000-0005-0000-0000-00007D000000}"/>
    <cellStyle name="常规 2 3 3" xfId="378" xr:uid="{00000000-0005-0000-0000-0000AA010000}"/>
    <cellStyle name="常规 2 3 3 2" xfId="379" xr:uid="{00000000-0005-0000-0000-0000AB010000}"/>
    <cellStyle name="常规 2 3 3 2 2" xfId="380" xr:uid="{00000000-0005-0000-0000-0000AC010000}"/>
    <cellStyle name="常规 2 3 3 2 2 2" xfId="257" xr:uid="{00000000-0005-0000-0000-000031010000}"/>
    <cellStyle name="常规 2 3 3 2 2 3" xfId="260" xr:uid="{00000000-0005-0000-0000-000034010000}"/>
    <cellStyle name="常规 2 3 3 2 3" xfId="381" xr:uid="{00000000-0005-0000-0000-0000AD010000}"/>
    <cellStyle name="常规 2 3 3 2 4" xfId="382" xr:uid="{00000000-0005-0000-0000-0000AE010000}"/>
    <cellStyle name="常规 2 3 3 2 5" xfId="15" xr:uid="{00000000-0005-0000-0000-000020000000}"/>
    <cellStyle name="常规 2 3 3 3" xfId="79" xr:uid="{00000000-0005-0000-0000-00007F000000}"/>
    <cellStyle name="常规 2 3 3 3 2" xfId="82" xr:uid="{00000000-0005-0000-0000-000082000000}"/>
    <cellStyle name="常规 2 3 3 3 3" xfId="85" xr:uid="{00000000-0005-0000-0000-000085000000}"/>
    <cellStyle name="常规 2 3 3 4" xfId="87" xr:uid="{00000000-0005-0000-0000-000087000000}"/>
    <cellStyle name="常规 2 3 3 5" xfId="90" xr:uid="{00000000-0005-0000-0000-00008A000000}"/>
    <cellStyle name="常规 2 3 3 6" xfId="93" xr:uid="{00000000-0005-0000-0000-00008D000000}"/>
    <cellStyle name="常规 2 3 4" xfId="383" xr:uid="{00000000-0005-0000-0000-0000AF010000}"/>
    <cellStyle name="常规 2 3 4 2" xfId="384" xr:uid="{00000000-0005-0000-0000-0000B0010000}"/>
    <cellStyle name="常规 2 3 4 2 2" xfId="387" xr:uid="{00000000-0005-0000-0000-0000B3010000}"/>
    <cellStyle name="常规 2 3 4 2 3" xfId="389" xr:uid="{00000000-0005-0000-0000-0000B5010000}"/>
    <cellStyle name="常规 2 3 4 3" xfId="97" xr:uid="{00000000-0005-0000-0000-000091000000}"/>
    <cellStyle name="常规 2 3 4 4" xfId="29" xr:uid="{00000000-0005-0000-0000-000036000000}"/>
    <cellStyle name="常规 2 3 4 5" xfId="326" xr:uid="{00000000-0005-0000-0000-000076010000}"/>
    <cellStyle name="常规 2 3 5" xfId="390" xr:uid="{00000000-0005-0000-0000-0000B6010000}"/>
    <cellStyle name="常规 2 3 5 2" xfId="391" xr:uid="{00000000-0005-0000-0000-0000B7010000}"/>
    <cellStyle name="常规 2 3 5 3" xfId="392" xr:uid="{00000000-0005-0000-0000-0000B8010000}"/>
    <cellStyle name="常规 2 3 6" xfId="394" xr:uid="{00000000-0005-0000-0000-0000BA010000}"/>
    <cellStyle name="常规 2 3 7" xfId="396" xr:uid="{00000000-0005-0000-0000-0000BC010000}"/>
    <cellStyle name="常规 2 3 8" xfId="386" xr:uid="{00000000-0005-0000-0000-0000B2010000}"/>
    <cellStyle name="常规 2 4" xfId="397" xr:uid="{00000000-0005-0000-0000-0000BD010000}"/>
    <cellStyle name="常规 2 4 2" xfId="398" xr:uid="{00000000-0005-0000-0000-0000BE010000}"/>
    <cellStyle name="常规 2 5" xfId="399" xr:uid="{00000000-0005-0000-0000-0000BF010000}"/>
    <cellStyle name="常规 2 6" xfId="400" xr:uid="{00000000-0005-0000-0000-0000C0010000}"/>
    <cellStyle name="常规 2 7" xfId="401" xr:uid="{00000000-0005-0000-0000-0000C1010000}"/>
    <cellStyle name="常规 3" xfId="156" xr:uid="{00000000-0005-0000-0000-0000CC000000}"/>
    <cellStyle name="常规 3 2" xfId="158" xr:uid="{00000000-0005-0000-0000-0000CE000000}"/>
    <cellStyle name="常规 3 2 2" xfId="148" xr:uid="{00000000-0005-0000-0000-0000C4000000}"/>
    <cellStyle name="常规 3 3" xfId="163" xr:uid="{00000000-0005-0000-0000-0000D3000000}"/>
    <cellStyle name="常规 3 4" xfId="167" xr:uid="{00000000-0005-0000-0000-0000D7000000}"/>
    <cellStyle name="常规 4" xfId="172" xr:uid="{00000000-0005-0000-0000-0000DC000000}"/>
    <cellStyle name="常规 4 2" xfId="174" xr:uid="{00000000-0005-0000-0000-0000DE000000}"/>
    <cellStyle name="常规 4 2 2" xfId="177" xr:uid="{00000000-0005-0000-0000-0000E1000000}"/>
    <cellStyle name="常规 4 3" xfId="183" xr:uid="{00000000-0005-0000-0000-0000E7000000}"/>
    <cellStyle name="常规 4 4" xfId="176" xr:uid="{00000000-0005-0000-0000-0000E0000000}"/>
    <cellStyle name="常规 4 5" xfId="180" xr:uid="{00000000-0005-0000-0000-0000E4000000}"/>
    <cellStyle name="常规 5" xfId="186" xr:uid="{00000000-0005-0000-0000-0000EA000000}"/>
    <cellStyle name="常规 5 2" xfId="13" xr:uid="{00000000-0005-0000-0000-00001D000000}"/>
    <cellStyle name="常规 5 2 2" xfId="17" xr:uid="{00000000-0005-0000-0000-000024000000}"/>
    <cellStyle name="常规 5 2 2 2" xfId="393" xr:uid="{00000000-0005-0000-0000-0000B9010000}"/>
    <cellStyle name="常规 5 2 2 2 2" xfId="332" xr:uid="{00000000-0005-0000-0000-00007C010000}"/>
    <cellStyle name="常规 5 2 2 2 3" xfId="402" xr:uid="{00000000-0005-0000-0000-0000C2010000}"/>
    <cellStyle name="常规 5 2 2 3" xfId="395" xr:uid="{00000000-0005-0000-0000-0000BB010000}"/>
    <cellStyle name="常规 5 2 2 4" xfId="385" xr:uid="{00000000-0005-0000-0000-0000B1010000}"/>
    <cellStyle name="常规 5 2 2 5" xfId="388" xr:uid="{00000000-0005-0000-0000-0000B4010000}"/>
    <cellStyle name="常规 5 2 3" xfId="20" xr:uid="{00000000-0005-0000-0000-000029000000}"/>
    <cellStyle name="常规 5 2 3 2" xfId="403" xr:uid="{00000000-0005-0000-0000-0000C3010000}"/>
    <cellStyle name="常规 5 2 3 3" xfId="404" xr:uid="{00000000-0005-0000-0000-0000C4010000}"/>
    <cellStyle name="常规 5 2 4" xfId="12" xr:uid="{00000000-0005-0000-0000-00001A000000}"/>
    <cellStyle name="常规 5 2 5" xfId="7" xr:uid="{00000000-0005-0000-0000-00000F000000}"/>
    <cellStyle name="常规 5 2 6" xfId="22" xr:uid="{00000000-0005-0000-0000-00002C000000}"/>
    <cellStyle name="常规 5 3" xfId="188" xr:uid="{00000000-0005-0000-0000-0000EC000000}"/>
    <cellStyle name="常规 5 3 2" xfId="405" xr:uid="{00000000-0005-0000-0000-0000C5010000}"/>
    <cellStyle name="常规 5 3 2 2" xfId="171" xr:uid="{00000000-0005-0000-0000-0000DB000000}"/>
    <cellStyle name="常规 5 3 2 3" xfId="185" xr:uid="{00000000-0005-0000-0000-0000E9000000}"/>
    <cellStyle name="常规 5 3 3" xfId="406" xr:uid="{00000000-0005-0000-0000-0000C6010000}"/>
    <cellStyle name="常规 5 3 4" xfId="359" xr:uid="{00000000-0005-0000-0000-000097010000}"/>
    <cellStyle name="常规 5 3 5" xfId="53" xr:uid="{00000000-0005-0000-0000-000063000000}"/>
    <cellStyle name="常规 5 4" xfId="407" xr:uid="{00000000-0005-0000-0000-0000C7010000}"/>
    <cellStyle name="常规 5 4 2" xfId="408" xr:uid="{00000000-0005-0000-0000-0000C8010000}"/>
    <cellStyle name="常规 5 4 3" xfId="409" xr:uid="{00000000-0005-0000-0000-0000C9010000}"/>
    <cellStyle name="常规 5 5" xfId="410" xr:uid="{00000000-0005-0000-0000-0000CA010000}"/>
    <cellStyle name="常规 5 6" xfId="348" xr:uid="{00000000-0005-0000-0000-00008C010000}"/>
    <cellStyle name="常规 5 7" xfId="240" xr:uid="{00000000-0005-0000-0000-000020010000}"/>
    <cellStyle name="常规 6" xfId="11" xr:uid="{00000000-0005-0000-0000-000017000000}"/>
    <cellStyle name="常规 6 2" xfId="412" xr:uid="{00000000-0005-0000-0000-0000CC010000}"/>
    <cellStyle name="常规 7" xfId="413" xr:uid="{00000000-0005-0000-0000-0000CD010000}"/>
    <cellStyle name="常规 8" xfId="414" xr:uid="{00000000-0005-0000-0000-0000CE010000}"/>
    <cellStyle name="常规 9" xfId="415" xr:uid="{00000000-0005-0000-0000-0000CF010000}"/>
    <cellStyle name="注释 2" xfId="411" xr:uid="{00000000-0005-0000-0000-0000CB010000}"/>
    <cellStyle name="注释 2 2" xfId="233" xr:uid="{00000000-0005-0000-0000-000019010000}"/>
    <cellStyle name="注释 2 2 2" xfId="416" xr:uid="{00000000-0005-0000-0000-0000D0010000}"/>
    <cellStyle name="注释 2 2 2 2" xfId="351" xr:uid="{00000000-0005-0000-0000-00008F010000}"/>
    <cellStyle name="注释 2 2 2 2 2" xfId="26" xr:uid="{00000000-0005-0000-0000-000032000000}"/>
    <cellStyle name="注释 2 2 2 2 3" xfId="305" xr:uid="{00000000-0005-0000-0000-000061010000}"/>
    <cellStyle name="注释 2 2 2 3" xfId="417" xr:uid="{00000000-0005-0000-0000-0000D1010000}"/>
    <cellStyle name="注释 2 2 2 4" xfId="418" xr:uid="{00000000-0005-0000-0000-0000D2010000}"/>
    <cellStyle name="注释 2 2 2 5" xfId="36" xr:uid="{00000000-0005-0000-0000-000042000000}"/>
    <cellStyle name="注释 2 2 3" xfId="419" xr:uid="{00000000-0005-0000-0000-0000D3010000}"/>
    <cellStyle name="注释 2 2 3 2" xfId="249" xr:uid="{00000000-0005-0000-0000-000029010000}"/>
    <cellStyle name="注释 2 2 3 3" xfId="251" xr:uid="{00000000-0005-0000-0000-00002B010000}"/>
    <cellStyle name="注释 2 2 4" xfId="420" xr:uid="{00000000-0005-0000-0000-0000D4010000}"/>
    <cellStyle name="注释 2 2 5" xfId="421" xr:uid="{00000000-0005-0000-0000-0000D5010000}"/>
    <cellStyle name="注释 2 2 6" xfId="422" xr:uid="{00000000-0005-0000-0000-0000D6010000}"/>
    <cellStyle name="注释 2 3" xfId="33" xr:uid="{00000000-0005-0000-0000-00003D000000}"/>
    <cellStyle name="注释 2 3 2" xfId="376" xr:uid="{00000000-0005-0000-0000-0000A8010000}"/>
    <cellStyle name="注释 2 3 2 2" xfId="423" xr:uid="{00000000-0005-0000-0000-0000D7010000}"/>
    <cellStyle name="注释 2 3 2 3" xfId="130" xr:uid="{00000000-0005-0000-0000-0000B2000000}"/>
    <cellStyle name="注释 2 3 3" xfId="42" xr:uid="{00000000-0005-0000-0000-00004C000000}"/>
    <cellStyle name="注释 2 3 4" xfId="45" xr:uid="{00000000-0005-0000-0000-000051000000}"/>
    <cellStyle name="注释 2 3 5" xfId="3" xr:uid="{00000000-0005-0000-0000-000004000000}"/>
    <cellStyle name="注释 2 4" xfId="424" xr:uid="{00000000-0005-0000-0000-0000D8010000}"/>
    <cellStyle name="注释 2 4 2" xfId="50" xr:uid="{00000000-0005-0000-0000-00005E000000}"/>
    <cellStyle name="注释 2 4 3" xfId="59" xr:uid="{00000000-0005-0000-0000-00006A000000}"/>
    <cellStyle name="注释 2 5" xfId="81" xr:uid="{00000000-0005-0000-0000-000081000000}"/>
    <cellStyle name="注释 2 6" xfId="84" xr:uid="{00000000-0005-0000-0000-000084000000}"/>
    <cellStyle name="注释 2 7" xfId="425" xr:uid="{00000000-0005-0000-0000-0000D9010000}"/>
  </cellStyles>
  <dxfs count="2">
    <dxf>
      <font>
        <b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>
    <tableStyle name="MySqlDefault" count="2" xr9:uid="{00000000-0011-0000-FFFF-FFFF00000000}">
      <tableStyleElement type="wholeTable" dxfId="1"/>
      <tableStyleElement type="headerRow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3F3F3F"/>
      <rgbColor rgb="0095B3D7"/>
      <rgbColor rgb="007F7F7F"/>
      <rgbColor rgb="00D8D8D8"/>
      <rgbColor rgb="00FF0000"/>
      <rgbColor rgb="00AAAAAA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 主题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主题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主题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HP712"/>
  <sheetViews>
    <sheetView showGridLines="0" tabSelected="1" workbookViewId="0">
      <pane xSplit="4" ySplit="5" topLeftCell="E6" activePane="bottomRight" state="frozen"/>
      <selection pane="topRight"/>
      <selection pane="bottomLeft"/>
      <selection pane="bottomRight" activeCell="J16" sqref="J16"/>
    </sheetView>
  </sheetViews>
  <sheetFormatPr defaultColWidth="8.875" defaultRowHeight="13.5" customHeight="1"/>
  <cols>
    <col min="2" max="2" width="9.5" customWidth="1"/>
    <col min="3" max="3" width="13.25" style="5" customWidth="1"/>
    <col min="4" max="4" width="18.625" style="5" customWidth="1"/>
    <col min="5" max="5" width="13.125" style="5" customWidth="1"/>
    <col min="6" max="8" width="11.875" style="5" customWidth="1"/>
    <col min="9" max="9" width="18.625" style="5" customWidth="1"/>
    <col min="10" max="10" width="17.125" style="5" customWidth="1"/>
    <col min="11" max="11" width="18.625" style="5" customWidth="1"/>
    <col min="12" max="12" width="13.5" style="5" customWidth="1"/>
    <col min="13" max="13" width="17.875" style="5" customWidth="1"/>
    <col min="14" max="14" width="19" style="5" customWidth="1"/>
    <col min="15" max="15" width="17.875" style="5" customWidth="1"/>
    <col min="16" max="16" width="19" style="5" customWidth="1"/>
    <col min="17" max="17" width="17.875" style="5" customWidth="1"/>
    <col min="18" max="20" width="19" style="5" customWidth="1"/>
    <col min="21" max="22" width="14.5" style="5" customWidth="1"/>
    <col min="23" max="23" width="15.5" style="5" customWidth="1"/>
    <col min="24" max="24" width="20.125" style="5" customWidth="1"/>
    <col min="25" max="25" width="21.375" style="5" customWidth="1"/>
    <col min="26" max="26" width="16" style="5" customWidth="1"/>
    <col min="27" max="27" width="16.625" style="5" customWidth="1"/>
    <col min="28" max="29" width="16" style="5" customWidth="1"/>
    <col min="30" max="30" width="19" style="5" customWidth="1"/>
    <col min="31" max="31" width="22.125" style="5" customWidth="1"/>
    <col min="32" max="199" width="8.875" style="5" customWidth="1"/>
  </cols>
  <sheetData>
    <row r="1" spans="3:224" s="1" customFormat="1" ht="14.25"/>
    <row r="2" spans="3:224" ht="13.5" customHeight="1">
      <c r="D2" s="5" t="s">
        <v>0</v>
      </c>
    </row>
    <row r="3" spans="3:224" ht="20.100000000000001" customHeight="1">
      <c r="C3" s="6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11</v>
      </c>
      <c r="P3" s="7" t="s">
        <v>12</v>
      </c>
      <c r="Q3" s="7" t="s">
        <v>13</v>
      </c>
      <c r="R3" s="7" t="s">
        <v>14</v>
      </c>
      <c r="S3" s="7" t="s">
        <v>13</v>
      </c>
      <c r="T3" s="7" t="s">
        <v>14</v>
      </c>
      <c r="U3" s="7" t="s">
        <v>15</v>
      </c>
      <c r="V3" s="7" t="s">
        <v>16</v>
      </c>
      <c r="W3" s="7" t="s">
        <v>17</v>
      </c>
      <c r="X3" s="7" t="s">
        <v>18</v>
      </c>
      <c r="Y3" s="7" t="s">
        <v>19</v>
      </c>
      <c r="Z3" s="7" t="s">
        <v>20</v>
      </c>
      <c r="AA3" s="7" t="s">
        <v>21</v>
      </c>
      <c r="AB3" s="7" t="s">
        <v>22</v>
      </c>
      <c r="AC3" s="7" t="s">
        <v>23</v>
      </c>
      <c r="AD3" s="7" t="s">
        <v>24</v>
      </c>
      <c r="AE3" s="20" t="s">
        <v>25</v>
      </c>
    </row>
    <row r="4" spans="3:224" ht="20.100000000000001" customHeight="1">
      <c r="C4" s="6" t="s">
        <v>1</v>
      </c>
      <c r="D4" s="8" t="s">
        <v>26</v>
      </c>
      <c r="E4" s="9" t="s">
        <v>27</v>
      </c>
      <c r="F4" s="9" t="s">
        <v>28</v>
      </c>
      <c r="G4" s="9" t="s">
        <v>29</v>
      </c>
      <c r="H4" s="9" t="s">
        <v>30</v>
      </c>
      <c r="I4" s="9" t="s">
        <v>31</v>
      </c>
      <c r="J4" s="9" t="s">
        <v>32</v>
      </c>
      <c r="K4" s="9" t="s">
        <v>33</v>
      </c>
      <c r="L4" s="9" t="s">
        <v>34</v>
      </c>
      <c r="M4" s="9" t="s">
        <v>35</v>
      </c>
      <c r="N4" s="9" t="s">
        <v>36</v>
      </c>
      <c r="O4" s="9" t="s">
        <v>37</v>
      </c>
      <c r="P4" s="9" t="s">
        <v>38</v>
      </c>
      <c r="Q4" s="9" t="s">
        <v>39</v>
      </c>
      <c r="R4" s="9" t="s">
        <v>40</v>
      </c>
      <c r="S4" s="9" t="s">
        <v>41</v>
      </c>
      <c r="T4" s="9" t="s">
        <v>42</v>
      </c>
      <c r="U4" s="9" t="s">
        <v>43</v>
      </c>
      <c r="V4" s="9" t="s">
        <v>44</v>
      </c>
      <c r="W4" s="9" t="s">
        <v>45</v>
      </c>
      <c r="X4" s="9" t="s">
        <v>46</v>
      </c>
      <c r="Y4" s="9" t="s">
        <v>47</v>
      </c>
      <c r="Z4" s="9" t="s">
        <v>48</v>
      </c>
      <c r="AA4" s="9" t="s">
        <v>49</v>
      </c>
      <c r="AB4" s="21" t="s">
        <v>50</v>
      </c>
      <c r="AC4" s="21" t="s">
        <v>51</v>
      </c>
      <c r="AD4" s="21" t="s">
        <v>52</v>
      </c>
      <c r="AE4" s="20" t="s">
        <v>53</v>
      </c>
    </row>
    <row r="5" spans="3:224" ht="20.100000000000001" customHeight="1">
      <c r="C5" s="7" t="s">
        <v>54</v>
      </c>
      <c r="D5" s="7" t="s">
        <v>55</v>
      </c>
      <c r="E5" s="7" t="s">
        <v>54</v>
      </c>
      <c r="F5" s="7" t="s">
        <v>54</v>
      </c>
      <c r="G5" s="7" t="s">
        <v>54</v>
      </c>
      <c r="H5" s="7" t="s">
        <v>54</v>
      </c>
      <c r="I5" s="7" t="s">
        <v>56</v>
      </c>
      <c r="J5" s="7" t="s">
        <v>54</v>
      </c>
      <c r="K5" s="7" t="s">
        <v>54</v>
      </c>
      <c r="L5" s="7" t="s">
        <v>54</v>
      </c>
      <c r="M5" s="7" t="s">
        <v>54</v>
      </c>
      <c r="N5" s="7" t="s">
        <v>54</v>
      </c>
      <c r="O5" s="7" t="s">
        <v>54</v>
      </c>
      <c r="P5" s="7" t="s">
        <v>54</v>
      </c>
      <c r="Q5" s="7" t="s">
        <v>54</v>
      </c>
      <c r="R5" s="7" t="s">
        <v>54</v>
      </c>
      <c r="S5" s="7" t="s">
        <v>54</v>
      </c>
      <c r="T5" s="7" t="s">
        <v>54</v>
      </c>
      <c r="U5" s="7" t="s">
        <v>56</v>
      </c>
      <c r="V5" s="7" t="s">
        <v>56</v>
      </c>
      <c r="W5" s="7" t="s">
        <v>56</v>
      </c>
      <c r="X5" s="7" t="s">
        <v>56</v>
      </c>
      <c r="Y5" s="7" t="s">
        <v>56</v>
      </c>
      <c r="Z5" s="7" t="s">
        <v>56</v>
      </c>
      <c r="AA5" s="7" t="s">
        <v>54</v>
      </c>
      <c r="AB5" s="7" t="s">
        <v>57</v>
      </c>
      <c r="AC5" s="7" t="s">
        <v>58</v>
      </c>
      <c r="AD5" s="7" t="s">
        <v>58</v>
      </c>
      <c r="AE5" s="20" t="s">
        <v>54</v>
      </c>
    </row>
    <row r="6" spans="3:224" ht="20.100000000000001" customHeight="1">
      <c r="C6" s="76">
        <v>11500101</v>
      </c>
      <c r="D6" s="77" t="s">
        <v>673</v>
      </c>
      <c r="E6" s="25">
        <v>0</v>
      </c>
      <c r="F6" s="25">
        <v>0</v>
      </c>
      <c r="G6" s="25">
        <v>1</v>
      </c>
      <c r="H6" s="25">
        <v>0</v>
      </c>
      <c r="I6" s="29">
        <v>0.2</v>
      </c>
      <c r="J6" s="30">
        <v>0</v>
      </c>
      <c r="K6" s="25">
        <v>0</v>
      </c>
      <c r="L6" s="25">
        <v>0</v>
      </c>
      <c r="M6" s="25">
        <v>0</v>
      </c>
      <c r="N6" s="25">
        <v>0</v>
      </c>
      <c r="O6" s="25">
        <v>0</v>
      </c>
      <c r="P6" s="25">
        <v>0</v>
      </c>
      <c r="Q6" s="25">
        <f t="shared" ref="Q6" si="0">ROUND(R6/2,0)</f>
        <v>0</v>
      </c>
      <c r="R6" s="25">
        <v>0</v>
      </c>
      <c r="S6" s="25">
        <f t="shared" ref="S6" si="1">ROUND(T6/2,0)</f>
        <v>0</v>
      </c>
      <c r="T6" s="25">
        <v>0</v>
      </c>
      <c r="U6" s="29">
        <v>0</v>
      </c>
      <c r="V6" s="25">
        <v>0</v>
      </c>
      <c r="W6" s="25">
        <v>0</v>
      </c>
      <c r="X6" s="25">
        <v>0</v>
      </c>
      <c r="Y6" s="29">
        <v>0</v>
      </c>
      <c r="Z6" s="29">
        <v>0</v>
      </c>
      <c r="AA6" s="29">
        <v>0</v>
      </c>
      <c r="AB6" s="29" t="s">
        <v>688</v>
      </c>
      <c r="AC6" s="29" t="s">
        <v>691</v>
      </c>
      <c r="AD6" s="29" t="s">
        <v>701</v>
      </c>
      <c r="AE6" s="43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</row>
    <row r="7" spans="3:224" ht="20.100000000000001" customHeight="1">
      <c r="C7" s="76">
        <v>11500102</v>
      </c>
      <c r="D7" s="77" t="s">
        <v>674</v>
      </c>
      <c r="E7" s="25">
        <v>0</v>
      </c>
      <c r="F7" s="25">
        <v>0</v>
      </c>
      <c r="G7" s="25">
        <v>1</v>
      </c>
      <c r="H7" s="25">
        <v>0</v>
      </c>
      <c r="I7" s="29">
        <v>0.2</v>
      </c>
      <c r="J7" s="30">
        <v>0</v>
      </c>
      <c r="K7" s="25">
        <v>0</v>
      </c>
      <c r="L7" s="25">
        <v>0</v>
      </c>
      <c r="M7" s="25">
        <v>0</v>
      </c>
      <c r="N7" s="25">
        <v>0</v>
      </c>
      <c r="O7" s="25">
        <v>0</v>
      </c>
      <c r="P7" s="25">
        <v>0</v>
      </c>
      <c r="Q7" s="25">
        <f t="shared" ref="Q7" si="2">ROUND(R7/2,0)</f>
        <v>0</v>
      </c>
      <c r="R7" s="25">
        <v>0</v>
      </c>
      <c r="S7" s="25">
        <f t="shared" ref="S7" si="3">ROUND(T7/2,0)</f>
        <v>0</v>
      </c>
      <c r="T7" s="25">
        <v>0</v>
      </c>
      <c r="U7" s="29">
        <v>0</v>
      </c>
      <c r="V7" s="25">
        <v>0</v>
      </c>
      <c r="W7" s="25">
        <v>0</v>
      </c>
      <c r="X7" s="25">
        <v>0</v>
      </c>
      <c r="Y7" s="29">
        <v>0</v>
      </c>
      <c r="Z7" s="29">
        <v>0</v>
      </c>
      <c r="AA7" s="29">
        <v>0</v>
      </c>
      <c r="AB7" s="29" t="s">
        <v>689</v>
      </c>
      <c r="AC7" s="29" t="s">
        <v>691</v>
      </c>
      <c r="AD7" s="29" t="s">
        <v>701</v>
      </c>
      <c r="AE7" s="43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</row>
    <row r="8" spans="3:224" ht="20.100000000000001" customHeight="1">
      <c r="C8" s="76">
        <v>11500103</v>
      </c>
      <c r="D8" s="77" t="s">
        <v>675</v>
      </c>
      <c r="E8" s="25">
        <v>0</v>
      </c>
      <c r="F8" s="25">
        <v>0</v>
      </c>
      <c r="G8" s="25">
        <v>1</v>
      </c>
      <c r="H8" s="25">
        <v>0</v>
      </c>
      <c r="I8" s="29">
        <v>0.2</v>
      </c>
      <c r="J8" s="30">
        <v>0</v>
      </c>
      <c r="K8" s="25">
        <v>0</v>
      </c>
      <c r="L8" s="25">
        <v>0</v>
      </c>
      <c r="M8" s="25">
        <v>0</v>
      </c>
      <c r="N8" s="25">
        <v>0</v>
      </c>
      <c r="O8" s="25">
        <v>0</v>
      </c>
      <c r="P8" s="25">
        <v>0</v>
      </c>
      <c r="Q8" s="25">
        <f t="shared" ref="Q8:Q10" si="4">ROUND(R8/2,0)</f>
        <v>0</v>
      </c>
      <c r="R8" s="25">
        <v>0</v>
      </c>
      <c r="S8" s="25">
        <f t="shared" ref="S8:S10" si="5">ROUND(T8/2,0)</f>
        <v>0</v>
      </c>
      <c r="T8" s="25">
        <v>0</v>
      </c>
      <c r="U8" s="29">
        <v>0</v>
      </c>
      <c r="V8" s="25">
        <v>0</v>
      </c>
      <c r="W8" s="25">
        <v>0</v>
      </c>
      <c r="X8" s="25">
        <v>0</v>
      </c>
      <c r="Y8" s="29">
        <v>0</v>
      </c>
      <c r="Z8" s="29">
        <v>0</v>
      </c>
      <c r="AA8" s="29">
        <v>0</v>
      </c>
      <c r="AB8" s="29" t="s">
        <v>690</v>
      </c>
      <c r="AC8" s="29" t="s">
        <v>692</v>
      </c>
      <c r="AD8" s="29" t="s">
        <v>701</v>
      </c>
      <c r="AE8" s="43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</row>
    <row r="9" spans="3:224" ht="20.100000000000001" customHeight="1">
      <c r="C9" s="76">
        <v>11500201</v>
      </c>
      <c r="D9" s="77" t="s">
        <v>676</v>
      </c>
      <c r="E9" s="25">
        <v>0</v>
      </c>
      <c r="F9" s="25">
        <v>0</v>
      </c>
      <c r="G9" s="25">
        <v>1</v>
      </c>
      <c r="H9" s="25">
        <v>0</v>
      </c>
      <c r="I9" s="29">
        <v>0.2</v>
      </c>
      <c r="J9" s="30">
        <v>0</v>
      </c>
      <c r="K9" s="25">
        <v>0</v>
      </c>
      <c r="L9" s="25">
        <v>0</v>
      </c>
      <c r="M9" s="25">
        <v>0</v>
      </c>
      <c r="N9" s="25">
        <v>0</v>
      </c>
      <c r="O9" s="25">
        <v>0</v>
      </c>
      <c r="P9" s="25">
        <v>0</v>
      </c>
      <c r="Q9" s="25">
        <f t="shared" si="4"/>
        <v>0</v>
      </c>
      <c r="R9" s="25">
        <v>0</v>
      </c>
      <c r="S9" s="25">
        <f t="shared" si="5"/>
        <v>0</v>
      </c>
      <c r="T9" s="25">
        <v>0</v>
      </c>
      <c r="U9" s="29">
        <v>0</v>
      </c>
      <c r="V9" s="25">
        <v>0</v>
      </c>
      <c r="W9" s="25">
        <v>0</v>
      </c>
      <c r="X9" s="25">
        <v>0</v>
      </c>
      <c r="Y9" s="29">
        <v>0</v>
      </c>
      <c r="Z9" s="29">
        <v>0</v>
      </c>
      <c r="AA9" s="29">
        <v>0</v>
      </c>
      <c r="AB9" s="29" t="s">
        <v>688</v>
      </c>
      <c r="AC9" s="29" t="s">
        <v>693</v>
      </c>
      <c r="AD9" s="29" t="s">
        <v>701</v>
      </c>
      <c r="AE9" s="43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</row>
    <row r="10" spans="3:224" ht="20.100000000000001" customHeight="1">
      <c r="C10" s="76">
        <v>11500202</v>
      </c>
      <c r="D10" s="77" t="s">
        <v>677</v>
      </c>
      <c r="E10" s="25">
        <v>0</v>
      </c>
      <c r="F10" s="25">
        <v>0</v>
      </c>
      <c r="G10" s="25">
        <v>1</v>
      </c>
      <c r="H10" s="25">
        <v>0</v>
      </c>
      <c r="I10" s="29">
        <v>0.2</v>
      </c>
      <c r="J10" s="30">
        <v>0</v>
      </c>
      <c r="K10" s="25">
        <v>0</v>
      </c>
      <c r="L10" s="25">
        <v>0</v>
      </c>
      <c r="M10" s="25">
        <v>0</v>
      </c>
      <c r="N10" s="25">
        <v>0</v>
      </c>
      <c r="O10" s="25">
        <v>0</v>
      </c>
      <c r="P10" s="25">
        <v>0</v>
      </c>
      <c r="Q10" s="25">
        <f t="shared" si="4"/>
        <v>0</v>
      </c>
      <c r="R10" s="25">
        <v>0</v>
      </c>
      <c r="S10" s="25">
        <f t="shared" si="5"/>
        <v>0</v>
      </c>
      <c r="T10" s="25">
        <v>0</v>
      </c>
      <c r="U10" s="29">
        <v>0</v>
      </c>
      <c r="V10" s="25">
        <v>0</v>
      </c>
      <c r="W10" s="25">
        <v>0</v>
      </c>
      <c r="X10" s="25">
        <v>0</v>
      </c>
      <c r="Y10" s="29">
        <v>0</v>
      </c>
      <c r="Z10" s="29">
        <v>0</v>
      </c>
      <c r="AA10" s="29">
        <v>0</v>
      </c>
      <c r="AB10" s="29" t="s">
        <v>689</v>
      </c>
      <c r="AC10" s="29" t="s">
        <v>693</v>
      </c>
      <c r="AD10" s="29" t="s">
        <v>701</v>
      </c>
      <c r="AE10" s="43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</row>
    <row r="11" spans="3:224" ht="20.100000000000001" customHeight="1">
      <c r="C11" s="76">
        <v>11500203</v>
      </c>
      <c r="D11" s="77" t="s">
        <v>678</v>
      </c>
      <c r="E11" s="25">
        <v>0</v>
      </c>
      <c r="F11" s="25">
        <v>0</v>
      </c>
      <c r="G11" s="25">
        <v>1</v>
      </c>
      <c r="H11" s="25">
        <v>0</v>
      </c>
      <c r="I11" s="29">
        <v>0.2</v>
      </c>
      <c r="J11" s="30">
        <v>0</v>
      </c>
      <c r="K11" s="25">
        <v>0</v>
      </c>
      <c r="L11" s="25">
        <v>0</v>
      </c>
      <c r="M11" s="25">
        <v>0</v>
      </c>
      <c r="N11" s="25">
        <v>0</v>
      </c>
      <c r="O11" s="25">
        <v>0</v>
      </c>
      <c r="P11" s="25">
        <v>0</v>
      </c>
      <c r="Q11" s="25">
        <f t="shared" ref="Q11:Q13" si="6">ROUND(R11/2,0)</f>
        <v>0</v>
      </c>
      <c r="R11" s="25">
        <v>0</v>
      </c>
      <c r="S11" s="25">
        <f t="shared" ref="S11:S13" si="7">ROUND(T11/2,0)</f>
        <v>0</v>
      </c>
      <c r="T11" s="25">
        <v>0</v>
      </c>
      <c r="U11" s="29">
        <v>0</v>
      </c>
      <c r="V11" s="25">
        <v>0</v>
      </c>
      <c r="W11" s="25">
        <v>0</v>
      </c>
      <c r="X11" s="25">
        <v>0</v>
      </c>
      <c r="Y11" s="29">
        <v>0</v>
      </c>
      <c r="Z11" s="29">
        <v>0</v>
      </c>
      <c r="AA11" s="29">
        <v>0</v>
      </c>
      <c r="AB11" s="29" t="s">
        <v>690</v>
      </c>
      <c r="AC11" s="29" t="s">
        <v>694</v>
      </c>
      <c r="AD11" s="29" t="s">
        <v>701</v>
      </c>
      <c r="AE11" s="43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</row>
    <row r="12" spans="3:224" ht="20.100000000000001" customHeight="1">
      <c r="C12" s="76">
        <v>11500301</v>
      </c>
      <c r="D12" s="77" t="s">
        <v>679</v>
      </c>
      <c r="E12" s="25">
        <v>0</v>
      </c>
      <c r="F12" s="25">
        <v>0</v>
      </c>
      <c r="G12" s="25">
        <v>1</v>
      </c>
      <c r="H12" s="25">
        <v>0</v>
      </c>
      <c r="I12" s="29">
        <v>0.2</v>
      </c>
      <c r="J12" s="30">
        <v>0</v>
      </c>
      <c r="K12" s="25">
        <v>0</v>
      </c>
      <c r="L12" s="25">
        <v>0</v>
      </c>
      <c r="M12" s="25">
        <v>0</v>
      </c>
      <c r="N12" s="25">
        <v>0</v>
      </c>
      <c r="O12" s="25">
        <v>0</v>
      </c>
      <c r="P12" s="25">
        <v>0</v>
      </c>
      <c r="Q12" s="25">
        <f t="shared" si="6"/>
        <v>0</v>
      </c>
      <c r="R12" s="25">
        <v>0</v>
      </c>
      <c r="S12" s="25">
        <f t="shared" si="7"/>
        <v>0</v>
      </c>
      <c r="T12" s="25">
        <v>0</v>
      </c>
      <c r="U12" s="29">
        <v>0</v>
      </c>
      <c r="V12" s="25">
        <v>0</v>
      </c>
      <c r="W12" s="25">
        <v>0</v>
      </c>
      <c r="X12" s="25">
        <v>0</v>
      </c>
      <c r="Y12" s="29">
        <v>0</v>
      </c>
      <c r="Z12" s="29">
        <v>0</v>
      </c>
      <c r="AA12" s="29">
        <v>0</v>
      </c>
      <c r="AB12" s="29" t="s">
        <v>688</v>
      </c>
      <c r="AC12" s="29" t="s">
        <v>695</v>
      </c>
      <c r="AD12" s="29" t="s">
        <v>701</v>
      </c>
      <c r="AE12" s="43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</row>
    <row r="13" spans="3:224" ht="20.100000000000001" customHeight="1">
      <c r="C13" s="76">
        <v>11500302</v>
      </c>
      <c r="D13" s="77" t="s">
        <v>680</v>
      </c>
      <c r="E13" s="25">
        <v>0</v>
      </c>
      <c r="F13" s="25">
        <v>0</v>
      </c>
      <c r="G13" s="25">
        <v>1</v>
      </c>
      <c r="H13" s="25">
        <v>0</v>
      </c>
      <c r="I13" s="29">
        <v>0.2</v>
      </c>
      <c r="J13" s="30">
        <v>0</v>
      </c>
      <c r="K13" s="25">
        <v>0</v>
      </c>
      <c r="L13" s="25">
        <v>0</v>
      </c>
      <c r="M13" s="25">
        <v>0</v>
      </c>
      <c r="N13" s="25">
        <v>0</v>
      </c>
      <c r="O13" s="25">
        <v>0</v>
      </c>
      <c r="P13" s="25">
        <v>0</v>
      </c>
      <c r="Q13" s="25">
        <f t="shared" si="6"/>
        <v>0</v>
      </c>
      <c r="R13" s="25">
        <v>0</v>
      </c>
      <c r="S13" s="25">
        <f t="shared" si="7"/>
        <v>0</v>
      </c>
      <c r="T13" s="25">
        <v>0</v>
      </c>
      <c r="U13" s="29">
        <v>0</v>
      </c>
      <c r="V13" s="25">
        <v>0</v>
      </c>
      <c r="W13" s="25">
        <v>0</v>
      </c>
      <c r="X13" s="25">
        <v>0</v>
      </c>
      <c r="Y13" s="29">
        <v>0</v>
      </c>
      <c r="Z13" s="29">
        <v>0</v>
      </c>
      <c r="AA13" s="29">
        <v>0</v>
      </c>
      <c r="AB13" s="29" t="s">
        <v>689</v>
      </c>
      <c r="AC13" s="29" t="s">
        <v>695</v>
      </c>
      <c r="AD13" s="29" t="s">
        <v>701</v>
      </c>
      <c r="AE13" s="43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</row>
    <row r="14" spans="3:224" ht="20.100000000000001" customHeight="1">
      <c r="C14" s="76">
        <v>11500303</v>
      </c>
      <c r="D14" s="77" t="s">
        <v>681</v>
      </c>
      <c r="E14" s="25">
        <v>0</v>
      </c>
      <c r="F14" s="25">
        <v>0</v>
      </c>
      <c r="G14" s="25">
        <v>1</v>
      </c>
      <c r="H14" s="25">
        <v>0</v>
      </c>
      <c r="I14" s="29">
        <v>0.2</v>
      </c>
      <c r="J14" s="30">
        <v>0</v>
      </c>
      <c r="K14" s="25">
        <v>0</v>
      </c>
      <c r="L14" s="25">
        <v>0</v>
      </c>
      <c r="M14" s="25">
        <v>0</v>
      </c>
      <c r="N14" s="25">
        <v>0</v>
      </c>
      <c r="O14" s="25">
        <v>0</v>
      </c>
      <c r="P14" s="25">
        <v>0</v>
      </c>
      <c r="Q14" s="25">
        <f t="shared" ref="Q14:Q16" si="8">ROUND(R14/2,0)</f>
        <v>0</v>
      </c>
      <c r="R14" s="25">
        <v>0</v>
      </c>
      <c r="S14" s="25">
        <f t="shared" ref="S14:S16" si="9">ROUND(T14/2,0)</f>
        <v>0</v>
      </c>
      <c r="T14" s="25">
        <v>0</v>
      </c>
      <c r="U14" s="29">
        <v>0</v>
      </c>
      <c r="V14" s="25">
        <v>0</v>
      </c>
      <c r="W14" s="25">
        <v>0</v>
      </c>
      <c r="X14" s="25">
        <v>0</v>
      </c>
      <c r="Y14" s="29">
        <v>0</v>
      </c>
      <c r="Z14" s="29">
        <v>0</v>
      </c>
      <c r="AA14" s="29">
        <v>0</v>
      </c>
      <c r="AB14" s="29" t="s">
        <v>690</v>
      </c>
      <c r="AC14" s="29" t="s">
        <v>696</v>
      </c>
      <c r="AD14" s="29" t="s">
        <v>701</v>
      </c>
      <c r="AE14" s="43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</row>
    <row r="15" spans="3:224" ht="20.100000000000001" customHeight="1">
      <c r="C15" s="76">
        <v>11500401</v>
      </c>
      <c r="D15" s="77" t="s">
        <v>682</v>
      </c>
      <c r="E15" s="25">
        <v>0</v>
      </c>
      <c r="F15" s="25">
        <v>0</v>
      </c>
      <c r="G15" s="25">
        <v>1</v>
      </c>
      <c r="H15" s="25">
        <v>0</v>
      </c>
      <c r="I15" s="29">
        <v>0.2</v>
      </c>
      <c r="J15" s="30">
        <v>0</v>
      </c>
      <c r="K15" s="25">
        <v>0</v>
      </c>
      <c r="L15" s="25">
        <v>0</v>
      </c>
      <c r="M15" s="25">
        <v>0</v>
      </c>
      <c r="N15" s="25">
        <v>0</v>
      </c>
      <c r="O15" s="25">
        <v>0</v>
      </c>
      <c r="P15" s="25">
        <v>0</v>
      </c>
      <c r="Q15" s="25">
        <f t="shared" si="8"/>
        <v>0</v>
      </c>
      <c r="R15" s="25">
        <v>0</v>
      </c>
      <c r="S15" s="25">
        <f t="shared" si="9"/>
        <v>0</v>
      </c>
      <c r="T15" s="25">
        <v>0</v>
      </c>
      <c r="U15" s="29">
        <v>0</v>
      </c>
      <c r="V15" s="25">
        <v>0</v>
      </c>
      <c r="W15" s="25">
        <v>0</v>
      </c>
      <c r="X15" s="25">
        <v>0</v>
      </c>
      <c r="Y15" s="29">
        <v>0</v>
      </c>
      <c r="Z15" s="29">
        <v>0</v>
      </c>
      <c r="AA15" s="29">
        <v>0</v>
      </c>
      <c r="AB15" s="29" t="s">
        <v>688</v>
      </c>
      <c r="AC15" s="29" t="s">
        <v>697</v>
      </c>
      <c r="AD15" s="29" t="s">
        <v>701</v>
      </c>
      <c r="AE15" s="43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</row>
    <row r="16" spans="3:224" ht="20.100000000000001" customHeight="1">
      <c r="C16" s="76">
        <v>11500402</v>
      </c>
      <c r="D16" s="77" t="s">
        <v>683</v>
      </c>
      <c r="E16" s="25">
        <v>0</v>
      </c>
      <c r="F16" s="25">
        <v>0</v>
      </c>
      <c r="G16" s="25">
        <v>1</v>
      </c>
      <c r="H16" s="25">
        <v>0</v>
      </c>
      <c r="I16" s="29">
        <v>0.2</v>
      </c>
      <c r="J16" s="30">
        <v>0</v>
      </c>
      <c r="K16" s="25">
        <v>0</v>
      </c>
      <c r="L16" s="25">
        <v>0</v>
      </c>
      <c r="M16" s="25">
        <v>0</v>
      </c>
      <c r="N16" s="25">
        <v>0</v>
      </c>
      <c r="O16" s="25">
        <v>0</v>
      </c>
      <c r="P16" s="25">
        <v>0</v>
      </c>
      <c r="Q16" s="25">
        <f t="shared" si="8"/>
        <v>0</v>
      </c>
      <c r="R16" s="25">
        <v>0</v>
      </c>
      <c r="S16" s="25">
        <f t="shared" si="9"/>
        <v>0</v>
      </c>
      <c r="T16" s="25">
        <v>0</v>
      </c>
      <c r="U16" s="29">
        <v>0</v>
      </c>
      <c r="V16" s="25">
        <v>0</v>
      </c>
      <c r="W16" s="25">
        <v>0</v>
      </c>
      <c r="X16" s="25">
        <v>0</v>
      </c>
      <c r="Y16" s="29">
        <v>0</v>
      </c>
      <c r="Z16" s="29">
        <v>0</v>
      </c>
      <c r="AA16" s="29">
        <v>0</v>
      </c>
      <c r="AB16" s="29" t="s">
        <v>689</v>
      </c>
      <c r="AC16" s="29" t="s">
        <v>697</v>
      </c>
      <c r="AD16" s="29" t="s">
        <v>701</v>
      </c>
      <c r="AE16" s="43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</row>
    <row r="17" spans="3:224" ht="20.100000000000001" customHeight="1">
      <c r="C17" s="76">
        <v>11500403</v>
      </c>
      <c r="D17" s="77" t="s">
        <v>684</v>
      </c>
      <c r="E17" s="25">
        <v>0</v>
      </c>
      <c r="F17" s="25">
        <v>0</v>
      </c>
      <c r="G17" s="25">
        <v>1</v>
      </c>
      <c r="H17" s="25">
        <v>0</v>
      </c>
      <c r="I17" s="29">
        <v>0.2</v>
      </c>
      <c r="J17" s="30">
        <v>0</v>
      </c>
      <c r="K17" s="25">
        <v>0</v>
      </c>
      <c r="L17" s="25">
        <v>0</v>
      </c>
      <c r="M17" s="25">
        <v>0</v>
      </c>
      <c r="N17" s="25">
        <v>0</v>
      </c>
      <c r="O17" s="25">
        <v>0</v>
      </c>
      <c r="P17" s="25">
        <v>0</v>
      </c>
      <c r="Q17" s="25">
        <f t="shared" ref="Q17:Q19" si="10">ROUND(R17/2,0)</f>
        <v>0</v>
      </c>
      <c r="R17" s="25">
        <v>0</v>
      </c>
      <c r="S17" s="25">
        <f t="shared" ref="S17:S19" si="11">ROUND(T17/2,0)</f>
        <v>0</v>
      </c>
      <c r="T17" s="25">
        <v>0</v>
      </c>
      <c r="U17" s="29">
        <v>0</v>
      </c>
      <c r="V17" s="25">
        <v>0</v>
      </c>
      <c r="W17" s="25">
        <v>0</v>
      </c>
      <c r="X17" s="25">
        <v>0</v>
      </c>
      <c r="Y17" s="29">
        <v>0</v>
      </c>
      <c r="Z17" s="29">
        <v>0</v>
      </c>
      <c r="AA17" s="29">
        <v>0</v>
      </c>
      <c r="AB17" s="29" t="s">
        <v>690</v>
      </c>
      <c r="AC17" s="29" t="s">
        <v>698</v>
      </c>
      <c r="AD17" s="29" t="s">
        <v>701</v>
      </c>
      <c r="AE17" s="43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</row>
    <row r="18" spans="3:224" ht="20.100000000000001" customHeight="1">
      <c r="C18" s="76">
        <v>11500501</v>
      </c>
      <c r="D18" s="77" t="s">
        <v>685</v>
      </c>
      <c r="E18" s="25">
        <v>0</v>
      </c>
      <c r="F18" s="25">
        <v>0</v>
      </c>
      <c r="G18" s="25">
        <v>1</v>
      </c>
      <c r="H18" s="25">
        <v>0</v>
      </c>
      <c r="I18" s="29">
        <v>0.2</v>
      </c>
      <c r="J18" s="30">
        <v>0</v>
      </c>
      <c r="K18" s="25">
        <v>0</v>
      </c>
      <c r="L18" s="25">
        <v>0</v>
      </c>
      <c r="M18" s="25">
        <v>0</v>
      </c>
      <c r="N18" s="25">
        <v>0</v>
      </c>
      <c r="O18" s="25">
        <v>0</v>
      </c>
      <c r="P18" s="25">
        <v>0</v>
      </c>
      <c r="Q18" s="25">
        <f t="shared" si="10"/>
        <v>0</v>
      </c>
      <c r="R18" s="25">
        <v>0</v>
      </c>
      <c r="S18" s="25">
        <f t="shared" si="11"/>
        <v>0</v>
      </c>
      <c r="T18" s="25">
        <v>0</v>
      </c>
      <c r="U18" s="29">
        <v>0</v>
      </c>
      <c r="V18" s="25">
        <v>0</v>
      </c>
      <c r="W18" s="25">
        <v>0</v>
      </c>
      <c r="X18" s="25">
        <v>0</v>
      </c>
      <c r="Y18" s="29">
        <v>0</v>
      </c>
      <c r="Z18" s="29">
        <v>0</v>
      </c>
      <c r="AA18" s="29">
        <v>0</v>
      </c>
      <c r="AB18" s="29" t="s">
        <v>688</v>
      </c>
      <c r="AC18" s="29" t="s">
        <v>699</v>
      </c>
      <c r="AD18" s="29" t="s">
        <v>701</v>
      </c>
      <c r="AE18" s="43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</row>
    <row r="19" spans="3:224" ht="20.100000000000001" customHeight="1">
      <c r="C19" s="76">
        <v>11500502</v>
      </c>
      <c r="D19" s="77" t="s">
        <v>686</v>
      </c>
      <c r="E19" s="25">
        <v>0</v>
      </c>
      <c r="F19" s="25">
        <v>0</v>
      </c>
      <c r="G19" s="25">
        <v>1</v>
      </c>
      <c r="H19" s="25">
        <v>0</v>
      </c>
      <c r="I19" s="29">
        <v>0.2</v>
      </c>
      <c r="J19" s="30">
        <v>0</v>
      </c>
      <c r="K19" s="25">
        <v>0</v>
      </c>
      <c r="L19" s="25">
        <v>0</v>
      </c>
      <c r="M19" s="25">
        <v>0</v>
      </c>
      <c r="N19" s="25">
        <v>0</v>
      </c>
      <c r="O19" s="25">
        <v>0</v>
      </c>
      <c r="P19" s="25">
        <v>0</v>
      </c>
      <c r="Q19" s="25">
        <f t="shared" si="10"/>
        <v>0</v>
      </c>
      <c r="R19" s="25">
        <v>0</v>
      </c>
      <c r="S19" s="25">
        <f t="shared" si="11"/>
        <v>0</v>
      </c>
      <c r="T19" s="25">
        <v>0</v>
      </c>
      <c r="U19" s="29">
        <v>0</v>
      </c>
      <c r="V19" s="25">
        <v>0</v>
      </c>
      <c r="W19" s="25">
        <v>0</v>
      </c>
      <c r="X19" s="25">
        <v>0</v>
      </c>
      <c r="Y19" s="29">
        <v>0</v>
      </c>
      <c r="Z19" s="29">
        <v>0</v>
      </c>
      <c r="AA19" s="29">
        <v>0</v>
      </c>
      <c r="AB19" s="29" t="s">
        <v>689</v>
      </c>
      <c r="AC19" s="29" t="s">
        <v>699</v>
      </c>
      <c r="AD19" s="29" t="s">
        <v>701</v>
      </c>
      <c r="AE19" s="43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</row>
    <row r="20" spans="3:224" ht="20.100000000000001" customHeight="1">
      <c r="C20" s="76">
        <v>11500503</v>
      </c>
      <c r="D20" s="77" t="s">
        <v>687</v>
      </c>
      <c r="E20" s="25">
        <v>0</v>
      </c>
      <c r="F20" s="25">
        <v>0</v>
      </c>
      <c r="G20" s="25">
        <v>1</v>
      </c>
      <c r="H20" s="25">
        <v>0</v>
      </c>
      <c r="I20" s="29">
        <v>0.2</v>
      </c>
      <c r="J20" s="30">
        <v>0</v>
      </c>
      <c r="K20" s="25">
        <v>0</v>
      </c>
      <c r="L20" s="25">
        <v>0</v>
      </c>
      <c r="M20" s="25">
        <v>0</v>
      </c>
      <c r="N20" s="25">
        <v>0</v>
      </c>
      <c r="O20" s="25">
        <v>0</v>
      </c>
      <c r="P20" s="25">
        <v>0</v>
      </c>
      <c r="Q20" s="25">
        <f t="shared" ref="Q20" si="12">ROUND(R20/2,0)</f>
        <v>0</v>
      </c>
      <c r="R20" s="25">
        <v>0</v>
      </c>
      <c r="S20" s="25">
        <f t="shared" ref="S20" si="13">ROUND(T20/2,0)</f>
        <v>0</v>
      </c>
      <c r="T20" s="25">
        <v>0</v>
      </c>
      <c r="U20" s="29">
        <v>0</v>
      </c>
      <c r="V20" s="25">
        <v>0</v>
      </c>
      <c r="W20" s="25">
        <v>0</v>
      </c>
      <c r="X20" s="25">
        <v>0</v>
      </c>
      <c r="Y20" s="29">
        <v>0</v>
      </c>
      <c r="Z20" s="29">
        <v>0</v>
      </c>
      <c r="AA20" s="29">
        <v>0</v>
      </c>
      <c r="AB20" s="29" t="s">
        <v>690</v>
      </c>
      <c r="AC20" s="29" t="s">
        <v>700</v>
      </c>
      <c r="AD20" s="29" t="s">
        <v>701</v>
      </c>
      <c r="AE20" s="43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</row>
    <row r="21" spans="3:224" s="57" customFormat="1" ht="20.100000000000001" customHeight="1">
      <c r="C21" s="51">
        <v>40030001</v>
      </c>
      <c r="D21" s="58" t="s">
        <v>634</v>
      </c>
      <c r="E21" s="52">
        <v>0</v>
      </c>
      <c r="F21" s="52">
        <v>0</v>
      </c>
      <c r="G21" s="52">
        <v>1</v>
      </c>
      <c r="H21" s="52">
        <v>10</v>
      </c>
      <c r="I21" s="52">
        <v>0.3</v>
      </c>
      <c r="J21" s="53">
        <v>0</v>
      </c>
      <c r="K21" s="53">
        <v>0</v>
      </c>
      <c r="L21" s="54">
        <v>999999</v>
      </c>
      <c r="M21" s="54">
        <v>9999</v>
      </c>
      <c r="N21" s="54">
        <v>9999</v>
      </c>
      <c r="O21" s="55">
        <v>9999</v>
      </c>
      <c r="P21" s="55">
        <v>9999</v>
      </c>
      <c r="Q21" s="52">
        <v>9999</v>
      </c>
      <c r="R21" s="52">
        <v>9999</v>
      </c>
      <c r="S21" s="52">
        <v>9999</v>
      </c>
      <c r="T21" s="52">
        <v>9999</v>
      </c>
      <c r="U21" s="54">
        <v>0</v>
      </c>
      <c r="V21" s="54">
        <v>0</v>
      </c>
      <c r="W21" s="54">
        <v>0</v>
      </c>
      <c r="X21" s="54">
        <v>0</v>
      </c>
      <c r="Y21" s="54">
        <v>0</v>
      </c>
      <c r="Z21" s="54">
        <v>0</v>
      </c>
      <c r="AA21" s="54">
        <v>0</v>
      </c>
      <c r="AB21" s="53">
        <v>0</v>
      </c>
      <c r="AC21" s="53">
        <v>0</v>
      </c>
      <c r="AD21" s="53">
        <v>0</v>
      </c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  <c r="BP21" s="56"/>
      <c r="BQ21" s="56"/>
      <c r="BR21" s="56"/>
      <c r="BS21" s="56"/>
      <c r="BT21" s="56"/>
      <c r="BU21" s="56"/>
      <c r="BV21" s="56"/>
      <c r="BW21" s="56"/>
      <c r="BX21" s="56"/>
      <c r="BY21" s="56"/>
      <c r="BZ21" s="56"/>
      <c r="CA21" s="56"/>
      <c r="CB21" s="56"/>
      <c r="CC21" s="56"/>
      <c r="CD21" s="56"/>
      <c r="CE21" s="56"/>
      <c r="CF21" s="56"/>
      <c r="CG21" s="56"/>
      <c r="CH21" s="56"/>
      <c r="CI21" s="56"/>
      <c r="CJ21" s="56"/>
      <c r="CK21" s="56"/>
      <c r="CL21" s="56"/>
      <c r="CM21" s="56"/>
      <c r="CN21" s="56"/>
      <c r="CO21" s="56"/>
      <c r="CP21" s="56"/>
      <c r="CQ21" s="56"/>
      <c r="CR21" s="56"/>
      <c r="CS21" s="56"/>
      <c r="CT21" s="56"/>
      <c r="CU21" s="56"/>
      <c r="CV21" s="56"/>
      <c r="CW21" s="56"/>
      <c r="CX21" s="56"/>
      <c r="CY21" s="56"/>
      <c r="CZ21" s="56"/>
      <c r="DA21" s="56"/>
      <c r="DB21" s="56"/>
      <c r="DC21" s="56"/>
      <c r="DD21" s="56"/>
      <c r="DE21" s="56"/>
      <c r="DF21" s="56"/>
      <c r="DG21" s="56"/>
      <c r="DH21" s="56"/>
      <c r="DI21" s="56"/>
      <c r="DJ21" s="56"/>
      <c r="DK21" s="56"/>
      <c r="DL21" s="56"/>
      <c r="DM21" s="56"/>
      <c r="DN21" s="56"/>
      <c r="DO21" s="56"/>
      <c r="DP21" s="56"/>
      <c r="DQ21" s="56"/>
      <c r="DR21" s="56"/>
      <c r="DS21" s="56"/>
      <c r="DT21" s="56"/>
      <c r="DU21" s="56"/>
      <c r="DV21" s="56"/>
      <c r="DW21" s="56"/>
      <c r="DX21" s="56"/>
      <c r="DY21" s="56"/>
      <c r="DZ21" s="56"/>
      <c r="EA21" s="56"/>
      <c r="EB21" s="56"/>
      <c r="EC21" s="56"/>
      <c r="ED21" s="56"/>
      <c r="EE21" s="56"/>
      <c r="EF21" s="56"/>
      <c r="EG21" s="56"/>
      <c r="EH21" s="56"/>
      <c r="EI21" s="56"/>
      <c r="EJ21" s="56"/>
      <c r="EK21" s="56"/>
      <c r="EL21" s="56"/>
      <c r="EM21" s="56"/>
      <c r="EN21" s="56"/>
      <c r="EO21" s="56"/>
      <c r="EP21" s="56"/>
      <c r="EQ21" s="56"/>
      <c r="ER21" s="56"/>
      <c r="ES21" s="56"/>
      <c r="ET21" s="56"/>
      <c r="EU21" s="56"/>
      <c r="EV21" s="56"/>
      <c r="EW21" s="56"/>
      <c r="EX21" s="56"/>
      <c r="EY21" s="56"/>
      <c r="EZ21" s="56"/>
      <c r="FA21" s="56"/>
      <c r="FB21" s="56"/>
      <c r="FC21" s="56"/>
      <c r="FD21" s="56"/>
      <c r="FE21" s="56"/>
      <c r="FF21" s="56"/>
      <c r="FG21" s="56"/>
      <c r="FH21" s="56"/>
      <c r="FI21" s="56"/>
      <c r="FJ21" s="56"/>
      <c r="FK21" s="56"/>
      <c r="FL21" s="56"/>
      <c r="FM21" s="56"/>
      <c r="FN21" s="56"/>
      <c r="FO21" s="56"/>
      <c r="FP21" s="56"/>
      <c r="FQ21" s="56"/>
      <c r="FR21" s="56"/>
      <c r="FS21" s="56"/>
      <c r="FT21" s="56"/>
      <c r="FU21" s="56"/>
      <c r="FV21" s="56"/>
      <c r="FW21" s="56"/>
      <c r="FX21" s="56"/>
      <c r="FY21" s="56"/>
      <c r="FZ21" s="56"/>
      <c r="GA21" s="56"/>
      <c r="GB21" s="56"/>
      <c r="GC21" s="56"/>
      <c r="GD21" s="56"/>
      <c r="GE21" s="56"/>
      <c r="GF21" s="56"/>
      <c r="GG21" s="56"/>
      <c r="GH21" s="56"/>
      <c r="GI21" s="56"/>
      <c r="GJ21" s="56"/>
      <c r="GK21" s="56"/>
      <c r="GL21" s="56"/>
      <c r="GM21" s="56"/>
      <c r="GN21" s="56"/>
      <c r="GO21" s="56"/>
      <c r="GP21" s="56"/>
      <c r="GQ21" s="56"/>
    </row>
    <row r="22" spans="3:224" s="57" customFormat="1" ht="20.100000000000001" customHeight="1">
      <c r="C22" s="51">
        <v>40030002</v>
      </c>
      <c r="D22" s="58" t="s">
        <v>635</v>
      </c>
      <c r="E22" s="52">
        <v>0</v>
      </c>
      <c r="F22" s="52">
        <v>0</v>
      </c>
      <c r="G22" s="52">
        <v>1</v>
      </c>
      <c r="H22" s="52">
        <v>10</v>
      </c>
      <c r="I22" s="52">
        <v>0.3</v>
      </c>
      <c r="J22" s="53">
        <v>0</v>
      </c>
      <c r="K22" s="53">
        <v>0</v>
      </c>
      <c r="L22" s="54">
        <v>999999</v>
      </c>
      <c r="M22" s="54">
        <v>9999</v>
      </c>
      <c r="N22" s="54">
        <v>9999</v>
      </c>
      <c r="O22" s="55">
        <v>9999</v>
      </c>
      <c r="P22" s="55">
        <v>9999</v>
      </c>
      <c r="Q22" s="52">
        <v>0</v>
      </c>
      <c r="R22" s="52">
        <v>0</v>
      </c>
      <c r="S22" s="52">
        <v>0</v>
      </c>
      <c r="T22" s="52">
        <v>0</v>
      </c>
      <c r="U22" s="54">
        <v>0</v>
      </c>
      <c r="V22" s="54">
        <v>0</v>
      </c>
      <c r="W22" s="54">
        <v>0</v>
      </c>
      <c r="X22" s="54">
        <v>0</v>
      </c>
      <c r="Y22" s="54">
        <v>0</v>
      </c>
      <c r="Z22" s="54">
        <v>0</v>
      </c>
      <c r="AA22" s="54">
        <v>0</v>
      </c>
      <c r="AB22" s="53">
        <v>0</v>
      </c>
      <c r="AC22" s="53">
        <v>0</v>
      </c>
      <c r="AD22" s="53">
        <v>0</v>
      </c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6"/>
      <c r="AX22" s="56"/>
      <c r="AY22" s="56"/>
      <c r="AZ22" s="56"/>
      <c r="BA22" s="56"/>
      <c r="BB22" s="56"/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  <c r="BN22" s="56"/>
      <c r="BO22" s="56"/>
      <c r="BP22" s="56"/>
      <c r="BQ22" s="56"/>
      <c r="BR22" s="56"/>
      <c r="BS22" s="56"/>
      <c r="BT22" s="56"/>
      <c r="BU22" s="56"/>
      <c r="BV22" s="56"/>
      <c r="BW22" s="56"/>
      <c r="BX22" s="56"/>
      <c r="BY22" s="56"/>
      <c r="BZ22" s="56"/>
      <c r="CA22" s="56"/>
      <c r="CB22" s="56"/>
      <c r="CC22" s="56"/>
      <c r="CD22" s="56"/>
      <c r="CE22" s="56"/>
      <c r="CF22" s="56"/>
      <c r="CG22" s="56"/>
      <c r="CH22" s="56"/>
      <c r="CI22" s="56"/>
      <c r="CJ22" s="56"/>
      <c r="CK22" s="56"/>
      <c r="CL22" s="56"/>
      <c r="CM22" s="56"/>
      <c r="CN22" s="56"/>
      <c r="CO22" s="56"/>
      <c r="CP22" s="56"/>
      <c r="CQ22" s="56"/>
      <c r="CR22" s="56"/>
      <c r="CS22" s="56"/>
      <c r="CT22" s="56"/>
      <c r="CU22" s="56"/>
      <c r="CV22" s="56"/>
      <c r="CW22" s="56"/>
      <c r="CX22" s="56"/>
      <c r="CY22" s="56"/>
      <c r="CZ22" s="56"/>
      <c r="DA22" s="56"/>
      <c r="DB22" s="56"/>
      <c r="DC22" s="56"/>
      <c r="DD22" s="56"/>
      <c r="DE22" s="56"/>
      <c r="DF22" s="56"/>
      <c r="DG22" s="56"/>
      <c r="DH22" s="56"/>
      <c r="DI22" s="56"/>
      <c r="DJ22" s="56"/>
      <c r="DK22" s="56"/>
      <c r="DL22" s="56"/>
      <c r="DM22" s="56"/>
      <c r="DN22" s="56"/>
      <c r="DO22" s="56"/>
      <c r="DP22" s="56"/>
      <c r="DQ22" s="56"/>
      <c r="DR22" s="56"/>
      <c r="DS22" s="56"/>
      <c r="DT22" s="56"/>
      <c r="DU22" s="56"/>
      <c r="DV22" s="56"/>
      <c r="DW22" s="56"/>
      <c r="DX22" s="56"/>
      <c r="DY22" s="56"/>
      <c r="DZ22" s="56"/>
      <c r="EA22" s="56"/>
      <c r="EB22" s="56"/>
      <c r="EC22" s="56"/>
      <c r="ED22" s="56"/>
      <c r="EE22" s="56"/>
      <c r="EF22" s="56"/>
      <c r="EG22" s="56"/>
      <c r="EH22" s="56"/>
      <c r="EI22" s="56"/>
      <c r="EJ22" s="56"/>
      <c r="EK22" s="56"/>
      <c r="EL22" s="56"/>
      <c r="EM22" s="56"/>
      <c r="EN22" s="56"/>
      <c r="EO22" s="56"/>
      <c r="EP22" s="56"/>
      <c r="EQ22" s="56"/>
      <c r="ER22" s="56"/>
      <c r="ES22" s="56"/>
      <c r="ET22" s="56"/>
      <c r="EU22" s="56"/>
      <c r="EV22" s="56"/>
      <c r="EW22" s="56"/>
      <c r="EX22" s="56"/>
      <c r="EY22" s="56"/>
      <c r="EZ22" s="56"/>
      <c r="FA22" s="56"/>
      <c r="FB22" s="56"/>
      <c r="FC22" s="56"/>
      <c r="FD22" s="56"/>
      <c r="FE22" s="56"/>
      <c r="FF22" s="56"/>
      <c r="FG22" s="56"/>
      <c r="FH22" s="56"/>
      <c r="FI22" s="56"/>
      <c r="FJ22" s="56"/>
      <c r="FK22" s="56"/>
      <c r="FL22" s="56"/>
      <c r="FM22" s="56"/>
      <c r="FN22" s="56"/>
      <c r="FO22" s="56"/>
      <c r="FP22" s="56"/>
      <c r="FQ22" s="56"/>
      <c r="FR22" s="56"/>
      <c r="FS22" s="56"/>
      <c r="FT22" s="56"/>
      <c r="FU22" s="56"/>
      <c r="FV22" s="56"/>
      <c r="FW22" s="56"/>
      <c r="FX22" s="56"/>
      <c r="FY22" s="56"/>
      <c r="FZ22" s="56"/>
      <c r="GA22" s="56"/>
      <c r="GB22" s="56"/>
      <c r="GC22" s="56"/>
      <c r="GD22" s="56"/>
      <c r="GE22" s="56"/>
      <c r="GF22" s="56"/>
      <c r="GG22" s="56"/>
      <c r="GH22" s="56"/>
      <c r="GI22" s="56"/>
      <c r="GJ22" s="56"/>
      <c r="GK22" s="56"/>
      <c r="GL22" s="56"/>
      <c r="GM22" s="56"/>
      <c r="GN22" s="56"/>
      <c r="GO22" s="56"/>
      <c r="GP22" s="56"/>
      <c r="GQ22" s="56"/>
    </row>
    <row r="23" spans="3:224" s="2" customFormat="1" ht="20.100000000000001" customHeight="1">
      <c r="C23" s="10">
        <v>40030101</v>
      </c>
      <c r="D23" s="11" t="s">
        <v>60</v>
      </c>
      <c r="E23" s="12">
        <v>0</v>
      </c>
      <c r="F23" s="12">
        <v>0</v>
      </c>
      <c r="G23" s="12">
        <v>1</v>
      </c>
      <c r="H23" s="12">
        <v>10</v>
      </c>
      <c r="I23" s="12">
        <v>0.3</v>
      </c>
      <c r="J23" s="16">
        <v>0</v>
      </c>
      <c r="K23" s="16">
        <v>0</v>
      </c>
      <c r="L23" s="15">
        <v>0</v>
      </c>
      <c r="M23" s="15">
        <v>0</v>
      </c>
      <c r="N23" s="15">
        <v>10</v>
      </c>
      <c r="O23" s="17">
        <v>0</v>
      </c>
      <c r="P23" s="17">
        <v>0</v>
      </c>
      <c r="Q23" s="12">
        <v>0</v>
      </c>
      <c r="R23" s="12">
        <v>0</v>
      </c>
      <c r="S23" s="12">
        <v>0</v>
      </c>
      <c r="T23" s="12">
        <v>10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6">
        <v>0</v>
      </c>
      <c r="AC23" s="16">
        <v>0</v>
      </c>
      <c r="AD23" s="16">
        <v>0</v>
      </c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</row>
    <row r="24" spans="3:224" s="2" customFormat="1" ht="20.100000000000001" customHeight="1">
      <c r="C24" s="10">
        <v>40030102</v>
      </c>
      <c r="D24" s="11" t="s">
        <v>61</v>
      </c>
      <c r="E24" s="12">
        <v>0</v>
      </c>
      <c r="F24" s="12">
        <v>1001</v>
      </c>
      <c r="G24" s="12">
        <v>1</v>
      </c>
      <c r="H24" s="12">
        <v>10</v>
      </c>
      <c r="I24" s="12">
        <v>0.3</v>
      </c>
      <c r="J24" s="16">
        <v>0</v>
      </c>
      <c r="K24" s="16">
        <v>0</v>
      </c>
      <c r="L24" s="15">
        <v>0</v>
      </c>
      <c r="M24" s="15">
        <v>0</v>
      </c>
      <c r="N24" s="15">
        <v>10</v>
      </c>
      <c r="O24" s="17">
        <v>0</v>
      </c>
      <c r="P24" s="17">
        <v>0</v>
      </c>
      <c r="Q24" s="12">
        <v>0</v>
      </c>
      <c r="R24" s="12">
        <v>10</v>
      </c>
      <c r="S24" s="12">
        <v>0</v>
      </c>
      <c r="T24" s="12">
        <v>10</v>
      </c>
      <c r="U24" s="15">
        <v>0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6">
        <v>0</v>
      </c>
      <c r="AC24" s="16">
        <v>0</v>
      </c>
      <c r="AD24" s="16">
        <v>0</v>
      </c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2"/>
      <c r="BS24" s="22"/>
      <c r="BT24" s="22"/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G24" s="22"/>
      <c r="CH24" s="22"/>
      <c r="CI24" s="22"/>
      <c r="CJ24" s="22"/>
      <c r="CK24" s="22"/>
      <c r="CL24" s="22"/>
      <c r="CM24" s="22"/>
      <c r="CN24" s="22"/>
      <c r="CO24" s="22"/>
      <c r="CP24" s="22"/>
      <c r="CQ24" s="22"/>
      <c r="CR24" s="22"/>
      <c r="CS24" s="22"/>
      <c r="CT24" s="22"/>
      <c r="CU24" s="22"/>
      <c r="CV24" s="22"/>
      <c r="CW24" s="22"/>
      <c r="CX24" s="22"/>
      <c r="CY24" s="22"/>
      <c r="CZ24" s="22"/>
      <c r="DA24" s="22"/>
      <c r="DB24" s="22"/>
      <c r="DC24" s="22"/>
      <c r="DD24" s="22"/>
      <c r="DE24" s="22"/>
      <c r="DF24" s="22"/>
      <c r="DG24" s="22"/>
      <c r="DH24" s="22"/>
      <c r="DI24" s="22"/>
      <c r="DJ24" s="22"/>
      <c r="DK24" s="22"/>
      <c r="DL24" s="22"/>
      <c r="DM24" s="22"/>
      <c r="DN24" s="22"/>
      <c r="DO24" s="22"/>
      <c r="DP24" s="22"/>
      <c r="DQ24" s="22"/>
      <c r="DR24" s="22"/>
      <c r="DS24" s="22"/>
      <c r="DT24" s="22"/>
      <c r="DU24" s="22"/>
      <c r="DV24" s="22"/>
      <c r="DW24" s="22"/>
      <c r="DX24" s="22"/>
      <c r="DY24" s="22"/>
      <c r="DZ24" s="22"/>
      <c r="EA24" s="22"/>
      <c r="EB24" s="22"/>
      <c r="EC24" s="22"/>
      <c r="ED24" s="22"/>
      <c r="EE24" s="22"/>
      <c r="EF24" s="22"/>
      <c r="EG24" s="22"/>
      <c r="EH24" s="22"/>
      <c r="EI24" s="22"/>
      <c r="EJ24" s="22"/>
      <c r="EK24" s="22"/>
      <c r="EL24" s="22"/>
      <c r="EM24" s="22"/>
      <c r="EN24" s="22"/>
      <c r="EO24" s="22"/>
      <c r="EP24" s="22"/>
      <c r="EQ24" s="22"/>
      <c r="ER24" s="22"/>
      <c r="ES24" s="22"/>
      <c r="ET24" s="22"/>
      <c r="EU24" s="22"/>
      <c r="EV24" s="22"/>
      <c r="EW24" s="22"/>
      <c r="EX24" s="22"/>
      <c r="EY24" s="22"/>
      <c r="EZ24" s="22"/>
      <c r="FA24" s="22"/>
      <c r="FB24" s="22"/>
      <c r="FC24" s="22"/>
      <c r="FD24" s="22"/>
      <c r="FE24" s="22"/>
      <c r="FF24" s="22"/>
      <c r="FG24" s="22"/>
      <c r="FH24" s="22"/>
      <c r="FI24" s="22"/>
      <c r="FJ24" s="22"/>
      <c r="FK24" s="22"/>
      <c r="FL24" s="22"/>
      <c r="FM24" s="22"/>
      <c r="FN24" s="22"/>
      <c r="FO24" s="22"/>
      <c r="FP24" s="22"/>
      <c r="FQ24" s="22"/>
      <c r="FR24" s="22"/>
      <c r="FS24" s="22"/>
      <c r="FT24" s="22"/>
      <c r="FU24" s="22"/>
      <c r="FV24" s="22"/>
      <c r="FW24" s="22"/>
      <c r="FX24" s="22"/>
      <c r="FY24" s="22"/>
      <c r="FZ24" s="22"/>
      <c r="GA24" s="22"/>
      <c r="GB24" s="22"/>
      <c r="GC24" s="22"/>
      <c r="GD24" s="22"/>
      <c r="GE24" s="22"/>
      <c r="GF24" s="22"/>
      <c r="GG24" s="22"/>
      <c r="GH24" s="22"/>
      <c r="GI24" s="22"/>
      <c r="GJ24" s="22"/>
      <c r="GK24" s="22"/>
      <c r="GL24" s="22"/>
      <c r="GM24" s="22"/>
      <c r="GN24" s="22"/>
      <c r="GO24" s="22"/>
      <c r="GP24" s="22"/>
      <c r="GQ24" s="22"/>
    </row>
    <row r="25" spans="3:224" s="2" customFormat="1" ht="20.100000000000001" customHeight="1">
      <c r="C25" s="10">
        <v>40030103</v>
      </c>
      <c r="D25" s="11" t="s">
        <v>62</v>
      </c>
      <c r="E25" s="12">
        <v>0</v>
      </c>
      <c r="F25" s="12">
        <v>0</v>
      </c>
      <c r="G25" s="12">
        <v>1</v>
      </c>
      <c r="H25" s="12">
        <v>10</v>
      </c>
      <c r="I25" s="12">
        <v>0.3</v>
      </c>
      <c r="J25" s="16">
        <v>0</v>
      </c>
      <c r="K25" s="16">
        <v>0</v>
      </c>
      <c r="L25" s="15">
        <v>0</v>
      </c>
      <c r="M25" s="15">
        <v>0</v>
      </c>
      <c r="N25" s="15">
        <v>10</v>
      </c>
      <c r="O25" s="17">
        <v>0</v>
      </c>
      <c r="P25" s="17">
        <v>0</v>
      </c>
      <c r="Q25" s="12">
        <v>0</v>
      </c>
      <c r="R25" s="12">
        <v>0</v>
      </c>
      <c r="S25" s="12">
        <v>0</v>
      </c>
      <c r="T25" s="12">
        <v>0</v>
      </c>
      <c r="U25" s="15">
        <v>0</v>
      </c>
      <c r="V25" s="15">
        <v>0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6">
        <v>0</v>
      </c>
      <c r="AC25" s="16">
        <v>0</v>
      </c>
      <c r="AD25" s="16">
        <v>0</v>
      </c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  <c r="BM25" s="22"/>
      <c r="BN25" s="22"/>
      <c r="BO25" s="22"/>
      <c r="BP25" s="22"/>
      <c r="BQ25" s="22"/>
      <c r="BR25" s="22"/>
      <c r="BS25" s="22"/>
      <c r="BT25" s="22"/>
      <c r="BU25" s="22"/>
      <c r="BV25" s="22"/>
      <c r="BW25" s="22"/>
      <c r="BX25" s="22"/>
      <c r="BY25" s="22"/>
      <c r="BZ25" s="22"/>
      <c r="CA25" s="22"/>
      <c r="CB25" s="22"/>
      <c r="CC25" s="22"/>
      <c r="CD25" s="22"/>
      <c r="CE25" s="22"/>
      <c r="CF25" s="22"/>
      <c r="CG25" s="22"/>
      <c r="CH25" s="22"/>
      <c r="CI25" s="22"/>
      <c r="CJ25" s="22"/>
      <c r="CK25" s="22"/>
      <c r="CL25" s="22"/>
      <c r="CM25" s="22"/>
      <c r="CN25" s="22"/>
      <c r="CO25" s="22"/>
      <c r="CP25" s="22"/>
      <c r="CQ25" s="22"/>
      <c r="CR25" s="22"/>
      <c r="CS25" s="22"/>
      <c r="CT25" s="22"/>
      <c r="CU25" s="22"/>
      <c r="CV25" s="22"/>
      <c r="CW25" s="22"/>
      <c r="CX25" s="22"/>
      <c r="CY25" s="22"/>
      <c r="CZ25" s="22"/>
      <c r="DA25" s="22"/>
      <c r="DB25" s="22"/>
      <c r="DC25" s="22"/>
      <c r="DD25" s="22"/>
      <c r="DE25" s="22"/>
      <c r="DF25" s="22"/>
      <c r="DG25" s="22"/>
      <c r="DH25" s="22"/>
      <c r="DI25" s="22"/>
      <c r="DJ25" s="22"/>
      <c r="DK25" s="22"/>
      <c r="DL25" s="22"/>
      <c r="DM25" s="22"/>
      <c r="DN25" s="22"/>
      <c r="DO25" s="22"/>
      <c r="DP25" s="22"/>
      <c r="DQ25" s="22"/>
      <c r="DR25" s="22"/>
      <c r="DS25" s="22"/>
      <c r="DT25" s="22"/>
      <c r="DU25" s="22"/>
      <c r="DV25" s="22"/>
      <c r="DW25" s="22"/>
      <c r="DX25" s="22"/>
      <c r="DY25" s="22"/>
      <c r="DZ25" s="22"/>
      <c r="EA25" s="22"/>
      <c r="EB25" s="22"/>
      <c r="EC25" s="22"/>
      <c r="ED25" s="22"/>
      <c r="EE25" s="22"/>
      <c r="EF25" s="22"/>
      <c r="EG25" s="22"/>
      <c r="EH25" s="22"/>
      <c r="EI25" s="22"/>
      <c r="EJ25" s="22"/>
      <c r="EK25" s="22"/>
      <c r="EL25" s="22"/>
      <c r="EM25" s="22"/>
      <c r="EN25" s="22"/>
      <c r="EO25" s="22"/>
      <c r="EP25" s="22"/>
      <c r="EQ25" s="22"/>
      <c r="ER25" s="22"/>
      <c r="ES25" s="22"/>
      <c r="ET25" s="22"/>
      <c r="EU25" s="22"/>
      <c r="EV25" s="22"/>
      <c r="EW25" s="22"/>
      <c r="EX25" s="22"/>
      <c r="EY25" s="22"/>
      <c r="EZ25" s="22"/>
      <c r="FA25" s="22"/>
      <c r="FB25" s="22"/>
      <c r="FC25" s="22"/>
      <c r="FD25" s="22"/>
      <c r="FE25" s="22"/>
      <c r="FF25" s="22"/>
      <c r="FG25" s="22"/>
      <c r="FH25" s="22"/>
      <c r="FI25" s="22"/>
      <c r="FJ25" s="22"/>
      <c r="FK25" s="22"/>
      <c r="FL25" s="22"/>
      <c r="FM25" s="22"/>
      <c r="FN25" s="22"/>
      <c r="FO25" s="22"/>
      <c r="FP25" s="22"/>
      <c r="FQ25" s="22"/>
      <c r="FR25" s="22"/>
      <c r="FS25" s="22"/>
      <c r="FT25" s="22"/>
      <c r="FU25" s="22"/>
      <c r="FV25" s="22"/>
      <c r="FW25" s="22"/>
      <c r="FX25" s="22"/>
      <c r="FY25" s="22"/>
      <c r="FZ25" s="22"/>
      <c r="GA25" s="22"/>
      <c r="GB25" s="22"/>
      <c r="GC25" s="22"/>
      <c r="GD25" s="22"/>
      <c r="GE25" s="22"/>
      <c r="GF25" s="22"/>
      <c r="GG25" s="22"/>
      <c r="GH25" s="22"/>
      <c r="GI25" s="22"/>
      <c r="GJ25" s="22"/>
      <c r="GK25" s="22"/>
      <c r="GL25" s="22"/>
      <c r="GM25" s="22"/>
      <c r="GN25" s="22"/>
      <c r="GO25" s="22"/>
      <c r="GP25" s="22"/>
      <c r="GQ25" s="22"/>
    </row>
    <row r="26" spans="3:224" s="2" customFormat="1" ht="20.100000000000001" customHeight="1">
      <c r="C26" s="10">
        <v>40030104</v>
      </c>
      <c r="D26" s="11" t="s">
        <v>63</v>
      </c>
      <c r="E26" s="12">
        <v>0</v>
      </c>
      <c r="F26" s="12">
        <v>0</v>
      </c>
      <c r="G26" s="12">
        <v>1</v>
      </c>
      <c r="H26" s="12">
        <v>10</v>
      </c>
      <c r="I26" s="12">
        <v>0.3</v>
      </c>
      <c r="J26" s="16">
        <v>0</v>
      </c>
      <c r="K26" s="16">
        <v>0</v>
      </c>
      <c r="L26" s="15">
        <v>0</v>
      </c>
      <c r="M26" s="15">
        <v>0</v>
      </c>
      <c r="N26" s="15">
        <v>10</v>
      </c>
      <c r="O26" s="17">
        <v>0</v>
      </c>
      <c r="P26" s="17">
        <v>0</v>
      </c>
      <c r="Q26" s="12">
        <v>0</v>
      </c>
      <c r="R26" s="12">
        <v>10</v>
      </c>
      <c r="S26" s="12">
        <v>0</v>
      </c>
      <c r="T26" s="12">
        <v>0</v>
      </c>
      <c r="U26" s="15">
        <v>0</v>
      </c>
      <c r="V26" s="15">
        <v>0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6">
        <v>0</v>
      </c>
      <c r="AC26" s="16">
        <v>0</v>
      </c>
      <c r="AD26" s="16">
        <v>0</v>
      </c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</row>
    <row r="27" spans="3:224" s="2" customFormat="1" ht="20.100000000000001" customHeight="1">
      <c r="C27" s="10">
        <v>40030105</v>
      </c>
      <c r="D27" s="11" t="s">
        <v>64</v>
      </c>
      <c r="E27" s="12">
        <v>0</v>
      </c>
      <c r="F27" s="12">
        <v>1001</v>
      </c>
      <c r="G27" s="12">
        <v>1</v>
      </c>
      <c r="H27" s="12">
        <v>10</v>
      </c>
      <c r="I27" s="12">
        <v>0.3</v>
      </c>
      <c r="J27" s="16">
        <v>0</v>
      </c>
      <c r="K27" s="16">
        <v>0</v>
      </c>
      <c r="L27" s="15">
        <v>0</v>
      </c>
      <c r="M27" s="15">
        <v>0</v>
      </c>
      <c r="N27" s="15">
        <v>20</v>
      </c>
      <c r="O27" s="17">
        <v>0</v>
      </c>
      <c r="P27" s="17">
        <v>0</v>
      </c>
      <c r="Q27" s="12">
        <v>0</v>
      </c>
      <c r="R27" s="12">
        <v>0</v>
      </c>
      <c r="S27" s="12">
        <v>0</v>
      </c>
      <c r="T27" s="12">
        <v>10</v>
      </c>
      <c r="U27" s="15">
        <v>0</v>
      </c>
      <c r="V27" s="15">
        <v>0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6">
        <v>0</v>
      </c>
      <c r="AC27" s="16">
        <v>0</v>
      </c>
      <c r="AD27" s="16">
        <v>0</v>
      </c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  <c r="BM27" s="22"/>
      <c r="BN27" s="22"/>
      <c r="BO27" s="22"/>
      <c r="BP27" s="22"/>
      <c r="BQ27" s="22"/>
      <c r="BR27" s="22"/>
      <c r="BS27" s="22"/>
      <c r="BT27" s="22"/>
      <c r="BU27" s="22"/>
      <c r="BV27" s="22"/>
      <c r="BW27" s="22"/>
      <c r="BX27" s="22"/>
      <c r="BY27" s="22"/>
      <c r="BZ27" s="22"/>
      <c r="CA27" s="22"/>
      <c r="CB27" s="22"/>
      <c r="CC27" s="22"/>
      <c r="CD27" s="22"/>
      <c r="CE27" s="22"/>
      <c r="CF27" s="22"/>
      <c r="CG27" s="22"/>
      <c r="CH27" s="22"/>
      <c r="CI27" s="22"/>
      <c r="CJ27" s="22"/>
      <c r="CK27" s="22"/>
      <c r="CL27" s="22"/>
      <c r="CM27" s="22"/>
      <c r="CN27" s="22"/>
      <c r="CO27" s="22"/>
      <c r="CP27" s="22"/>
      <c r="CQ27" s="22"/>
      <c r="CR27" s="22"/>
      <c r="CS27" s="22"/>
      <c r="CT27" s="22"/>
      <c r="CU27" s="22"/>
      <c r="CV27" s="22"/>
      <c r="CW27" s="22"/>
      <c r="CX27" s="22"/>
      <c r="CY27" s="22"/>
      <c r="CZ27" s="22"/>
      <c r="DA27" s="22"/>
      <c r="DB27" s="22"/>
      <c r="DC27" s="22"/>
      <c r="DD27" s="22"/>
      <c r="DE27" s="22"/>
      <c r="DF27" s="22"/>
      <c r="DG27" s="22"/>
      <c r="DH27" s="22"/>
      <c r="DI27" s="22"/>
      <c r="DJ27" s="22"/>
      <c r="DK27" s="22"/>
      <c r="DL27" s="22"/>
      <c r="DM27" s="22"/>
      <c r="DN27" s="22"/>
      <c r="DO27" s="22"/>
      <c r="DP27" s="22"/>
      <c r="DQ27" s="22"/>
      <c r="DR27" s="22"/>
      <c r="DS27" s="22"/>
      <c r="DT27" s="22"/>
      <c r="DU27" s="22"/>
      <c r="DV27" s="22"/>
      <c r="DW27" s="22"/>
      <c r="DX27" s="22"/>
      <c r="DY27" s="22"/>
      <c r="DZ27" s="22"/>
      <c r="EA27" s="22"/>
      <c r="EB27" s="22"/>
      <c r="EC27" s="22"/>
      <c r="ED27" s="22"/>
      <c r="EE27" s="22"/>
      <c r="EF27" s="22"/>
      <c r="EG27" s="22"/>
      <c r="EH27" s="22"/>
      <c r="EI27" s="22"/>
      <c r="EJ27" s="22"/>
      <c r="EK27" s="22"/>
      <c r="EL27" s="22"/>
      <c r="EM27" s="22"/>
      <c r="EN27" s="22"/>
      <c r="EO27" s="22"/>
      <c r="EP27" s="22"/>
      <c r="EQ27" s="22"/>
      <c r="ER27" s="22"/>
      <c r="ES27" s="22"/>
      <c r="ET27" s="22"/>
      <c r="EU27" s="22"/>
      <c r="EV27" s="22"/>
      <c r="EW27" s="22"/>
      <c r="EX27" s="22"/>
      <c r="EY27" s="22"/>
      <c r="EZ27" s="22"/>
      <c r="FA27" s="22"/>
      <c r="FB27" s="22"/>
      <c r="FC27" s="22"/>
      <c r="FD27" s="22"/>
      <c r="FE27" s="22"/>
      <c r="FF27" s="22"/>
      <c r="FG27" s="22"/>
      <c r="FH27" s="22"/>
      <c r="FI27" s="22"/>
      <c r="FJ27" s="22"/>
      <c r="FK27" s="22"/>
      <c r="FL27" s="22"/>
      <c r="FM27" s="22"/>
      <c r="FN27" s="22"/>
      <c r="FO27" s="22"/>
      <c r="FP27" s="22"/>
      <c r="FQ27" s="22"/>
      <c r="FR27" s="22"/>
      <c r="FS27" s="22"/>
      <c r="FT27" s="22"/>
      <c r="FU27" s="22"/>
      <c r="FV27" s="22"/>
      <c r="FW27" s="22"/>
      <c r="FX27" s="22"/>
      <c r="FY27" s="22"/>
      <c r="FZ27" s="22"/>
      <c r="GA27" s="22"/>
      <c r="GB27" s="22"/>
      <c r="GC27" s="22"/>
      <c r="GD27" s="22"/>
      <c r="GE27" s="22"/>
      <c r="GF27" s="22"/>
      <c r="GG27" s="22"/>
      <c r="GH27" s="22"/>
      <c r="GI27" s="22"/>
      <c r="GJ27" s="22"/>
      <c r="GK27" s="22"/>
      <c r="GL27" s="22"/>
      <c r="GM27" s="22"/>
      <c r="GN27" s="22"/>
      <c r="GO27" s="22"/>
      <c r="GP27" s="22"/>
      <c r="GQ27" s="22"/>
    </row>
    <row r="28" spans="3:224" s="2" customFormat="1" ht="20.100000000000001" customHeight="1">
      <c r="C28" s="10">
        <v>40030106</v>
      </c>
      <c r="D28" s="11" t="s">
        <v>65</v>
      </c>
      <c r="E28" s="12">
        <v>0</v>
      </c>
      <c r="F28" s="12">
        <v>0</v>
      </c>
      <c r="G28" s="12">
        <v>1</v>
      </c>
      <c r="H28" s="12">
        <v>10</v>
      </c>
      <c r="I28" s="12">
        <v>0.3</v>
      </c>
      <c r="J28" s="16">
        <v>0</v>
      </c>
      <c r="K28" s="16">
        <v>0</v>
      </c>
      <c r="L28" s="15">
        <v>0</v>
      </c>
      <c r="M28" s="15">
        <v>0</v>
      </c>
      <c r="N28" s="15">
        <v>10</v>
      </c>
      <c r="O28" s="17">
        <v>0</v>
      </c>
      <c r="P28" s="17">
        <v>0</v>
      </c>
      <c r="Q28" s="12">
        <v>0</v>
      </c>
      <c r="R28" s="12">
        <v>10</v>
      </c>
      <c r="S28" s="12">
        <v>0</v>
      </c>
      <c r="T28" s="12">
        <v>0</v>
      </c>
      <c r="U28" s="15">
        <v>0</v>
      </c>
      <c r="V28" s="15">
        <v>0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6">
        <v>0</v>
      </c>
      <c r="AC28" s="16">
        <v>0</v>
      </c>
      <c r="AD28" s="16">
        <v>0</v>
      </c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/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</row>
    <row r="29" spans="3:224" s="2" customFormat="1" ht="20.100000000000001" customHeight="1">
      <c r="C29" s="10">
        <v>40030107</v>
      </c>
      <c r="D29" s="11" t="s">
        <v>66</v>
      </c>
      <c r="E29" s="12">
        <v>0</v>
      </c>
      <c r="F29" s="12">
        <v>0</v>
      </c>
      <c r="G29" s="12">
        <v>1</v>
      </c>
      <c r="H29" s="12">
        <v>10</v>
      </c>
      <c r="I29" s="12">
        <v>0.3</v>
      </c>
      <c r="J29" s="16">
        <v>0</v>
      </c>
      <c r="K29" s="16">
        <v>0</v>
      </c>
      <c r="L29" s="15">
        <v>0</v>
      </c>
      <c r="M29" s="15">
        <v>0</v>
      </c>
      <c r="N29" s="15">
        <v>20</v>
      </c>
      <c r="O29" s="17">
        <v>0</v>
      </c>
      <c r="P29" s="17">
        <v>0</v>
      </c>
      <c r="Q29" s="12">
        <v>0</v>
      </c>
      <c r="R29" s="12">
        <v>0</v>
      </c>
      <c r="S29" s="12">
        <v>0</v>
      </c>
      <c r="T29" s="12">
        <v>0</v>
      </c>
      <c r="U29" s="15">
        <v>0</v>
      </c>
      <c r="V29" s="15">
        <v>0</v>
      </c>
      <c r="W29" s="15">
        <v>0</v>
      </c>
      <c r="X29" s="15">
        <v>0</v>
      </c>
      <c r="Y29" s="15">
        <v>0</v>
      </c>
      <c r="Z29" s="15">
        <v>0</v>
      </c>
      <c r="AA29" s="15">
        <v>0</v>
      </c>
      <c r="AB29" s="16">
        <v>0</v>
      </c>
      <c r="AC29" s="16">
        <v>0</v>
      </c>
      <c r="AD29" s="16">
        <v>0</v>
      </c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</row>
    <row r="30" spans="3:224" s="2" customFormat="1" ht="20.100000000000001" customHeight="1">
      <c r="C30" s="10">
        <v>40030108</v>
      </c>
      <c r="D30" s="11" t="s">
        <v>67</v>
      </c>
      <c r="E30" s="12">
        <v>0</v>
      </c>
      <c r="F30" s="12">
        <v>0</v>
      </c>
      <c r="G30" s="12">
        <v>1</v>
      </c>
      <c r="H30" s="12">
        <v>10</v>
      </c>
      <c r="I30" s="12">
        <v>0.3</v>
      </c>
      <c r="J30" s="16">
        <v>0</v>
      </c>
      <c r="K30" s="16">
        <v>0</v>
      </c>
      <c r="L30" s="15">
        <v>0</v>
      </c>
      <c r="M30" s="15">
        <v>0</v>
      </c>
      <c r="N30" s="15">
        <v>10</v>
      </c>
      <c r="O30" s="17">
        <v>0</v>
      </c>
      <c r="P30" s="17">
        <v>0</v>
      </c>
      <c r="Q30" s="12">
        <v>0</v>
      </c>
      <c r="R30" s="12">
        <v>0</v>
      </c>
      <c r="S30" s="12">
        <v>0</v>
      </c>
      <c r="T30" s="12">
        <v>10</v>
      </c>
      <c r="U30" s="15">
        <v>0</v>
      </c>
      <c r="V30" s="15">
        <v>0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6">
        <v>0</v>
      </c>
      <c r="AC30" s="16">
        <v>0</v>
      </c>
      <c r="AD30" s="16">
        <v>0</v>
      </c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2"/>
      <c r="BS30" s="22"/>
      <c r="BT30" s="22"/>
      <c r="BU30" s="22"/>
      <c r="BV30" s="22"/>
      <c r="BW30" s="22"/>
      <c r="BX30" s="22"/>
      <c r="BY30" s="22"/>
      <c r="BZ30" s="22"/>
      <c r="CA30" s="22"/>
      <c r="CB30" s="22"/>
      <c r="CC30" s="22"/>
      <c r="CD30" s="22"/>
      <c r="CE30" s="22"/>
      <c r="CF30" s="22"/>
      <c r="CG30" s="22"/>
      <c r="CH30" s="22"/>
      <c r="CI30" s="22"/>
      <c r="CJ30" s="22"/>
      <c r="CK30" s="22"/>
      <c r="CL30" s="22"/>
      <c r="CM30" s="22"/>
      <c r="CN30" s="22"/>
      <c r="CO30" s="22"/>
      <c r="CP30" s="22"/>
      <c r="CQ30" s="22"/>
      <c r="CR30" s="22"/>
      <c r="CS30" s="22"/>
      <c r="CT30" s="22"/>
      <c r="CU30" s="22"/>
      <c r="CV30" s="22"/>
      <c r="CW30" s="22"/>
      <c r="CX30" s="22"/>
      <c r="CY30" s="22"/>
      <c r="CZ30" s="22"/>
      <c r="DA30" s="22"/>
      <c r="DB30" s="22"/>
      <c r="DC30" s="22"/>
      <c r="DD30" s="22"/>
      <c r="DE30" s="22"/>
      <c r="DF30" s="22"/>
      <c r="DG30" s="22"/>
      <c r="DH30" s="22"/>
      <c r="DI30" s="22"/>
      <c r="DJ30" s="22"/>
      <c r="DK30" s="22"/>
      <c r="DL30" s="22"/>
      <c r="DM30" s="22"/>
      <c r="DN30" s="22"/>
      <c r="DO30" s="22"/>
      <c r="DP30" s="22"/>
      <c r="DQ30" s="22"/>
      <c r="DR30" s="22"/>
      <c r="DS30" s="22"/>
      <c r="DT30" s="22"/>
      <c r="DU30" s="22"/>
      <c r="DV30" s="22"/>
      <c r="DW30" s="22"/>
      <c r="DX30" s="22"/>
      <c r="DY30" s="22"/>
      <c r="DZ30" s="22"/>
      <c r="EA30" s="22"/>
      <c r="EB30" s="22"/>
      <c r="EC30" s="22"/>
      <c r="ED30" s="22"/>
      <c r="EE30" s="22"/>
      <c r="EF30" s="22"/>
      <c r="EG30" s="22"/>
      <c r="EH30" s="22"/>
      <c r="EI30" s="22"/>
      <c r="EJ30" s="22"/>
      <c r="EK30" s="22"/>
      <c r="EL30" s="22"/>
      <c r="EM30" s="22"/>
      <c r="EN30" s="22"/>
      <c r="EO30" s="22"/>
      <c r="EP30" s="22"/>
      <c r="EQ30" s="22"/>
      <c r="ER30" s="22"/>
      <c r="ES30" s="22"/>
      <c r="ET30" s="22"/>
      <c r="EU30" s="22"/>
      <c r="EV30" s="22"/>
      <c r="EW30" s="22"/>
      <c r="EX30" s="22"/>
      <c r="EY30" s="22"/>
      <c r="EZ30" s="22"/>
      <c r="FA30" s="22"/>
      <c r="FB30" s="22"/>
      <c r="FC30" s="22"/>
      <c r="FD30" s="22"/>
      <c r="FE30" s="22"/>
      <c r="FF30" s="22"/>
      <c r="FG30" s="22"/>
      <c r="FH30" s="22"/>
      <c r="FI30" s="22"/>
      <c r="FJ30" s="22"/>
      <c r="FK30" s="22"/>
      <c r="FL30" s="22"/>
      <c r="FM30" s="22"/>
      <c r="FN30" s="22"/>
      <c r="FO30" s="22"/>
      <c r="FP30" s="22"/>
      <c r="FQ30" s="22"/>
      <c r="FR30" s="22"/>
      <c r="FS30" s="22"/>
      <c r="FT30" s="22"/>
      <c r="FU30" s="22"/>
      <c r="FV30" s="22"/>
      <c r="FW30" s="22"/>
      <c r="FX30" s="22"/>
      <c r="FY30" s="22"/>
      <c r="FZ30" s="22"/>
      <c r="GA30" s="22"/>
      <c r="GB30" s="22"/>
      <c r="GC30" s="22"/>
      <c r="GD30" s="22"/>
      <c r="GE30" s="22"/>
      <c r="GF30" s="22"/>
      <c r="GG30" s="22"/>
      <c r="GH30" s="22"/>
      <c r="GI30" s="22"/>
      <c r="GJ30" s="22"/>
      <c r="GK30" s="22"/>
      <c r="GL30" s="22"/>
      <c r="GM30" s="22"/>
      <c r="GN30" s="22"/>
      <c r="GO30" s="22"/>
      <c r="GP30" s="22"/>
      <c r="GQ30" s="22"/>
    </row>
    <row r="31" spans="3:224" s="2" customFormat="1" ht="20.100000000000001" customHeight="1">
      <c r="C31" s="10">
        <v>40030109</v>
      </c>
      <c r="D31" s="11" t="s">
        <v>68</v>
      </c>
      <c r="E31" s="12">
        <v>0</v>
      </c>
      <c r="F31" s="12">
        <v>0</v>
      </c>
      <c r="G31" s="12">
        <v>1</v>
      </c>
      <c r="H31" s="12">
        <v>10</v>
      </c>
      <c r="I31" s="12">
        <v>0.3</v>
      </c>
      <c r="J31" s="16">
        <v>0</v>
      </c>
      <c r="K31" s="16">
        <v>0</v>
      </c>
      <c r="L31" s="15">
        <v>0</v>
      </c>
      <c r="M31" s="15">
        <v>0</v>
      </c>
      <c r="N31" s="15">
        <v>10</v>
      </c>
      <c r="O31" s="17">
        <v>0</v>
      </c>
      <c r="P31" s="17">
        <v>0</v>
      </c>
      <c r="Q31" s="12">
        <v>0</v>
      </c>
      <c r="R31" s="12">
        <v>10</v>
      </c>
      <c r="S31" s="12">
        <v>0</v>
      </c>
      <c r="T31" s="12">
        <v>10</v>
      </c>
      <c r="U31" s="15">
        <v>0</v>
      </c>
      <c r="V31" s="15">
        <v>0</v>
      </c>
      <c r="W31" s="15">
        <v>0</v>
      </c>
      <c r="X31" s="15">
        <v>0</v>
      </c>
      <c r="Y31" s="15">
        <v>0</v>
      </c>
      <c r="Z31" s="15">
        <v>0</v>
      </c>
      <c r="AA31" s="15">
        <v>0</v>
      </c>
      <c r="AB31" s="16">
        <v>0</v>
      </c>
      <c r="AC31" s="16">
        <v>0</v>
      </c>
      <c r="AD31" s="16">
        <v>0</v>
      </c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  <c r="BM31" s="22"/>
      <c r="BN31" s="22"/>
      <c r="BO31" s="22"/>
      <c r="BP31" s="22"/>
      <c r="BQ31" s="22"/>
      <c r="BR31" s="22"/>
      <c r="BS31" s="22"/>
      <c r="BT31" s="22"/>
      <c r="BU31" s="22"/>
      <c r="BV31" s="22"/>
      <c r="BW31" s="22"/>
      <c r="BX31" s="22"/>
      <c r="BY31" s="22"/>
      <c r="BZ31" s="22"/>
      <c r="CA31" s="22"/>
      <c r="CB31" s="22"/>
      <c r="CC31" s="22"/>
      <c r="CD31" s="22"/>
      <c r="CE31" s="22"/>
      <c r="CF31" s="22"/>
      <c r="CG31" s="22"/>
      <c r="CH31" s="22"/>
      <c r="CI31" s="22"/>
      <c r="CJ31" s="22"/>
      <c r="CK31" s="22"/>
      <c r="CL31" s="22"/>
      <c r="CM31" s="22"/>
      <c r="CN31" s="22"/>
      <c r="CO31" s="22"/>
      <c r="CP31" s="22"/>
      <c r="CQ31" s="22"/>
      <c r="CR31" s="22"/>
      <c r="CS31" s="22"/>
      <c r="CT31" s="22"/>
      <c r="CU31" s="22"/>
      <c r="CV31" s="22"/>
      <c r="CW31" s="22"/>
      <c r="CX31" s="22"/>
      <c r="CY31" s="22"/>
      <c r="CZ31" s="22"/>
      <c r="DA31" s="22"/>
      <c r="DB31" s="22"/>
      <c r="DC31" s="22"/>
      <c r="DD31" s="22"/>
      <c r="DE31" s="22"/>
      <c r="DF31" s="22"/>
      <c r="DG31" s="22"/>
      <c r="DH31" s="22"/>
      <c r="DI31" s="22"/>
      <c r="DJ31" s="22"/>
      <c r="DK31" s="22"/>
      <c r="DL31" s="22"/>
      <c r="DM31" s="22"/>
      <c r="DN31" s="22"/>
      <c r="DO31" s="22"/>
      <c r="DP31" s="22"/>
      <c r="DQ31" s="22"/>
      <c r="DR31" s="22"/>
      <c r="DS31" s="22"/>
      <c r="DT31" s="22"/>
      <c r="DU31" s="22"/>
      <c r="DV31" s="22"/>
      <c r="DW31" s="22"/>
      <c r="DX31" s="22"/>
      <c r="DY31" s="22"/>
      <c r="DZ31" s="22"/>
      <c r="EA31" s="22"/>
      <c r="EB31" s="22"/>
      <c r="EC31" s="22"/>
      <c r="ED31" s="22"/>
      <c r="EE31" s="22"/>
      <c r="EF31" s="22"/>
      <c r="EG31" s="22"/>
      <c r="EH31" s="22"/>
      <c r="EI31" s="22"/>
      <c r="EJ31" s="22"/>
      <c r="EK31" s="22"/>
      <c r="EL31" s="22"/>
      <c r="EM31" s="22"/>
      <c r="EN31" s="22"/>
      <c r="EO31" s="22"/>
      <c r="EP31" s="22"/>
      <c r="EQ31" s="22"/>
      <c r="ER31" s="22"/>
      <c r="ES31" s="22"/>
      <c r="ET31" s="22"/>
      <c r="EU31" s="22"/>
      <c r="EV31" s="22"/>
      <c r="EW31" s="22"/>
      <c r="EX31" s="22"/>
      <c r="EY31" s="22"/>
      <c r="EZ31" s="22"/>
      <c r="FA31" s="22"/>
      <c r="FB31" s="22"/>
      <c r="FC31" s="22"/>
      <c r="FD31" s="22"/>
      <c r="FE31" s="22"/>
      <c r="FF31" s="22"/>
      <c r="FG31" s="22"/>
      <c r="FH31" s="22"/>
      <c r="FI31" s="22"/>
      <c r="FJ31" s="22"/>
      <c r="FK31" s="22"/>
      <c r="FL31" s="22"/>
      <c r="FM31" s="22"/>
      <c r="FN31" s="22"/>
      <c r="FO31" s="22"/>
      <c r="FP31" s="22"/>
      <c r="FQ31" s="22"/>
      <c r="FR31" s="22"/>
      <c r="FS31" s="22"/>
      <c r="FT31" s="22"/>
      <c r="FU31" s="22"/>
      <c r="FV31" s="22"/>
      <c r="FW31" s="22"/>
      <c r="FX31" s="22"/>
      <c r="FY31" s="22"/>
      <c r="FZ31" s="22"/>
      <c r="GA31" s="22"/>
      <c r="GB31" s="22"/>
      <c r="GC31" s="22"/>
      <c r="GD31" s="22"/>
      <c r="GE31" s="22"/>
      <c r="GF31" s="22"/>
      <c r="GG31" s="22"/>
      <c r="GH31" s="22"/>
      <c r="GI31" s="22"/>
      <c r="GJ31" s="22"/>
      <c r="GK31" s="22"/>
      <c r="GL31" s="22"/>
      <c r="GM31" s="22"/>
      <c r="GN31" s="22"/>
      <c r="GO31" s="22"/>
      <c r="GP31" s="22"/>
      <c r="GQ31" s="22"/>
    </row>
    <row r="32" spans="3:224" s="2" customFormat="1" ht="20.100000000000001" customHeight="1">
      <c r="C32" s="10">
        <v>40030110</v>
      </c>
      <c r="D32" s="11" t="s">
        <v>69</v>
      </c>
      <c r="E32" s="12">
        <v>0</v>
      </c>
      <c r="F32" s="12">
        <v>1001</v>
      </c>
      <c r="G32" s="12">
        <v>1</v>
      </c>
      <c r="H32" s="12">
        <v>10</v>
      </c>
      <c r="I32" s="12">
        <v>0.3</v>
      </c>
      <c r="J32" s="16">
        <v>0</v>
      </c>
      <c r="K32" s="16">
        <v>0</v>
      </c>
      <c r="L32" s="15">
        <v>0</v>
      </c>
      <c r="M32" s="15">
        <v>0</v>
      </c>
      <c r="N32" s="15">
        <v>30</v>
      </c>
      <c r="O32" s="17">
        <v>0</v>
      </c>
      <c r="P32" s="17">
        <v>0</v>
      </c>
      <c r="Q32" s="12">
        <v>0</v>
      </c>
      <c r="R32" s="12">
        <v>0</v>
      </c>
      <c r="S32" s="12">
        <v>0</v>
      </c>
      <c r="T32" s="12">
        <v>0</v>
      </c>
      <c r="U32" s="15">
        <v>0.01</v>
      </c>
      <c r="V32" s="15">
        <v>0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6">
        <v>0</v>
      </c>
      <c r="AC32" s="16">
        <v>0</v>
      </c>
      <c r="AD32" s="16">
        <v>0</v>
      </c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</row>
    <row r="33" spans="3:199" s="2" customFormat="1" ht="20.100000000000001" customHeight="1">
      <c r="C33" s="10">
        <v>40030111</v>
      </c>
      <c r="D33" s="11" t="s">
        <v>70</v>
      </c>
      <c r="E33" s="12">
        <v>0</v>
      </c>
      <c r="F33" s="12">
        <v>0</v>
      </c>
      <c r="G33" s="12">
        <v>1</v>
      </c>
      <c r="H33" s="12">
        <v>10</v>
      </c>
      <c r="I33" s="12">
        <v>0.3</v>
      </c>
      <c r="J33" s="16">
        <v>0</v>
      </c>
      <c r="K33" s="16">
        <v>0</v>
      </c>
      <c r="L33" s="15">
        <v>0</v>
      </c>
      <c r="M33" s="15">
        <v>0</v>
      </c>
      <c r="N33" s="15">
        <v>30</v>
      </c>
      <c r="O33" s="17">
        <v>0</v>
      </c>
      <c r="P33" s="17">
        <v>0</v>
      </c>
      <c r="Q33" s="12">
        <v>0</v>
      </c>
      <c r="R33" s="12">
        <v>0</v>
      </c>
      <c r="S33" s="12">
        <v>0</v>
      </c>
      <c r="T33" s="12">
        <v>10</v>
      </c>
      <c r="U33" s="15">
        <v>0</v>
      </c>
      <c r="V33" s="15">
        <v>0</v>
      </c>
      <c r="W33" s="15">
        <v>0</v>
      </c>
      <c r="X33" s="15">
        <v>0</v>
      </c>
      <c r="Y33" s="15">
        <v>0</v>
      </c>
      <c r="Z33" s="15">
        <v>0</v>
      </c>
      <c r="AA33" s="15">
        <v>0</v>
      </c>
      <c r="AB33" s="16">
        <v>0</v>
      </c>
      <c r="AC33" s="16">
        <v>0</v>
      </c>
      <c r="AD33" s="16">
        <v>0</v>
      </c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  <c r="BX33" s="22"/>
      <c r="BY33" s="22"/>
      <c r="BZ33" s="22"/>
      <c r="CA33" s="22"/>
      <c r="CB33" s="22"/>
      <c r="CC33" s="22"/>
      <c r="CD33" s="22"/>
      <c r="CE33" s="22"/>
      <c r="CF33" s="22"/>
      <c r="CG33" s="22"/>
      <c r="CH33" s="22"/>
      <c r="CI33" s="22"/>
      <c r="CJ33" s="22"/>
      <c r="CK33" s="22"/>
      <c r="CL33" s="22"/>
      <c r="CM33" s="22"/>
      <c r="CN33" s="22"/>
      <c r="CO33" s="22"/>
      <c r="CP33" s="22"/>
      <c r="CQ33" s="22"/>
      <c r="CR33" s="22"/>
      <c r="CS33" s="22"/>
      <c r="CT33" s="22"/>
      <c r="CU33" s="22"/>
      <c r="CV33" s="22"/>
      <c r="CW33" s="22"/>
      <c r="CX33" s="22"/>
      <c r="CY33" s="22"/>
      <c r="CZ33" s="22"/>
      <c r="DA33" s="22"/>
      <c r="DB33" s="22"/>
      <c r="DC33" s="22"/>
      <c r="DD33" s="22"/>
      <c r="DE33" s="22"/>
      <c r="DF33" s="22"/>
      <c r="DG33" s="22"/>
      <c r="DH33" s="22"/>
      <c r="DI33" s="22"/>
      <c r="DJ33" s="22"/>
      <c r="DK33" s="22"/>
      <c r="DL33" s="22"/>
      <c r="DM33" s="22"/>
      <c r="DN33" s="22"/>
      <c r="DO33" s="22"/>
      <c r="DP33" s="22"/>
      <c r="DQ33" s="22"/>
      <c r="DR33" s="22"/>
      <c r="DS33" s="22"/>
      <c r="DT33" s="22"/>
      <c r="DU33" s="22"/>
      <c r="DV33" s="22"/>
      <c r="DW33" s="22"/>
      <c r="DX33" s="22"/>
      <c r="DY33" s="22"/>
      <c r="DZ33" s="22"/>
      <c r="EA33" s="22"/>
      <c r="EB33" s="22"/>
      <c r="EC33" s="22"/>
      <c r="ED33" s="22"/>
      <c r="EE33" s="22"/>
      <c r="EF33" s="22"/>
      <c r="EG33" s="22"/>
      <c r="EH33" s="22"/>
      <c r="EI33" s="22"/>
      <c r="EJ33" s="22"/>
      <c r="EK33" s="22"/>
      <c r="EL33" s="22"/>
      <c r="EM33" s="22"/>
      <c r="EN33" s="22"/>
      <c r="EO33" s="22"/>
      <c r="EP33" s="22"/>
      <c r="EQ33" s="22"/>
      <c r="ER33" s="22"/>
      <c r="ES33" s="22"/>
      <c r="ET33" s="22"/>
      <c r="EU33" s="22"/>
      <c r="EV33" s="22"/>
      <c r="EW33" s="22"/>
      <c r="EX33" s="22"/>
      <c r="EY33" s="22"/>
      <c r="EZ33" s="22"/>
      <c r="FA33" s="22"/>
      <c r="FB33" s="22"/>
      <c r="FC33" s="22"/>
      <c r="FD33" s="22"/>
      <c r="FE33" s="22"/>
      <c r="FF33" s="22"/>
      <c r="FG33" s="22"/>
      <c r="FH33" s="22"/>
      <c r="FI33" s="22"/>
      <c r="FJ33" s="22"/>
      <c r="FK33" s="22"/>
      <c r="FL33" s="22"/>
      <c r="FM33" s="22"/>
      <c r="FN33" s="22"/>
      <c r="FO33" s="22"/>
      <c r="FP33" s="22"/>
      <c r="FQ33" s="22"/>
      <c r="FR33" s="22"/>
      <c r="FS33" s="22"/>
      <c r="FT33" s="22"/>
      <c r="FU33" s="22"/>
      <c r="FV33" s="22"/>
      <c r="FW33" s="22"/>
      <c r="FX33" s="22"/>
      <c r="FY33" s="22"/>
      <c r="FZ33" s="22"/>
      <c r="GA33" s="22"/>
      <c r="GB33" s="22"/>
      <c r="GC33" s="22"/>
      <c r="GD33" s="22"/>
      <c r="GE33" s="22"/>
      <c r="GF33" s="22"/>
      <c r="GG33" s="22"/>
      <c r="GH33" s="22"/>
      <c r="GI33" s="22"/>
      <c r="GJ33" s="22"/>
      <c r="GK33" s="22"/>
      <c r="GL33" s="22"/>
      <c r="GM33" s="22"/>
      <c r="GN33" s="22"/>
      <c r="GO33" s="22"/>
      <c r="GP33" s="22"/>
      <c r="GQ33" s="22"/>
    </row>
    <row r="34" spans="3:199" s="2" customFormat="1" ht="20.100000000000001" customHeight="1">
      <c r="C34" s="10">
        <v>40030112</v>
      </c>
      <c r="D34" s="11" t="s">
        <v>59</v>
      </c>
      <c r="E34" s="12">
        <v>0</v>
      </c>
      <c r="F34" s="12">
        <v>0</v>
      </c>
      <c r="G34" s="12">
        <v>1</v>
      </c>
      <c r="H34" s="12">
        <v>10</v>
      </c>
      <c r="I34" s="12">
        <v>0.3</v>
      </c>
      <c r="J34" s="16">
        <v>0</v>
      </c>
      <c r="K34" s="16">
        <v>0</v>
      </c>
      <c r="L34" s="15">
        <v>0</v>
      </c>
      <c r="M34" s="15">
        <v>0</v>
      </c>
      <c r="N34" s="15">
        <v>50</v>
      </c>
      <c r="O34" s="17">
        <v>0</v>
      </c>
      <c r="P34" s="17">
        <v>0</v>
      </c>
      <c r="Q34" s="12">
        <v>0</v>
      </c>
      <c r="R34" s="12">
        <v>0</v>
      </c>
      <c r="S34" s="12">
        <v>0</v>
      </c>
      <c r="T34" s="12">
        <v>0</v>
      </c>
      <c r="U34" s="15">
        <v>0</v>
      </c>
      <c r="V34" s="15">
        <v>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6">
        <v>0</v>
      </c>
      <c r="AC34" s="16">
        <v>0</v>
      </c>
      <c r="AD34" s="16">
        <v>0</v>
      </c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  <c r="BM34" s="22"/>
      <c r="BN34" s="22"/>
      <c r="BO34" s="22"/>
      <c r="BP34" s="22"/>
      <c r="BQ34" s="22"/>
      <c r="BR34" s="22"/>
      <c r="BS34" s="22"/>
      <c r="BT34" s="22"/>
      <c r="BU34" s="22"/>
      <c r="BV34" s="22"/>
      <c r="BW34" s="22"/>
      <c r="BX34" s="22"/>
      <c r="BY34" s="22"/>
      <c r="BZ34" s="22"/>
      <c r="CA34" s="22"/>
      <c r="CB34" s="22"/>
      <c r="CC34" s="22"/>
      <c r="CD34" s="22"/>
      <c r="CE34" s="22"/>
      <c r="CF34" s="22"/>
      <c r="CG34" s="22"/>
      <c r="CH34" s="22"/>
      <c r="CI34" s="22"/>
      <c r="CJ34" s="22"/>
      <c r="CK34" s="22"/>
      <c r="CL34" s="22"/>
      <c r="CM34" s="22"/>
      <c r="CN34" s="22"/>
      <c r="CO34" s="22"/>
      <c r="CP34" s="22"/>
      <c r="CQ34" s="22"/>
      <c r="CR34" s="22"/>
      <c r="CS34" s="22"/>
      <c r="CT34" s="22"/>
      <c r="CU34" s="22"/>
      <c r="CV34" s="22"/>
      <c r="CW34" s="22"/>
      <c r="CX34" s="22"/>
      <c r="CY34" s="22"/>
      <c r="CZ34" s="22"/>
      <c r="DA34" s="22"/>
      <c r="DB34" s="22"/>
      <c r="DC34" s="22"/>
      <c r="DD34" s="22"/>
      <c r="DE34" s="22"/>
      <c r="DF34" s="22"/>
      <c r="DG34" s="22"/>
      <c r="DH34" s="22"/>
      <c r="DI34" s="22"/>
      <c r="DJ34" s="22"/>
      <c r="DK34" s="22"/>
      <c r="DL34" s="22"/>
      <c r="DM34" s="22"/>
      <c r="DN34" s="22"/>
      <c r="DO34" s="22"/>
      <c r="DP34" s="22"/>
      <c r="DQ34" s="22"/>
      <c r="DR34" s="22"/>
      <c r="DS34" s="22"/>
      <c r="DT34" s="22"/>
      <c r="DU34" s="22"/>
      <c r="DV34" s="22"/>
      <c r="DW34" s="22"/>
      <c r="DX34" s="22"/>
      <c r="DY34" s="22"/>
      <c r="DZ34" s="22"/>
      <c r="EA34" s="22"/>
      <c r="EB34" s="22"/>
      <c r="EC34" s="22"/>
      <c r="ED34" s="22"/>
      <c r="EE34" s="22"/>
      <c r="EF34" s="22"/>
      <c r="EG34" s="22"/>
      <c r="EH34" s="22"/>
      <c r="EI34" s="22"/>
      <c r="EJ34" s="22"/>
      <c r="EK34" s="22"/>
      <c r="EL34" s="22"/>
      <c r="EM34" s="22"/>
      <c r="EN34" s="22"/>
      <c r="EO34" s="22"/>
      <c r="EP34" s="22"/>
      <c r="EQ34" s="22"/>
      <c r="ER34" s="22"/>
      <c r="ES34" s="22"/>
      <c r="ET34" s="22"/>
      <c r="EU34" s="22"/>
      <c r="EV34" s="22"/>
      <c r="EW34" s="22"/>
      <c r="EX34" s="22"/>
      <c r="EY34" s="22"/>
      <c r="EZ34" s="22"/>
      <c r="FA34" s="22"/>
      <c r="FB34" s="22"/>
      <c r="FC34" s="22"/>
      <c r="FD34" s="22"/>
      <c r="FE34" s="22"/>
      <c r="FF34" s="22"/>
      <c r="FG34" s="22"/>
      <c r="FH34" s="22"/>
      <c r="FI34" s="22"/>
      <c r="FJ34" s="22"/>
      <c r="FK34" s="22"/>
      <c r="FL34" s="22"/>
      <c r="FM34" s="22"/>
      <c r="FN34" s="22"/>
      <c r="FO34" s="22"/>
      <c r="FP34" s="22"/>
      <c r="FQ34" s="22"/>
      <c r="FR34" s="22"/>
      <c r="FS34" s="22"/>
      <c r="FT34" s="22"/>
      <c r="FU34" s="22"/>
      <c r="FV34" s="22"/>
      <c r="FW34" s="22"/>
      <c r="FX34" s="22"/>
      <c r="FY34" s="22"/>
      <c r="FZ34" s="22"/>
      <c r="GA34" s="22"/>
      <c r="GB34" s="22"/>
      <c r="GC34" s="22"/>
      <c r="GD34" s="22"/>
      <c r="GE34" s="22"/>
      <c r="GF34" s="22"/>
      <c r="GG34" s="22"/>
      <c r="GH34" s="22"/>
      <c r="GI34" s="22"/>
      <c r="GJ34" s="22"/>
      <c r="GK34" s="22"/>
      <c r="GL34" s="22"/>
      <c r="GM34" s="22"/>
      <c r="GN34" s="22"/>
      <c r="GO34" s="22"/>
      <c r="GP34" s="22"/>
      <c r="GQ34" s="22"/>
    </row>
    <row r="35" spans="3:199" s="2" customFormat="1" ht="20.100000000000001" customHeight="1">
      <c r="C35" s="10">
        <v>40030113</v>
      </c>
      <c r="D35" s="11" t="s">
        <v>71</v>
      </c>
      <c r="E35" s="12">
        <v>0</v>
      </c>
      <c r="F35" s="12">
        <v>0</v>
      </c>
      <c r="G35" s="12">
        <v>1</v>
      </c>
      <c r="H35" s="12">
        <v>10</v>
      </c>
      <c r="I35" s="12">
        <v>0.3</v>
      </c>
      <c r="J35" s="16">
        <v>0</v>
      </c>
      <c r="K35" s="16">
        <v>0</v>
      </c>
      <c r="L35" s="15">
        <v>0</v>
      </c>
      <c r="M35" s="15">
        <v>10</v>
      </c>
      <c r="N35" s="15">
        <v>100</v>
      </c>
      <c r="O35" s="17">
        <v>0</v>
      </c>
      <c r="P35" s="17">
        <v>0</v>
      </c>
      <c r="Q35" s="12">
        <v>0</v>
      </c>
      <c r="R35" s="12">
        <v>0</v>
      </c>
      <c r="S35" s="12">
        <v>0</v>
      </c>
      <c r="T35" s="12">
        <v>0</v>
      </c>
      <c r="U35" s="15">
        <v>0</v>
      </c>
      <c r="V35" s="15">
        <v>0</v>
      </c>
      <c r="W35" s="15">
        <v>0</v>
      </c>
      <c r="X35" s="15">
        <v>0</v>
      </c>
      <c r="Y35" s="15">
        <v>0</v>
      </c>
      <c r="Z35" s="15">
        <v>0</v>
      </c>
      <c r="AA35" s="15">
        <v>0</v>
      </c>
      <c r="AB35" s="16">
        <v>0</v>
      </c>
      <c r="AC35" s="16">
        <v>0</v>
      </c>
      <c r="AD35" s="16">
        <v>0</v>
      </c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</row>
    <row r="36" spans="3:199" s="2" customFormat="1" ht="20.100000000000001" customHeight="1">
      <c r="C36" s="10">
        <v>40030114</v>
      </c>
      <c r="D36" s="11" t="s">
        <v>72</v>
      </c>
      <c r="E36" s="12">
        <v>0</v>
      </c>
      <c r="F36" s="12">
        <v>0</v>
      </c>
      <c r="G36" s="12">
        <v>1</v>
      </c>
      <c r="H36" s="12">
        <v>10</v>
      </c>
      <c r="I36" s="12">
        <v>0.3</v>
      </c>
      <c r="J36" s="16">
        <v>0</v>
      </c>
      <c r="K36" s="16">
        <v>0</v>
      </c>
      <c r="L36" s="18">
        <v>100</v>
      </c>
      <c r="M36" s="18">
        <v>0</v>
      </c>
      <c r="N36" s="18">
        <v>0</v>
      </c>
      <c r="O36" s="17">
        <v>0</v>
      </c>
      <c r="P36" s="17">
        <v>0</v>
      </c>
      <c r="Q36" s="12">
        <v>0</v>
      </c>
      <c r="R36" s="12">
        <v>10</v>
      </c>
      <c r="S36" s="12">
        <v>0</v>
      </c>
      <c r="T36" s="12">
        <v>10</v>
      </c>
      <c r="U36" s="18">
        <v>0</v>
      </c>
      <c r="V36" s="18">
        <v>0</v>
      </c>
      <c r="W36" s="18">
        <v>0</v>
      </c>
      <c r="X36" s="18">
        <v>0</v>
      </c>
      <c r="Y36" s="18">
        <v>0</v>
      </c>
      <c r="Z36" s="18">
        <v>0</v>
      </c>
      <c r="AA36" s="18">
        <v>0</v>
      </c>
      <c r="AB36" s="16">
        <v>0</v>
      </c>
      <c r="AC36" s="16">
        <v>0</v>
      </c>
      <c r="AD36" s="16">
        <v>0</v>
      </c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22"/>
      <c r="BN36" s="22"/>
      <c r="BO36" s="22"/>
      <c r="BP36" s="22"/>
      <c r="BQ36" s="22"/>
      <c r="BR36" s="22"/>
      <c r="BS36" s="22"/>
      <c r="BT36" s="22"/>
      <c r="BU36" s="22"/>
      <c r="BV36" s="22"/>
      <c r="BW36" s="22"/>
      <c r="BX36" s="22"/>
      <c r="BY36" s="22"/>
      <c r="BZ36" s="22"/>
      <c r="CA36" s="22"/>
      <c r="CB36" s="22"/>
      <c r="CC36" s="22"/>
      <c r="CD36" s="22"/>
      <c r="CE36" s="22"/>
      <c r="CF36" s="22"/>
      <c r="CG36" s="22"/>
      <c r="CH36" s="22"/>
      <c r="CI36" s="22"/>
      <c r="CJ36" s="22"/>
      <c r="CK36" s="22"/>
      <c r="CL36" s="22"/>
      <c r="CM36" s="22"/>
      <c r="CN36" s="22"/>
      <c r="CO36" s="22"/>
      <c r="CP36" s="22"/>
      <c r="CQ36" s="22"/>
      <c r="CR36" s="22"/>
      <c r="CS36" s="22"/>
      <c r="CT36" s="22"/>
      <c r="CU36" s="22"/>
      <c r="CV36" s="22"/>
      <c r="CW36" s="22"/>
      <c r="CX36" s="22"/>
      <c r="CY36" s="22"/>
      <c r="CZ36" s="22"/>
      <c r="DA36" s="22"/>
      <c r="DB36" s="22"/>
      <c r="DC36" s="22"/>
      <c r="DD36" s="22"/>
      <c r="DE36" s="22"/>
      <c r="DF36" s="22"/>
      <c r="DG36" s="22"/>
      <c r="DH36" s="22"/>
      <c r="DI36" s="22"/>
      <c r="DJ36" s="22"/>
      <c r="DK36" s="22"/>
      <c r="DL36" s="22"/>
      <c r="DM36" s="22"/>
      <c r="DN36" s="22"/>
      <c r="DO36" s="22"/>
      <c r="DP36" s="22"/>
      <c r="DQ36" s="22"/>
      <c r="DR36" s="22"/>
      <c r="DS36" s="22"/>
      <c r="DT36" s="22"/>
      <c r="DU36" s="22"/>
      <c r="DV36" s="22"/>
      <c r="DW36" s="22"/>
      <c r="DX36" s="22"/>
      <c r="DY36" s="22"/>
      <c r="DZ36" s="22"/>
      <c r="EA36" s="22"/>
      <c r="EB36" s="22"/>
      <c r="EC36" s="22"/>
      <c r="ED36" s="22"/>
      <c r="EE36" s="22"/>
      <c r="EF36" s="22"/>
      <c r="EG36" s="22"/>
      <c r="EH36" s="22"/>
      <c r="EI36" s="22"/>
      <c r="EJ36" s="22"/>
      <c r="EK36" s="22"/>
      <c r="EL36" s="22"/>
      <c r="EM36" s="22"/>
      <c r="EN36" s="22"/>
      <c r="EO36" s="22"/>
      <c r="EP36" s="22"/>
      <c r="EQ36" s="22"/>
      <c r="ER36" s="22"/>
      <c r="ES36" s="22"/>
      <c r="ET36" s="22"/>
      <c r="EU36" s="22"/>
      <c r="EV36" s="22"/>
      <c r="EW36" s="22"/>
      <c r="EX36" s="22"/>
      <c r="EY36" s="22"/>
      <c r="EZ36" s="22"/>
      <c r="FA36" s="22"/>
      <c r="FB36" s="22"/>
      <c r="FC36" s="22"/>
      <c r="FD36" s="22"/>
      <c r="FE36" s="22"/>
      <c r="FF36" s="22"/>
      <c r="FG36" s="22"/>
      <c r="FH36" s="22"/>
      <c r="FI36" s="22"/>
      <c r="FJ36" s="22"/>
      <c r="FK36" s="22"/>
      <c r="FL36" s="22"/>
      <c r="FM36" s="22"/>
      <c r="FN36" s="22"/>
      <c r="FO36" s="22"/>
      <c r="FP36" s="22"/>
      <c r="FQ36" s="22"/>
      <c r="FR36" s="22"/>
      <c r="FS36" s="22"/>
      <c r="FT36" s="22"/>
      <c r="FU36" s="22"/>
      <c r="FV36" s="22"/>
      <c r="FW36" s="22"/>
      <c r="FX36" s="22"/>
      <c r="FY36" s="22"/>
      <c r="FZ36" s="22"/>
      <c r="GA36" s="22"/>
      <c r="GB36" s="22"/>
      <c r="GC36" s="22"/>
      <c r="GD36" s="22"/>
      <c r="GE36" s="22"/>
      <c r="GF36" s="22"/>
      <c r="GG36" s="22"/>
      <c r="GH36" s="22"/>
      <c r="GI36" s="22"/>
      <c r="GJ36" s="22"/>
      <c r="GK36" s="22"/>
      <c r="GL36" s="22"/>
      <c r="GM36" s="22"/>
      <c r="GN36" s="22"/>
      <c r="GO36" s="22"/>
      <c r="GP36" s="22"/>
      <c r="GQ36" s="22"/>
    </row>
    <row r="37" spans="3:199" s="2" customFormat="1" ht="20.100000000000001" customHeight="1">
      <c r="C37" s="10">
        <v>40030201</v>
      </c>
      <c r="D37" s="11" t="s">
        <v>73</v>
      </c>
      <c r="E37" s="12">
        <v>0</v>
      </c>
      <c r="F37" s="12">
        <v>0</v>
      </c>
      <c r="G37" s="12">
        <v>1</v>
      </c>
      <c r="H37" s="12">
        <v>10</v>
      </c>
      <c r="I37" s="12">
        <v>0.3</v>
      </c>
      <c r="J37" s="16">
        <v>0</v>
      </c>
      <c r="K37" s="16">
        <v>0</v>
      </c>
      <c r="L37" s="15">
        <v>0</v>
      </c>
      <c r="M37" s="15">
        <v>10</v>
      </c>
      <c r="N37" s="15">
        <v>10</v>
      </c>
      <c r="O37" s="17">
        <v>0</v>
      </c>
      <c r="P37" s="17">
        <v>0</v>
      </c>
      <c r="Q37" s="12">
        <v>0</v>
      </c>
      <c r="R37" s="12">
        <v>10</v>
      </c>
      <c r="S37" s="12">
        <v>0</v>
      </c>
      <c r="T37" s="12">
        <v>10</v>
      </c>
      <c r="U37" s="15">
        <v>0</v>
      </c>
      <c r="V37" s="15">
        <v>0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6">
        <v>0</v>
      </c>
      <c r="AC37" s="16">
        <v>0</v>
      </c>
      <c r="AD37" s="16">
        <v>0</v>
      </c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  <c r="BS37" s="22"/>
      <c r="BT37" s="22"/>
      <c r="BU37" s="22"/>
      <c r="BV37" s="22"/>
      <c r="BW37" s="22"/>
      <c r="BX37" s="22"/>
      <c r="BY37" s="22"/>
      <c r="BZ37" s="22"/>
      <c r="CA37" s="22"/>
      <c r="CB37" s="22"/>
      <c r="CC37" s="22"/>
      <c r="CD37" s="22"/>
      <c r="CE37" s="22"/>
      <c r="CF37" s="22"/>
      <c r="CG37" s="22"/>
      <c r="CH37" s="22"/>
      <c r="CI37" s="22"/>
      <c r="CJ37" s="22"/>
      <c r="CK37" s="22"/>
      <c r="CL37" s="22"/>
      <c r="CM37" s="22"/>
      <c r="CN37" s="22"/>
      <c r="CO37" s="22"/>
      <c r="CP37" s="22"/>
      <c r="CQ37" s="22"/>
      <c r="CR37" s="22"/>
      <c r="CS37" s="22"/>
      <c r="CT37" s="22"/>
      <c r="CU37" s="22"/>
      <c r="CV37" s="22"/>
      <c r="CW37" s="22"/>
      <c r="CX37" s="22"/>
      <c r="CY37" s="22"/>
      <c r="CZ37" s="22"/>
      <c r="DA37" s="22"/>
      <c r="DB37" s="22"/>
      <c r="DC37" s="22"/>
      <c r="DD37" s="22"/>
      <c r="DE37" s="22"/>
      <c r="DF37" s="22"/>
      <c r="DG37" s="22"/>
      <c r="DH37" s="22"/>
      <c r="DI37" s="22"/>
      <c r="DJ37" s="22"/>
      <c r="DK37" s="22"/>
      <c r="DL37" s="22"/>
      <c r="DM37" s="22"/>
      <c r="DN37" s="22"/>
      <c r="DO37" s="22"/>
      <c r="DP37" s="22"/>
      <c r="DQ37" s="22"/>
      <c r="DR37" s="22"/>
      <c r="DS37" s="22"/>
      <c r="DT37" s="22"/>
      <c r="DU37" s="22"/>
      <c r="DV37" s="22"/>
      <c r="DW37" s="22"/>
      <c r="DX37" s="22"/>
      <c r="DY37" s="22"/>
      <c r="DZ37" s="22"/>
      <c r="EA37" s="22"/>
      <c r="EB37" s="22"/>
      <c r="EC37" s="22"/>
      <c r="ED37" s="22"/>
      <c r="EE37" s="22"/>
      <c r="EF37" s="22"/>
      <c r="EG37" s="22"/>
      <c r="EH37" s="22"/>
      <c r="EI37" s="22"/>
      <c r="EJ37" s="22"/>
      <c r="EK37" s="22"/>
      <c r="EL37" s="22"/>
      <c r="EM37" s="22"/>
      <c r="EN37" s="22"/>
      <c r="EO37" s="22"/>
      <c r="EP37" s="22"/>
      <c r="EQ37" s="22"/>
      <c r="ER37" s="22"/>
      <c r="ES37" s="22"/>
      <c r="ET37" s="22"/>
      <c r="EU37" s="22"/>
      <c r="EV37" s="22"/>
      <c r="EW37" s="22"/>
      <c r="EX37" s="22"/>
      <c r="EY37" s="22"/>
      <c r="EZ37" s="22"/>
      <c r="FA37" s="22"/>
      <c r="FB37" s="22"/>
      <c r="FC37" s="22"/>
      <c r="FD37" s="22"/>
      <c r="FE37" s="22"/>
      <c r="FF37" s="22"/>
      <c r="FG37" s="22"/>
      <c r="FH37" s="22"/>
      <c r="FI37" s="22"/>
      <c r="FJ37" s="22"/>
      <c r="FK37" s="22"/>
      <c r="FL37" s="22"/>
      <c r="FM37" s="22"/>
      <c r="FN37" s="22"/>
      <c r="FO37" s="22"/>
      <c r="FP37" s="22"/>
      <c r="FQ37" s="22"/>
      <c r="FR37" s="22"/>
      <c r="FS37" s="22"/>
      <c r="FT37" s="22"/>
      <c r="FU37" s="22"/>
      <c r="FV37" s="22"/>
      <c r="FW37" s="22"/>
      <c r="FX37" s="22"/>
      <c r="FY37" s="22"/>
      <c r="FZ37" s="22"/>
      <c r="GA37" s="22"/>
      <c r="GB37" s="22"/>
      <c r="GC37" s="22"/>
      <c r="GD37" s="22"/>
      <c r="GE37" s="22"/>
      <c r="GF37" s="22"/>
      <c r="GG37" s="22"/>
      <c r="GH37" s="22"/>
      <c r="GI37" s="22"/>
      <c r="GJ37" s="22"/>
      <c r="GK37" s="22"/>
      <c r="GL37" s="22"/>
      <c r="GM37" s="22"/>
      <c r="GN37" s="22"/>
      <c r="GO37" s="22"/>
      <c r="GP37" s="22"/>
      <c r="GQ37" s="22"/>
    </row>
    <row r="38" spans="3:199" s="2" customFormat="1" ht="20.100000000000001" customHeight="1">
      <c r="C38" s="10">
        <v>40030202</v>
      </c>
      <c r="D38" s="11" t="s">
        <v>74</v>
      </c>
      <c r="E38" s="12">
        <v>0</v>
      </c>
      <c r="F38" s="12">
        <v>0</v>
      </c>
      <c r="G38" s="12">
        <v>1</v>
      </c>
      <c r="H38" s="12">
        <v>10</v>
      </c>
      <c r="I38" s="12">
        <v>0.3</v>
      </c>
      <c r="J38" s="16">
        <v>0</v>
      </c>
      <c r="K38" s="16">
        <v>0</v>
      </c>
      <c r="L38" s="15">
        <v>0</v>
      </c>
      <c r="M38" s="15">
        <v>0</v>
      </c>
      <c r="N38" s="15">
        <v>20</v>
      </c>
      <c r="O38" s="17">
        <v>0</v>
      </c>
      <c r="P38" s="17">
        <v>0</v>
      </c>
      <c r="Q38" s="12">
        <v>0</v>
      </c>
      <c r="R38" s="12">
        <v>20</v>
      </c>
      <c r="S38" s="12">
        <v>0</v>
      </c>
      <c r="T38" s="12">
        <v>0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6">
        <v>0</v>
      </c>
      <c r="AC38" s="16">
        <v>0</v>
      </c>
      <c r="AD38" s="16">
        <v>0</v>
      </c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</row>
    <row r="39" spans="3:199" s="2" customFormat="1" ht="20.100000000000001" customHeight="1">
      <c r="C39" s="10">
        <v>40030203</v>
      </c>
      <c r="D39" s="11" t="s">
        <v>75</v>
      </c>
      <c r="E39" s="12">
        <v>0</v>
      </c>
      <c r="F39" s="12">
        <v>1101</v>
      </c>
      <c r="G39" s="12">
        <v>1</v>
      </c>
      <c r="H39" s="12">
        <v>10</v>
      </c>
      <c r="I39" s="12">
        <v>0.3</v>
      </c>
      <c r="J39" s="16">
        <v>0</v>
      </c>
      <c r="K39" s="16">
        <v>0</v>
      </c>
      <c r="L39" s="15">
        <v>0</v>
      </c>
      <c r="M39" s="15">
        <v>10</v>
      </c>
      <c r="N39" s="15">
        <v>20</v>
      </c>
      <c r="O39" s="17">
        <v>0</v>
      </c>
      <c r="P39" s="17">
        <v>0</v>
      </c>
      <c r="Q39" s="12">
        <v>0</v>
      </c>
      <c r="R39" s="12">
        <v>20</v>
      </c>
      <c r="S39" s="12">
        <v>0</v>
      </c>
      <c r="T39" s="12">
        <v>10</v>
      </c>
      <c r="U39" s="15">
        <v>0</v>
      </c>
      <c r="V39" s="15">
        <v>0</v>
      </c>
      <c r="W39" s="15">
        <v>0</v>
      </c>
      <c r="X39" s="15">
        <v>0</v>
      </c>
      <c r="Y39" s="15">
        <v>0</v>
      </c>
      <c r="Z39" s="15">
        <v>0</v>
      </c>
      <c r="AA39" s="15">
        <v>0</v>
      </c>
      <c r="AB39" s="16">
        <v>0</v>
      </c>
      <c r="AC39" s="16">
        <v>0</v>
      </c>
      <c r="AD39" s="16">
        <v>0</v>
      </c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  <c r="BS39" s="22"/>
      <c r="BT39" s="22"/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  <c r="CF39" s="22"/>
      <c r="CG39" s="22"/>
      <c r="CH39" s="22"/>
      <c r="CI39" s="22"/>
      <c r="CJ39" s="22"/>
      <c r="CK39" s="22"/>
      <c r="CL39" s="22"/>
      <c r="CM39" s="22"/>
      <c r="CN39" s="22"/>
      <c r="CO39" s="22"/>
      <c r="CP39" s="22"/>
      <c r="CQ39" s="22"/>
      <c r="CR39" s="22"/>
      <c r="CS39" s="22"/>
      <c r="CT39" s="22"/>
      <c r="CU39" s="22"/>
      <c r="CV39" s="22"/>
      <c r="CW39" s="22"/>
      <c r="CX39" s="22"/>
      <c r="CY39" s="22"/>
      <c r="CZ39" s="22"/>
      <c r="DA39" s="22"/>
      <c r="DB39" s="22"/>
      <c r="DC39" s="22"/>
      <c r="DD39" s="22"/>
      <c r="DE39" s="22"/>
      <c r="DF39" s="22"/>
      <c r="DG39" s="22"/>
      <c r="DH39" s="22"/>
      <c r="DI39" s="22"/>
      <c r="DJ39" s="22"/>
      <c r="DK39" s="22"/>
      <c r="DL39" s="22"/>
      <c r="DM39" s="22"/>
      <c r="DN39" s="22"/>
      <c r="DO39" s="22"/>
      <c r="DP39" s="22"/>
      <c r="DQ39" s="22"/>
      <c r="DR39" s="22"/>
      <c r="DS39" s="22"/>
      <c r="DT39" s="22"/>
      <c r="DU39" s="22"/>
      <c r="DV39" s="22"/>
      <c r="DW39" s="22"/>
      <c r="DX39" s="22"/>
      <c r="DY39" s="22"/>
      <c r="DZ39" s="22"/>
      <c r="EA39" s="22"/>
      <c r="EB39" s="22"/>
      <c r="EC39" s="22"/>
      <c r="ED39" s="22"/>
      <c r="EE39" s="22"/>
      <c r="EF39" s="22"/>
      <c r="EG39" s="22"/>
      <c r="EH39" s="22"/>
      <c r="EI39" s="22"/>
      <c r="EJ39" s="22"/>
      <c r="EK39" s="22"/>
      <c r="EL39" s="22"/>
      <c r="EM39" s="22"/>
      <c r="EN39" s="22"/>
      <c r="EO39" s="22"/>
      <c r="EP39" s="22"/>
      <c r="EQ39" s="22"/>
      <c r="ER39" s="22"/>
      <c r="ES39" s="22"/>
      <c r="ET39" s="22"/>
      <c r="EU39" s="22"/>
      <c r="EV39" s="22"/>
      <c r="EW39" s="22"/>
      <c r="EX39" s="22"/>
      <c r="EY39" s="22"/>
      <c r="EZ39" s="22"/>
      <c r="FA39" s="22"/>
      <c r="FB39" s="22"/>
      <c r="FC39" s="22"/>
      <c r="FD39" s="22"/>
      <c r="FE39" s="22"/>
      <c r="FF39" s="22"/>
      <c r="FG39" s="22"/>
      <c r="FH39" s="22"/>
      <c r="FI39" s="22"/>
      <c r="FJ39" s="22"/>
      <c r="FK39" s="22"/>
      <c r="FL39" s="22"/>
      <c r="FM39" s="22"/>
      <c r="FN39" s="22"/>
      <c r="FO39" s="22"/>
      <c r="FP39" s="22"/>
      <c r="FQ39" s="22"/>
      <c r="FR39" s="22"/>
      <c r="FS39" s="22"/>
      <c r="FT39" s="22"/>
      <c r="FU39" s="22"/>
      <c r="FV39" s="22"/>
      <c r="FW39" s="22"/>
      <c r="FX39" s="22"/>
      <c r="FY39" s="22"/>
      <c r="FZ39" s="22"/>
      <c r="GA39" s="22"/>
      <c r="GB39" s="22"/>
      <c r="GC39" s="22"/>
      <c r="GD39" s="22"/>
      <c r="GE39" s="22"/>
      <c r="GF39" s="22"/>
      <c r="GG39" s="22"/>
      <c r="GH39" s="22"/>
      <c r="GI39" s="22"/>
      <c r="GJ39" s="22"/>
      <c r="GK39" s="22"/>
      <c r="GL39" s="22"/>
      <c r="GM39" s="22"/>
      <c r="GN39" s="22"/>
      <c r="GO39" s="22"/>
      <c r="GP39" s="22"/>
      <c r="GQ39" s="22"/>
    </row>
    <row r="40" spans="3:199" s="2" customFormat="1" ht="20.100000000000001" customHeight="1">
      <c r="C40" s="10">
        <v>40030204</v>
      </c>
      <c r="D40" s="11" t="s">
        <v>76</v>
      </c>
      <c r="E40" s="12">
        <v>0</v>
      </c>
      <c r="F40" s="12">
        <v>0</v>
      </c>
      <c r="G40" s="12">
        <v>1</v>
      </c>
      <c r="H40" s="12">
        <v>10</v>
      </c>
      <c r="I40" s="12">
        <v>0.3</v>
      </c>
      <c r="J40" s="16">
        <v>0</v>
      </c>
      <c r="K40" s="16">
        <v>0</v>
      </c>
      <c r="L40" s="15">
        <v>0</v>
      </c>
      <c r="M40" s="15">
        <v>0</v>
      </c>
      <c r="N40" s="15">
        <v>20</v>
      </c>
      <c r="O40" s="17">
        <v>0</v>
      </c>
      <c r="P40" s="17">
        <v>0</v>
      </c>
      <c r="Q40" s="12">
        <v>0</v>
      </c>
      <c r="R40" s="12">
        <v>0</v>
      </c>
      <c r="S40" s="12">
        <v>0</v>
      </c>
      <c r="T40" s="12">
        <v>10</v>
      </c>
      <c r="U40" s="15">
        <v>0</v>
      </c>
      <c r="V40" s="15">
        <v>0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6">
        <v>0</v>
      </c>
      <c r="AC40" s="16">
        <v>0</v>
      </c>
      <c r="AD40" s="16">
        <v>0</v>
      </c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2"/>
      <c r="BT40" s="22"/>
      <c r="BU40" s="22"/>
      <c r="BV40" s="22"/>
      <c r="BW40" s="22"/>
      <c r="BX40" s="22"/>
      <c r="BY40" s="22"/>
      <c r="BZ40" s="22"/>
      <c r="CA40" s="22"/>
      <c r="CB40" s="22"/>
      <c r="CC40" s="22"/>
      <c r="CD40" s="22"/>
      <c r="CE40" s="22"/>
      <c r="CF40" s="22"/>
      <c r="CG40" s="22"/>
      <c r="CH40" s="22"/>
      <c r="CI40" s="22"/>
      <c r="CJ40" s="22"/>
      <c r="CK40" s="22"/>
      <c r="CL40" s="22"/>
      <c r="CM40" s="22"/>
      <c r="CN40" s="22"/>
      <c r="CO40" s="22"/>
      <c r="CP40" s="22"/>
      <c r="CQ40" s="22"/>
      <c r="CR40" s="22"/>
      <c r="CS40" s="22"/>
      <c r="CT40" s="22"/>
      <c r="CU40" s="22"/>
      <c r="CV40" s="22"/>
      <c r="CW40" s="22"/>
      <c r="CX40" s="22"/>
      <c r="CY40" s="22"/>
      <c r="CZ40" s="22"/>
      <c r="DA40" s="22"/>
      <c r="DB40" s="22"/>
      <c r="DC40" s="22"/>
      <c r="DD40" s="22"/>
      <c r="DE40" s="22"/>
      <c r="DF40" s="22"/>
      <c r="DG40" s="22"/>
      <c r="DH40" s="22"/>
      <c r="DI40" s="22"/>
      <c r="DJ40" s="22"/>
      <c r="DK40" s="22"/>
      <c r="DL40" s="22"/>
      <c r="DM40" s="22"/>
      <c r="DN40" s="22"/>
      <c r="DO40" s="22"/>
      <c r="DP40" s="22"/>
      <c r="DQ40" s="22"/>
      <c r="DR40" s="22"/>
      <c r="DS40" s="22"/>
      <c r="DT40" s="22"/>
      <c r="DU40" s="22"/>
      <c r="DV40" s="22"/>
      <c r="DW40" s="22"/>
      <c r="DX40" s="22"/>
      <c r="DY40" s="22"/>
      <c r="DZ40" s="22"/>
      <c r="EA40" s="22"/>
      <c r="EB40" s="22"/>
      <c r="EC40" s="22"/>
      <c r="ED40" s="22"/>
      <c r="EE40" s="22"/>
      <c r="EF40" s="22"/>
      <c r="EG40" s="22"/>
      <c r="EH40" s="22"/>
      <c r="EI40" s="22"/>
      <c r="EJ40" s="22"/>
      <c r="EK40" s="22"/>
      <c r="EL40" s="22"/>
      <c r="EM40" s="22"/>
      <c r="EN40" s="22"/>
      <c r="EO40" s="22"/>
      <c r="EP40" s="22"/>
      <c r="EQ40" s="22"/>
      <c r="ER40" s="22"/>
      <c r="ES40" s="22"/>
      <c r="ET40" s="22"/>
      <c r="EU40" s="22"/>
      <c r="EV40" s="22"/>
      <c r="EW40" s="22"/>
      <c r="EX40" s="22"/>
      <c r="EY40" s="22"/>
      <c r="EZ40" s="22"/>
      <c r="FA40" s="22"/>
      <c r="FB40" s="22"/>
      <c r="FC40" s="22"/>
      <c r="FD40" s="22"/>
      <c r="FE40" s="22"/>
      <c r="FF40" s="22"/>
      <c r="FG40" s="22"/>
      <c r="FH40" s="22"/>
      <c r="FI40" s="22"/>
      <c r="FJ40" s="22"/>
      <c r="FK40" s="22"/>
      <c r="FL40" s="22"/>
      <c r="FM40" s="22"/>
      <c r="FN40" s="22"/>
      <c r="FO40" s="22"/>
      <c r="FP40" s="22"/>
      <c r="FQ40" s="22"/>
      <c r="FR40" s="22"/>
      <c r="FS40" s="22"/>
      <c r="FT40" s="22"/>
      <c r="FU40" s="22"/>
      <c r="FV40" s="22"/>
      <c r="FW40" s="22"/>
      <c r="FX40" s="22"/>
      <c r="FY40" s="22"/>
      <c r="FZ40" s="22"/>
      <c r="GA40" s="22"/>
      <c r="GB40" s="22"/>
      <c r="GC40" s="22"/>
      <c r="GD40" s="22"/>
      <c r="GE40" s="22"/>
      <c r="GF40" s="22"/>
      <c r="GG40" s="22"/>
      <c r="GH40" s="22"/>
      <c r="GI40" s="22"/>
      <c r="GJ40" s="22"/>
      <c r="GK40" s="22"/>
      <c r="GL40" s="22"/>
      <c r="GM40" s="22"/>
      <c r="GN40" s="22"/>
      <c r="GO40" s="22"/>
      <c r="GP40" s="22"/>
      <c r="GQ40" s="22"/>
    </row>
    <row r="41" spans="3:199" s="2" customFormat="1" ht="20.100000000000001" customHeight="1">
      <c r="C41" s="10">
        <v>40030205</v>
      </c>
      <c r="D41" s="11" t="s">
        <v>77</v>
      </c>
      <c r="E41" s="12">
        <v>0</v>
      </c>
      <c r="F41" s="12">
        <v>0</v>
      </c>
      <c r="G41" s="12">
        <v>1</v>
      </c>
      <c r="H41" s="12">
        <v>10</v>
      </c>
      <c r="I41" s="12">
        <v>0.3</v>
      </c>
      <c r="J41" s="16">
        <v>0</v>
      </c>
      <c r="K41" s="16">
        <v>0</v>
      </c>
      <c r="L41" s="15">
        <v>0</v>
      </c>
      <c r="M41" s="15">
        <v>10</v>
      </c>
      <c r="N41" s="15">
        <v>20</v>
      </c>
      <c r="O41" s="17">
        <v>0</v>
      </c>
      <c r="P41" s="17">
        <v>0</v>
      </c>
      <c r="Q41" s="12">
        <v>0</v>
      </c>
      <c r="R41" s="12">
        <v>0</v>
      </c>
      <c r="S41" s="12">
        <v>0</v>
      </c>
      <c r="T41" s="12">
        <v>10</v>
      </c>
      <c r="U41" s="15">
        <v>0</v>
      </c>
      <c r="V41" s="15">
        <v>0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6">
        <v>0</v>
      </c>
      <c r="AC41" s="16">
        <v>0</v>
      </c>
      <c r="AD41" s="16">
        <v>0</v>
      </c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</row>
    <row r="42" spans="3:199" s="2" customFormat="1" ht="20.100000000000001" customHeight="1">
      <c r="C42" s="10">
        <v>40030206</v>
      </c>
      <c r="D42" s="11" t="s">
        <v>78</v>
      </c>
      <c r="E42" s="12">
        <v>0</v>
      </c>
      <c r="F42" s="12">
        <v>0</v>
      </c>
      <c r="G42" s="12">
        <v>1</v>
      </c>
      <c r="H42" s="12">
        <v>10</v>
      </c>
      <c r="I42" s="12">
        <v>0.3</v>
      </c>
      <c r="J42" s="16">
        <v>0</v>
      </c>
      <c r="K42" s="16">
        <v>0</v>
      </c>
      <c r="L42" s="15">
        <v>0</v>
      </c>
      <c r="M42" s="15">
        <v>10</v>
      </c>
      <c r="N42" s="15">
        <v>20</v>
      </c>
      <c r="O42" s="17">
        <v>0</v>
      </c>
      <c r="P42" s="17">
        <v>0</v>
      </c>
      <c r="Q42" s="12">
        <v>0</v>
      </c>
      <c r="R42" s="12">
        <v>10</v>
      </c>
      <c r="S42" s="12">
        <v>0</v>
      </c>
      <c r="T42" s="12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6">
        <v>0</v>
      </c>
      <c r="AC42" s="16">
        <v>0</v>
      </c>
      <c r="AD42" s="16">
        <v>0</v>
      </c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2"/>
      <c r="BS42" s="22"/>
      <c r="BT42" s="22"/>
      <c r="BU42" s="22"/>
      <c r="BV42" s="22"/>
      <c r="BW42" s="22"/>
      <c r="BX42" s="22"/>
      <c r="BY42" s="22"/>
      <c r="BZ42" s="22"/>
      <c r="CA42" s="22"/>
      <c r="CB42" s="22"/>
      <c r="CC42" s="22"/>
      <c r="CD42" s="22"/>
      <c r="CE42" s="22"/>
      <c r="CF42" s="22"/>
      <c r="CG42" s="22"/>
      <c r="CH42" s="22"/>
      <c r="CI42" s="22"/>
      <c r="CJ42" s="22"/>
      <c r="CK42" s="22"/>
      <c r="CL42" s="22"/>
      <c r="CM42" s="22"/>
      <c r="CN42" s="22"/>
      <c r="CO42" s="22"/>
      <c r="CP42" s="22"/>
      <c r="CQ42" s="22"/>
      <c r="CR42" s="22"/>
      <c r="CS42" s="22"/>
      <c r="CT42" s="22"/>
      <c r="CU42" s="22"/>
      <c r="CV42" s="22"/>
      <c r="CW42" s="22"/>
      <c r="CX42" s="22"/>
      <c r="CY42" s="22"/>
      <c r="CZ42" s="22"/>
      <c r="DA42" s="22"/>
      <c r="DB42" s="22"/>
      <c r="DC42" s="22"/>
      <c r="DD42" s="22"/>
      <c r="DE42" s="22"/>
      <c r="DF42" s="22"/>
      <c r="DG42" s="22"/>
      <c r="DH42" s="22"/>
      <c r="DI42" s="22"/>
      <c r="DJ42" s="22"/>
      <c r="DK42" s="22"/>
      <c r="DL42" s="22"/>
      <c r="DM42" s="22"/>
      <c r="DN42" s="22"/>
      <c r="DO42" s="22"/>
      <c r="DP42" s="22"/>
      <c r="DQ42" s="22"/>
      <c r="DR42" s="22"/>
      <c r="DS42" s="22"/>
      <c r="DT42" s="22"/>
      <c r="DU42" s="22"/>
      <c r="DV42" s="22"/>
      <c r="DW42" s="22"/>
      <c r="DX42" s="22"/>
      <c r="DY42" s="22"/>
      <c r="DZ42" s="22"/>
      <c r="EA42" s="22"/>
      <c r="EB42" s="22"/>
      <c r="EC42" s="22"/>
      <c r="ED42" s="22"/>
      <c r="EE42" s="22"/>
      <c r="EF42" s="22"/>
      <c r="EG42" s="22"/>
      <c r="EH42" s="22"/>
      <c r="EI42" s="22"/>
      <c r="EJ42" s="22"/>
      <c r="EK42" s="22"/>
      <c r="EL42" s="22"/>
      <c r="EM42" s="22"/>
      <c r="EN42" s="22"/>
      <c r="EO42" s="22"/>
      <c r="EP42" s="22"/>
      <c r="EQ42" s="22"/>
      <c r="ER42" s="22"/>
      <c r="ES42" s="22"/>
      <c r="ET42" s="22"/>
      <c r="EU42" s="22"/>
      <c r="EV42" s="22"/>
      <c r="EW42" s="22"/>
      <c r="EX42" s="22"/>
      <c r="EY42" s="22"/>
      <c r="EZ42" s="22"/>
      <c r="FA42" s="22"/>
      <c r="FB42" s="22"/>
      <c r="FC42" s="22"/>
      <c r="FD42" s="22"/>
      <c r="FE42" s="22"/>
      <c r="FF42" s="22"/>
      <c r="FG42" s="22"/>
      <c r="FH42" s="22"/>
      <c r="FI42" s="22"/>
      <c r="FJ42" s="22"/>
      <c r="FK42" s="22"/>
      <c r="FL42" s="22"/>
      <c r="FM42" s="22"/>
      <c r="FN42" s="22"/>
      <c r="FO42" s="22"/>
      <c r="FP42" s="22"/>
      <c r="FQ42" s="22"/>
      <c r="FR42" s="22"/>
      <c r="FS42" s="22"/>
      <c r="FT42" s="22"/>
      <c r="FU42" s="22"/>
      <c r="FV42" s="22"/>
      <c r="FW42" s="22"/>
      <c r="FX42" s="22"/>
      <c r="FY42" s="22"/>
      <c r="FZ42" s="22"/>
      <c r="GA42" s="22"/>
      <c r="GB42" s="22"/>
      <c r="GC42" s="22"/>
      <c r="GD42" s="22"/>
      <c r="GE42" s="22"/>
      <c r="GF42" s="22"/>
      <c r="GG42" s="22"/>
      <c r="GH42" s="22"/>
      <c r="GI42" s="22"/>
      <c r="GJ42" s="22"/>
      <c r="GK42" s="22"/>
      <c r="GL42" s="22"/>
      <c r="GM42" s="22"/>
      <c r="GN42" s="22"/>
      <c r="GO42" s="22"/>
      <c r="GP42" s="22"/>
      <c r="GQ42" s="22"/>
    </row>
    <row r="43" spans="3:199" s="2" customFormat="1" ht="20.100000000000001" customHeight="1">
      <c r="C43" s="10">
        <v>40030207</v>
      </c>
      <c r="D43" s="11" t="s">
        <v>79</v>
      </c>
      <c r="E43" s="12">
        <v>0</v>
      </c>
      <c r="F43" s="12">
        <v>0</v>
      </c>
      <c r="G43" s="12">
        <v>1</v>
      </c>
      <c r="H43" s="12">
        <v>10</v>
      </c>
      <c r="I43" s="12">
        <v>0.3</v>
      </c>
      <c r="J43" s="16">
        <v>0</v>
      </c>
      <c r="K43" s="16">
        <v>0</v>
      </c>
      <c r="L43" s="15">
        <v>0</v>
      </c>
      <c r="M43" s="15">
        <v>20</v>
      </c>
      <c r="N43" s="15">
        <v>40</v>
      </c>
      <c r="O43" s="17">
        <v>0</v>
      </c>
      <c r="P43" s="17">
        <v>0</v>
      </c>
      <c r="Q43" s="12">
        <v>0</v>
      </c>
      <c r="R43" s="12">
        <v>0</v>
      </c>
      <c r="S43" s="12">
        <v>0</v>
      </c>
      <c r="T43" s="12">
        <v>10</v>
      </c>
      <c r="U43" s="15">
        <v>0</v>
      </c>
      <c r="V43" s="15">
        <v>0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6">
        <v>0</v>
      </c>
      <c r="AC43" s="16">
        <v>0</v>
      </c>
      <c r="AD43" s="16">
        <v>0</v>
      </c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2"/>
      <c r="CJ43" s="22"/>
      <c r="CK43" s="22"/>
      <c r="CL43" s="22"/>
      <c r="CM43" s="22"/>
      <c r="CN43" s="22"/>
      <c r="CO43" s="22"/>
      <c r="CP43" s="22"/>
      <c r="CQ43" s="22"/>
      <c r="CR43" s="22"/>
      <c r="CS43" s="22"/>
      <c r="CT43" s="22"/>
      <c r="CU43" s="22"/>
      <c r="CV43" s="22"/>
      <c r="CW43" s="22"/>
      <c r="CX43" s="22"/>
      <c r="CY43" s="22"/>
      <c r="CZ43" s="22"/>
      <c r="DA43" s="22"/>
      <c r="DB43" s="22"/>
      <c r="DC43" s="22"/>
      <c r="DD43" s="22"/>
      <c r="DE43" s="22"/>
      <c r="DF43" s="22"/>
      <c r="DG43" s="22"/>
      <c r="DH43" s="22"/>
      <c r="DI43" s="22"/>
      <c r="DJ43" s="22"/>
      <c r="DK43" s="22"/>
      <c r="DL43" s="22"/>
      <c r="DM43" s="22"/>
      <c r="DN43" s="22"/>
      <c r="DO43" s="22"/>
      <c r="DP43" s="22"/>
      <c r="DQ43" s="22"/>
      <c r="DR43" s="22"/>
      <c r="DS43" s="22"/>
      <c r="DT43" s="22"/>
      <c r="DU43" s="22"/>
      <c r="DV43" s="22"/>
      <c r="DW43" s="22"/>
      <c r="DX43" s="22"/>
      <c r="DY43" s="22"/>
      <c r="DZ43" s="22"/>
      <c r="EA43" s="22"/>
      <c r="EB43" s="22"/>
      <c r="EC43" s="22"/>
      <c r="ED43" s="22"/>
      <c r="EE43" s="22"/>
      <c r="EF43" s="22"/>
      <c r="EG43" s="22"/>
      <c r="EH43" s="22"/>
      <c r="EI43" s="22"/>
      <c r="EJ43" s="22"/>
      <c r="EK43" s="22"/>
      <c r="EL43" s="22"/>
      <c r="EM43" s="22"/>
      <c r="EN43" s="22"/>
      <c r="EO43" s="22"/>
      <c r="EP43" s="22"/>
      <c r="EQ43" s="22"/>
      <c r="ER43" s="22"/>
      <c r="ES43" s="22"/>
      <c r="ET43" s="22"/>
      <c r="EU43" s="22"/>
      <c r="EV43" s="22"/>
      <c r="EW43" s="22"/>
      <c r="EX43" s="22"/>
      <c r="EY43" s="22"/>
      <c r="EZ43" s="22"/>
      <c r="FA43" s="22"/>
      <c r="FB43" s="22"/>
      <c r="FC43" s="22"/>
      <c r="FD43" s="22"/>
      <c r="FE43" s="22"/>
      <c r="FF43" s="22"/>
      <c r="FG43" s="22"/>
      <c r="FH43" s="22"/>
      <c r="FI43" s="22"/>
      <c r="FJ43" s="22"/>
      <c r="FK43" s="22"/>
      <c r="FL43" s="22"/>
      <c r="FM43" s="22"/>
      <c r="FN43" s="22"/>
      <c r="FO43" s="22"/>
      <c r="FP43" s="22"/>
      <c r="FQ43" s="22"/>
      <c r="FR43" s="22"/>
      <c r="FS43" s="22"/>
      <c r="FT43" s="22"/>
      <c r="FU43" s="22"/>
      <c r="FV43" s="22"/>
      <c r="FW43" s="22"/>
      <c r="FX43" s="22"/>
      <c r="FY43" s="22"/>
      <c r="FZ43" s="22"/>
      <c r="GA43" s="22"/>
      <c r="GB43" s="22"/>
      <c r="GC43" s="22"/>
      <c r="GD43" s="22"/>
      <c r="GE43" s="22"/>
      <c r="GF43" s="22"/>
      <c r="GG43" s="22"/>
      <c r="GH43" s="22"/>
      <c r="GI43" s="22"/>
      <c r="GJ43" s="22"/>
      <c r="GK43" s="22"/>
      <c r="GL43" s="22"/>
      <c r="GM43" s="22"/>
      <c r="GN43" s="22"/>
      <c r="GO43" s="22"/>
      <c r="GP43" s="22"/>
      <c r="GQ43" s="22"/>
    </row>
    <row r="44" spans="3:199" s="2" customFormat="1" ht="20.100000000000001" customHeight="1">
      <c r="C44" s="10">
        <v>40030208</v>
      </c>
      <c r="D44" s="11" t="s">
        <v>80</v>
      </c>
      <c r="E44" s="12">
        <v>0</v>
      </c>
      <c r="F44" s="12">
        <v>1102</v>
      </c>
      <c r="G44" s="12">
        <v>1</v>
      </c>
      <c r="H44" s="12">
        <v>10</v>
      </c>
      <c r="I44" s="12">
        <v>0.3</v>
      </c>
      <c r="J44" s="16">
        <v>0</v>
      </c>
      <c r="K44" s="16">
        <v>0</v>
      </c>
      <c r="L44" s="15">
        <v>0</v>
      </c>
      <c r="M44" s="15">
        <v>0</v>
      </c>
      <c r="N44" s="15">
        <v>0</v>
      </c>
      <c r="O44" s="17">
        <v>0</v>
      </c>
      <c r="P44" s="17">
        <v>0</v>
      </c>
      <c r="Q44" s="12">
        <v>10</v>
      </c>
      <c r="R44" s="12">
        <v>20</v>
      </c>
      <c r="S44" s="12">
        <v>0</v>
      </c>
      <c r="T44" s="12">
        <v>0</v>
      </c>
      <c r="U44" s="15">
        <v>0</v>
      </c>
      <c r="V44" s="15">
        <v>0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6">
        <v>0</v>
      </c>
      <c r="AC44" s="16">
        <v>0</v>
      </c>
      <c r="AD44" s="16">
        <v>0</v>
      </c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</row>
    <row r="45" spans="3:199" s="2" customFormat="1" ht="20.100000000000001" customHeight="1">
      <c r="C45" s="10">
        <v>40030209</v>
      </c>
      <c r="D45" s="11" t="s">
        <v>81</v>
      </c>
      <c r="E45" s="12">
        <v>0</v>
      </c>
      <c r="F45" s="12">
        <v>0</v>
      </c>
      <c r="G45" s="12">
        <v>1</v>
      </c>
      <c r="H45" s="12">
        <v>10</v>
      </c>
      <c r="I45" s="12">
        <v>0.3</v>
      </c>
      <c r="J45" s="16">
        <v>0</v>
      </c>
      <c r="K45" s="16">
        <v>0</v>
      </c>
      <c r="L45" s="15">
        <v>0</v>
      </c>
      <c r="M45" s="15">
        <v>10</v>
      </c>
      <c r="N45" s="15">
        <v>20</v>
      </c>
      <c r="O45" s="17">
        <v>0</v>
      </c>
      <c r="P45" s="17">
        <v>0</v>
      </c>
      <c r="Q45" s="12">
        <v>20</v>
      </c>
      <c r="R45" s="12">
        <v>20</v>
      </c>
      <c r="S45" s="12">
        <v>0</v>
      </c>
      <c r="T45" s="12">
        <v>0</v>
      </c>
      <c r="U45" s="15">
        <v>0</v>
      </c>
      <c r="V45" s="15">
        <v>0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6">
        <v>0</v>
      </c>
      <c r="AC45" s="16">
        <v>0</v>
      </c>
      <c r="AD45" s="16">
        <v>0</v>
      </c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  <c r="BM45" s="22"/>
      <c r="BN45" s="22"/>
      <c r="BO45" s="22"/>
      <c r="BP45" s="22"/>
      <c r="BQ45" s="22"/>
      <c r="BR45" s="22"/>
      <c r="BS45" s="22"/>
      <c r="BT45" s="22"/>
      <c r="BU45" s="22"/>
      <c r="BV45" s="22"/>
      <c r="BW45" s="22"/>
      <c r="BX45" s="22"/>
      <c r="BY45" s="22"/>
      <c r="BZ45" s="22"/>
      <c r="CA45" s="22"/>
      <c r="CB45" s="22"/>
      <c r="CC45" s="22"/>
      <c r="CD45" s="22"/>
      <c r="CE45" s="22"/>
      <c r="CF45" s="22"/>
      <c r="CG45" s="22"/>
      <c r="CH45" s="22"/>
      <c r="CI45" s="22"/>
      <c r="CJ45" s="22"/>
      <c r="CK45" s="22"/>
      <c r="CL45" s="22"/>
      <c r="CM45" s="22"/>
      <c r="CN45" s="22"/>
      <c r="CO45" s="22"/>
      <c r="CP45" s="22"/>
      <c r="CQ45" s="22"/>
      <c r="CR45" s="22"/>
      <c r="CS45" s="22"/>
      <c r="CT45" s="22"/>
      <c r="CU45" s="22"/>
      <c r="CV45" s="22"/>
      <c r="CW45" s="22"/>
      <c r="CX45" s="22"/>
      <c r="CY45" s="22"/>
      <c r="CZ45" s="22"/>
      <c r="DA45" s="22"/>
      <c r="DB45" s="22"/>
      <c r="DC45" s="22"/>
      <c r="DD45" s="22"/>
      <c r="DE45" s="22"/>
      <c r="DF45" s="22"/>
      <c r="DG45" s="22"/>
      <c r="DH45" s="22"/>
      <c r="DI45" s="22"/>
      <c r="DJ45" s="22"/>
      <c r="DK45" s="22"/>
      <c r="DL45" s="22"/>
      <c r="DM45" s="22"/>
      <c r="DN45" s="22"/>
      <c r="DO45" s="22"/>
      <c r="DP45" s="22"/>
      <c r="DQ45" s="22"/>
      <c r="DR45" s="22"/>
      <c r="DS45" s="22"/>
      <c r="DT45" s="22"/>
      <c r="DU45" s="22"/>
      <c r="DV45" s="22"/>
      <c r="DW45" s="22"/>
      <c r="DX45" s="22"/>
      <c r="DY45" s="22"/>
      <c r="DZ45" s="22"/>
      <c r="EA45" s="22"/>
      <c r="EB45" s="22"/>
      <c r="EC45" s="22"/>
      <c r="ED45" s="22"/>
      <c r="EE45" s="22"/>
      <c r="EF45" s="22"/>
      <c r="EG45" s="22"/>
      <c r="EH45" s="22"/>
      <c r="EI45" s="22"/>
      <c r="EJ45" s="22"/>
      <c r="EK45" s="22"/>
      <c r="EL45" s="22"/>
      <c r="EM45" s="22"/>
      <c r="EN45" s="22"/>
      <c r="EO45" s="22"/>
      <c r="EP45" s="22"/>
      <c r="EQ45" s="22"/>
      <c r="ER45" s="22"/>
      <c r="ES45" s="22"/>
      <c r="ET45" s="22"/>
      <c r="EU45" s="22"/>
      <c r="EV45" s="22"/>
      <c r="EW45" s="22"/>
      <c r="EX45" s="22"/>
      <c r="EY45" s="22"/>
      <c r="EZ45" s="22"/>
      <c r="FA45" s="22"/>
      <c r="FB45" s="22"/>
      <c r="FC45" s="22"/>
      <c r="FD45" s="22"/>
      <c r="FE45" s="22"/>
      <c r="FF45" s="22"/>
      <c r="FG45" s="22"/>
      <c r="FH45" s="22"/>
      <c r="FI45" s="22"/>
      <c r="FJ45" s="22"/>
      <c r="FK45" s="22"/>
      <c r="FL45" s="22"/>
      <c r="FM45" s="22"/>
      <c r="FN45" s="22"/>
      <c r="FO45" s="22"/>
      <c r="FP45" s="22"/>
      <c r="FQ45" s="22"/>
      <c r="FR45" s="22"/>
      <c r="FS45" s="22"/>
      <c r="FT45" s="22"/>
      <c r="FU45" s="22"/>
      <c r="FV45" s="22"/>
      <c r="FW45" s="22"/>
      <c r="FX45" s="22"/>
      <c r="FY45" s="22"/>
      <c r="FZ45" s="22"/>
      <c r="GA45" s="22"/>
      <c r="GB45" s="22"/>
      <c r="GC45" s="22"/>
      <c r="GD45" s="22"/>
      <c r="GE45" s="22"/>
      <c r="GF45" s="22"/>
      <c r="GG45" s="22"/>
      <c r="GH45" s="22"/>
      <c r="GI45" s="22"/>
      <c r="GJ45" s="22"/>
      <c r="GK45" s="22"/>
      <c r="GL45" s="22"/>
      <c r="GM45" s="22"/>
      <c r="GN45" s="22"/>
      <c r="GO45" s="22"/>
      <c r="GP45" s="22"/>
      <c r="GQ45" s="22"/>
    </row>
    <row r="46" spans="3:199" s="2" customFormat="1" ht="20.100000000000001" customHeight="1">
      <c r="C46" s="10">
        <v>40030210</v>
      </c>
      <c r="D46" s="11" t="s">
        <v>82</v>
      </c>
      <c r="E46" s="12">
        <v>0</v>
      </c>
      <c r="F46" s="12">
        <v>1102</v>
      </c>
      <c r="G46" s="12">
        <v>1</v>
      </c>
      <c r="H46" s="12">
        <v>10</v>
      </c>
      <c r="I46" s="12">
        <v>0.3</v>
      </c>
      <c r="J46" s="16">
        <v>0</v>
      </c>
      <c r="K46" s="16">
        <v>0</v>
      </c>
      <c r="L46" s="15">
        <v>0</v>
      </c>
      <c r="M46" s="15">
        <v>0</v>
      </c>
      <c r="N46" s="15">
        <v>10</v>
      </c>
      <c r="O46" s="17">
        <v>0</v>
      </c>
      <c r="P46" s="17">
        <v>0</v>
      </c>
      <c r="Q46" s="12">
        <v>0</v>
      </c>
      <c r="R46" s="12">
        <v>0</v>
      </c>
      <c r="S46" s="12">
        <v>0</v>
      </c>
      <c r="T46" s="12">
        <v>30</v>
      </c>
      <c r="U46" s="15">
        <v>0</v>
      </c>
      <c r="V46" s="15">
        <v>0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6">
        <v>0</v>
      </c>
      <c r="AC46" s="16">
        <v>0</v>
      </c>
      <c r="AD46" s="16">
        <v>0</v>
      </c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  <c r="BM46" s="22"/>
      <c r="BN46" s="22"/>
      <c r="BO46" s="22"/>
      <c r="BP46" s="22"/>
      <c r="BQ46" s="22"/>
      <c r="BR46" s="22"/>
      <c r="BS46" s="22"/>
      <c r="BT46" s="22"/>
      <c r="BU46" s="22"/>
      <c r="BV46" s="22"/>
      <c r="BW46" s="22"/>
      <c r="BX46" s="22"/>
      <c r="BY46" s="22"/>
      <c r="BZ46" s="22"/>
      <c r="CA46" s="22"/>
      <c r="CB46" s="22"/>
      <c r="CC46" s="22"/>
      <c r="CD46" s="22"/>
      <c r="CE46" s="22"/>
      <c r="CF46" s="22"/>
      <c r="CG46" s="22"/>
      <c r="CH46" s="22"/>
      <c r="CI46" s="22"/>
      <c r="CJ46" s="22"/>
      <c r="CK46" s="22"/>
      <c r="CL46" s="22"/>
      <c r="CM46" s="22"/>
      <c r="CN46" s="22"/>
      <c r="CO46" s="22"/>
      <c r="CP46" s="22"/>
      <c r="CQ46" s="22"/>
      <c r="CR46" s="22"/>
      <c r="CS46" s="22"/>
      <c r="CT46" s="22"/>
      <c r="CU46" s="22"/>
      <c r="CV46" s="22"/>
      <c r="CW46" s="22"/>
      <c r="CX46" s="22"/>
      <c r="CY46" s="22"/>
      <c r="CZ46" s="22"/>
      <c r="DA46" s="22"/>
      <c r="DB46" s="22"/>
      <c r="DC46" s="22"/>
      <c r="DD46" s="22"/>
      <c r="DE46" s="22"/>
      <c r="DF46" s="22"/>
      <c r="DG46" s="22"/>
      <c r="DH46" s="22"/>
      <c r="DI46" s="22"/>
      <c r="DJ46" s="22"/>
      <c r="DK46" s="22"/>
      <c r="DL46" s="22"/>
      <c r="DM46" s="22"/>
      <c r="DN46" s="22"/>
      <c r="DO46" s="22"/>
      <c r="DP46" s="22"/>
      <c r="DQ46" s="22"/>
      <c r="DR46" s="22"/>
      <c r="DS46" s="22"/>
      <c r="DT46" s="22"/>
      <c r="DU46" s="22"/>
      <c r="DV46" s="22"/>
      <c r="DW46" s="22"/>
      <c r="DX46" s="22"/>
      <c r="DY46" s="22"/>
      <c r="DZ46" s="22"/>
      <c r="EA46" s="22"/>
      <c r="EB46" s="22"/>
      <c r="EC46" s="22"/>
      <c r="ED46" s="22"/>
      <c r="EE46" s="22"/>
      <c r="EF46" s="22"/>
      <c r="EG46" s="22"/>
      <c r="EH46" s="22"/>
      <c r="EI46" s="22"/>
      <c r="EJ46" s="22"/>
      <c r="EK46" s="22"/>
      <c r="EL46" s="22"/>
      <c r="EM46" s="22"/>
      <c r="EN46" s="22"/>
      <c r="EO46" s="22"/>
      <c r="EP46" s="22"/>
      <c r="EQ46" s="22"/>
      <c r="ER46" s="22"/>
      <c r="ES46" s="22"/>
      <c r="ET46" s="22"/>
      <c r="EU46" s="22"/>
      <c r="EV46" s="22"/>
      <c r="EW46" s="22"/>
      <c r="EX46" s="22"/>
      <c r="EY46" s="22"/>
      <c r="EZ46" s="22"/>
      <c r="FA46" s="22"/>
      <c r="FB46" s="22"/>
      <c r="FC46" s="22"/>
      <c r="FD46" s="22"/>
      <c r="FE46" s="22"/>
      <c r="FF46" s="22"/>
      <c r="FG46" s="22"/>
      <c r="FH46" s="22"/>
      <c r="FI46" s="22"/>
      <c r="FJ46" s="22"/>
      <c r="FK46" s="22"/>
      <c r="FL46" s="22"/>
      <c r="FM46" s="22"/>
      <c r="FN46" s="22"/>
      <c r="FO46" s="22"/>
      <c r="FP46" s="22"/>
      <c r="FQ46" s="22"/>
      <c r="FR46" s="22"/>
      <c r="FS46" s="22"/>
      <c r="FT46" s="22"/>
      <c r="FU46" s="22"/>
      <c r="FV46" s="22"/>
      <c r="FW46" s="22"/>
      <c r="FX46" s="22"/>
      <c r="FY46" s="22"/>
      <c r="FZ46" s="22"/>
      <c r="GA46" s="22"/>
      <c r="GB46" s="22"/>
      <c r="GC46" s="22"/>
      <c r="GD46" s="22"/>
      <c r="GE46" s="22"/>
      <c r="GF46" s="22"/>
      <c r="GG46" s="22"/>
      <c r="GH46" s="22"/>
      <c r="GI46" s="22"/>
      <c r="GJ46" s="22"/>
      <c r="GK46" s="22"/>
      <c r="GL46" s="22"/>
      <c r="GM46" s="22"/>
      <c r="GN46" s="22"/>
      <c r="GO46" s="22"/>
      <c r="GP46" s="22"/>
      <c r="GQ46" s="22"/>
    </row>
    <row r="47" spans="3:199" s="2" customFormat="1" ht="20.100000000000001" customHeight="1">
      <c r="C47" s="10">
        <v>40030211</v>
      </c>
      <c r="D47" s="11" t="s">
        <v>83</v>
      </c>
      <c r="E47" s="12">
        <v>0</v>
      </c>
      <c r="F47" s="12">
        <v>1102</v>
      </c>
      <c r="G47" s="12">
        <v>1</v>
      </c>
      <c r="H47" s="12">
        <v>10</v>
      </c>
      <c r="I47" s="12">
        <v>0.3</v>
      </c>
      <c r="J47" s="16">
        <v>0</v>
      </c>
      <c r="K47" s="16">
        <v>0</v>
      </c>
      <c r="L47" s="15">
        <v>0</v>
      </c>
      <c r="M47" s="15">
        <v>20</v>
      </c>
      <c r="N47" s="15">
        <v>30</v>
      </c>
      <c r="O47" s="17">
        <v>0</v>
      </c>
      <c r="P47" s="17">
        <v>0</v>
      </c>
      <c r="Q47" s="12">
        <v>0</v>
      </c>
      <c r="R47" s="12">
        <v>10</v>
      </c>
      <c r="S47" s="12">
        <v>0</v>
      </c>
      <c r="T47" s="12">
        <v>10</v>
      </c>
      <c r="U47" s="15">
        <v>0</v>
      </c>
      <c r="V47" s="15">
        <v>0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6">
        <v>0</v>
      </c>
      <c r="AC47" s="16">
        <v>0</v>
      </c>
      <c r="AD47" s="16">
        <v>0</v>
      </c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</row>
    <row r="48" spans="3:199" s="2" customFormat="1" ht="20.100000000000001" customHeight="1">
      <c r="C48" s="10">
        <v>40030212</v>
      </c>
      <c r="D48" s="11" t="s">
        <v>84</v>
      </c>
      <c r="E48" s="12">
        <v>0</v>
      </c>
      <c r="F48" s="12">
        <v>0</v>
      </c>
      <c r="G48" s="12">
        <v>1</v>
      </c>
      <c r="H48" s="12">
        <v>10</v>
      </c>
      <c r="I48" s="12">
        <v>0.3</v>
      </c>
      <c r="J48" s="16">
        <v>0</v>
      </c>
      <c r="K48" s="16">
        <v>0</v>
      </c>
      <c r="L48" s="15">
        <v>0</v>
      </c>
      <c r="M48" s="15">
        <v>10</v>
      </c>
      <c r="N48" s="15">
        <v>40</v>
      </c>
      <c r="O48" s="17">
        <v>0</v>
      </c>
      <c r="P48" s="17">
        <v>0</v>
      </c>
      <c r="Q48" s="12">
        <v>0</v>
      </c>
      <c r="R48" s="12">
        <v>20</v>
      </c>
      <c r="S48" s="12">
        <v>0</v>
      </c>
      <c r="T48" s="12">
        <v>0</v>
      </c>
      <c r="U48" s="15">
        <v>0</v>
      </c>
      <c r="V48" s="15">
        <v>0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6">
        <v>0</v>
      </c>
      <c r="AC48" s="16">
        <v>0</v>
      </c>
      <c r="AD48" s="16">
        <v>0</v>
      </c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  <c r="BM48" s="22"/>
      <c r="BN48" s="22"/>
      <c r="BO48" s="22"/>
      <c r="BP48" s="22"/>
      <c r="BQ48" s="22"/>
      <c r="BR48" s="22"/>
      <c r="BS48" s="22"/>
      <c r="BT48" s="22"/>
      <c r="BU48" s="22"/>
      <c r="BV48" s="22"/>
      <c r="BW48" s="22"/>
      <c r="BX48" s="22"/>
      <c r="BY48" s="22"/>
      <c r="BZ48" s="22"/>
      <c r="CA48" s="22"/>
      <c r="CB48" s="22"/>
      <c r="CC48" s="22"/>
      <c r="CD48" s="22"/>
      <c r="CE48" s="22"/>
      <c r="CF48" s="22"/>
      <c r="CG48" s="22"/>
      <c r="CH48" s="22"/>
      <c r="CI48" s="22"/>
      <c r="CJ48" s="22"/>
      <c r="CK48" s="22"/>
      <c r="CL48" s="22"/>
      <c r="CM48" s="22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DN48" s="22"/>
      <c r="DO48" s="22"/>
      <c r="DP48" s="22"/>
      <c r="DQ48" s="22"/>
      <c r="DR48" s="22"/>
      <c r="DS48" s="22"/>
      <c r="DT48" s="22"/>
      <c r="DU48" s="22"/>
      <c r="DV48" s="22"/>
      <c r="DW48" s="22"/>
      <c r="DX48" s="22"/>
      <c r="DY48" s="22"/>
      <c r="DZ48" s="22"/>
      <c r="EA48" s="22"/>
      <c r="EB48" s="22"/>
      <c r="EC48" s="22"/>
      <c r="ED48" s="22"/>
      <c r="EE48" s="22"/>
      <c r="EF48" s="22"/>
      <c r="EG48" s="22"/>
      <c r="EH48" s="22"/>
      <c r="EI48" s="22"/>
      <c r="EJ48" s="22"/>
      <c r="EK48" s="22"/>
      <c r="EL48" s="22"/>
      <c r="EM48" s="22"/>
      <c r="EN48" s="22"/>
      <c r="EO48" s="22"/>
      <c r="EP48" s="22"/>
      <c r="EQ48" s="22"/>
      <c r="ER48" s="22"/>
      <c r="ES48" s="22"/>
      <c r="ET48" s="22"/>
      <c r="EU48" s="22"/>
      <c r="EV48" s="22"/>
      <c r="EW48" s="22"/>
      <c r="EX48" s="22"/>
      <c r="EY48" s="22"/>
      <c r="EZ48" s="22"/>
      <c r="FA48" s="22"/>
      <c r="FB48" s="22"/>
      <c r="FC48" s="22"/>
      <c r="FD48" s="22"/>
      <c r="FE48" s="22"/>
      <c r="FF48" s="22"/>
      <c r="FG48" s="22"/>
      <c r="FH48" s="22"/>
      <c r="FI48" s="22"/>
      <c r="FJ48" s="22"/>
      <c r="FK48" s="22"/>
      <c r="FL48" s="22"/>
      <c r="FM48" s="22"/>
      <c r="FN48" s="22"/>
      <c r="FO48" s="22"/>
      <c r="FP48" s="22"/>
      <c r="FQ48" s="22"/>
      <c r="FR48" s="22"/>
      <c r="FS48" s="22"/>
      <c r="FT48" s="22"/>
      <c r="FU48" s="22"/>
      <c r="FV48" s="22"/>
      <c r="FW48" s="22"/>
      <c r="FX48" s="22"/>
      <c r="FY48" s="22"/>
      <c r="FZ48" s="22"/>
      <c r="GA48" s="22"/>
      <c r="GB48" s="22"/>
      <c r="GC48" s="22"/>
      <c r="GD48" s="22"/>
      <c r="GE48" s="22"/>
      <c r="GF48" s="22"/>
      <c r="GG48" s="22"/>
      <c r="GH48" s="22"/>
      <c r="GI48" s="22"/>
      <c r="GJ48" s="22"/>
      <c r="GK48" s="22"/>
      <c r="GL48" s="22"/>
      <c r="GM48" s="22"/>
      <c r="GN48" s="22"/>
      <c r="GO48" s="22"/>
      <c r="GP48" s="22"/>
      <c r="GQ48" s="22"/>
    </row>
    <row r="49" spans="3:199" s="2" customFormat="1" ht="20.100000000000001" customHeight="1">
      <c r="C49" s="10">
        <v>40030213</v>
      </c>
      <c r="D49" s="11" t="s">
        <v>85</v>
      </c>
      <c r="E49" s="12">
        <v>0</v>
      </c>
      <c r="F49" s="12">
        <v>0</v>
      </c>
      <c r="G49" s="12">
        <v>1</v>
      </c>
      <c r="H49" s="12">
        <v>10</v>
      </c>
      <c r="I49" s="12">
        <v>0.3</v>
      </c>
      <c r="J49" s="16">
        <v>0</v>
      </c>
      <c r="K49" s="16">
        <v>0</v>
      </c>
      <c r="L49" s="15">
        <v>0</v>
      </c>
      <c r="M49" s="15">
        <v>20</v>
      </c>
      <c r="N49" s="15">
        <v>50</v>
      </c>
      <c r="O49" s="17">
        <v>0</v>
      </c>
      <c r="P49" s="17">
        <v>0</v>
      </c>
      <c r="Q49" s="12">
        <v>0</v>
      </c>
      <c r="R49" s="12">
        <v>20</v>
      </c>
      <c r="S49" s="12">
        <v>0</v>
      </c>
      <c r="T49" s="12">
        <v>10</v>
      </c>
      <c r="U49" s="15">
        <v>0</v>
      </c>
      <c r="V49" s="15">
        <v>0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6">
        <v>0</v>
      </c>
      <c r="AC49" s="16">
        <v>0</v>
      </c>
      <c r="AD49" s="16">
        <v>0</v>
      </c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  <c r="BM49" s="22"/>
      <c r="BN49" s="22"/>
      <c r="BO49" s="22"/>
      <c r="BP49" s="22"/>
      <c r="BQ49" s="22"/>
      <c r="BR49" s="22"/>
      <c r="BS49" s="22"/>
      <c r="BT49" s="22"/>
      <c r="BU49" s="22"/>
      <c r="BV49" s="22"/>
      <c r="BW49" s="22"/>
      <c r="BX49" s="22"/>
      <c r="BY49" s="22"/>
      <c r="BZ49" s="22"/>
      <c r="CA49" s="22"/>
      <c r="CB49" s="22"/>
      <c r="CC49" s="22"/>
      <c r="CD49" s="22"/>
      <c r="CE49" s="22"/>
      <c r="CF49" s="22"/>
      <c r="CG49" s="22"/>
      <c r="CH49" s="22"/>
      <c r="CI49" s="22"/>
      <c r="CJ49" s="22"/>
      <c r="CK49" s="22"/>
      <c r="CL49" s="22"/>
      <c r="CM49" s="22"/>
      <c r="CN49" s="22"/>
      <c r="CO49" s="22"/>
      <c r="CP49" s="22"/>
      <c r="CQ49" s="22"/>
      <c r="CR49" s="22"/>
      <c r="CS49" s="22"/>
      <c r="CT49" s="22"/>
      <c r="CU49" s="22"/>
      <c r="CV49" s="22"/>
      <c r="CW49" s="22"/>
      <c r="CX49" s="22"/>
      <c r="CY49" s="22"/>
      <c r="CZ49" s="22"/>
      <c r="DA49" s="22"/>
      <c r="DB49" s="22"/>
      <c r="DC49" s="22"/>
      <c r="DD49" s="22"/>
      <c r="DE49" s="22"/>
      <c r="DF49" s="22"/>
      <c r="DG49" s="22"/>
      <c r="DH49" s="22"/>
      <c r="DI49" s="22"/>
      <c r="DJ49" s="22"/>
      <c r="DK49" s="22"/>
      <c r="DL49" s="22"/>
      <c r="DM49" s="22"/>
      <c r="DN49" s="22"/>
      <c r="DO49" s="22"/>
      <c r="DP49" s="22"/>
      <c r="DQ49" s="22"/>
      <c r="DR49" s="22"/>
      <c r="DS49" s="22"/>
      <c r="DT49" s="22"/>
      <c r="DU49" s="22"/>
      <c r="DV49" s="22"/>
      <c r="DW49" s="22"/>
      <c r="DX49" s="22"/>
      <c r="DY49" s="22"/>
      <c r="DZ49" s="22"/>
      <c r="EA49" s="22"/>
      <c r="EB49" s="22"/>
      <c r="EC49" s="22"/>
      <c r="ED49" s="22"/>
      <c r="EE49" s="22"/>
      <c r="EF49" s="22"/>
      <c r="EG49" s="22"/>
      <c r="EH49" s="22"/>
      <c r="EI49" s="22"/>
      <c r="EJ49" s="22"/>
      <c r="EK49" s="22"/>
      <c r="EL49" s="22"/>
      <c r="EM49" s="22"/>
      <c r="EN49" s="22"/>
      <c r="EO49" s="22"/>
      <c r="EP49" s="22"/>
      <c r="EQ49" s="22"/>
      <c r="ER49" s="22"/>
      <c r="ES49" s="22"/>
      <c r="ET49" s="22"/>
      <c r="EU49" s="22"/>
      <c r="EV49" s="22"/>
      <c r="EW49" s="22"/>
      <c r="EX49" s="22"/>
      <c r="EY49" s="22"/>
      <c r="EZ49" s="22"/>
      <c r="FA49" s="22"/>
      <c r="FB49" s="22"/>
      <c r="FC49" s="22"/>
      <c r="FD49" s="22"/>
      <c r="FE49" s="22"/>
      <c r="FF49" s="22"/>
      <c r="FG49" s="22"/>
      <c r="FH49" s="22"/>
      <c r="FI49" s="22"/>
      <c r="FJ49" s="22"/>
      <c r="FK49" s="22"/>
      <c r="FL49" s="22"/>
      <c r="FM49" s="22"/>
      <c r="FN49" s="22"/>
      <c r="FO49" s="22"/>
      <c r="FP49" s="22"/>
      <c r="FQ49" s="22"/>
      <c r="FR49" s="22"/>
      <c r="FS49" s="22"/>
      <c r="FT49" s="22"/>
      <c r="FU49" s="22"/>
      <c r="FV49" s="22"/>
      <c r="FW49" s="22"/>
      <c r="FX49" s="22"/>
      <c r="FY49" s="22"/>
      <c r="FZ49" s="22"/>
      <c r="GA49" s="22"/>
      <c r="GB49" s="22"/>
      <c r="GC49" s="22"/>
      <c r="GD49" s="22"/>
      <c r="GE49" s="22"/>
      <c r="GF49" s="22"/>
      <c r="GG49" s="22"/>
      <c r="GH49" s="22"/>
      <c r="GI49" s="22"/>
      <c r="GJ49" s="22"/>
      <c r="GK49" s="22"/>
      <c r="GL49" s="22"/>
      <c r="GM49" s="22"/>
      <c r="GN49" s="22"/>
      <c r="GO49" s="22"/>
      <c r="GP49" s="22"/>
      <c r="GQ49" s="22"/>
    </row>
    <row r="50" spans="3:199" s="2" customFormat="1" ht="20.100000000000001" customHeight="1">
      <c r="C50" s="10">
        <v>40030214</v>
      </c>
      <c r="D50" s="11" t="s">
        <v>86</v>
      </c>
      <c r="E50" s="12">
        <v>0</v>
      </c>
      <c r="F50" s="12">
        <v>1101</v>
      </c>
      <c r="G50" s="12">
        <v>1</v>
      </c>
      <c r="H50" s="12">
        <v>10</v>
      </c>
      <c r="I50" s="12">
        <v>0.3</v>
      </c>
      <c r="J50" s="16">
        <v>0</v>
      </c>
      <c r="K50" s="16">
        <v>0</v>
      </c>
      <c r="L50" s="15">
        <v>0</v>
      </c>
      <c r="M50" s="15">
        <v>20</v>
      </c>
      <c r="N50" s="15">
        <v>70</v>
      </c>
      <c r="O50" s="17">
        <v>0</v>
      </c>
      <c r="P50" s="17">
        <v>0</v>
      </c>
      <c r="Q50" s="12">
        <v>0</v>
      </c>
      <c r="R50" s="12">
        <v>20</v>
      </c>
      <c r="S50" s="12">
        <v>0</v>
      </c>
      <c r="T50" s="12">
        <v>20</v>
      </c>
      <c r="U50" s="15">
        <v>0.01</v>
      </c>
      <c r="V50" s="15">
        <v>0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6">
        <v>0</v>
      </c>
      <c r="AC50" s="16">
        <v>0</v>
      </c>
      <c r="AD50" s="16">
        <v>0</v>
      </c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</row>
    <row r="51" spans="3:199" s="2" customFormat="1" ht="20.100000000000001" customHeight="1">
      <c r="C51" s="10">
        <v>40030215</v>
      </c>
      <c r="D51" s="11" t="s">
        <v>87</v>
      </c>
      <c r="E51" s="12">
        <v>0</v>
      </c>
      <c r="F51" s="12">
        <v>0</v>
      </c>
      <c r="G51" s="12">
        <v>1</v>
      </c>
      <c r="H51" s="12">
        <v>10</v>
      </c>
      <c r="I51" s="12">
        <v>0.3</v>
      </c>
      <c r="J51" s="16">
        <v>0</v>
      </c>
      <c r="K51" s="16">
        <v>0</v>
      </c>
      <c r="L51" s="15">
        <v>0</v>
      </c>
      <c r="M51" s="15">
        <v>20</v>
      </c>
      <c r="N51" s="15">
        <v>60</v>
      </c>
      <c r="O51" s="17">
        <v>0</v>
      </c>
      <c r="P51" s="17">
        <v>0</v>
      </c>
      <c r="Q51" s="12">
        <v>0</v>
      </c>
      <c r="R51" s="12">
        <v>0</v>
      </c>
      <c r="S51" s="12">
        <v>0</v>
      </c>
      <c r="T51" s="12">
        <v>0</v>
      </c>
      <c r="U51" s="15">
        <v>0</v>
      </c>
      <c r="V51" s="15">
        <v>0</v>
      </c>
      <c r="W51" s="15">
        <v>0</v>
      </c>
      <c r="X51" s="15">
        <v>0</v>
      </c>
      <c r="Y51" s="15">
        <v>0</v>
      </c>
      <c r="Z51" s="15">
        <v>0</v>
      </c>
      <c r="AA51" s="15">
        <v>0</v>
      </c>
      <c r="AB51" s="16">
        <v>0</v>
      </c>
      <c r="AC51" s="16">
        <v>0</v>
      </c>
      <c r="AD51" s="16">
        <v>0</v>
      </c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  <c r="BS51" s="22"/>
      <c r="BT51" s="22"/>
      <c r="BU51" s="22"/>
      <c r="BV51" s="22"/>
      <c r="BW51" s="22"/>
      <c r="BX51" s="22"/>
      <c r="BY51" s="22"/>
      <c r="BZ51" s="22"/>
      <c r="CA51" s="22"/>
      <c r="CB51" s="22"/>
      <c r="CC51" s="22"/>
      <c r="CD51" s="22"/>
      <c r="CE51" s="22"/>
      <c r="CF51" s="22"/>
      <c r="CG51" s="22"/>
      <c r="CH51" s="22"/>
      <c r="CI51" s="22"/>
      <c r="CJ51" s="22"/>
      <c r="CK51" s="22"/>
      <c r="CL51" s="22"/>
      <c r="CM51" s="22"/>
      <c r="CN51" s="22"/>
      <c r="CO51" s="22"/>
      <c r="CP51" s="22"/>
      <c r="CQ51" s="22"/>
      <c r="CR51" s="22"/>
      <c r="CS51" s="22"/>
      <c r="CT51" s="22"/>
      <c r="CU51" s="22"/>
      <c r="CV51" s="22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2"/>
      <c r="DL51" s="22"/>
      <c r="DM51" s="22"/>
      <c r="DN51" s="22"/>
      <c r="DO51" s="22"/>
      <c r="DP51" s="22"/>
      <c r="DQ51" s="22"/>
      <c r="DR51" s="22"/>
      <c r="DS51" s="22"/>
      <c r="DT51" s="22"/>
      <c r="DU51" s="22"/>
      <c r="DV51" s="22"/>
      <c r="DW51" s="22"/>
      <c r="DX51" s="22"/>
      <c r="DY51" s="22"/>
      <c r="DZ51" s="22"/>
      <c r="EA51" s="22"/>
      <c r="EB51" s="22"/>
      <c r="EC51" s="22"/>
      <c r="ED51" s="22"/>
      <c r="EE51" s="22"/>
      <c r="EF51" s="22"/>
      <c r="EG51" s="22"/>
      <c r="EH51" s="22"/>
      <c r="EI51" s="22"/>
      <c r="EJ51" s="22"/>
      <c r="EK51" s="22"/>
      <c r="EL51" s="22"/>
      <c r="EM51" s="22"/>
      <c r="EN51" s="22"/>
      <c r="EO51" s="22"/>
      <c r="EP51" s="22"/>
      <c r="EQ51" s="22"/>
      <c r="ER51" s="22"/>
      <c r="ES51" s="22"/>
      <c r="ET51" s="22"/>
      <c r="EU51" s="22"/>
      <c r="EV51" s="22"/>
      <c r="EW51" s="22"/>
      <c r="EX51" s="22"/>
      <c r="EY51" s="22"/>
      <c r="EZ51" s="22"/>
      <c r="FA51" s="22"/>
      <c r="FB51" s="22"/>
      <c r="FC51" s="22"/>
      <c r="FD51" s="22"/>
      <c r="FE51" s="22"/>
      <c r="FF51" s="22"/>
      <c r="FG51" s="22"/>
      <c r="FH51" s="22"/>
      <c r="FI51" s="22"/>
      <c r="FJ51" s="22"/>
      <c r="FK51" s="22"/>
      <c r="FL51" s="22"/>
      <c r="FM51" s="22"/>
      <c r="FN51" s="22"/>
      <c r="FO51" s="22"/>
      <c r="FP51" s="22"/>
      <c r="FQ51" s="22"/>
      <c r="FR51" s="22"/>
      <c r="FS51" s="22"/>
      <c r="FT51" s="22"/>
      <c r="FU51" s="22"/>
      <c r="FV51" s="22"/>
      <c r="FW51" s="22"/>
      <c r="FX51" s="22"/>
      <c r="FY51" s="22"/>
      <c r="FZ51" s="22"/>
      <c r="GA51" s="22"/>
      <c r="GB51" s="22"/>
      <c r="GC51" s="22"/>
      <c r="GD51" s="22"/>
      <c r="GE51" s="22"/>
      <c r="GF51" s="22"/>
      <c r="GG51" s="22"/>
      <c r="GH51" s="22"/>
      <c r="GI51" s="22"/>
      <c r="GJ51" s="22"/>
      <c r="GK51" s="22"/>
      <c r="GL51" s="22"/>
      <c r="GM51" s="22"/>
      <c r="GN51" s="22"/>
      <c r="GO51" s="22"/>
      <c r="GP51" s="22"/>
      <c r="GQ51" s="22"/>
    </row>
    <row r="52" spans="3:199" s="2" customFormat="1" ht="20.100000000000001" customHeight="1">
      <c r="C52" s="10">
        <v>40030216</v>
      </c>
      <c r="D52" s="11" t="s">
        <v>88</v>
      </c>
      <c r="E52" s="12">
        <v>0</v>
      </c>
      <c r="F52" s="12">
        <v>0</v>
      </c>
      <c r="G52" s="12">
        <v>1</v>
      </c>
      <c r="H52" s="12">
        <v>10</v>
      </c>
      <c r="I52" s="12">
        <v>0.3</v>
      </c>
      <c r="J52" s="16">
        <v>0</v>
      </c>
      <c r="K52" s="16">
        <v>0</v>
      </c>
      <c r="L52" s="15">
        <v>0</v>
      </c>
      <c r="M52" s="15">
        <v>20</v>
      </c>
      <c r="N52" s="15">
        <v>40</v>
      </c>
      <c r="O52" s="17">
        <v>0</v>
      </c>
      <c r="P52" s="17">
        <v>0</v>
      </c>
      <c r="Q52" s="12">
        <v>0</v>
      </c>
      <c r="R52" s="12">
        <v>0</v>
      </c>
      <c r="S52" s="12">
        <v>0</v>
      </c>
      <c r="T52" s="12">
        <v>0</v>
      </c>
      <c r="U52" s="15">
        <v>0</v>
      </c>
      <c r="V52" s="15">
        <v>0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6">
        <v>0</v>
      </c>
      <c r="AC52" s="16">
        <v>0</v>
      </c>
      <c r="AD52" s="16">
        <v>0</v>
      </c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  <c r="BM52" s="22"/>
      <c r="BN52" s="22"/>
      <c r="BO52" s="22"/>
      <c r="BP52" s="22"/>
      <c r="BQ52" s="22"/>
      <c r="BR52" s="22"/>
      <c r="BS52" s="22"/>
      <c r="BT52" s="22"/>
      <c r="BU52" s="22"/>
      <c r="BV52" s="22"/>
      <c r="BW52" s="22"/>
      <c r="BX52" s="22"/>
      <c r="BY52" s="22"/>
      <c r="BZ52" s="22"/>
      <c r="CA52" s="22"/>
      <c r="CB52" s="22"/>
      <c r="CC52" s="22"/>
      <c r="CD52" s="22"/>
      <c r="CE52" s="22"/>
      <c r="CF52" s="22"/>
      <c r="CG52" s="22"/>
      <c r="CH52" s="22"/>
      <c r="CI52" s="22"/>
      <c r="CJ52" s="22"/>
      <c r="CK52" s="22"/>
      <c r="CL52" s="22"/>
      <c r="CM52" s="22"/>
      <c r="CN52" s="22"/>
      <c r="CO52" s="22"/>
      <c r="CP52" s="22"/>
      <c r="CQ52" s="22"/>
      <c r="CR52" s="22"/>
      <c r="CS52" s="22"/>
      <c r="CT52" s="22"/>
      <c r="CU52" s="22"/>
      <c r="CV52" s="22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2"/>
      <c r="DL52" s="22"/>
      <c r="DM52" s="22"/>
      <c r="DN52" s="22"/>
      <c r="DO52" s="22"/>
      <c r="DP52" s="22"/>
      <c r="DQ52" s="22"/>
      <c r="DR52" s="22"/>
      <c r="DS52" s="22"/>
      <c r="DT52" s="22"/>
      <c r="DU52" s="22"/>
      <c r="DV52" s="22"/>
      <c r="DW52" s="22"/>
      <c r="DX52" s="22"/>
      <c r="DY52" s="22"/>
      <c r="DZ52" s="22"/>
      <c r="EA52" s="22"/>
      <c r="EB52" s="22"/>
      <c r="EC52" s="22"/>
      <c r="ED52" s="22"/>
      <c r="EE52" s="22"/>
      <c r="EF52" s="22"/>
      <c r="EG52" s="22"/>
      <c r="EH52" s="22"/>
      <c r="EI52" s="22"/>
      <c r="EJ52" s="22"/>
      <c r="EK52" s="22"/>
      <c r="EL52" s="22"/>
      <c r="EM52" s="22"/>
      <c r="EN52" s="22"/>
      <c r="EO52" s="22"/>
      <c r="EP52" s="22"/>
      <c r="EQ52" s="22"/>
      <c r="ER52" s="22"/>
      <c r="ES52" s="22"/>
      <c r="ET52" s="22"/>
      <c r="EU52" s="22"/>
      <c r="EV52" s="22"/>
      <c r="EW52" s="22"/>
      <c r="EX52" s="22"/>
      <c r="EY52" s="22"/>
      <c r="EZ52" s="22"/>
      <c r="FA52" s="22"/>
      <c r="FB52" s="22"/>
      <c r="FC52" s="22"/>
      <c r="FD52" s="22"/>
      <c r="FE52" s="22"/>
      <c r="FF52" s="22"/>
      <c r="FG52" s="22"/>
      <c r="FH52" s="22"/>
      <c r="FI52" s="22"/>
      <c r="FJ52" s="22"/>
      <c r="FK52" s="22"/>
      <c r="FL52" s="22"/>
      <c r="FM52" s="22"/>
      <c r="FN52" s="22"/>
      <c r="FO52" s="22"/>
      <c r="FP52" s="22"/>
      <c r="FQ52" s="22"/>
      <c r="FR52" s="22"/>
      <c r="FS52" s="22"/>
      <c r="FT52" s="22"/>
      <c r="FU52" s="22"/>
      <c r="FV52" s="22"/>
      <c r="FW52" s="22"/>
      <c r="FX52" s="22"/>
      <c r="FY52" s="22"/>
      <c r="FZ52" s="22"/>
      <c r="GA52" s="22"/>
      <c r="GB52" s="22"/>
      <c r="GC52" s="22"/>
      <c r="GD52" s="22"/>
      <c r="GE52" s="22"/>
      <c r="GF52" s="22"/>
      <c r="GG52" s="22"/>
      <c r="GH52" s="22"/>
      <c r="GI52" s="22"/>
      <c r="GJ52" s="22"/>
      <c r="GK52" s="22"/>
      <c r="GL52" s="22"/>
      <c r="GM52" s="22"/>
      <c r="GN52" s="22"/>
      <c r="GO52" s="22"/>
      <c r="GP52" s="22"/>
      <c r="GQ52" s="22"/>
    </row>
    <row r="53" spans="3:199" s="2" customFormat="1" ht="20.100000000000001" customHeight="1">
      <c r="C53" s="10">
        <v>40030217</v>
      </c>
      <c r="D53" s="11" t="s">
        <v>89</v>
      </c>
      <c r="E53" s="12">
        <v>0</v>
      </c>
      <c r="F53" s="12">
        <v>0</v>
      </c>
      <c r="G53" s="12">
        <v>1</v>
      </c>
      <c r="H53" s="12">
        <v>10</v>
      </c>
      <c r="I53" s="12">
        <v>0.3</v>
      </c>
      <c r="J53" s="16">
        <v>0</v>
      </c>
      <c r="K53" s="16">
        <v>0</v>
      </c>
      <c r="L53" s="15">
        <v>500</v>
      </c>
      <c r="M53" s="15">
        <v>0</v>
      </c>
      <c r="N53" s="15">
        <v>0</v>
      </c>
      <c r="O53" s="17">
        <v>0</v>
      </c>
      <c r="P53" s="17">
        <v>0</v>
      </c>
      <c r="Q53" s="12">
        <v>0</v>
      </c>
      <c r="R53" s="12">
        <v>0</v>
      </c>
      <c r="S53" s="12">
        <v>0</v>
      </c>
      <c r="T53" s="12">
        <v>0</v>
      </c>
      <c r="U53" s="15">
        <v>0</v>
      </c>
      <c r="V53" s="15">
        <v>0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6">
        <v>0</v>
      </c>
      <c r="AC53" s="16">
        <v>0</v>
      </c>
      <c r="AD53" s="16">
        <v>0</v>
      </c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</row>
    <row r="54" spans="3:199" s="2" customFormat="1" ht="20.100000000000001" customHeight="1">
      <c r="C54" s="10">
        <v>40030218</v>
      </c>
      <c r="D54" s="11" t="s">
        <v>90</v>
      </c>
      <c r="E54" s="12">
        <v>0</v>
      </c>
      <c r="F54" s="12">
        <v>0</v>
      </c>
      <c r="G54" s="12">
        <v>1</v>
      </c>
      <c r="H54" s="12">
        <v>10</v>
      </c>
      <c r="I54" s="12">
        <v>0.3</v>
      </c>
      <c r="J54" s="16">
        <v>0</v>
      </c>
      <c r="K54" s="16">
        <v>0</v>
      </c>
      <c r="L54" s="15">
        <v>0</v>
      </c>
      <c r="M54" s="15">
        <v>50</v>
      </c>
      <c r="N54" s="15">
        <v>120</v>
      </c>
      <c r="O54" s="17">
        <v>0</v>
      </c>
      <c r="P54" s="17">
        <v>0</v>
      </c>
      <c r="Q54" s="12">
        <v>0</v>
      </c>
      <c r="R54" s="12">
        <v>0</v>
      </c>
      <c r="S54" s="12">
        <v>0</v>
      </c>
      <c r="T54" s="12">
        <v>0</v>
      </c>
      <c r="U54" s="15">
        <v>0</v>
      </c>
      <c r="V54" s="15">
        <v>0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6">
        <v>0</v>
      </c>
      <c r="AC54" s="16">
        <v>0</v>
      </c>
      <c r="AD54" s="16">
        <v>0</v>
      </c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  <c r="CD54" s="22"/>
      <c r="CE54" s="22"/>
      <c r="CF54" s="22"/>
      <c r="CG54" s="22"/>
      <c r="CH54" s="22"/>
      <c r="CI54" s="22"/>
      <c r="CJ54" s="22"/>
      <c r="CK54" s="22"/>
      <c r="CL54" s="22"/>
      <c r="CM54" s="22"/>
      <c r="CN54" s="22"/>
      <c r="CO54" s="22"/>
      <c r="CP54" s="22"/>
      <c r="CQ54" s="22"/>
      <c r="CR54" s="22"/>
      <c r="CS54" s="22"/>
      <c r="CT54" s="22"/>
      <c r="CU54" s="22"/>
      <c r="CV54" s="22"/>
      <c r="CW54" s="22"/>
      <c r="CX54" s="22"/>
      <c r="CY54" s="22"/>
      <c r="CZ54" s="22"/>
      <c r="DA54" s="22"/>
      <c r="DB54" s="22"/>
      <c r="DC54" s="22"/>
      <c r="DD54" s="22"/>
      <c r="DE54" s="22"/>
      <c r="DF54" s="22"/>
      <c r="DG54" s="22"/>
      <c r="DH54" s="22"/>
      <c r="DI54" s="22"/>
      <c r="DJ54" s="22"/>
      <c r="DK54" s="22"/>
      <c r="DL54" s="22"/>
      <c r="DM54" s="22"/>
      <c r="DN54" s="22"/>
      <c r="DO54" s="22"/>
      <c r="DP54" s="22"/>
      <c r="DQ54" s="22"/>
      <c r="DR54" s="22"/>
      <c r="DS54" s="22"/>
      <c r="DT54" s="22"/>
      <c r="DU54" s="22"/>
      <c r="DV54" s="22"/>
      <c r="DW54" s="22"/>
      <c r="DX54" s="22"/>
      <c r="DY54" s="22"/>
      <c r="DZ54" s="22"/>
      <c r="EA54" s="22"/>
      <c r="EB54" s="22"/>
      <c r="EC54" s="22"/>
      <c r="ED54" s="22"/>
      <c r="EE54" s="22"/>
      <c r="EF54" s="22"/>
      <c r="EG54" s="22"/>
      <c r="EH54" s="22"/>
      <c r="EI54" s="22"/>
      <c r="EJ54" s="22"/>
      <c r="EK54" s="22"/>
      <c r="EL54" s="22"/>
      <c r="EM54" s="22"/>
      <c r="EN54" s="22"/>
      <c r="EO54" s="22"/>
      <c r="EP54" s="22"/>
      <c r="EQ54" s="22"/>
      <c r="ER54" s="22"/>
      <c r="ES54" s="22"/>
      <c r="ET54" s="22"/>
      <c r="EU54" s="22"/>
      <c r="EV54" s="22"/>
      <c r="EW54" s="22"/>
      <c r="EX54" s="22"/>
      <c r="EY54" s="22"/>
      <c r="EZ54" s="22"/>
      <c r="FA54" s="22"/>
      <c r="FB54" s="22"/>
      <c r="FC54" s="22"/>
      <c r="FD54" s="22"/>
      <c r="FE54" s="22"/>
      <c r="FF54" s="22"/>
      <c r="FG54" s="22"/>
      <c r="FH54" s="22"/>
      <c r="FI54" s="22"/>
      <c r="FJ54" s="22"/>
      <c r="FK54" s="22"/>
      <c r="FL54" s="22"/>
      <c r="FM54" s="22"/>
      <c r="FN54" s="22"/>
      <c r="FO54" s="22"/>
      <c r="FP54" s="22"/>
      <c r="FQ54" s="22"/>
      <c r="FR54" s="22"/>
      <c r="FS54" s="22"/>
      <c r="FT54" s="22"/>
      <c r="FU54" s="22"/>
      <c r="FV54" s="22"/>
      <c r="FW54" s="22"/>
      <c r="FX54" s="22"/>
      <c r="FY54" s="22"/>
      <c r="FZ54" s="22"/>
      <c r="GA54" s="22"/>
      <c r="GB54" s="22"/>
      <c r="GC54" s="22"/>
      <c r="GD54" s="22"/>
      <c r="GE54" s="22"/>
      <c r="GF54" s="22"/>
      <c r="GG54" s="22"/>
      <c r="GH54" s="22"/>
      <c r="GI54" s="22"/>
      <c r="GJ54" s="22"/>
      <c r="GK54" s="22"/>
      <c r="GL54" s="22"/>
      <c r="GM54" s="22"/>
      <c r="GN54" s="22"/>
      <c r="GO54" s="22"/>
      <c r="GP54" s="22"/>
      <c r="GQ54" s="22"/>
    </row>
    <row r="55" spans="3:199" s="2" customFormat="1" ht="20.100000000000001" customHeight="1">
      <c r="C55" s="10">
        <v>40030219</v>
      </c>
      <c r="D55" s="11" t="s">
        <v>91</v>
      </c>
      <c r="E55" s="12">
        <v>0</v>
      </c>
      <c r="F55" s="12">
        <v>0</v>
      </c>
      <c r="G55" s="12">
        <v>1</v>
      </c>
      <c r="H55" s="12">
        <v>10</v>
      </c>
      <c r="I55" s="12">
        <v>0.3</v>
      </c>
      <c r="J55" s="16">
        <v>0</v>
      </c>
      <c r="K55" s="16">
        <v>0</v>
      </c>
      <c r="L55" s="15">
        <v>0</v>
      </c>
      <c r="M55" s="15">
        <v>20</v>
      </c>
      <c r="N55" s="15">
        <v>180</v>
      </c>
      <c r="O55" s="17">
        <v>0</v>
      </c>
      <c r="P55" s="17">
        <v>0</v>
      </c>
      <c r="Q55" s="12">
        <v>0</v>
      </c>
      <c r="R55" s="12">
        <v>0</v>
      </c>
      <c r="S55" s="12">
        <v>0</v>
      </c>
      <c r="T55" s="12">
        <v>0</v>
      </c>
      <c r="U55" s="15">
        <v>0</v>
      </c>
      <c r="V55" s="15">
        <v>0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6">
        <v>0</v>
      </c>
      <c r="AC55" s="16">
        <v>0</v>
      </c>
      <c r="AD55" s="16">
        <v>0</v>
      </c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  <c r="BM55" s="22"/>
      <c r="BN55" s="22"/>
      <c r="BO55" s="22"/>
      <c r="BP55" s="22"/>
      <c r="BQ55" s="22"/>
      <c r="BR55" s="22"/>
      <c r="BS55" s="22"/>
      <c r="BT55" s="22"/>
      <c r="BU55" s="22"/>
      <c r="BV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22"/>
      <c r="CP55" s="22"/>
      <c r="CQ55" s="22"/>
      <c r="CR55" s="22"/>
      <c r="CS55" s="22"/>
      <c r="CT55" s="22"/>
      <c r="CU55" s="22"/>
      <c r="CV55" s="22"/>
      <c r="CW55" s="22"/>
      <c r="CX55" s="22"/>
      <c r="CY55" s="22"/>
      <c r="CZ55" s="22"/>
      <c r="DA55" s="22"/>
      <c r="DB55" s="22"/>
      <c r="DC55" s="22"/>
      <c r="DD55" s="22"/>
      <c r="DE55" s="22"/>
      <c r="DF55" s="22"/>
      <c r="DG55" s="22"/>
      <c r="DH55" s="22"/>
      <c r="DI55" s="22"/>
      <c r="DJ55" s="22"/>
      <c r="DK55" s="22"/>
      <c r="DL55" s="22"/>
      <c r="DM55" s="22"/>
      <c r="DN55" s="22"/>
      <c r="DO55" s="22"/>
      <c r="DP55" s="22"/>
      <c r="DQ55" s="22"/>
      <c r="DR55" s="22"/>
      <c r="DS55" s="22"/>
      <c r="DT55" s="22"/>
      <c r="DU55" s="22"/>
      <c r="DV55" s="22"/>
      <c r="DW55" s="22"/>
      <c r="DX55" s="22"/>
      <c r="DY55" s="22"/>
      <c r="DZ55" s="22"/>
      <c r="EA55" s="22"/>
      <c r="EB55" s="22"/>
      <c r="EC55" s="22"/>
      <c r="ED55" s="22"/>
      <c r="EE55" s="22"/>
      <c r="EF55" s="22"/>
      <c r="EG55" s="22"/>
      <c r="EH55" s="22"/>
      <c r="EI55" s="22"/>
      <c r="EJ55" s="22"/>
      <c r="EK55" s="22"/>
      <c r="EL55" s="22"/>
      <c r="EM55" s="22"/>
      <c r="EN55" s="22"/>
      <c r="EO55" s="22"/>
      <c r="EP55" s="22"/>
      <c r="EQ55" s="22"/>
      <c r="ER55" s="22"/>
      <c r="ES55" s="22"/>
      <c r="ET55" s="22"/>
      <c r="EU55" s="22"/>
      <c r="EV55" s="22"/>
      <c r="EW55" s="22"/>
      <c r="EX55" s="22"/>
      <c r="EY55" s="22"/>
      <c r="EZ55" s="22"/>
      <c r="FA55" s="22"/>
      <c r="FB55" s="22"/>
      <c r="FC55" s="22"/>
      <c r="FD55" s="22"/>
      <c r="FE55" s="22"/>
      <c r="FF55" s="22"/>
      <c r="FG55" s="22"/>
      <c r="FH55" s="22"/>
      <c r="FI55" s="22"/>
      <c r="FJ55" s="22"/>
      <c r="FK55" s="22"/>
      <c r="FL55" s="22"/>
      <c r="FM55" s="22"/>
      <c r="FN55" s="22"/>
      <c r="FO55" s="22"/>
      <c r="FP55" s="22"/>
      <c r="FQ55" s="22"/>
      <c r="FR55" s="22"/>
      <c r="FS55" s="22"/>
      <c r="FT55" s="22"/>
      <c r="FU55" s="22"/>
      <c r="FV55" s="22"/>
      <c r="FW55" s="22"/>
      <c r="FX55" s="22"/>
      <c r="FY55" s="22"/>
      <c r="FZ55" s="22"/>
      <c r="GA55" s="22"/>
      <c r="GB55" s="22"/>
      <c r="GC55" s="22"/>
      <c r="GD55" s="22"/>
      <c r="GE55" s="22"/>
      <c r="GF55" s="22"/>
      <c r="GG55" s="22"/>
      <c r="GH55" s="22"/>
      <c r="GI55" s="22"/>
      <c r="GJ55" s="22"/>
      <c r="GK55" s="22"/>
      <c r="GL55" s="22"/>
      <c r="GM55" s="22"/>
      <c r="GN55" s="22"/>
      <c r="GO55" s="22"/>
      <c r="GP55" s="22"/>
      <c r="GQ55" s="22"/>
    </row>
    <row r="56" spans="3:199" s="2" customFormat="1" ht="20.100000000000001" customHeight="1">
      <c r="C56" s="10">
        <v>40030220</v>
      </c>
      <c r="D56" s="11" t="s">
        <v>92</v>
      </c>
      <c r="E56" s="12">
        <v>0</v>
      </c>
      <c r="F56" s="12">
        <v>1103</v>
      </c>
      <c r="G56" s="12">
        <v>1</v>
      </c>
      <c r="H56" s="12">
        <v>10</v>
      </c>
      <c r="I56" s="12">
        <v>0.3</v>
      </c>
      <c r="J56" s="16">
        <v>0</v>
      </c>
      <c r="K56" s="16">
        <v>0</v>
      </c>
      <c r="L56" s="15">
        <v>0</v>
      </c>
      <c r="M56" s="15">
        <v>0</v>
      </c>
      <c r="N56" s="15">
        <v>220</v>
      </c>
      <c r="O56" s="17">
        <v>0</v>
      </c>
      <c r="P56" s="17">
        <v>0</v>
      </c>
      <c r="Q56" s="12">
        <v>0</v>
      </c>
      <c r="R56" s="12">
        <v>0</v>
      </c>
      <c r="S56" s="12">
        <v>0</v>
      </c>
      <c r="T56" s="12">
        <v>0</v>
      </c>
      <c r="U56" s="15">
        <v>0</v>
      </c>
      <c r="V56" s="15">
        <v>0</v>
      </c>
      <c r="W56" s="15">
        <v>0</v>
      </c>
      <c r="X56" s="15">
        <v>0</v>
      </c>
      <c r="Y56" s="15">
        <v>0</v>
      </c>
      <c r="Z56" s="15">
        <v>0</v>
      </c>
      <c r="AA56" s="15">
        <v>0</v>
      </c>
      <c r="AB56" s="16">
        <v>0</v>
      </c>
      <c r="AC56" s="16">
        <v>0</v>
      </c>
      <c r="AD56" s="16">
        <v>0</v>
      </c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</row>
    <row r="57" spans="3:199" s="2" customFormat="1" ht="20.100000000000001" customHeight="1">
      <c r="C57" s="10">
        <v>40030221</v>
      </c>
      <c r="D57" s="11" t="s">
        <v>93</v>
      </c>
      <c r="E57" s="12">
        <v>0</v>
      </c>
      <c r="F57" s="12">
        <v>0</v>
      </c>
      <c r="G57" s="12">
        <v>1</v>
      </c>
      <c r="H57" s="12">
        <v>10</v>
      </c>
      <c r="I57" s="12">
        <v>0.3</v>
      </c>
      <c r="J57" s="16">
        <v>0</v>
      </c>
      <c r="K57" s="16">
        <v>0</v>
      </c>
      <c r="L57" s="15">
        <v>150</v>
      </c>
      <c r="M57" s="15">
        <v>0</v>
      </c>
      <c r="N57" s="15">
        <v>0</v>
      </c>
      <c r="O57" s="17">
        <v>0</v>
      </c>
      <c r="P57" s="17">
        <v>0</v>
      </c>
      <c r="Q57" s="12">
        <v>0</v>
      </c>
      <c r="R57" s="12">
        <v>20</v>
      </c>
      <c r="S57" s="12">
        <v>0</v>
      </c>
      <c r="T57" s="12">
        <v>20</v>
      </c>
      <c r="U57" s="15">
        <v>0</v>
      </c>
      <c r="V57" s="15">
        <v>0</v>
      </c>
      <c r="W57" s="15">
        <v>0</v>
      </c>
      <c r="X57" s="15">
        <v>0</v>
      </c>
      <c r="Y57" s="15">
        <v>0</v>
      </c>
      <c r="Z57" s="15">
        <v>0</v>
      </c>
      <c r="AA57" s="15">
        <v>0</v>
      </c>
      <c r="AB57" s="16">
        <v>0</v>
      </c>
      <c r="AC57" s="16">
        <v>0</v>
      </c>
      <c r="AD57" s="16">
        <v>0</v>
      </c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22"/>
      <c r="BN57" s="22"/>
      <c r="BO57" s="22"/>
      <c r="BP57" s="22"/>
      <c r="BQ57" s="22"/>
      <c r="BR57" s="22"/>
      <c r="BS57" s="22"/>
      <c r="BT57" s="22"/>
      <c r="BU57" s="22"/>
      <c r="BV57" s="22"/>
      <c r="BW57" s="22"/>
      <c r="BX57" s="22"/>
      <c r="BY57" s="22"/>
      <c r="BZ57" s="22"/>
      <c r="CA57" s="22"/>
      <c r="CB57" s="22"/>
      <c r="CC57" s="22"/>
      <c r="CD57" s="22"/>
      <c r="CE57" s="22"/>
      <c r="CF57" s="22"/>
      <c r="CG57" s="22"/>
      <c r="CH57" s="22"/>
      <c r="CI57" s="22"/>
      <c r="CJ57" s="22"/>
      <c r="CK57" s="22"/>
      <c r="CL57" s="22"/>
      <c r="CM57" s="22"/>
      <c r="CN57" s="22"/>
      <c r="CO57" s="22"/>
      <c r="CP57" s="22"/>
      <c r="CQ57" s="22"/>
      <c r="CR57" s="22"/>
      <c r="CS57" s="22"/>
      <c r="CT57" s="22"/>
      <c r="CU57" s="22"/>
      <c r="CV57" s="22"/>
      <c r="CW57" s="22"/>
      <c r="CX57" s="22"/>
      <c r="CY57" s="22"/>
      <c r="CZ57" s="22"/>
      <c r="DA57" s="22"/>
      <c r="DB57" s="22"/>
      <c r="DC57" s="22"/>
      <c r="DD57" s="22"/>
      <c r="DE57" s="22"/>
      <c r="DF57" s="22"/>
      <c r="DG57" s="22"/>
      <c r="DH57" s="22"/>
      <c r="DI57" s="22"/>
      <c r="DJ57" s="22"/>
      <c r="DK57" s="22"/>
      <c r="DL57" s="22"/>
      <c r="DM57" s="22"/>
      <c r="DN57" s="22"/>
      <c r="DO57" s="22"/>
      <c r="DP57" s="22"/>
      <c r="DQ57" s="22"/>
      <c r="DR57" s="22"/>
      <c r="DS57" s="22"/>
      <c r="DT57" s="22"/>
      <c r="DU57" s="22"/>
      <c r="DV57" s="22"/>
      <c r="DW57" s="22"/>
      <c r="DX57" s="22"/>
      <c r="DY57" s="22"/>
      <c r="DZ57" s="22"/>
      <c r="EA57" s="22"/>
      <c r="EB57" s="22"/>
      <c r="EC57" s="22"/>
      <c r="ED57" s="22"/>
      <c r="EE57" s="22"/>
      <c r="EF57" s="22"/>
      <c r="EG57" s="22"/>
      <c r="EH57" s="22"/>
      <c r="EI57" s="22"/>
      <c r="EJ57" s="22"/>
      <c r="EK57" s="22"/>
      <c r="EL57" s="22"/>
      <c r="EM57" s="22"/>
      <c r="EN57" s="22"/>
      <c r="EO57" s="22"/>
      <c r="EP57" s="22"/>
      <c r="EQ57" s="22"/>
      <c r="ER57" s="22"/>
      <c r="ES57" s="22"/>
      <c r="ET57" s="22"/>
      <c r="EU57" s="22"/>
      <c r="EV57" s="22"/>
      <c r="EW57" s="22"/>
      <c r="EX57" s="22"/>
      <c r="EY57" s="22"/>
      <c r="EZ57" s="22"/>
      <c r="FA57" s="22"/>
      <c r="FB57" s="22"/>
      <c r="FC57" s="22"/>
      <c r="FD57" s="22"/>
      <c r="FE57" s="22"/>
      <c r="FF57" s="22"/>
      <c r="FG57" s="22"/>
      <c r="FH57" s="22"/>
      <c r="FI57" s="22"/>
      <c r="FJ57" s="22"/>
      <c r="FK57" s="22"/>
      <c r="FL57" s="22"/>
      <c r="FM57" s="22"/>
      <c r="FN57" s="22"/>
      <c r="FO57" s="22"/>
      <c r="FP57" s="22"/>
      <c r="FQ57" s="22"/>
      <c r="FR57" s="22"/>
      <c r="FS57" s="22"/>
      <c r="FT57" s="22"/>
      <c r="FU57" s="22"/>
      <c r="FV57" s="22"/>
      <c r="FW57" s="22"/>
      <c r="FX57" s="22"/>
      <c r="FY57" s="22"/>
      <c r="FZ57" s="22"/>
      <c r="GA57" s="22"/>
      <c r="GB57" s="22"/>
      <c r="GC57" s="22"/>
      <c r="GD57" s="22"/>
      <c r="GE57" s="22"/>
      <c r="GF57" s="22"/>
      <c r="GG57" s="22"/>
      <c r="GH57" s="22"/>
      <c r="GI57" s="22"/>
      <c r="GJ57" s="22"/>
      <c r="GK57" s="22"/>
      <c r="GL57" s="22"/>
      <c r="GM57" s="22"/>
      <c r="GN57" s="22"/>
      <c r="GO57" s="22"/>
      <c r="GP57" s="22"/>
      <c r="GQ57" s="22"/>
    </row>
    <row r="58" spans="3:199" s="2" customFormat="1" ht="20.100000000000001" customHeight="1">
      <c r="C58" s="13">
        <v>40030222</v>
      </c>
      <c r="D58" s="11" t="s">
        <v>94</v>
      </c>
      <c r="E58" s="12">
        <v>0</v>
      </c>
      <c r="F58" s="12">
        <v>1103</v>
      </c>
      <c r="G58" s="12">
        <v>1</v>
      </c>
      <c r="H58" s="12">
        <v>10</v>
      </c>
      <c r="I58" s="12">
        <v>0.3</v>
      </c>
      <c r="J58" s="16">
        <v>0</v>
      </c>
      <c r="K58" s="16">
        <v>0</v>
      </c>
      <c r="L58" s="18">
        <v>250</v>
      </c>
      <c r="M58" s="18">
        <v>0</v>
      </c>
      <c r="N58" s="18">
        <v>0</v>
      </c>
      <c r="O58" s="17">
        <v>0</v>
      </c>
      <c r="P58" s="17">
        <v>0</v>
      </c>
      <c r="Q58" s="12">
        <v>10</v>
      </c>
      <c r="R58" s="12">
        <v>30</v>
      </c>
      <c r="S58" s="12">
        <v>10</v>
      </c>
      <c r="T58" s="12">
        <v>30</v>
      </c>
      <c r="U58" s="18">
        <v>0</v>
      </c>
      <c r="V58" s="18">
        <v>0</v>
      </c>
      <c r="W58" s="18">
        <v>0</v>
      </c>
      <c r="X58" s="18">
        <v>0</v>
      </c>
      <c r="Y58" s="18">
        <v>0</v>
      </c>
      <c r="Z58" s="18">
        <v>0</v>
      </c>
      <c r="AA58" s="18">
        <v>0</v>
      </c>
      <c r="AB58" s="16">
        <v>0</v>
      </c>
      <c r="AC58" s="16">
        <v>0</v>
      </c>
      <c r="AD58" s="16">
        <v>0</v>
      </c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  <c r="BM58" s="22"/>
      <c r="BN58" s="22"/>
      <c r="BO58" s="22"/>
      <c r="BP58" s="22"/>
      <c r="BQ58" s="22"/>
      <c r="BR58" s="22"/>
      <c r="BS58" s="22"/>
      <c r="BT58" s="22"/>
      <c r="BU58" s="22"/>
      <c r="BV58" s="22"/>
      <c r="BW58" s="22"/>
      <c r="BX58" s="22"/>
      <c r="BY58" s="22"/>
      <c r="BZ58" s="22"/>
      <c r="CA58" s="22"/>
      <c r="CB58" s="22"/>
      <c r="CC58" s="22"/>
      <c r="CD58" s="22"/>
      <c r="CE58" s="22"/>
      <c r="CF58" s="22"/>
      <c r="CG58" s="22"/>
      <c r="CH58" s="22"/>
      <c r="CI58" s="22"/>
      <c r="CJ58" s="22"/>
      <c r="CK58" s="22"/>
      <c r="CL58" s="22"/>
      <c r="CM58" s="22"/>
      <c r="CN58" s="22"/>
      <c r="CO58" s="22"/>
      <c r="CP58" s="22"/>
      <c r="CQ58" s="22"/>
      <c r="CR58" s="22"/>
      <c r="CS58" s="22"/>
      <c r="CT58" s="22"/>
      <c r="CU58" s="22"/>
      <c r="CV58" s="22"/>
      <c r="CW58" s="22"/>
      <c r="CX58" s="22"/>
      <c r="CY58" s="22"/>
      <c r="CZ58" s="22"/>
      <c r="DA58" s="22"/>
      <c r="DB58" s="22"/>
      <c r="DC58" s="22"/>
      <c r="DD58" s="22"/>
      <c r="DE58" s="22"/>
      <c r="DF58" s="22"/>
      <c r="DG58" s="22"/>
      <c r="DH58" s="22"/>
      <c r="DI58" s="22"/>
      <c r="DJ58" s="22"/>
      <c r="DK58" s="22"/>
      <c r="DL58" s="22"/>
      <c r="DM58" s="22"/>
      <c r="DN58" s="22"/>
      <c r="DO58" s="22"/>
      <c r="DP58" s="22"/>
      <c r="DQ58" s="22"/>
      <c r="DR58" s="22"/>
      <c r="DS58" s="22"/>
      <c r="DT58" s="22"/>
      <c r="DU58" s="22"/>
      <c r="DV58" s="22"/>
      <c r="DW58" s="22"/>
      <c r="DX58" s="22"/>
      <c r="DY58" s="22"/>
      <c r="DZ58" s="22"/>
      <c r="EA58" s="22"/>
      <c r="EB58" s="22"/>
      <c r="EC58" s="22"/>
      <c r="ED58" s="22"/>
      <c r="EE58" s="22"/>
      <c r="EF58" s="22"/>
      <c r="EG58" s="22"/>
      <c r="EH58" s="22"/>
      <c r="EI58" s="22"/>
      <c r="EJ58" s="22"/>
      <c r="EK58" s="22"/>
      <c r="EL58" s="22"/>
      <c r="EM58" s="22"/>
      <c r="EN58" s="22"/>
      <c r="EO58" s="22"/>
      <c r="EP58" s="22"/>
      <c r="EQ58" s="22"/>
      <c r="ER58" s="22"/>
      <c r="ES58" s="22"/>
      <c r="ET58" s="22"/>
      <c r="EU58" s="22"/>
      <c r="EV58" s="22"/>
      <c r="EW58" s="22"/>
      <c r="EX58" s="22"/>
      <c r="EY58" s="22"/>
      <c r="EZ58" s="22"/>
      <c r="FA58" s="22"/>
      <c r="FB58" s="22"/>
      <c r="FC58" s="22"/>
      <c r="FD58" s="22"/>
      <c r="FE58" s="22"/>
      <c r="FF58" s="22"/>
      <c r="FG58" s="22"/>
      <c r="FH58" s="22"/>
      <c r="FI58" s="22"/>
      <c r="FJ58" s="22"/>
      <c r="FK58" s="22"/>
      <c r="FL58" s="22"/>
      <c r="FM58" s="22"/>
      <c r="FN58" s="22"/>
      <c r="FO58" s="22"/>
      <c r="FP58" s="22"/>
      <c r="FQ58" s="22"/>
      <c r="FR58" s="22"/>
      <c r="FS58" s="22"/>
      <c r="FT58" s="22"/>
      <c r="FU58" s="22"/>
      <c r="FV58" s="22"/>
      <c r="FW58" s="22"/>
      <c r="FX58" s="22"/>
      <c r="FY58" s="22"/>
      <c r="FZ58" s="22"/>
      <c r="GA58" s="22"/>
      <c r="GB58" s="22"/>
      <c r="GC58" s="22"/>
      <c r="GD58" s="22"/>
      <c r="GE58" s="22"/>
      <c r="GF58" s="22"/>
      <c r="GG58" s="22"/>
      <c r="GH58" s="22"/>
      <c r="GI58" s="22"/>
      <c r="GJ58" s="22"/>
      <c r="GK58" s="22"/>
      <c r="GL58" s="22"/>
      <c r="GM58" s="22"/>
      <c r="GN58" s="22"/>
      <c r="GO58" s="22"/>
      <c r="GP58" s="22"/>
      <c r="GQ58" s="22"/>
    </row>
    <row r="59" spans="3:199" s="2" customFormat="1" ht="20.100000000000001" customHeight="1">
      <c r="C59" s="13">
        <v>40030251</v>
      </c>
      <c r="D59" s="14" t="s">
        <v>95</v>
      </c>
      <c r="E59" s="12">
        <v>0</v>
      </c>
      <c r="F59" s="15">
        <v>0</v>
      </c>
      <c r="G59" s="12">
        <v>1</v>
      </c>
      <c r="H59" s="12">
        <v>10</v>
      </c>
      <c r="I59" s="12">
        <v>0.3</v>
      </c>
      <c r="J59" s="16">
        <v>0</v>
      </c>
      <c r="K59" s="16">
        <v>0</v>
      </c>
      <c r="L59" s="18">
        <v>0</v>
      </c>
      <c r="M59" s="18">
        <v>20</v>
      </c>
      <c r="N59" s="18">
        <v>50</v>
      </c>
      <c r="O59" s="17">
        <v>0</v>
      </c>
      <c r="P59" s="17">
        <v>0</v>
      </c>
      <c r="Q59" s="18">
        <v>0</v>
      </c>
      <c r="R59" s="18">
        <v>10</v>
      </c>
      <c r="S59" s="18">
        <v>0</v>
      </c>
      <c r="T59" s="18">
        <v>20</v>
      </c>
      <c r="U59" s="15">
        <v>0</v>
      </c>
      <c r="V59" s="15">
        <v>0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6">
        <v>0</v>
      </c>
      <c r="AC59" s="16">
        <v>0</v>
      </c>
      <c r="AD59" s="16">
        <v>0</v>
      </c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</row>
    <row r="60" spans="3:199" s="2" customFormat="1" ht="20.100000000000001" customHeight="1">
      <c r="C60" s="13">
        <v>40030252</v>
      </c>
      <c r="D60" s="14" t="s">
        <v>96</v>
      </c>
      <c r="E60" s="12">
        <v>0</v>
      </c>
      <c r="F60" s="15">
        <v>0</v>
      </c>
      <c r="G60" s="12">
        <v>1</v>
      </c>
      <c r="H60" s="12">
        <v>10</v>
      </c>
      <c r="I60" s="12">
        <v>0.3</v>
      </c>
      <c r="J60" s="16">
        <v>0</v>
      </c>
      <c r="K60" s="16">
        <v>0</v>
      </c>
      <c r="L60" s="18">
        <v>100</v>
      </c>
      <c r="M60" s="18">
        <v>0</v>
      </c>
      <c r="N60" s="18">
        <v>0</v>
      </c>
      <c r="O60" s="17">
        <v>0</v>
      </c>
      <c r="P60" s="17">
        <v>0</v>
      </c>
      <c r="Q60" s="18">
        <v>0</v>
      </c>
      <c r="R60" s="18">
        <v>0</v>
      </c>
      <c r="S60" s="18">
        <v>0</v>
      </c>
      <c r="T60" s="18">
        <v>0</v>
      </c>
      <c r="U60" s="15">
        <v>0</v>
      </c>
      <c r="V60" s="15">
        <v>0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6">
        <v>0</v>
      </c>
      <c r="AC60" s="16">
        <v>0</v>
      </c>
      <c r="AD60" s="16">
        <v>0</v>
      </c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2"/>
      <c r="BS60" s="22"/>
      <c r="BT60" s="22"/>
      <c r="BU60" s="22"/>
      <c r="BV60" s="22"/>
      <c r="BW60" s="22"/>
      <c r="BX60" s="22"/>
      <c r="BY60" s="22"/>
      <c r="BZ60" s="22"/>
      <c r="CA60" s="22"/>
      <c r="CB60" s="22"/>
      <c r="CC60" s="22"/>
      <c r="CD60" s="22"/>
      <c r="CE60" s="22"/>
      <c r="CF60" s="22"/>
      <c r="CG60" s="22"/>
      <c r="CH60" s="22"/>
      <c r="CI60" s="22"/>
      <c r="CJ60" s="22"/>
      <c r="CK60" s="22"/>
      <c r="CL60" s="22"/>
      <c r="CM60" s="22"/>
      <c r="CN60" s="22"/>
      <c r="CO60" s="22"/>
      <c r="CP60" s="22"/>
      <c r="CQ60" s="22"/>
      <c r="CR60" s="22"/>
      <c r="CS60" s="22"/>
      <c r="CT60" s="22"/>
      <c r="CU60" s="22"/>
      <c r="CV60" s="22"/>
      <c r="CW60" s="22"/>
      <c r="CX60" s="22"/>
      <c r="CY60" s="22"/>
      <c r="CZ60" s="22"/>
      <c r="DA60" s="22"/>
      <c r="DB60" s="22"/>
      <c r="DC60" s="22"/>
      <c r="DD60" s="22"/>
      <c r="DE60" s="22"/>
      <c r="DF60" s="22"/>
      <c r="DG60" s="22"/>
      <c r="DH60" s="22"/>
      <c r="DI60" s="22"/>
      <c r="DJ60" s="22"/>
      <c r="DK60" s="22"/>
      <c r="DL60" s="22"/>
      <c r="DM60" s="22"/>
      <c r="DN60" s="22"/>
      <c r="DO60" s="22"/>
      <c r="DP60" s="22"/>
      <c r="DQ60" s="22"/>
      <c r="DR60" s="22"/>
      <c r="DS60" s="22"/>
      <c r="DT60" s="22"/>
      <c r="DU60" s="22"/>
      <c r="DV60" s="22"/>
      <c r="DW60" s="22"/>
      <c r="DX60" s="22"/>
      <c r="DY60" s="22"/>
      <c r="DZ60" s="22"/>
      <c r="EA60" s="22"/>
      <c r="EB60" s="22"/>
      <c r="EC60" s="22"/>
      <c r="ED60" s="22"/>
      <c r="EE60" s="22"/>
      <c r="EF60" s="22"/>
      <c r="EG60" s="22"/>
      <c r="EH60" s="22"/>
      <c r="EI60" s="22"/>
      <c r="EJ60" s="22"/>
      <c r="EK60" s="22"/>
      <c r="EL60" s="22"/>
      <c r="EM60" s="22"/>
      <c r="EN60" s="22"/>
      <c r="EO60" s="22"/>
      <c r="EP60" s="22"/>
      <c r="EQ60" s="22"/>
      <c r="ER60" s="22"/>
      <c r="ES60" s="22"/>
      <c r="ET60" s="22"/>
      <c r="EU60" s="22"/>
      <c r="EV60" s="22"/>
      <c r="EW60" s="22"/>
      <c r="EX60" s="22"/>
      <c r="EY60" s="22"/>
      <c r="EZ60" s="22"/>
      <c r="FA60" s="22"/>
      <c r="FB60" s="22"/>
      <c r="FC60" s="22"/>
      <c r="FD60" s="22"/>
      <c r="FE60" s="22"/>
      <c r="FF60" s="22"/>
      <c r="FG60" s="22"/>
      <c r="FH60" s="22"/>
      <c r="FI60" s="22"/>
      <c r="FJ60" s="22"/>
      <c r="FK60" s="22"/>
      <c r="FL60" s="22"/>
      <c r="FM60" s="22"/>
      <c r="FN60" s="22"/>
      <c r="FO60" s="22"/>
      <c r="FP60" s="22"/>
      <c r="FQ60" s="22"/>
      <c r="FR60" s="22"/>
      <c r="FS60" s="22"/>
      <c r="FT60" s="22"/>
      <c r="FU60" s="22"/>
      <c r="FV60" s="22"/>
      <c r="FW60" s="22"/>
      <c r="FX60" s="22"/>
      <c r="FY60" s="22"/>
      <c r="FZ60" s="22"/>
      <c r="GA60" s="22"/>
      <c r="GB60" s="22"/>
      <c r="GC60" s="22"/>
      <c r="GD60" s="22"/>
      <c r="GE60" s="22"/>
      <c r="GF60" s="22"/>
      <c r="GG60" s="22"/>
      <c r="GH60" s="22"/>
      <c r="GI60" s="22"/>
      <c r="GJ60" s="22"/>
      <c r="GK60" s="22"/>
      <c r="GL60" s="22"/>
      <c r="GM60" s="22"/>
      <c r="GN60" s="22"/>
      <c r="GO60" s="22"/>
      <c r="GP60" s="22"/>
      <c r="GQ60" s="22"/>
    </row>
    <row r="61" spans="3:199" s="2" customFormat="1" ht="20.100000000000001" customHeight="1">
      <c r="C61" s="13">
        <v>40030253</v>
      </c>
      <c r="D61" s="14" t="s">
        <v>97</v>
      </c>
      <c r="E61" s="12">
        <v>0</v>
      </c>
      <c r="F61" s="15">
        <v>0</v>
      </c>
      <c r="G61" s="12">
        <v>1</v>
      </c>
      <c r="H61" s="12">
        <v>10</v>
      </c>
      <c r="I61" s="12">
        <v>0.3</v>
      </c>
      <c r="J61" s="16">
        <v>0</v>
      </c>
      <c r="K61" s="16">
        <v>0</v>
      </c>
      <c r="L61" s="18">
        <v>0</v>
      </c>
      <c r="M61" s="18">
        <v>10</v>
      </c>
      <c r="N61" s="18">
        <v>30</v>
      </c>
      <c r="O61" s="17">
        <v>0</v>
      </c>
      <c r="P61" s="17">
        <v>0</v>
      </c>
      <c r="Q61" s="18">
        <v>0</v>
      </c>
      <c r="R61" s="18">
        <v>20</v>
      </c>
      <c r="S61" s="18">
        <v>0</v>
      </c>
      <c r="T61" s="18">
        <v>20</v>
      </c>
      <c r="U61" s="15">
        <v>0</v>
      </c>
      <c r="V61" s="15">
        <v>0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6">
        <v>0</v>
      </c>
      <c r="AC61" s="16">
        <v>0</v>
      </c>
      <c r="AD61" s="16">
        <v>0</v>
      </c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  <c r="BM61" s="22"/>
      <c r="BN61" s="22"/>
      <c r="BO61" s="22"/>
      <c r="BP61" s="22"/>
      <c r="BQ61" s="22"/>
      <c r="BR61" s="22"/>
      <c r="BS61" s="22"/>
      <c r="BT61" s="22"/>
      <c r="BU61" s="22"/>
      <c r="BV61" s="22"/>
      <c r="BW61" s="22"/>
      <c r="BX61" s="22"/>
      <c r="BY61" s="22"/>
      <c r="BZ61" s="22"/>
      <c r="CA61" s="22"/>
      <c r="CB61" s="22"/>
      <c r="CC61" s="22"/>
      <c r="CD61" s="22"/>
      <c r="CE61" s="22"/>
      <c r="CF61" s="22"/>
      <c r="CG61" s="22"/>
      <c r="CH61" s="22"/>
      <c r="CI61" s="22"/>
      <c r="CJ61" s="22"/>
      <c r="CK61" s="22"/>
      <c r="CL61" s="22"/>
      <c r="CM61" s="22"/>
      <c r="CN61" s="22"/>
      <c r="CO61" s="22"/>
      <c r="CP61" s="22"/>
      <c r="CQ61" s="22"/>
      <c r="CR61" s="22"/>
      <c r="CS61" s="22"/>
      <c r="CT61" s="22"/>
      <c r="CU61" s="22"/>
      <c r="CV61" s="22"/>
      <c r="CW61" s="22"/>
      <c r="CX61" s="22"/>
      <c r="CY61" s="22"/>
      <c r="CZ61" s="22"/>
      <c r="DA61" s="22"/>
      <c r="DB61" s="22"/>
      <c r="DC61" s="22"/>
      <c r="DD61" s="22"/>
      <c r="DE61" s="22"/>
      <c r="DF61" s="22"/>
      <c r="DG61" s="22"/>
      <c r="DH61" s="22"/>
      <c r="DI61" s="22"/>
      <c r="DJ61" s="22"/>
      <c r="DK61" s="22"/>
      <c r="DL61" s="22"/>
      <c r="DM61" s="22"/>
      <c r="DN61" s="22"/>
      <c r="DO61" s="22"/>
      <c r="DP61" s="22"/>
      <c r="DQ61" s="22"/>
      <c r="DR61" s="22"/>
      <c r="DS61" s="22"/>
      <c r="DT61" s="22"/>
      <c r="DU61" s="22"/>
      <c r="DV61" s="22"/>
      <c r="DW61" s="22"/>
      <c r="DX61" s="22"/>
      <c r="DY61" s="22"/>
      <c r="DZ61" s="22"/>
      <c r="EA61" s="22"/>
      <c r="EB61" s="22"/>
      <c r="EC61" s="22"/>
      <c r="ED61" s="22"/>
      <c r="EE61" s="22"/>
      <c r="EF61" s="22"/>
      <c r="EG61" s="22"/>
      <c r="EH61" s="22"/>
      <c r="EI61" s="22"/>
      <c r="EJ61" s="22"/>
      <c r="EK61" s="22"/>
      <c r="EL61" s="22"/>
      <c r="EM61" s="22"/>
      <c r="EN61" s="22"/>
      <c r="EO61" s="22"/>
      <c r="EP61" s="22"/>
      <c r="EQ61" s="22"/>
      <c r="ER61" s="22"/>
      <c r="ES61" s="22"/>
      <c r="ET61" s="22"/>
      <c r="EU61" s="22"/>
      <c r="EV61" s="22"/>
      <c r="EW61" s="22"/>
      <c r="EX61" s="22"/>
      <c r="EY61" s="22"/>
      <c r="EZ61" s="22"/>
      <c r="FA61" s="22"/>
      <c r="FB61" s="22"/>
      <c r="FC61" s="22"/>
      <c r="FD61" s="22"/>
      <c r="FE61" s="22"/>
      <c r="FF61" s="22"/>
      <c r="FG61" s="22"/>
      <c r="FH61" s="22"/>
      <c r="FI61" s="22"/>
      <c r="FJ61" s="22"/>
      <c r="FK61" s="22"/>
      <c r="FL61" s="22"/>
      <c r="FM61" s="22"/>
      <c r="FN61" s="22"/>
      <c r="FO61" s="22"/>
      <c r="FP61" s="22"/>
      <c r="FQ61" s="22"/>
      <c r="FR61" s="22"/>
      <c r="FS61" s="22"/>
      <c r="FT61" s="22"/>
      <c r="FU61" s="22"/>
      <c r="FV61" s="22"/>
      <c r="FW61" s="22"/>
      <c r="FX61" s="22"/>
      <c r="FY61" s="22"/>
      <c r="FZ61" s="22"/>
      <c r="GA61" s="22"/>
      <c r="GB61" s="22"/>
      <c r="GC61" s="22"/>
      <c r="GD61" s="22"/>
      <c r="GE61" s="22"/>
      <c r="GF61" s="22"/>
      <c r="GG61" s="22"/>
      <c r="GH61" s="22"/>
      <c r="GI61" s="22"/>
      <c r="GJ61" s="22"/>
      <c r="GK61" s="22"/>
      <c r="GL61" s="22"/>
      <c r="GM61" s="22"/>
      <c r="GN61" s="22"/>
      <c r="GO61" s="22"/>
      <c r="GP61" s="22"/>
      <c r="GQ61" s="22"/>
    </row>
    <row r="62" spans="3:199" s="2" customFormat="1" ht="20.100000000000001" customHeight="1">
      <c r="C62" s="13">
        <v>40030254</v>
      </c>
      <c r="D62" s="14" t="s">
        <v>98</v>
      </c>
      <c r="E62" s="12">
        <v>0</v>
      </c>
      <c r="F62" s="15">
        <v>0</v>
      </c>
      <c r="G62" s="12">
        <v>1</v>
      </c>
      <c r="H62" s="12">
        <v>10</v>
      </c>
      <c r="I62" s="12">
        <v>0.3</v>
      </c>
      <c r="J62" s="16">
        <v>0</v>
      </c>
      <c r="K62" s="16">
        <v>0</v>
      </c>
      <c r="L62" s="18">
        <v>0</v>
      </c>
      <c r="M62" s="18">
        <v>20</v>
      </c>
      <c r="N62" s="18">
        <v>20</v>
      </c>
      <c r="O62" s="17">
        <v>0</v>
      </c>
      <c r="P62" s="17">
        <v>0</v>
      </c>
      <c r="Q62" s="18">
        <v>0</v>
      </c>
      <c r="R62" s="18">
        <v>20</v>
      </c>
      <c r="S62" s="18">
        <v>0</v>
      </c>
      <c r="T62" s="18">
        <v>20</v>
      </c>
      <c r="U62" s="15">
        <v>0</v>
      </c>
      <c r="V62" s="15">
        <v>0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6">
        <v>0</v>
      </c>
      <c r="AC62" s="16">
        <v>0</v>
      </c>
      <c r="AD62" s="16">
        <v>0</v>
      </c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</row>
    <row r="63" spans="3:199" s="2" customFormat="1" ht="20.100000000000001" customHeight="1">
      <c r="C63" s="13">
        <v>40030255</v>
      </c>
      <c r="D63" s="14" t="s">
        <v>99</v>
      </c>
      <c r="E63" s="12">
        <v>0</v>
      </c>
      <c r="F63" s="15">
        <v>0</v>
      </c>
      <c r="G63" s="12">
        <v>1</v>
      </c>
      <c r="H63" s="12">
        <v>10</v>
      </c>
      <c r="I63" s="12">
        <v>0.3</v>
      </c>
      <c r="J63" s="16">
        <v>0</v>
      </c>
      <c r="K63" s="16">
        <v>0</v>
      </c>
      <c r="L63" s="18">
        <v>150</v>
      </c>
      <c r="M63" s="18">
        <v>0</v>
      </c>
      <c r="N63" s="18">
        <v>0</v>
      </c>
      <c r="O63" s="17">
        <v>0</v>
      </c>
      <c r="P63" s="17">
        <v>0</v>
      </c>
      <c r="Q63" s="18">
        <v>10</v>
      </c>
      <c r="R63" s="18">
        <v>20</v>
      </c>
      <c r="S63" s="18">
        <v>10</v>
      </c>
      <c r="T63" s="18">
        <v>20</v>
      </c>
      <c r="U63" s="15">
        <v>0</v>
      </c>
      <c r="V63" s="15">
        <v>0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6">
        <v>0</v>
      </c>
      <c r="AC63" s="16">
        <v>0</v>
      </c>
      <c r="AD63" s="16">
        <v>0</v>
      </c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  <c r="BM63" s="22"/>
      <c r="BN63" s="22"/>
      <c r="BO63" s="22"/>
      <c r="BP63" s="22"/>
      <c r="BQ63" s="22"/>
      <c r="BR63" s="22"/>
      <c r="BS63" s="22"/>
      <c r="BT63" s="22"/>
      <c r="BU63" s="22"/>
      <c r="BV63" s="22"/>
      <c r="BW63" s="22"/>
      <c r="BX63" s="22"/>
      <c r="BY63" s="22"/>
      <c r="BZ63" s="22"/>
      <c r="CA63" s="22"/>
      <c r="CB63" s="22"/>
      <c r="CC63" s="22"/>
      <c r="CD63" s="22"/>
      <c r="CE63" s="22"/>
      <c r="CF63" s="22"/>
      <c r="CG63" s="22"/>
      <c r="CH63" s="22"/>
      <c r="CI63" s="22"/>
      <c r="CJ63" s="22"/>
      <c r="CK63" s="22"/>
      <c r="CL63" s="22"/>
      <c r="CM63" s="22"/>
      <c r="CN63" s="22"/>
      <c r="CO63" s="22"/>
      <c r="CP63" s="22"/>
      <c r="CQ63" s="22"/>
      <c r="CR63" s="22"/>
      <c r="CS63" s="22"/>
      <c r="CT63" s="22"/>
      <c r="CU63" s="22"/>
      <c r="CV63" s="22"/>
      <c r="CW63" s="22"/>
      <c r="CX63" s="22"/>
      <c r="CY63" s="22"/>
      <c r="CZ63" s="22"/>
      <c r="DA63" s="22"/>
      <c r="DB63" s="22"/>
      <c r="DC63" s="22"/>
      <c r="DD63" s="22"/>
      <c r="DE63" s="22"/>
      <c r="DF63" s="22"/>
      <c r="DG63" s="22"/>
      <c r="DH63" s="22"/>
      <c r="DI63" s="22"/>
      <c r="DJ63" s="22"/>
      <c r="DK63" s="22"/>
      <c r="DL63" s="22"/>
      <c r="DM63" s="22"/>
      <c r="DN63" s="22"/>
      <c r="DO63" s="22"/>
      <c r="DP63" s="22"/>
      <c r="DQ63" s="22"/>
      <c r="DR63" s="22"/>
      <c r="DS63" s="22"/>
      <c r="DT63" s="22"/>
      <c r="DU63" s="22"/>
      <c r="DV63" s="22"/>
      <c r="DW63" s="22"/>
      <c r="DX63" s="22"/>
      <c r="DY63" s="22"/>
      <c r="DZ63" s="22"/>
      <c r="EA63" s="22"/>
      <c r="EB63" s="22"/>
      <c r="EC63" s="22"/>
      <c r="ED63" s="22"/>
      <c r="EE63" s="22"/>
      <c r="EF63" s="22"/>
      <c r="EG63" s="22"/>
      <c r="EH63" s="22"/>
      <c r="EI63" s="22"/>
      <c r="EJ63" s="22"/>
      <c r="EK63" s="22"/>
      <c r="EL63" s="22"/>
      <c r="EM63" s="22"/>
      <c r="EN63" s="22"/>
      <c r="EO63" s="22"/>
      <c r="EP63" s="22"/>
      <c r="EQ63" s="22"/>
      <c r="ER63" s="22"/>
      <c r="ES63" s="22"/>
      <c r="ET63" s="22"/>
      <c r="EU63" s="22"/>
      <c r="EV63" s="22"/>
      <c r="EW63" s="22"/>
      <c r="EX63" s="22"/>
      <c r="EY63" s="22"/>
      <c r="EZ63" s="22"/>
      <c r="FA63" s="22"/>
      <c r="FB63" s="22"/>
      <c r="FC63" s="22"/>
      <c r="FD63" s="22"/>
      <c r="FE63" s="22"/>
      <c r="FF63" s="22"/>
      <c r="FG63" s="22"/>
      <c r="FH63" s="22"/>
      <c r="FI63" s="22"/>
      <c r="FJ63" s="22"/>
      <c r="FK63" s="22"/>
      <c r="FL63" s="22"/>
      <c r="FM63" s="22"/>
      <c r="FN63" s="22"/>
      <c r="FO63" s="22"/>
      <c r="FP63" s="22"/>
      <c r="FQ63" s="22"/>
      <c r="FR63" s="22"/>
      <c r="FS63" s="22"/>
      <c r="FT63" s="22"/>
      <c r="FU63" s="22"/>
      <c r="FV63" s="22"/>
      <c r="FW63" s="22"/>
      <c r="FX63" s="22"/>
      <c r="FY63" s="22"/>
      <c r="FZ63" s="22"/>
      <c r="GA63" s="22"/>
      <c r="GB63" s="22"/>
      <c r="GC63" s="22"/>
      <c r="GD63" s="22"/>
      <c r="GE63" s="22"/>
      <c r="GF63" s="22"/>
      <c r="GG63" s="22"/>
      <c r="GH63" s="22"/>
      <c r="GI63" s="22"/>
      <c r="GJ63" s="22"/>
      <c r="GK63" s="22"/>
      <c r="GL63" s="22"/>
      <c r="GM63" s="22"/>
      <c r="GN63" s="22"/>
      <c r="GO63" s="22"/>
      <c r="GP63" s="22"/>
      <c r="GQ63" s="22"/>
    </row>
    <row r="64" spans="3:199" s="2" customFormat="1" ht="20.100000000000001" customHeight="1">
      <c r="C64" s="13">
        <v>40030256</v>
      </c>
      <c r="D64" s="14" t="s">
        <v>100</v>
      </c>
      <c r="E64" s="12">
        <v>0</v>
      </c>
      <c r="F64" s="15">
        <v>1104</v>
      </c>
      <c r="G64" s="12">
        <v>1</v>
      </c>
      <c r="H64" s="12">
        <v>10</v>
      </c>
      <c r="I64" s="12">
        <v>0.3</v>
      </c>
      <c r="J64" s="16">
        <v>0</v>
      </c>
      <c r="K64" s="16">
        <v>0</v>
      </c>
      <c r="L64" s="18">
        <v>0</v>
      </c>
      <c r="M64" s="18">
        <v>20</v>
      </c>
      <c r="N64" s="18">
        <v>30</v>
      </c>
      <c r="O64" s="17">
        <v>0</v>
      </c>
      <c r="P64" s="17">
        <v>0</v>
      </c>
      <c r="Q64" s="18">
        <v>0</v>
      </c>
      <c r="R64" s="18">
        <v>10</v>
      </c>
      <c r="S64" s="18">
        <v>0</v>
      </c>
      <c r="T64" s="18">
        <v>20</v>
      </c>
      <c r="U64" s="15">
        <v>0</v>
      </c>
      <c r="V64" s="15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6">
        <v>0</v>
      </c>
      <c r="AC64" s="16">
        <v>0</v>
      </c>
      <c r="AD64" s="16">
        <v>0</v>
      </c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  <c r="BM64" s="22"/>
      <c r="BN64" s="22"/>
      <c r="BO64" s="22"/>
      <c r="BP64" s="22"/>
      <c r="BQ64" s="22"/>
      <c r="BR64" s="22"/>
      <c r="BS64" s="22"/>
      <c r="BT64" s="22"/>
      <c r="BU64" s="22"/>
      <c r="BV64" s="22"/>
      <c r="BW64" s="22"/>
      <c r="BX64" s="22"/>
      <c r="BY64" s="22"/>
      <c r="BZ64" s="22"/>
      <c r="CA64" s="22"/>
      <c r="CB64" s="22"/>
      <c r="CC64" s="22"/>
      <c r="CD64" s="22"/>
      <c r="CE64" s="22"/>
      <c r="CF64" s="22"/>
      <c r="CG64" s="22"/>
      <c r="CH64" s="22"/>
      <c r="CI64" s="22"/>
      <c r="CJ64" s="22"/>
      <c r="CK64" s="22"/>
      <c r="CL64" s="22"/>
      <c r="CM64" s="22"/>
      <c r="CN64" s="22"/>
      <c r="CO64" s="22"/>
      <c r="CP64" s="22"/>
      <c r="CQ64" s="22"/>
      <c r="CR64" s="22"/>
      <c r="CS64" s="22"/>
      <c r="CT64" s="22"/>
      <c r="CU64" s="22"/>
      <c r="CV64" s="22"/>
      <c r="CW64" s="22"/>
      <c r="CX64" s="22"/>
      <c r="CY64" s="22"/>
      <c r="CZ64" s="22"/>
      <c r="DA64" s="22"/>
      <c r="DB64" s="22"/>
      <c r="DC64" s="22"/>
      <c r="DD64" s="22"/>
      <c r="DE64" s="22"/>
      <c r="DF64" s="22"/>
      <c r="DG64" s="22"/>
      <c r="DH64" s="22"/>
      <c r="DI64" s="22"/>
      <c r="DJ64" s="22"/>
      <c r="DK64" s="22"/>
      <c r="DL64" s="22"/>
      <c r="DM64" s="22"/>
      <c r="DN64" s="22"/>
      <c r="DO64" s="22"/>
      <c r="DP64" s="22"/>
      <c r="DQ64" s="22"/>
      <c r="DR64" s="22"/>
      <c r="DS64" s="22"/>
      <c r="DT64" s="22"/>
      <c r="DU64" s="22"/>
      <c r="DV64" s="22"/>
      <c r="DW64" s="22"/>
      <c r="DX64" s="22"/>
      <c r="DY64" s="22"/>
      <c r="DZ64" s="22"/>
      <c r="EA64" s="22"/>
      <c r="EB64" s="22"/>
      <c r="EC64" s="22"/>
      <c r="ED64" s="22"/>
      <c r="EE64" s="22"/>
      <c r="EF64" s="22"/>
      <c r="EG64" s="22"/>
      <c r="EH64" s="22"/>
      <c r="EI64" s="22"/>
      <c r="EJ64" s="22"/>
      <c r="EK64" s="22"/>
      <c r="EL64" s="22"/>
      <c r="EM64" s="22"/>
      <c r="EN64" s="22"/>
      <c r="EO64" s="22"/>
      <c r="EP64" s="22"/>
      <c r="EQ64" s="22"/>
      <c r="ER64" s="22"/>
      <c r="ES64" s="22"/>
      <c r="ET64" s="22"/>
      <c r="EU64" s="22"/>
      <c r="EV64" s="22"/>
      <c r="EW64" s="22"/>
      <c r="EX64" s="22"/>
      <c r="EY64" s="22"/>
      <c r="EZ64" s="22"/>
      <c r="FA64" s="22"/>
      <c r="FB64" s="22"/>
      <c r="FC64" s="22"/>
      <c r="FD64" s="22"/>
      <c r="FE64" s="22"/>
      <c r="FF64" s="22"/>
      <c r="FG64" s="22"/>
      <c r="FH64" s="22"/>
      <c r="FI64" s="22"/>
      <c r="FJ64" s="22"/>
      <c r="FK64" s="22"/>
      <c r="FL64" s="22"/>
      <c r="FM64" s="22"/>
      <c r="FN64" s="22"/>
      <c r="FO64" s="22"/>
      <c r="FP64" s="22"/>
      <c r="FQ64" s="22"/>
      <c r="FR64" s="22"/>
      <c r="FS64" s="22"/>
      <c r="FT64" s="22"/>
      <c r="FU64" s="22"/>
      <c r="FV64" s="22"/>
      <c r="FW64" s="22"/>
      <c r="FX64" s="22"/>
      <c r="FY64" s="22"/>
      <c r="FZ64" s="22"/>
      <c r="GA64" s="22"/>
      <c r="GB64" s="22"/>
      <c r="GC64" s="22"/>
      <c r="GD64" s="22"/>
      <c r="GE64" s="22"/>
      <c r="GF64" s="22"/>
      <c r="GG64" s="22"/>
      <c r="GH64" s="22"/>
      <c r="GI64" s="22"/>
      <c r="GJ64" s="22"/>
      <c r="GK64" s="22"/>
      <c r="GL64" s="22"/>
      <c r="GM64" s="22"/>
      <c r="GN64" s="22"/>
      <c r="GO64" s="22"/>
      <c r="GP64" s="22"/>
      <c r="GQ64" s="22"/>
    </row>
    <row r="65" spans="3:199" s="2" customFormat="1" ht="20.100000000000001" customHeight="1">
      <c r="C65" s="13">
        <v>40030257</v>
      </c>
      <c r="D65" s="14" t="s">
        <v>101</v>
      </c>
      <c r="E65" s="12">
        <v>0</v>
      </c>
      <c r="F65" s="15">
        <v>1104</v>
      </c>
      <c r="G65" s="12">
        <v>1</v>
      </c>
      <c r="H65" s="12">
        <v>10</v>
      </c>
      <c r="I65" s="12">
        <v>0.3</v>
      </c>
      <c r="J65" s="16">
        <v>0</v>
      </c>
      <c r="K65" s="16">
        <v>0</v>
      </c>
      <c r="L65" s="18">
        <v>0</v>
      </c>
      <c r="M65" s="18">
        <v>0</v>
      </c>
      <c r="N65" s="18">
        <v>10</v>
      </c>
      <c r="O65" s="17">
        <v>0</v>
      </c>
      <c r="P65" s="17">
        <v>0</v>
      </c>
      <c r="Q65" s="18">
        <v>10</v>
      </c>
      <c r="R65" s="18">
        <v>20</v>
      </c>
      <c r="S65" s="18">
        <v>0</v>
      </c>
      <c r="T65" s="18">
        <v>0</v>
      </c>
      <c r="U65" s="15">
        <v>0</v>
      </c>
      <c r="V65" s="15">
        <v>0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6">
        <v>0</v>
      </c>
      <c r="AC65" s="16">
        <v>0</v>
      </c>
      <c r="AD65" s="16">
        <v>0</v>
      </c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</row>
    <row r="66" spans="3:199" s="2" customFormat="1" ht="20.100000000000001" customHeight="1">
      <c r="C66" s="13">
        <v>40030258</v>
      </c>
      <c r="D66" s="14" t="s">
        <v>102</v>
      </c>
      <c r="E66" s="12">
        <v>0</v>
      </c>
      <c r="F66" s="15">
        <v>1104</v>
      </c>
      <c r="G66" s="12">
        <v>1</v>
      </c>
      <c r="H66" s="12">
        <v>10</v>
      </c>
      <c r="I66" s="12">
        <v>0.3</v>
      </c>
      <c r="J66" s="16">
        <v>0</v>
      </c>
      <c r="K66" s="16">
        <v>0</v>
      </c>
      <c r="L66" s="18">
        <v>0</v>
      </c>
      <c r="M66" s="18">
        <v>0</v>
      </c>
      <c r="N66" s="18">
        <v>20</v>
      </c>
      <c r="O66" s="17">
        <v>0</v>
      </c>
      <c r="P66" s="17">
        <v>0</v>
      </c>
      <c r="Q66" s="18">
        <v>0</v>
      </c>
      <c r="R66" s="18">
        <v>0</v>
      </c>
      <c r="S66" s="18">
        <v>10</v>
      </c>
      <c r="T66" s="18">
        <v>20</v>
      </c>
      <c r="U66" s="15">
        <v>0</v>
      </c>
      <c r="V66" s="15">
        <v>0</v>
      </c>
      <c r="W66" s="15">
        <v>0</v>
      </c>
      <c r="X66" s="15">
        <v>0</v>
      </c>
      <c r="Y66" s="15">
        <v>0</v>
      </c>
      <c r="Z66" s="15">
        <v>0</v>
      </c>
      <c r="AA66" s="15">
        <v>0</v>
      </c>
      <c r="AB66" s="16">
        <v>0</v>
      </c>
      <c r="AC66" s="16">
        <v>0</v>
      </c>
      <c r="AD66" s="16">
        <v>0</v>
      </c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  <c r="BM66" s="22"/>
      <c r="BN66" s="22"/>
      <c r="BO66" s="22"/>
      <c r="BP66" s="22"/>
      <c r="BQ66" s="22"/>
      <c r="BR66" s="22"/>
      <c r="BS66" s="22"/>
      <c r="BT66" s="22"/>
      <c r="BU66" s="22"/>
      <c r="BV66" s="22"/>
      <c r="BW66" s="22"/>
      <c r="BX66" s="22"/>
      <c r="BY66" s="22"/>
      <c r="BZ66" s="22"/>
      <c r="CA66" s="22"/>
      <c r="CB66" s="22"/>
      <c r="CC66" s="22"/>
      <c r="CD66" s="22"/>
      <c r="CE66" s="22"/>
      <c r="CF66" s="22"/>
      <c r="CG66" s="22"/>
      <c r="CH66" s="22"/>
      <c r="CI66" s="22"/>
      <c r="CJ66" s="22"/>
      <c r="CK66" s="22"/>
      <c r="CL66" s="22"/>
      <c r="CM66" s="22"/>
      <c r="CN66" s="22"/>
      <c r="CO66" s="22"/>
      <c r="CP66" s="22"/>
      <c r="CQ66" s="22"/>
      <c r="CR66" s="22"/>
      <c r="CS66" s="22"/>
      <c r="CT66" s="22"/>
      <c r="CU66" s="22"/>
      <c r="CV66" s="22"/>
      <c r="CW66" s="22"/>
      <c r="CX66" s="22"/>
      <c r="CY66" s="22"/>
      <c r="CZ66" s="22"/>
      <c r="DA66" s="22"/>
      <c r="DB66" s="22"/>
      <c r="DC66" s="22"/>
      <c r="DD66" s="22"/>
      <c r="DE66" s="22"/>
      <c r="DF66" s="22"/>
      <c r="DG66" s="22"/>
      <c r="DH66" s="22"/>
      <c r="DI66" s="22"/>
      <c r="DJ66" s="22"/>
      <c r="DK66" s="22"/>
      <c r="DL66" s="22"/>
      <c r="DM66" s="22"/>
      <c r="DN66" s="22"/>
      <c r="DO66" s="22"/>
      <c r="DP66" s="22"/>
      <c r="DQ66" s="22"/>
      <c r="DR66" s="22"/>
      <c r="DS66" s="22"/>
      <c r="DT66" s="22"/>
      <c r="DU66" s="22"/>
      <c r="DV66" s="22"/>
      <c r="DW66" s="22"/>
      <c r="DX66" s="22"/>
      <c r="DY66" s="22"/>
      <c r="DZ66" s="22"/>
      <c r="EA66" s="22"/>
      <c r="EB66" s="22"/>
      <c r="EC66" s="22"/>
      <c r="ED66" s="22"/>
      <c r="EE66" s="22"/>
      <c r="EF66" s="22"/>
      <c r="EG66" s="22"/>
      <c r="EH66" s="22"/>
      <c r="EI66" s="22"/>
      <c r="EJ66" s="22"/>
      <c r="EK66" s="22"/>
      <c r="EL66" s="22"/>
      <c r="EM66" s="22"/>
      <c r="EN66" s="22"/>
      <c r="EO66" s="22"/>
      <c r="EP66" s="22"/>
      <c r="EQ66" s="22"/>
      <c r="ER66" s="22"/>
      <c r="ES66" s="22"/>
      <c r="ET66" s="22"/>
      <c r="EU66" s="22"/>
      <c r="EV66" s="22"/>
      <c r="EW66" s="22"/>
      <c r="EX66" s="22"/>
      <c r="EY66" s="22"/>
      <c r="EZ66" s="22"/>
      <c r="FA66" s="22"/>
      <c r="FB66" s="22"/>
      <c r="FC66" s="22"/>
      <c r="FD66" s="22"/>
      <c r="FE66" s="22"/>
      <c r="FF66" s="22"/>
      <c r="FG66" s="22"/>
      <c r="FH66" s="22"/>
      <c r="FI66" s="22"/>
      <c r="FJ66" s="22"/>
      <c r="FK66" s="22"/>
      <c r="FL66" s="22"/>
      <c r="FM66" s="22"/>
      <c r="FN66" s="22"/>
      <c r="FO66" s="22"/>
      <c r="FP66" s="22"/>
      <c r="FQ66" s="22"/>
      <c r="FR66" s="22"/>
      <c r="FS66" s="22"/>
      <c r="FT66" s="22"/>
      <c r="FU66" s="22"/>
      <c r="FV66" s="22"/>
      <c r="FW66" s="22"/>
      <c r="FX66" s="22"/>
      <c r="FY66" s="22"/>
      <c r="FZ66" s="22"/>
      <c r="GA66" s="22"/>
      <c r="GB66" s="22"/>
      <c r="GC66" s="22"/>
      <c r="GD66" s="22"/>
      <c r="GE66" s="22"/>
      <c r="GF66" s="22"/>
      <c r="GG66" s="22"/>
      <c r="GH66" s="22"/>
      <c r="GI66" s="22"/>
      <c r="GJ66" s="22"/>
      <c r="GK66" s="22"/>
      <c r="GL66" s="22"/>
      <c r="GM66" s="22"/>
      <c r="GN66" s="22"/>
      <c r="GO66" s="22"/>
      <c r="GP66" s="22"/>
      <c r="GQ66" s="22"/>
    </row>
    <row r="67" spans="3:199" s="2" customFormat="1" ht="20.100000000000001" customHeight="1">
      <c r="C67" s="13">
        <v>40030259</v>
      </c>
      <c r="D67" s="14" t="s">
        <v>103</v>
      </c>
      <c r="E67" s="12">
        <v>0</v>
      </c>
      <c r="F67" s="15">
        <v>0</v>
      </c>
      <c r="G67" s="12">
        <v>1</v>
      </c>
      <c r="H67" s="12">
        <v>10</v>
      </c>
      <c r="I67" s="12">
        <v>0.3</v>
      </c>
      <c r="J67" s="16">
        <v>0</v>
      </c>
      <c r="K67" s="16">
        <v>0</v>
      </c>
      <c r="L67" s="18">
        <v>0</v>
      </c>
      <c r="M67" s="18">
        <v>0</v>
      </c>
      <c r="N67" s="18">
        <v>300</v>
      </c>
      <c r="O67" s="17">
        <v>0</v>
      </c>
      <c r="P67" s="17">
        <v>0</v>
      </c>
      <c r="Q67" s="18">
        <v>0</v>
      </c>
      <c r="R67" s="18">
        <v>0</v>
      </c>
      <c r="S67" s="18">
        <v>0</v>
      </c>
      <c r="T67" s="18">
        <v>0</v>
      </c>
      <c r="U67" s="15">
        <v>0.1</v>
      </c>
      <c r="V67" s="15">
        <v>0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6">
        <v>0</v>
      </c>
      <c r="AC67" s="16">
        <v>0</v>
      </c>
      <c r="AD67" s="16">
        <v>0</v>
      </c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  <c r="BM67" s="22"/>
      <c r="BN67" s="22"/>
      <c r="BO67" s="22"/>
      <c r="BP67" s="22"/>
      <c r="BQ67" s="22"/>
      <c r="BR67" s="22"/>
      <c r="BS67" s="22"/>
      <c r="BT67" s="22"/>
      <c r="BU67" s="22"/>
      <c r="BV67" s="22"/>
      <c r="BW67" s="22"/>
      <c r="BX67" s="22"/>
      <c r="BY67" s="22"/>
      <c r="BZ67" s="22"/>
      <c r="CA67" s="22"/>
      <c r="CB67" s="22"/>
      <c r="CC67" s="22"/>
      <c r="CD67" s="22"/>
      <c r="CE67" s="22"/>
      <c r="CF67" s="22"/>
      <c r="CG67" s="22"/>
      <c r="CH67" s="22"/>
      <c r="CI67" s="22"/>
      <c r="CJ67" s="22"/>
      <c r="CK67" s="22"/>
      <c r="CL67" s="22"/>
      <c r="CM67" s="22"/>
      <c r="CN67" s="22"/>
      <c r="CO67" s="22"/>
      <c r="CP67" s="22"/>
      <c r="CQ67" s="22"/>
      <c r="CR67" s="22"/>
      <c r="CS67" s="22"/>
      <c r="CT67" s="22"/>
      <c r="CU67" s="22"/>
      <c r="CV67" s="22"/>
      <c r="CW67" s="22"/>
      <c r="CX67" s="22"/>
      <c r="CY67" s="22"/>
      <c r="CZ67" s="22"/>
      <c r="DA67" s="22"/>
      <c r="DB67" s="22"/>
      <c r="DC67" s="22"/>
      <c r="DD67" s="22"/>
      <c r="DE67" s="22"/>
      <c r="DF67" s="22"/>
      <c r="DG67" s="22"/>
      <c r="DH67" s="22"/>
      <c r="DI67" s="22"/>
      <c r="DJ67" s="22"/>
      <c r="DK67" s="22"/>
      <c r="DL67" s="22"/>
      <c r="DM67" s="22"/>
      <c r="DN67" s="22"/>
      <c r="DO67" s="22"/>
      <c r="DP67" s="22"/>
      <c r="DQ67" s="22"/>
      <c r="DR67" s="22"/>
      <c r="DS67" s="22"/>
      <c r="DT67" s="22"/>
      <c r="DU67" s="22"/>
      <c r="DV67" s="22"/>
      <c r="DW67" s="22"/>
      <c r="DX67" s="22"/>
      <c r="DY67" s="22"/>
      <c r="DZ67" s="22"/>
      <c r="EA67" s="22"/>
      <c r="EB67" s="22"/>
      <c r="EC67" s="22"/>
      <c r="ED67" s="22"/>
      <c r="EE67" s="22"/>
      <c r="EF67" s="22"/>
      <c r="EG67" s="22"/>
      <c r="EH67" s="22"/>
      <c r="EI67" s="22"/>
      <c r="EJ67" s="22"/>
      <c r="EK67" s="22"/>
      <c r="EL67" s="22"/>
      <c r="EM67" s="22"/>
      <c r="EN67" s="22"/>
      <c r="EO67" s="22"/>
      <c r="EP67" s="22"/>
      <c r="EQ67" s="22"/>
      <c r="ER67" s="22"/>
      <c r="ES67" s="22"/>
      <c r="ET67" s="22"/>
      <c r="EU67" s="22"/>
      <c r="EV67" s="22"/>
      <c r="EW67" s="22"/>
      <c r="EX67" s="22"/>
      <c r="EY67" s="22"/>
      <c r="EZ67" s="22"/>
      <c r="FA67" s="22"/>
      <c r="FB67" s="22"/>
      <c r="FC67" s="22"/>
      <c r="FD67" s="22"/>
      <c r="FE67" s="22"/>
      <c r="FF67" s="22"/>
      <c r="FG67" s="22"/>
      <c r="FH67" s="22"/>
      <c r="FI67" s="22"/>
      <c r="FJ67" s="22"/>
      <c r="FK67" s="22"/>
      <c r="FL67" s="22"/>
      <c r="FM67" s="22"/>
      <c r="FN67" s="22"/>
      <c r="FO67" s="22"/>
      <c r="FP67" s="22"/>
      <c r="FQ67" s="22"/>
      <c r="FR67" s="22"/>
      <c r="FS67" s="22"/>
      <c r="FT67" s="22"/>
      <c r="FU67" s="22"/>
      <c r="FV67" s="22"/>
      <c r="FW67" s="22"/>
      <c r="FX67" s="22"/>
      <c r="FY67" s="22"/>
      <c r="FZ67" s="22"/>
      <c r="GA67" s="22"/>
      <c r="GB67" s="22"/>
      <c r="GC67" s="22"/>
      <c r="GD67" s="22"/>
      <c r="GE67" s="22"/>
      <c r="GF67" s="22"/>
      <c r="GG67" s="22"/>
      <c r="GH67" s="22"/>
      <c r="GI67" s="22"/>
      <c r="GJ67" s="22"/>
      <c r="GK67" s="22"/>
      <c r="GL67" s="22"/>
      <c r="GM67" s="22"/>
      <c r="GN67" s="22"/>
      <c r="GO67" s="22"/>
      <c r="GP67" s="22"/>
      <c r="GQ67" s="22"/>
    </row>
    <row r="68" spans="3:199" s="2" customFormat="1" ht="20.100000000000001" customHeight="1">
      <c r="C68" s="13">
        <v>40030260</v>
      </c>
      <c r="D68" s="14" t="s">
        <v>104</v>
      </c>
      <c r="E68" s="12">
        <v>0</v>
      </c>
      <c r="F68" s="15">
        <v>0</v>
      </c>
      <c r="G68" s="12">
        <v>1</v>
      </c>
      <c r="H68" s="12">
        <v>10</v>
      </c>
      <c r="I68" s="12">
        <v>0.3</v>
      </c>
      <c r="J68" s="16">
        <v>0</v>
      </c>
      <c r="K68" s="16">
        <v>0</v>
      </c>
      <c r="L68" s="18">
        <v>100</v>
      </c>
      <c r="M68" s="18">
        <v>0</v>
      </c>
      <c r="N68" s="18">
        <v>0</v>
      </c>
      <c r="O68" s="17">
        <v>0</v>
      </c>
      <c r="P68" s="17">
        <v>0</v>
      </c>
      <c r="Q68" s="18">
        <v>0</v>
      </c>
      <c r="R68" s="18">
        <v>0</v>
      </c>
      <c r="S68" s="18">
        <v>0</v>
      </c>
      <c r="T68" s="18">
        <v>0</v>
      </c>
      <c r="U68" s="15">
        <v>0</v>
      </c>
      <c r="V68" s="15">
        <v>0</v>
      </c>
      <c r="W68" s="15">
        <v>0</v>
      </c>
      <c r="X68" s="15">
        <v>0</v>
      </c>
      <c r="Y68" s="15">
        <v>0</v>
      </c>
      <c r="Z68" s="15">
        <v>0</v>
      </c>
      <c r="AA68" s="15">
        <v>0</v>
      </c>
      <c r="AB68" s="16">
        <v>0</v>
      </c>
      <c r="AC68" s="16">
        <v>0</v>
      </c>
      <c r="AD68" s="16">
        <v>0</v>
      </c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</row>
    <row r="69" spans="3:199" s="2" customFormat="1" ht="20.100000000000001" customHeight="1">
      <c r="C69" s="13">
        <v>40030261</v>
      </c>
      <c r="D69" s="14" t="s">
        <v>105</v>
      </c>
      <c r="E69" s="12">
        <v>0</v>
      </c>
      <c r="F69" s="15">
        <v>0</v>
      </c>
      <c r="G69" s="12">
        <v>1</v>
      </c>
      <c r="H69" s="12">
        <v>10</v>
      </c>
      <c r="I69" s="12">
        <v>0.3</v>
      </c>
      <c r="J69" s="16">
        <v>0</v>
      </c>
      <c r="K69" s="16">
        <v>0</v>
      </c>
      <c r="L69" s="18">
        <v>0</v>
      </c>
      <c r="M69" s="18">
        <v>0</v>
      </c>
      <c r="N69" s="18">
        <v>10</v>
      </c>
      <c r="O69" s="17">
        <v>0</v>
      </c>
      <c r="P69" s="17">
        <v>0</v>
      </c>
      <c r="Q69" s="18">
        <v>0</v>
      </c>
      <c r="R69" s="18">
        <v>0</v>
      </c>
      <c r="S69" s="18">
        <v>0</v>
      </c>
      <c r="T69" s="18">
        <v>0</v>
      </c>
      <c r="U69" s="15">
        <v>0</v>
      </c>
      <c r="V69" s="15">
        <v>0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6">
        <v>0</v>
      </c>
      <c r="AC69" s="16">
        <v>0</v>
      </c>
      <c r="AD69" s="16">
        <v>0</v>
      </c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  <c r="BM69" s="22"/>
      <c r="BN69" s="22"/>
      <c r="BO69" s="22"/>
      <c r="BP69" s="22"/>
      <c r="BQ69" s="22"/>
      <c r="BR69" s="22"/>
      <c r="BS69" s="22"/>
      <c r="BT69" s="22"/>
      <c r="BU69" s="22"/>
      <c r="BV69" s="22"/>
      <c r="BW69" s="22"/>
      <c r="BX69" s="22"/>
      <c r="BY69" s="22"/>
      <c r="BZ69" s="22"/>
      <c r="CA69" s="22"/>
      <c r="CB69" s="22"/>
      <c r="CC69" s="22"/>
      <c r="CD69" s="22"/>
      <c r="CE69" s="22"/>
      <c r="CF69" s="22"/>
      <c r="CG69" s="22"/>
      <c r="CH69" s="22"/>
      <c r="CI69" s="22"/>
      <c r="CJ69" s="22"/>
      <c r="CK69" s="22"/>
      <c r="CL69" s="22"/>
      <c r="CM69" s="22"/>
      <c r="CN69" s="22"/>
      <c r="CO69" s="22"/>
      <c r="CP69" s="22"/>
      <c r="CQ69" s="22"/>
      <c r="CR69" s="22"/>
      <c r="CS69" s="22"/>
      <c r="CT69" s="22"/>
      <c r="CU69" s="22"/>
      <c r="CV69" s="22"/>
      <c r="CW69" s="22"/>
      <c r="CX69" s="22"/>
      <c r="CY69" s="22"/>
      <c r="CZ69" s="22"/>
      <c r="DA69" s="22"/>
      <c r="DB69" s="22"/>
      <c r="DC69" s="22"/>
      <c r="DD69" s="22"/>
      <c r="DE69" s="22"/>
      <c r="DF69" s="22"/>
      <c r="DG69" s="22"/>
      <c r="DH69" s="22"/>
      <c r="DI69" s="22"/>
      <c r="DJ69" s="22"/>
      <c r="DK69" s="22"/>
      <c r="DL69" s="22"/>
      <c r="DM69" s="22"/>
      <c r="DN69" s="22"/>
      <c r="DO69" s="22"/>
      <c r="DP69" s="22"/>
      <c r="DQ69" s="22"/>
      <c r="DR69" s="22"/>
      <c r="DS69" s="22"/>
      <c r="DT69" s="22"/>
      <c r="DU69" s="22"/>
      <c r="DV69" s="22"/>
      <c r="DW69" s="22"/>
      <c r="DX69" s="22"/>
      <c r="DY69" s="22"/>
      <c r="DZ69" s="22"/>
      <c r="EA69" s="22"/>
      <c r="EB69" s="22"/>
      <c r="EC69" s="22"/>
      <c r="ED69" s="22"/>
      <c r="EE69" s="22"/>
      <c r="EF69" s="22"/>
      <c r="EG69" s="22"/>
      <c r="EH69" s="22"/>
      <c r="EI69" s="22"/>
      <c r="EJ69" s="22"/>
      <c r="EK69" s="22"/>
      <c r="EL69" s="22"/>
      <c r="EM69" s="22"/>
      <c r="EN69" s="22"/>
      <c r="EO69" s="22"/>
      <c r="EP69" s="22"/>
      <c r="EQ69" s="22"/>
      <c r="ER69" s="22"/>
      <c r="ES69" s="22"/>
      <c r="ET69" s="22"/>
      <c r="EU69" s="22"/>
      <c r="EV69" s="22"/>
      <c r="EW69" s="22"/>
      <c r="EX69" s="22"/>
      <c r="EY69" s="22"/>
      <c r="EZ69" s="22"/>
      <c r="FA69" s="22"/>
      <c r="FB69" s="22"/>
      <c r="FC69" s="22"/>
      <c r="FD69" s="22"/>
      <c r="FE69" s="22"/>
      <c r="FF69" s="22"/>
      <c r="FG69" s="22"/>
      <c r="FH69" s="22"/>
      <c r="FI69" s="22"/>
      <c r="FJ69" s="22"/>
      <c r="FK69" s="22"/>
      <c r="FL69" s="22"/>
      <c r="FM69" s="22"/>
      <c r="FN69" s="22"/>
      <c r="FO69" s="22"/>
      <c r="FP69" s="22"/>
      <c r="FQ69" s="22"/>
      <c r="FR69" s="22"/>
      <c r="FS69" s="22"/>
      <c r="FT69" s="22"/>
      <c r="FU69" s="22"/>
      <c r="FV69" s="22"/>
      <c r="FW69" s="22"/>
      <c r="FX69" s="22"/>
      <c r="FY69" s="22"/>
      <c r="FZ69" s="22"/>
      <c r="GA69" s="22"/>
      <c r="GB69" s="22"/>
      <c r="GC69" s="22"/>
      <c r="GD69" s="22"/>
      <c r="GE69" s="22"/>
      <c r="GF69" s="22"/>
      <c r="GG69" s="22"/>
      <c r="GH69" s="22"/>
      <c r="GI69" s="22"/>
      <c r="GJ69" s="22"/>
      <c r="GK69" s="22"/>
      <c r="GL69" s="22"/>
      <c r="GM69" s="22"/>
      <c r="GN69" s="22"/>
      <c r="GO69" s="22"/>
      <c r="GP69" s="22"/>
      <c r="GQ69" s="22"/>
    </row>
    <row r="70" spans="3:199" s="2" customFormat="1" ht="20.100000000000001" customHeight="1">
      <c r="C70" s="13">
        <v>40030262</v>
      </c>
      <c r="D70" s="14" t="s">
        <v>106</v>
      </c>
      <c r="E70" s="12">
        <v>0</v>
      </c>
      <c r="F70" s="15">
        <v>0</v>
      </c>
      <c r="G70" s="12">
        <v>1</v>
      </c>
      <c r="H70" s="12">
        <v>10</v>
      </c>
      <c r="I70" s="12">
        <v>0.3</v>
      </c>
      <c r="J70" s="16">
        <v>0</v>
      </c>
      <c r="K70" s="16">
        <v>0</v>
      </c>
      <c r="L70" s="18">
        <v>0</v>
      </c>
      <c r="M70" s="18">
        <v>0</v>
      </c>
      <c r="N70" s="18">
        <v>0</v>
      </c>
      <c r="O70" s="17">
        <v>0</v>
      </c>
      <c r="P70" s="17">
        <v>0</v>
      </c>
      <c r="Q70" s="18">
        <v>0</v>
      </c>
      <c r="R70" s="18">
        <v>10</v>
      </c>
      <c r="S70" s="18">
        <v>0</v>
      </c>
      <c r="T70" s="18">
        <v>10</v>
      </c>
      <c r="U70" s="15">
        <v>0</v>
      </c>
      <c r="V70" s="15">
        <v>0</v>
      </c>
      <c r="W70" s="15">
        <v>0</v>
      </c>
      <c r="X70" s="15">
        <v>0</v>
      </c>
      <c r="Y70" s="15">
        <v>0</v>
      </c>
      <c r="Z70" s="15">
        <v>0</v>
      </c>
      <c r="AA70" s="15">
        <v>0</v>
      </c>
      <c r="AB70" s="16">
        <v>0</v>
      </c>
      <c r="AC70" s="16">
        <v>0</v>
      </c>
      <c r="AD70" s="16">
        <v>0</v>
      </c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  <c r="BM70" s="22"/>
      <c r="BN70" s="22"/>
      <c r="BO70" s="22"/>
      <c r="BP70" s="22"/>
      <c r="BQ70" s="22"/>
      <c r="BR70" s="22"/>
      <c r="BS70" s="22"/>
      <c r="BT70" s="22"/>
      <c r="BU70" s="22"/>
      <c r="BV70" s="22"/>
      <c r="BW70" s="22"/>
      <c r="BX70" s="22"/>
      <c r="BY70" s="22"/>
      <c r="BZ70" s="22"/>
      <c r="CA70" s="22"/>
      <c r="CB70" s="22"/>
      <c r="CC70" s="22"/>
      <c r="CD70" s="22"/>
      <c r="CE70" s="22"/>
      <c r="CF70" s="22"/>
      <c r="CG70" s="22"/>
      <c r="CH70" s="22"/>
      <c r="CI70" s="22"/>
      <c r="CJ70" s="22"/>
      <c r="CK70" s="22"/>
      <c r="CL70" s="22"/>
      <c r="CM70" s="22"/>
      <c r="CN70" s="22"/>
      <c r="CO70" s="22"/>
      <c r="CP70" s="22"/>
      <c r="CQ70" s="22"/>
      <c r="CR70" s="22"/>
      <c r="CS70" s="22"/>
      <c r="CT70" s="22"/>
      <c r="CU70" s="22"/>
      <c r="CV70" s="22"/>
      <c r="CW70" s="22"/>
      <c r="CX70" s="22"/>
      <c r="CY70" s="22"/>
      <c r="CZ70" s="22"/>
      <c r="DA70" s="22"/>
      <c r="DB70" s="22"/>
      <c r="DC70" s="22"/>
      <c r="DD70" s="22"/>
      <c r="DE70" s="22"/>
      <c r="DF70" s="22"/>
      <c r="DG70" s="22"/>
      <c r="DH70" s="22"/>
      <c r="DI70" s="22"/>
      <c r="DJ70" s="22"/>
      <c r="DK70" s="22"/>
      <c r="DL70" s="22"/>
      <c r="DM70" s="22"/>
      <c r="DN70" s="22"/>
      <c r="DO70" s="22"/>
      <c r="DP70" s="22"/>
      <c r="DQ70" s="22"/>
      <c r="DR70" s="22"/>
      <c r="DS70" s="22"/>
      <c r="DT70" s="22"/>
      <c r="DU70" s="22"/>
      <c r="DV70" s="22"/>
      <c r="DW70" s="22"/>
      <c r="DX70" s="22"/>
      <c r="DY70" s="22"/>
      <c r="DZ70" s="22"/>
      <c r="EA70" s="22"/>
      <c r="EB70" s="22"/>
      <c r="EC70" s="22"/>
      <c r="ED70" s="22"/>
      <c r="EE70" s="22"/>
      <c r="EF70" s="22"/>
      <c r="EG70" s="22"/>
      <c r="EH70" s="22"/>
      <c r="EI70" s="22"/>
      <c r="EJ70" s="22"/>
      <c r="EK70" s="22"/>
      <c r="EL70" s="22"/>
      <c r="EM70" s="22"/>
      <c r="EN70" s="22"/>
      <c r="EO70" s="22"/>
      <c r="EP70" s="22"/>
      <c r="EQ70" s="22"/>
      <c r="ER70" s="22"/>
      <c r="ES70" s="22"/>
      <c r="ET70" s="22"/>
      <c r="EU70" s="22"/>
      <c r="EV70" s="22"/>
      <c r="EW70" s="22"/>
      <c r="EX70" s="22"/>
      <c r="EY70" s="22"/>
      <c r="EZ70" s="22"/>
      <c r="FA70" s="22"/>
      <c r="FB70" s="22"/>
      <c r="FC70" s="22"/>
      <c r="FD70" s="22"/>
      <c r="FE70" s="22"/>
      <c r="FF70" s="22"/>
      <c r="FG70" s="22"/>
      <c r="FH70" s="22"/>
      <c r="FI70" s="22"/>
      <c r="FJ70" s="22"/>
      <c r="FK70" s="22"/>
      <c r="FL70" s="22"/>
      <c r="FM70" s="22"/>
      <c r="FN70" s="22"/>
      <c r="FO70" s="22"/>
      <c r="FP70" s="22"/>
      <c r="FQ70" s="22"/>
      <c r="FR70" s="22"/>
      <c r="FS70" s="22"/>
      <c r="FT70" s="22"/>
      <c r="FU70" s="22"/>
      <c r="FV70" s="22"/>
      <c r="FW70" s="22"/>
      <c r="FX70" s="22"/>
      <c r="FY70" s="22"/>
      <c r="FZ70" s="22"/>
      <c r="GA70" s="22"/>
      <c r="GB70" s="22"/>
      <c r="GC70" s="22"/>
      <c r="GD70" s="22"/>
      <c r="GE70" s="22"/>
      <c r="GF70" s="22"/>
      <c r="GG70" s="22"/>
      <c r="GH70" s="22"/>
      <c r="GI70" s="22"/>
      <c r="GJ70" s="22"/>
      <c r="GK70" s="22"/>
      <c r="GL70" s="22"/>
      <c r="GM70" s="22"/>
      <c r="GN70" s="22"/>
      <c r="GO70" s="22"/>
      <c r="GP70" s="22"/>
      <c r="GQ70" s="22"/>
    </row>
    <row r="71" spans="3:199" s="2" customFormat="1" ht="20.100000000000001" customHeight="1">
      <c r="C71" s="13">
        <v>40030263</v>
      </c>
      <c r="D71" s="11" t="s">
        <v>107</v>
      </c>
      <c r="E71" s="12">
        <v>0</v>
      </c>
      <c r="F71" s="12">
        <v>0</v>
      </c>
      <c r="G71" s="12">
        <v>1</v>
      </c>
      <c r="H71" s="12">
        <v>10</v>
      </c>
      <c r="I71" s="12">
        <v>0.3</v>
      </c>
      <c r="J71" s="16">
        <v>0</v>
      </c>
      <c r="K71" s="16">
        <v>0</v>
      </c>
      <c r="L71" s="15">
        <v>0</v>
      </c>
      <c r="M71" s="15">
        <v>50</v>
      </c>
      <c r="N71" s="15">
        <v>200</v>
      </c>
      <c r="O71" s="17">
        <v>0</v>
      </c>
      <c r="P71" s="17">
        <v>0</v>
      </c>
      <c r="Q71" s="12">
        <v>0</v>
      </c>
      <c r="R71" s="12">
        <v>0</v>
      </c>
      <c r="S71" s="12">
        <v>0</v>
      </c>
      <c r="T71" s="12">
        <v>0</v>
      </c>
      <c r="U71" s="15">
        <v>0</v>
      </c>
      <c r="V71" s="15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6">
        <v>0</v>
      </c>
      <c r="AC71" s="16">
        <v>0</v>
      </c>
      <c r="AD71" s="16">
        <v>0</v>
      </c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  <c r="BM71" s="22"/>
      <c r="BN71" s="22"/>
      <c r="BO71" s="22"/>
      <c r="BP71" s="22"/>
      <c r="BQ71" s="22"/>
      <c r="BR71" s="22"/>
      <c r="BS71" s="22"/>
      <c r="BT71" s="22"/>
      <c r="BU71" s="22"/>
      <c r="BV71" s="22"/>
      <c r="BW71" s="22"/>
      <c r="BX71" s="22"/>
      <c r="BY71" s="22"/>
      <c r="BZ71" s="22"/>
      <c r="CA71" s="22"/>
      <c r="CB71" s="22"/>
      <c r="CC71" s="22"/>
      <c r="CD71" s="22"/>
      <c r="CE71" s="22"/>
      <c r="CF71" s="22"/>
      <c r="CG71" s="22"/>
      <c r="CH71" s="22"/>
      <c r="CI71" s="22"/>
      <c r="CJ71" s="22"/>
      <c r="CK71" s="22"/>
      <c r="CL71" s="22"/>
      <c r="CM71" s="22"/>
      <c r="CN71" s="22"/>
      <c r="CO71" s="22"/>
      <c r="CP71" s="22"/>
      <c r="CQ71" s="22"/>
      <c r="CR71" s="22"/>
      <c r="CS71" s="22"/>
      <c r="CT71" s="22"/>
      <c r="CU71" s="22"/>
      <c r="CV71" s="22"/>
      <c r="CW71" s="22"/>
      <c r="CX71" s="22"/>
      <c r="CY71" s="22"/>
      <c r="CZ71" s="22"/>
      <c r="DA71" s="22"/>
      <c r="DB71" s="22"/>
      <c r="DC71" s="22"/>
      <c r="DD71" s="22"/>
      <c r="DE71" s="22"/>
      <c r="DF71" s="22"/>
      <c r="DG71" s="22"/>
      <c r="DH71" s="22"/>
      <c r="DI71" s="22"/>
      <c r="DJ71" s="22"/>
      <c r="DK71" s="22"/>
      <c r="DL71" s="22"/>
      <c r="DM71" s="22"/>
      <c r="DN71" s="22"/>
      <c r="DO71" s="22"/>
      <c r="DP71" s="22"/>
      <c r="DQ71" s="22"/>
      <c r="DR71" s="22"/>
      <c r="DS71" s="22"/>
      <c r="DT71" s="22"/>
      <c r="DU71" s="22"/>
      <c r="DV71" s="22"/>
      <c r="DW71" s="22"/>
      <c r="DX71" s="22"/>
      <c r="DY71" s="22"/>
      <c r="DZ71" s="22"/>
      <c r="EA71" s="22"/>
      <c r="EB71" s="22"/>
      <c r="EC71" s="22"/>
      <c r="ED71" s="22"/>
      <c r="EE71" s="22"/>
      <c r="EF71" s="22"/>
      <c r="EG71" s="22"/>
      <c r="EH71" s="22"/>
      <c r="EI71" s="22"/>
      <c r="EJ71" s="22"/>
      <c r="EK71" s="22"/>
      <c r="EL71" s="22"/>
      <c r="EM71" s="22"/>
      <c r="EN71" s="22"/>
      <c r="EO71" s="22"/>
      <c r="EP71" s="22"/>
      <c r="EQ71" s="22"/>
      <c r="ER71" s="22"/>
      <c r="ES71" s="22"/>
      <c r="ET71" s="22"/>
      <c r="EU71" s="22"/>
      <c r="EV71" s="22"/>
      <c r="EW71" s="22"/>
      <c r="EX71" s="22"/>
      <c r="EY71" s="22"/>
      <c r="EZ71" s="22"/>
      <c r="FA71" s="22"/>
      <c r="FB71" s="22"/>
      <c r="FC71" s="22"/>
      <c r="FD71" s="22"/>
      <c r="FE71" s="22"/>
      <c r="FF71" s="22"/>
      <c r="FG71" s="22"/>
      <c r="FH71" s="22"/>
      <c r="FI71" s="22"/>
      <c r="FJ71" s="22"/>
      <c r="FK71" s="22"/>
      <c r="FL71" s="22"/>
      <c r="FM71" s="22"/>
      <c r="FN71" s="22"/>
      <c r="FO71" s="22"/>
      <c r="FP71" s="22"/>
      <c r="FQ71" s="22"/>
      <c r="FR71" s="22"/>
      <c r="FS71" s="22"/>
      <c r="FT71" s="22"/>
      <c r="FU71" s="22"/>
      <c r="FV71" s="22"/>
      <c r="FW71" s="22"/>
      <c r="FX71" s="22"/>
      <c r="FY71" s="22"/>
      <c r="FZ71" s="22"/>
      <c r="GA71" s="22"/>
      <c r="GB71" s="22"/>
      <c r="GC71" s="22"/>
      <c r="GD71" s="22"/>
      <c r="GE71" s="22"/>
      <c r="GF71" s="22"/>
      <c r="GG71" s="22"/>
      <c r="GH71" s="22"/>
      <c r="GI71" s="22"/>
      <c r="GJ71" s="22"/>
      <c r="GK71" s="22"/>
      <c r="GL71" s="22"/>
      <c r="GM71" s="22"/>
      <c r="GN71" s="22"/>
      <c r="GO71" s="22"/>
      <c r="GP71" s="22"/>
      <c r="GQ71" s="22"/>
    </row>
    <row r="72" spans="3:199" s="2" customFormat="1" ht="20.100000000000001" customHeight="1">
      <c r="C72" s="13">
        <v>40030301</v>
      </c>
      <c r="D72" s="15" t="s">
        <v>108</v>
      </c>
      <c r="E72" s="12">
        <v>0</v>
      </c>
      <c r="F72" s="12">
        <v>1201</v>
      </c>
      <c r="G72" s="12">
        <v>1</v>
      </c>
      <c r="H72" s="12">
        <v>20</v>
      </c>
      <c r="I72" s="12">
        <v>0.3</v>
      </c>
      <c r="J72" s="16">
        <v>0</v>
      </c>
      <c r="K72" s="16">
        <v>0</v>
      </c>
      <c r="L72" s="15">
        <v>0</v>
      </c>
      <c r="M72" s="15">
        <v>20</v>
      </c>
      <c r="N72" s="15">
        <v>40</v>
      </c>
      <c r="O72" s="17">
        <v>0</v>
      </c>
      <c r="P72" s="17">
        <v>0</v>
      </c>
      <c r="Q72" s="19">
        <v>10</v>
      </c>
      <c r="R72" s="19">
        <v>30</v>
      </c>
      <c r="S72" s="19">
        <v>10</v>
      </c>
      <c r="T72" s="19">
        <v>30</v>
      </c>
      <c r="U72" s="18">
        <v>0</v>
      </c>
      <c r="V72" s="18">
        <v>0</v>
      </c>
      <c r="W72" s="18">
        <v>0</v>
      </c>
      <c r="X72" s="18">
        <v>0</v>
      </c>
      <c r="Y72" s="18">
        <v>0</v>
      </c>
      <c r="Z72" s="18">
        <v>0</v>
      </c>
      <c r="AA72" s="18">
        <v>0</v>
      </c>
      <c r="AB72" s="16">
        <v>0</v>
      </c>
      <c r="AC72" s="16">
        <v>0</v>
      </c>
      <c r="AD72" s="16">
        <v>0</v>
      </c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  <c r="BM72" s="22"/>
      <c r="BN72" s="22"/>
      <c r="BO72" s="22"/>
      <c r="BP72" s="22"/>
      <c r="BQ72" s="22"/>
      <c r="BR72" s="22"/>
      <c r="BS72" s="22"/>
      <c r="BT72" s="22"/>
      <c r="BU72" s="22"/>
      <c r="BV72" s="22"/>
      <c r="BW72" s="22"/>
      <c r="BX72" s="22"/>
      <c r="BY72" s="22"/>
      <c r="BZ72" s="22"/>
      <c r="CA72" s="22"/>
      <c r="CB72" s="22"/>
      <c r="CC72" s="22"/>
      <c r="CD72" s="22"/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22"/>
      <c r="CP72" s="22"/>
      <c r="CQ72" s="22"/>
      <c r="CR72" s="22"/>
      <c r="CS72" s="22"/>
      <c r="CT72" s="22"/>
      <c r="CU72" s="22"/>
      <c r="CV72" s="22"/>
      <c r="CW72" s="22"/>
      <c r="CX72" s="22"/>
      <c r="CY72" s="22"/>
      <c r="CZ72" s="22"/>
      <c r="DA72" s="22"/>
      <c r="DB72" s="22"/>
      <c r="DC72" s="22"/>
      <c r="DD72" s="22"/>
      <c r="DE72" s="22"/>
      <c r="DF72" s="22"/>
      <c r="DG72" s="22"/>
      <c r="DH72" s="22"/>
      <c r="DI72" s="22"/>
      <c r="DJ72" s="22"/>
      <c r="DK72" s="22"/>
      <c r="DL72" s="22"/>
      <c r="DM72" s="22"/>
      <c r="DN72" s="22"/>
      <c r="DO72" s="22"/>
      <c r="DP72" s="22"/>
      <c r="DQ72" s="22"/>
      <c r="DR72" s="22"/>
      <c r="DS72" s="22"/>
      <c r="DT72" s="22"/>
      <c r="DU72" s="22"/>
      <c r="DV72" s="22"/>
      <c r="DW72" s="22"/>
      <c r="DX72" s="22"/>
      <c r="DY72" s="22"/>
      <c r="DZ72" s="22"/>
      <c r="EA72" s="22"/>
      <c r="EB72" s="22"/>
      <c r="EC72" s="22"/>
      <c r="ED72" s="22"/>
      <c r="EE72" s="22"/>
      <c r="EF72" s="22"/>
      <c r="EG72" s="22"/>
      <c r="EH72" s="22"/>
      <c r="EI72" s="22"/>
      <c r="EJ72" s="22"/>
      <c r="EK72" s="22"/>
      <c r="EL72" s="22"/>
      <c r="EM72" s="22"/>
      <c r="EN72" s="22"/>
      <c r="EO72" s="22"/>
      <c r="EP72" s="22"/>
      <c r="EQ72" s="22"/>
      <c r="ER72" s="22"/>
      <c r="ES72" s="22"/>
      <c r="ET72" s="22"/>
      <c r="EU72" s="22"/>
      <c r="EV72" s="22"/>
      <c r="EW72" s="22"/>
      <c r="EX72" s="22"/>
      <c r="EY72" s="22"/>
      <c r="EZ72" s="22"/>
      <c r="FA72" s="22"/>
      <c r="FB72" s="22"/>
      <c r="FC72" s="22"/>
      <c r="FD72" s="22"/>
      <c r="FE72" s="22"/>
      <c r="FF72" s="22"/>
      <c r="FG72" s="22"/>
      <c r="FH72" s="22"/>
      <c r="FI72" s="22"/>
      <c r="FJ72" s="22"/>
      <c r="FK72" s="22"/>
      <c r="FL72" s="22"/>
      <c r="FM72" s="22"/>
      <c r="FN72" s="22"/>
      <c r="FO72" s="22"/>
      <c r="FP72" s="22"/>
      <c r="FQ72" s="22"/>
      <c r="FR72" s="22"/>
      <c r="FS72" s="22"/>
      <c r="FT72" s="22"/>
      <c r="FU72" s="22"/>
      <c r="FV72" s="22"/>
      <c r="FW72" s="22"/>
      <c r="FX72" s="22"/>
      <c r="FY72" s="22"/>
      <c r="FZ72" s="22"/>
      <c r="GA72" s="22"/>
      <c r="GB72" s="22"/>
      <c r="GC72" s="22"/>
      <c r="GD72" s="22"/>
      <c r="GE72" s="22"/>
      <c r="GF72" s="22"/>
      <c r="GG72" s="22"/>
      <c r="GH72" s="22"/>
      <c r="GI72" s="22"/>
      <c r="GJ72" s="22"/>
      <c r="GK72" s="22"/>
      <c r="GL72" s="22"/>
      <c r="GM72" s="22"/>
      <c r="GN72" s="22"/>
      <c r="GO72" s="22"/>
      <c r="GP72" s="22"/>
      <c r="GQ72" s="22"/>
    </row>
    <row r="73" spans="3:199" s="2" customFormat="1" ht="20.100000000000001" customHeight="1">
      <c r="C73" s="13">
        <v>40030302</v>
      </c>
      <c r="D73" s="15" t="s">
        <v>109</v>
      </c>
      <c r="E73" s="12">
        <v>0</v>
      </c>
      <c r="F73" s="12">
        <v>0</v>
      </c>
      <c r="G73" s="12">
        <v>1</v>
      </c>
      <c r="H73" s="12">
        <v>20</v>
      </c>
      <c r="I73" s="12">
        <v>0.3</v>
      </c>
      <c r="J73" s="16">
        <v>0</v>
      </c>
      <c r="K73" s="16">
        <v>0</v>
      </c>
      <c r="L73" s="15">
        <v>0</v>
      </c>
      <c r="M73" s="15">
        <v>10</v>
      </c>
      <c r="N73" s="15">
        <v>30</v>
      </c>
      <c r="O73" s="17">
        <v>0</v>
      </c>
      <c r="P73" s="17">
        <v>0</v>
      </c>
      <c r="Q73" s="19">
        <v>0</v>
      </c>
      <c r="R73" s="19">
        <v>20</v>
      </c>
      <c r="S73" s="19">
        <v>0</v>
      </c>
      <c r="T73" s="19">
        <v>20</v>
      </c>
      <c r="U73" s="18">
        <v>0</v>
      </c>
      <c r="V73" s="18">
        <v>0</v>
      </c>
      <c r="W73" s="18">
        <v>0</v>
      </c>
      <c r="X73" s="18">
        <v>0</v>
      </c>
      <c r="Y73" s="18">
        <v>0</v>
      </c>
      <c r="Z73" s="18">
        <v>0</v>
      </c>
      <c r="AA73" s="18">
        <v>0</v>
      </c>
      <c r="AB73" s="16">
        <v>0</v>
      </c>
      <c r="AC73" s="16">
        <v>0</v>
      </c>
      <c r="AD73" s="16">
        <v>0</v>
      </c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  <c r="BM73" s="22"/>
      <c r="BN73" s="22"/>
      <c r="BO73" s="22"/>
      <c r="BP73" s="22"/>
      <c r="BQ73" s="22"/>
      <c r="BR73" s="22"/>
      <c r="BS73" s="22"/>
      <c r="BT73" s="22"/>
      <c r="BU73" s="22"/>
      <c r="BV73" s="22"/>
      <c r="BW73" s="22"/>
      <c r="BX73" s="22"/>
      <c r="BY73" s="22"/>
      <c r="BZ73" s="22"/>
      <c r="CA73" s="22"/>
      <c r="CB73" s="22"/>
      <c r="CC73" s="22"/>
      <c r="CD73" s="22"/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2"/>
      <c r="CP73" s="22"/>
      <c r="CQ73" s="22"/>
      <c r="CR73" s="22"/>
      <c r="CS73" s="22"/>
      <c r="CT73" s="22"/>
      <c r="CU73" s="22"/>
      <c r="CV73" s="22"/>
      <c r="CW73" s="22"/>
      <c r="CX73" s="22"/>
      <c r="CY73" s="22"/>
      <c r="CZ73" s="22"/>
      <c r="DA73" s="22"/>
      <c r="DB73" s="22"/>
      <c r="DC73" s="22"/>
      <c r="DD73" s="22"/>
      <c r="DE73" s="22"/>
      <c r="DF73" s="22"/>
      <c r="DG73" s="22"/>
      <c r="DH73" s="22"/>
      <c r="DI73" s="22"/>
      <c r="DJ73" s="22"/>
      <c r="DK73" s="22"/>
      <c r="DL73" s="22"/>
      <c r="DM73" s="22"/>
      <c r="DN73" s="22"/>
      <c r="DO73" s="22"/>
      <c r="DP73" s="22"/>
      <c r="DQ73" s="22"/>
      <c r="DR73" s="22"/>
      <c r="DS73" s="22"/>
      <c r="DT73" s="22"/>
      <c r="DU73" s="22"/>
      <c r="DV73" s="22"/>
      <c r="DW73" s="22"/>
      <c r="DX73" s="22"/>
      <c r="DY73" s="22"/>
      <c r="DZ73" s="22"/>
      <c r="EA73" s="22"/>
      <c r="EB73" s="22"/>
      <c r="EC73" s="22"/>
      <c r="ED73" s="22"/>
      <c r="EE73" s="22"/>
      <c r="EF73" s="22"/>
      <c r="EG73" s="22"/>
      <c r="EH73" s="22"/>
      <c r="EI73" s="22"/>
      <c r="EJ73" s="22"/>
      <c r="EK73" s="22"/>
      <c r="EL73" s="22"/>
      <c r="EM73" s="22"/>
      <c r="EN73" s="22"/>
      <c r="EO73" s="22"/>
      <c r="EP73" s="22"/>
      <c r="EQ73" s="22"/>
      <c r="ER73" s="22"/>
      <c r="ES73" s="22"/>
      <c r="ET73" s="22"/>
      <c r="EU73" s="22"/>
      <c r="EV73" s="22"/>
      <c r="EW73" s="22"/>
      <c r="EX73" s="22"/>
      <c r="EY73" s="22"/>
      <c r="EZ73" s="22"/>
      <c r="FA73" s="22"/>
      <c r="FB73" s="22"/>
      <c r="FC73" s="22"/>
      <c r="FD73" s="22"/>
      <c r="FE73" s="22"/>
      <c r="FF73" s="22"/>
      <c r="FG73" s="22"/>
      <c r="FH73" s="22"/>
      <c r="FI73" s="22"/>
      <c r="FJ73" s="22"/>
      <c r="FK73" s="22"/>
      <c r="FL73" s="22"/>
      <c r="FM73" s="22"/>
      <c r="FN73" s="22"/>
      <c r="FO73" s="22"/>
      <c r="FP73" s="22"/>
      <c r="FQ73" s="22"/>
      <c r="FR73" s="22"/>
      <c r="FS73" s="22"/>
      <c r="FT73" s="22"/>
      <c r="FU73" s="22"/>
      <c r="FV73" s="22"/>
      <c r="FW73" s="22"/>
      <c r="FX73" s="22"/>
      <c r="FY73" s="22"/>
      <c r="FZ73" s="22"/>
      <c r="GA73" s="22"/>
      <c r="GB73" s="22"/>
      <c r="GC73" s="22"/>
      <c r="GD73" s="22"/>
      <c r="GE73" s="22"/>
      <c r="GF73" s="22"/>
      <c r="GG73" s="22"/>
      <c r="GH73" s="22"/>
      <c r="GI73" s="22"/>
      <c r="GJ73" s="22"/>
      <c r="GK73" s="22"/>
      <c r="GL73" s="22"/>
      <c r="GM73" s="22"/>
      <c r="GN73" s="22"/>
      <c r="GO73" s="22"/>
      <c r="GP73" s="22"/>
      <c r="GQ73" s="22"/>
    </row>
    <row r="74" spans="3:199" s="2" customFormat="1" ht="20.100000000000001" customHeight="1">
      <c r="C74" s="13">
        <v>40030303</v>
      </c>
      <c r="D74" s="15" t="s">
        <v>110</v>
      </c>
      <c r="E74" s="12">
        <v>0</v>
      </c>
      <c r="F74" s="12">
        <v>1201</v>
      </c>
      <c r="G74" s="12">
        <v>1</v>
      </c>
      <c r="H74" s="12">
        <v>20</v>
      </c>
      <c r="I74" s="12">
        <v>0.3</v>
      </c>
      <c r="J74" s="16">
        <v>0</v>
      </c>
      <c r="K74" s="16">
        <v>0</v>
      </c>
      <c r="L74" s="15">
        <v>0</v>
      </c>
      <c r="M74" s="15">
        <v>20</v>
      </c>
      <c r="N74" s="15">
        <v>70</v>
      </c>
      <c r="O74" s="17">
        <v>0</v>
      </c>
      <c r="P74" s="17">
        <v>0</v>
      </c>
      <c r="Q74" s="19">
        <v>0</v>
      </c>
      <c r="R74" s="19">
        <v>0</v>
      </c>
      <c r="S74" s="19">
        <v>10</v>
      </c>
      <c r="T74" s="19">
        <v>20</v>
      </c>
      <c r="U74" s="18">
        <v>0</v>
      </c>
      <c r="V74" s="18">
        <v>0</v>
      </c>
      <c r="W74" s="18">
        <v>0</v>
      </c>
      <c r="X74" s="18">
        <v>0</v>
      </c>
      <c r="Y74" s="18">
        <v>0</v>
      </c>
      <c r="Z74" s="18">
        <v>0</v>
      </c>
      <c r="AA74" s="18">
        <v>0</v>
      </c>
      <c r="AB74" s="16">
        <v>0</v>
      </c>
      <c r="AC74" s="16">
        <v>0</v>
      </c>
      <c r="AD74" s="16">
        <v>0</v>
      </c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  <c r="BM74" s="22"/>
      <c r="BN74" s="22"/>
      <c r="BO74" s="22"/>
      <c r="BP74" s="22"/>
      <c r="BQ74" s="22"/>
      <c r="BR74" s="22"/>
      <c r="BS74" s="22"/>
      <c r="BT74" s="22"/>
      <c r="BU74" s="22"/>
      <c r="BV74" s="22"/>
      <c r="BW74" s="22"/>
      <c r="BX74" s="22"/>
      <c r="BY74" s="22"/>
      <c r="BZ74" s="22"/>
      <c r="CA74" s="22"/>
      <c r="CB74" s="22"/>
      <c r="CC74" s="22"/>
      <c r="CD74" s="22"/>
      <c r="CE74" s="22"/>
      <c r="CF74" s="22"/>
      <c r="CG74" s="22"/>
      <c r="CH74" s="22"/>
      <c r="CI74" s="22"/>
      <c r="CJ74" s="22"/>
      <c r="CK74" s="22"/>
      <c r="CL74" s="22"/>
      <c r="CM74" s="22"/>
      <c r="CN74" s="22"/>
      <c r="CO74" s="22"/>
      <c r="CP74" s="22"/>
      <c r="CQ74" s="22"/>
      <c r="CR74" s="22"/>
      <c r="CS74" s="22"/>
      <c r="CT74" s="22"/>
      <c r="CU74" s="22"/>
      <c r="CV74" s="22"/>
      <c r="CW74" s="22"/>
      <c r="CX74" s="22"/>
      <c r="CY74" s="22"/>
      <c r="CZ74" s="22"/>
      <c r="DA74" s="22"/>
      <c r="DB74" s="22"/>
      <c r="DC74" s="22"/>
      <c r="DD74" s="22"/>
      <c r="DE74" s="22"/>
      <c r="DF74" s="22"/>
      <c r="DG74" s="22"/>
      <c r="DH74" s="22"/>
      <c r="DI74" s="22"/>
      <c r="DJ74" s="22"/>
      <c r="DK74" s="22"/>
      <c r="DL74" s="22"/>
      <c r="DM74" s="22"/>
      <c r="DN74" s="22"/>
      <c r="DO74" s="22"/>
      <c r="DP74" s="22"/>
      <c r="DQ74" s="22"/>
      <c r="DR74" s="22"/>
      <c r="DS74" s="22"/>
      <c r="DT74" s="22"/>
      <c r="DU74" s="22"/>
      <c r="DV74" s="22"/>
      <c r="DW74" s="22"/>
      <c r="DX74" s="22"/>
      <c r="DY74" s="22"/>
      <c r="DZ74" s="22"/>
      <c r="EA74" s="22"/>
      <c r="EB74" s="22"/>
      <c r="EC74" s="22"/>
      <c r="ED74" s="22"/>
      <c r="EE74" s="22"/>
      <c r="EF74" s="22"/>
      <c r="EG74" s="22"/>
      <c r="EH74" s="22"/>
      <c r="EI74" s="22"/>
      <c r="EJ74" s="22"/>
      <c r="EK74" s="22"/>
      <c r="EL74" s="22"/>
      <c r="EM74" s="22"/>
      <c r="EN74" s="22"/>
      <c r="EO74" s="22"/>
      <c r="EP74" s="22"/>
      <c r="EQ74" s="22"/>
      <c r="ER74" s="22"/>
      <c r="ES74" s="22"/>
      <c r="ET74" s="22"/>
      <c r="EU74" s="22"/>
      <c r="EV74" s="22"/>
      <c r="EW74" s="22"/>
      <c r="EX74" s="22"/>
      <c r="EY74" s="22"/>
      <c r="EZ74" s="22"/>
      <c r="FA74" s="22"/>
      <c r="FB74" s="22"/>
      <c r="FC74" s="22"/>
      <c r="FD74" s="22"/>
      <c r="FE74" s="22"/>
      <c r="FF74" s="22"/>
      <c r="FG74" s="22"/>
      <c r="FH74" s="22"/>
      <c r="FI74" s="22"/>
      <c r="FJ74" s="22"/>
      <c r="FK74" s="22"/>
      <c r="FL74" s="22"/>
      <c r="FM74" s="22"/>
      <c r="FN74" s="22"/>
      <c r="FO74" s="22"/>
      <c r="FP74" s="22"/>
      <c r="FQ74" s="22"/>
      <c r="FR74" s="22"/>
      <c r="FS74" s="22"/>
      <c r="FT74" s="22"/>
      <c r="FU74" s="22"/>
      <c r="FV74" s="22"/>
      <c r="FW74" s="22"/>
      <c r="FX74" s="22"/>
      <c r="FY74" s="22"/>
      <c r="FZ74" s="22"/>
      <c r="GA74" s="22"/>
      <c r="GB74" s="22"/>
      <c r="GC74" s="22"/>
      <c r="GD74" s="22"/>
      <c r="GE74" s="22"/>
      <c r="GF74" s="22"/>
      <c r="GG74" s="22"/>
      <c r="GH74" s="22"/>
      <c r="GI74" s="22"/>
      <c r="GJ74" s="22"/>
      <c r="GK74" s="22"/>
      <c r="GL74" s="22"/>
      <c r="GM74" s="22"/>
      <c r="GN74" s="22"/>
      <c r="GO74" s="22"/>
      <c r="GP74" s="22"/>
      <c r="GQ74" s="22"/>
    </row>
    <row r="75" spans="3:199" s="2" customFormat="1" ht="20.100000000000001" customHeight="1">
      <c r="C75" s="13">
        <v>40030304</v>
      </c>
      <c r="D75" s="15" t="s">
        <v>111</v>
      </c>
      <c r="E75" s="12">
        <v>0</v>
      </c>
      <c r="F75" s="12">
        <v>0</v>
      </c>
      <c r="G75" s="12">
        <v>1</v>
      </c>
      <c r="H75" s="12">
        <v>20</v>
      </c>
      <c r="I75" s="12">
        <v>0.3</v>
      </c>
      <c r="J75" s="16">
        <v>0</v>
      </c>
      <c r="K75" s="16">
        <v>0</v>
      </c>
      <c r="L75" s="15">
        <v>0</v>
      </c>
      <c r="M75" s="15">
        <v>30</v>
      </c>
      <c r="N75" s="15">
        <v>50</v>
      </c>
      <c r="O75" s="17">
        <v>0</v>
      </c>
      <c r="P75" s="17">
        <v>0</v>
      </c>
      <c r="Q75" s="19">
        <v>0</v>
      </c>
      <c r="R75" s="19">
        <v>0</v>
      </c>
      <c r="S75" s="19">
        <v>0</v>
      </c>
      <c r="T75" s="19">
        <v>20</v>
      </c>
      <c r="U75" s="18">
        <v>0</v>
      </c>
      <c r="V75" s="18">
        <v>0</v>
      </c>
      <c r="W75" s="18">
        <v>0</v>
      </c>
      <c r="X75" s="18">
        <v>0</v>
      </c>
      <c r="Y75" s="18">
        <v>0</v>
      </c>
      <c r="Z75" s="18">
        <v>0</v>
      </c>
      <c r="AA75" s="18">
        <v>0</v>
      </c>
      <c r="AB75" s="16">
        <v>0</v>
      </c>
      <c r="AC75" s="16">
        <v>0</v>
      </c>
      <c r="AD75" s="16">
        <v>0</v>
      </c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  <c r="BM75" s="22"/>
      <c r="BN75" s="22"/>
      <c r="BO75" s="22"/>
      <c r="BP75" s="22"/>
      <c r="BQ75" s="22"/>
      <c r="BR75" s="22"/>
      <c r="BS75" s="22"/>
      <c r="BT75" s="22"/>
      <c r="BU75" s="22"/>
      <c r="BV75" s="22"/>
      <c r="BW75" s="22"/>
      <c r="BX75" s="22"/>
      <c r="BY75" s="22"/>
      <c r="BZ75" s="22"/>
      <c r="CA75" s="22"/>
      <c r="CB75" s="22"/>
      <c r="CC75" s="22"/>
      <c r="CD75" s="22"/>
      <c r="CE75" s="22"/>
      <c r="CF75" s="22"/>
      <c r="CG75" s="22"/>
      <c r="CH75" s="22"/>
      <c r="CI75" s="22"/>
      <c r="CJ75" s="22"/>
      <c r="CK75" s="22"/>
      <c r="CL75" s="22"/>
      <c r="CM75" s="22"/>
      <c r="CN75" s="22"/>
      <c r="CO75" s="22"/>
      <c r="CP75" s="22"/>
      <c r="CQ75" s="22"/>
      <c r="CR75" s="22"/>
      <c r="CS75" s="22"/>
      <c r="CT75" s="22"/>
      <c r="CU75" s="22"/>
      <c r="CV75" s="22"/>
      <c r="CW75" s="22"/>
      <c r="CX75" s="22"/>
      <c r="CY75" s="22"/>
      <c r="CZ75" s="22"/>
      <c r="DA75" s="22"/>
      <c r="DB75" s="22"/>
      <c r="DC75" s="22"/>
      <c r="DD75" s="22"/>
      <c r="DE75" s="22"/>
      <c r="DF75" s="22"/>
      <c r="DG75" s="22"/>
      <c r="DH75" s="22"/>
      <c r="DI75" s="22"/>
      <c r="DJ75" s="22"/>
      <c r="DK75" s="22"/>
      <c r="DL75" s="22"/>
      <c r="DM75" s="22"/>
      <c r="DN75" s="22"/>
      <c r="DO75" s="22"/>
      <c r="DP75" s="22"/>
      <c r="DQ75" s="22"/>
      <c r="DR75" s="22"/>
      <c r="DS75" s="22"/>
      <c r="DT75" s="22"/>
      <c r="DU75" s="22"/>
      <c r="DV75" s="22"/>
      <c r="DW75" s="22"/>
      <c r="DX75" s="22"/>
      <c r="DY75" s="22"/>
      <c r="DZ75" s="22"/>
      <c r="EA75" s="22"/>
      <c r="EB75" s="22"/>
      <c r="EC75" s="22"/>
      <c r="ED75" s="22"/>
      <c r="EE75" s="22"/>
      <c r="EF75" s="22"/>
      <c r="EG75" s="22"/>
      <c r="EH75" s="22"/>
      <c r="EI75" s="22"/>
      <c r="EJ75" s="22"/>
      <c r="EK75" s="22"/>
      <c r="EL75" s="22"/>
      <c r="EM75" s="22"/>
      <c r="EN75" s="22"/>
      <c r="EO75" s="22"/>
      <c r="EP75" s="22"/>
      <c r="EQ75" s="22"/>
      <c r="ER75" s="22"/>
      <c r="ES75" s="22"/>
      <c r="ET75" s="22"/>
      <c r="EU75" s="22"/>
      <c r="EV75" s="22"/>
      <c r="EW75" s="22"/>
      <c r="EX75" s="22"/>
      <c r="EY75" s="22"/>
      <c r="EZ75" s="22"/>
      <c r="FA75" s="22"/>
      <c r="FB75" s="22"/>
      <c r="FC75" s="22"/>
      <c r="FD75" s="22"/>
      <c r="FE75" s="22"/>
      <c r="FF75" s="22"/>
      <c r="FG75" s="22"/>
      <c r="FH75" s="22"/>
      <c r="FI75" s="22"/>
      <c r="FJ75" s="22"/>
      <c r="FK75" s="22"/>
      <c r="FL75" s="22"/>
      <c r="FM75" s="22"/>
      <c r="FN75" s="22"/>
      <c r="FO75" s="22"/>
      <c r="FP75" s="22"/>
      <c r="FQ75" s="22"/>
      <c r="FR75" s="22"/>
      <c r="FS75" s="22"/>
      <c r="FT75" s="22"/>
      <c r="FU75" s="22"/>
      <c r="FV75" s="22"/>
      <c r="FW75" s="22"/>
      <c r="FX75" s="22"/>
      <c r="FY75" s="22"/>
      <c r="FZ75" s="22"/>
      <c r="GA75" s="22"/>
      <c r="GB75" s="22"/>
      <c r="GC75" s="22"/>
      <c r="GD75" s="22"/>
      <c r="GE75" s="22"/>
      <c r="GF75" s="22"/>
      <c r="GG75" s="22"/>
      <c r="GH75" s="22"/>
      <c r="GI75" s="22"/>
      <c r="GJ75" s="22"/>
      <c r="GK75" s="22"/>
      <c r="GL75" s="22"/>
      <c r="GM75" s="22"/>
      <c r="GN75" s="22"/>
      <c r="GO75" s="22"/>
      <c r="GP75" s="22"/>
      <c r="GQ75" s="22"/>
    </row>
    <row r="76" spans="3:199" s="2" customFormat="1" ht="20.100000000000001" customHeight="1">
      <c r="C76" s="13">
        <v>40030305</v>
      </c>
      <c r="D76" s="15" t="s">
        <v>112</v>
      </c>
      <c r="E76" s="12">
        <v>0</v>
      </c>
      <c r="F76" s="12">
        <v>1203</v>
      </c>
      <c r="G76" s="12">
        <v>1</v>
      </c>
      <c r="H76" s="12">
        <v>20</v>
      </c>
      <c r="I76" s="12">
        <v>0.3</v>
      </c>
      <c r="J76" s="16">
        <v>0</v>
      </c>
      <c r="K76" s="16">
        <v>0</v>
      </c>
      <c r="L76" s="15">
        <v>0</v>
      </c>
      <c r="M76" s="15">
        <v>10</v>
      </c>
      <c r="N76" s="15">
        <v>40</v>
      </c>
      <c r="O76" s="17">
        <v>0</v>
      </c>
      <c r="P76" s="17">
        <v>0</v>
      </c>
      <c r="Q76" s="19">
        <v>20</v>
      </c>
      <c r="R76" s="19">
        <v>30</v>
      </c>
      <c r="S76" s="19">
        <v>0</v>
      </c>
      <c r="T76" s="19">
        <v>0</v>
      </c>
      <c r="U76" s="18">
        <v>0</v>
      </c>
      <c r="V76" s="18">
        <v>0</v>
      </c>
      <c r="W76" s="18">
        <v>0</v>
      </c>
      <c r="X76" s="18">
        <v>0</v>
      </c>
      <c r="Y76" s="18">
        <v>0</v>
      </c>
      <c r="Z76" s="18">
        <v>0</v>
      </c>
      <c r="AA76" s="18">
        <v>0</v>
      </c>
      <c r="AB76" s="16">
        <v>0</v>
      </c>
      <c r="AC76" s="16">
        <v>0</v>
      </c>
      <c r="AD76" s="16">
        <v>0</v>
      </c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  <c r="BM76" s="22"/>
      <c r="BN76" s="22"/>
      <c r="BO76" s="22"/>
      <c r="BP76" s="22"/>
      <c r="BQ76" s="22"/>
      <c r="BR76" s="22"/>
      <c r="BS76" s="22"/>
      <c r="BT76" s="22"/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22"/>
      <c r="CP76" s="22"/>
      <c r="CQ76" s="22"/>
      <c r="CR76" s="22"/>
      <c r="CS76" s="22"/>
      <c r="CT76" s="22"/>
      <c r="CU76" s="22"/>
      <c r="CV76" s="22"/>
      <c r="CW76" s="22"/>
      <c r="CX76" s="22"/>
      <c r="CY76" s="22"/>
      <c r="CZ76" s="22"/>
      <c r="DA76" s="22"/>
      <c r="DB76" s="22"/>
      <c r="DC76" s="22"/>
      <c r="DD76" s="22"/>
      <c r="DE76" s="22"/>
      <c r="DF76" s="22"/>
      <c r="DG76" s="22"/>
      <c r="DH76" s="22"/>
      <c r="DI76" s="22"/>
      <c r="DJ76" s="22"/>
      <c r="DK76" s="22"/>
      <c r="DL76" s="22"/>
      <c r="DM76" s="22"/>
      <c r="DN76" s="22"/>
      <c r="DO76" s="22"/>
      <c r="DP76" s="22"/>
      <c r="DQ76" s="22"/>
      <c r="DR76" s="22"/>
      <c r="DS76" s="22"/>
      <c r="DT76" s="22"/>
      <c r="DU76" s="22"/>
      <c r="DV76" s="22"/>
      <c r="DW76" s="22"/>
      <c r="DX76" s="22"/>
      <c r="DY76" s="22"/>
      <c r="DZ76" s="22"/>
      <c r="EA76" s="22"/>
      <c r="EB76" s="22"/>
      <c r="EC76" s="22"/>
      <c r="ED76" s="22"/>
      <c r="EE76" s="22"/>
      <c r="EF76" s="22"/>
      <c r="EG76" s="22"/>
      <c r="EH76" s="22"/>
      <c r="EI76" s="22"/>
      <c r="EJ76" s="22"/>
      <c r="EK76" s="22"/>
      <c r="EL76" s="22"/>
      <c r="EM76" s="22"/>
      <c r="EN76" s="22"/>
      <c r="EO76" s="22"/>
      <c r="EP76" s="22"/>
      <c r="EQ76" s="22"/>
      <c r="ER76" s="22"/>
      <c r="ES76" s="22"/>
      <c r="ET76" s="22"/>
      <c r="EU76" s="22"/>
      <c r="EV76" s="22"/>
      <c r="EW76" s="22"/>
      <c r="EX76" s="22"/>
      <c r="EY76" s="22"/>
      <c r="EZ76" s="22"/>
      <c r="FA76" s="22"/>
      <c r="FB76" s="22"/>
      <c r="FC76" s="22"/>
      <c r="FD76" s="22"/>
      <c r="FE76" s="22"/>
      <c r="FF76" s="22"/>
      <c r="FG76" s="22"/>
      <c r="FH76" s="22"/>
      <c r="FI76" s="22"/>
      <c r="FJ76" s="22"/>
      <c r="FK76" s="22"/>
      <c r="FL76" s="22"/>
      <c r="FM76" s="22"/>
      <c r="FN76" s="22"/>
      <c r="FO76" s="22"/>
      <c r="FP76" s="22"/>
      <c r="FQ76" s="22"/>
      <c r="FR76" s="22"/>
      <c r="FS76" s="22"/>
      <c r="FT76" s="22"/>
      <c r="FU76" s="22"/>
      <c r="FV76" s="22"/>
      <c r="FW76" s="22"/>
      <c r="FX76" s="22"/>
      <c r="FY76" s="22"/>
      <c r="FZ76" s="22"/>
      <c r="GA76" s="22"/>
      <c r="GB76" s="22"/>
      <c r="GC76" s="22"/>
      <c r="GD76" s="22"/>
      <c r="GE76" s="22"/>
      <c r="GF76" s="22"/>
      <c r="GG76" s="22"/>
      <c r="GH76" s="22"/>
      <c r="GI76" s="22"/>
      <c r="GJ76" s="22"/>
      <c r="GK76" s="22"/>
      <c r="GL76" s="22"/>
      <c r="GM76" s="22"/>
      <c r="GN76" s="22"/>
      <c r="GO76" s="22"/>
      <c r="GP76" s="22"/>
      <c r="GQ76" s="22"/>
    </row>
    <row r="77" spans="3:199" s="2" customFormat="1" ht="20.100000000000001" customHeight="1">
      <c r="C77" s="13">
        <v>40030306</v>
      </c>
      <c r="D77" s="15" t="s">
        <v>113</v>
      </c>
      <c r="E77" s="12">
        <v>0</v>
      </c>
      <c r="F77" s="12">
        <v>0</v>
      </c>
      <c r="G77" s="12">
        <v>1</v>
      </c>
      <c r="H77" s="12">
        <v>20</v>
      </c>
      <c r="I77" s="12">
        <v>0.3</v>
      </c>
      <c r="J77" s="16">
        <v>0</v>
      </c>
      <c r="K77" s="16">
        <v>0</v>
      </c>
      <c r="L77" s="15">
        <v>0</v>
      </c>
      <c r="M77" s="15">
        <v>20</v>
      </c>
      <c r="N77" s="15">
        <v>20</v>
      </c>
      <c r="O77" s="17">
        <v>0</v>
      </c>
      <c r="P77" s="17">
        <v>0</v>
      </c>
      <c r="Q77" s="19">
        <v>10</v>
      </c>
      <c r="R77" s="19">
        <v>20</v>
      </c>
      <c r="S77" s="19">
        <v>0</v>
      </c>
      <c r="T77" s="19">
        <v>10</v>
      </c>
      <c r="U77" s="18">
        <v>0</v>
      </c>
      <c r="V77" s="18">
        <v>0</v>
      </c>
      <c r="W77" s="18">
        <v>0</v>
      </c>
      <c r="X77" s="18">
        <v>0</v>
      </c>
      <c r="Y77" s="18">
        <v>0</v>
      </c>
      <c r="Z77" s="18">
        <v>0</v>
      </c>
      <c r="AA77" s="18">
        <v>0</v>
      </c>
      <c r="AB77" s="16">
        <v>0</v>
      </c>
      <c r="AC77" s="16">
        <v>0</v>
      </c>
      <c r="AD77" s="16">
        <v>0</v>
      </c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  <c r="BM77" s="22"/>
      <c r="BN77" s="22"/>
      <c r="BO77" s="22"/>
      <c r="BP77" s="22"/>
      <c r="BQ77" s="22"/>
      <c r="BR77" s="22"/>
      <c r="BS77" s="22"/>
      <c r="BT77" s="22"/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2"/>
      <c r="CP77" s="22"/>
      <c r="CQ77" s="22"/>
      <c r="CR77" s="22"/>
      <c r="CS77" s="22"/>
      <c r="CT77" s="22"/>
      <c r="CU77" s="22"/>
      <c r="CV77" s="22"/>
      <c r="CW77" s="22"/>
      <c r="CX77" s="22"/>
      <c r="CY77" s="22"/>
      <c r="CZ77" s="22"/>
      <c r="DA77" s="22"/>
      <c r="DB77" s="22"/>
      <c r="DC77" s="22"/>
      <c r="DD77" s="22"/>
      <c r="DE77" s="22"/>
      <c r="DF77" s="22"/>
      <c r="DG77" s="22"/>
      <c r="DH77" s="22"/>
      <c r="DI77" s="22"/>
      <c r="DJ77" s="22"/>
      <c r="DK77" s="22"/>
      <c r="DL77" s="22"/>
      <c r="DM77" s="22"/>
      <c r="DN77" s="22"/>
      <c r="DO77" s="22"/>
      <c r="DP77" s="22"/>
      <c r="DQ77" s="22"/>
      <c r="DR77" s="22"/>
      <c r="DS77" s="22"/>
      <c r="DT77" s="22"/>
      <c r="DU77" s="22"/>
      <c r="DV77" s="22"/>
      <c r="DW77" s="22"/>
      <c r="DX77" s="22"/>
      <c r="DY77" s="22"/>
      <c r="DZ77" s="22"/>
      <c r="EA77" s="22"/>
      <c r="EB77" s="22"/>
      <c r="EC77" s="22"/>
      <c r="ED77" s="22"/>
      <c r="EE77" s="22"/>
      <c r="EF77" s="22"/>
      <c r="EG77" s="22"/>
      <c r="EH77" s="22"/>
      <c r="EI77" s="22"/>
      <c r="EJ77" s="22"/>
      <c r="EK77" s="22"/>
      <c r="EL77" s="22"/>
      <c r="EM77" s="22"/>
      <c r="EN77" s="22"/>
      <c r="EO77" s="22"/>
      <c r="EP77" s="22"/>
      <c r="EQ77" s="22"/>
      <c r="ER77" s="22"/>
      <c r="ES77" s="22"/>
      <c r="ET77" s="22"/>
      <c r="EU77" s="22"/>
      <c r="EV77" s="22"/>
      <c r="EW77" s="22"/>
      <c r="EX77" s="22"/>
      <c r="EY77" s="22"/>
      <c r="EZ77" s="22"/>
      <c r="FA77" s="22"/>
      <c r="FB77" s="22"/>
      <c r="FC77" s="22"/>
      <c r="FD77" s="22"/>
      <c r="FE77" s="22"/>
      <c r="FF77" s="22"/>
      <c r="FG77" s="22"/>
      <c r="FH77" s="22"/>
      <c r="FI77" s="22"/>
      <c r="FJ77" s="22"/>
      <c r="FK77" s="22"/>
      <c r="FL77" s="22"/>
      <c r="FM77" s="22"/>
      <c r="FN77" s="22"/>
      <c r="FO77" s="22"/>
      <c r="FP77" s="22"/>
      <c r="FQ77" s="22"/>
      <c r="FR77" s="22"/>
      <c r="FS77" s="22"/>
      <c r="FT77" s="22"/>
      <c r="FU77" s="22"/>
      <c r="FV77" s="22"/>
      <c r="FW77" s="22"/>
      <c r="FX77" s="22"/>
      <c r="FY77" s="22"/>
      <c r="FZ77" s="22"/>
      <c r="GA77" s="22"/>
      <c r="GB77" s="22"/>
      <c r="GC77" s="22"/>
      <c r="GD77" s="22"/>
      <c r="GE77" s="22"/>
      <c r="GF77" s="22"/>
      <c r="GG77" s="22"/>
      <c r="GH77" s="22"/>
      <c r="GI77" s="22"/>
      <c r="GJ77" s="22"/>
      <c r="GK77" s="22"/>
      <c r="GL77" s="22"/>
      <c r="GM77" s="22"/>
      <c r="GN77" s="22"/>
      <c r="GO77" s="22"/>
      <c r="GP77" s="22"/>
      <c r="GQ77" s="22"/>
    </row>
    <row r="78" spans="3:199" s="2" customFormat="1" ht="20.100000000000001" customHeight="1">
      <c r="C78" s="13">
        <v>40030307</v>
      </c>
      <c r="D78" s="15" t="s">
        <v>114</v>
      </c>
      <c r="E78" s="12">
        <v>0</v>
      </c>
      <c r="F78" s="12">
        <v>1203</v>
      </c>
      <c r="G78" s="12">
        <v>1</v>
      </c>
      <c r="H78" s="12">
        <v>20</v>
      </c>
      <c r="I78" s="12">
        <v>0.3</v>
      </c>
      <c r="J78" s="16">
        <v>0</v>
      </c>
      <c r="K78" s="16">
        <v>0</v>
      </c>
      <c r="L78" s="15">
        <v>0</v>
      </c>
      <c r="M78" s="15">
        <v>20</v>
      </c>
      <c r="N78" s="15">
        <v>40</v>
      </c>
      <c r="O78" s="17">
        <v>0</v>
      </c>
      <c r="P78" s="17">
        <v>0</v>
      </c>
      <c r="Q78" s="19">
        <v>0</v>
      </c>
      <c r="R78" s="19">
        <v>0</v>
      </c>
      <c r="S78" s="19">
        <v>20</v>
      </c>
      <c r="T78" s="19">
        <v>30</v>
      </c>
      <c r="U78" s="18">
        <v>0</v>
      </c>
      <c r="V78" s="18">
        <v>0</v>
      </c>
      <c r="W78" s="18">
        <v>0</v>
      </c>
      <c r="X78" s="18">
        <v>0</v>
      </c>
      <c r="Y78" s="18">
        <v>0</v>
      </c>
      <c r="Z78" s="18">
        <v>0</v>
      </c>
      <c r="AA78" s="18">
        <v>0</v>
      </c>
      <c r="AB78" s="16">
        <v>0</v>
      </c>
      <c r="AC78" s="16">
        <v>0</v>
      </c>
      <c r="AD78" s="16">
        <v>0</v>
      </c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  <c r="BM78" s="22"/>
      <c r="BN78" s="22"/>
      <c r="BO78" s="22"/>
      <c r="BP78" s="22"/>
      <c r="BQ78" s="22"/>
      <c r="BR78" s="22"/>
      <c r="BS78" s="22"/>
      <c r="BT78" s="22"/>
      <c r="BU78" s="22"/>
      <c r="BV78" s="22"/>
      <c r="BW78" s="22"/>
      <c r="BX78" s="22"/>
      <c r="BY78" s="22"/>
      <c r="BZ78" s="22"/>
      <c r="CA78" s="22"/>
      <c r="CB78" s="22"/>
      <c r="CC78" s="22"/>
      <c r="CD78" s="22"/>
      <c r="CE78" s="22"/>
      <c r="CF78" s="22"/>
      <c r="CG78" s="22"/>
      <c r="CH78" s="22"/>
      <c r="CI78" s="22"/>
      <c r="CJ78" s="22"/>
      <c r="CK78" s="22"/>
      <c r="CL78" s="22"/>
      <c r="CM78" s="22"/>
      <c r="CN78" s="22"/>
      <c r="CO78" s="22"/>
      <c r="CP78" s="22"/>
      <c r="CQ78" s="22"/>
      <c r="CR78" s="22"/>
      <c r="CS78" s="22"/>
      <c r="CT78" s="22"/>
      <c r="CU78" s="22"/>
      <c r="CV78" s="22"/>
      <c r="CW78" s="22"/>
      <c r="CX78" s="22"/>
      <c r="CY78" s="22"/>
      <c r="CZ78" s="22"/>
      <c r="DA78" s="22"/>
      <c r="DB78" s="22"/>
      <c r="DC78" s="22"/>
      <c r="DD78" s="22"/>
      <c r="DE78" s="22"/>
      <c r="DF78" s="22"/>
      <c r="DG78" s="22"/>
      <c r="DH78" s="22"/>
      <c r="DI78" s="22"/>
      <c r="DJ78" s="22"/>
      <c r="DK78" s="22"/>
      <c r="DL78" s="22"/>
      <c r="DM78" s="22"/>
      <c r="DN78" s="22"/>
      <c r="DO78" s="22"/>
      <c r="DP78" s="22"/>
      <c r="DQ78" s="22"/>
      <c r="DR78" s="22"/>
      <c r="DS78" s="22"/>
      <c r="DT78" s="22"/>
      <c r="DU78" s="22"/>
      <c r="DV78" s="22"/>
      <c r="DW78" s="22"/>
      <c r="DX78" s="22"/>
      <c r="DY78" s="22"/>
      <c r="DZ78" s="22"/>
      <c r="EA78" s="22"/>
      <c r="EB78" s="22"/>
      <c r="EC78" s="22"/>
      <c r="ED78" s="22"/>
      <c r="EE78" s="22"/>
      <c r="EF78" s="22"/>
      <c r="EG78" s="22"/>
      <c r="EH78" s="22"/>
      <c r="EI78" s="22"/>
      <c r="EJ78" s="22"/>
      <c r="EK78" s="22"/>
      <c r="EL78" s="22"/>
      <c r="EM78" s="22"/>
      <c r="EN78" s="22"/>
      <c r="EO78" s="22"/>
      <c r="EP78" s="22"/>
      <c r="EQ78" s="22"/>
      <c r="ER78" s="22"/>
      <c r="ES78" s="22"/>
      <c r="ET78" s="22"/>
      <c r="EU78" s="22"/>
      <c r="EV78" s="22"/>
      <c r="EW78" s="22"/>
      <c r="EX78" s="22"/>
      <c r="EY78" s="22"/>
      <c r="EZ78" s="22"/>
      <c r="FA78" s="22"/>
      <c r="FB78" s="22"/>
      <c r="FC78" s="22"/>
      <c r="FD78" s="22"/>
      <c r="FE78" s="22"/>
      <c r="FF78" s="22"/>
      <c r="FG78" s="22"/>
      <c r="FH78" s="22"/>
      <c r="FI78" s="22"/>
      <c r="FJ78" s="22"/>
      <c r="FK78" s="22"/>
      <c r="FL78" s="22"/>
      <c r="FM78" s="22"/>
      <c r="FN78" s="22"/>
      <c r="FO78" s="22"/>
      <c r="FP78" s="22"/>
      <c r="FQ78" s="22"/>
      <c r="FR78" s="22"/>
      <c r="FS78" s="22"/>
      <c r="FT78" s="22"/>
      <c r="FU78" s="22"/>
      <c r="FV78" s="22"/>
      <c r="FW78" s="22"/>
      <c r="FX78" s="22"/>
      <c r="FY78" s="22"/>
      <c r="FZ78" s="22"/>
      <c r="GA78" s="22"/>
      <c r="GB78" s="22"/>
      <c r="GC78" s="22"/>
      <c r="GD78" s="22"/>
      <c r="GE78" s="22"/>
      <c r="GF78" s="22"/>
      <c r="GG78" s="22"/>
      <c r="GH78" s="22"/>
      <c r="GI78" s="22"/>
      <c r="GJ78" s="22"/>
      <c r="GK78" s="22"/>
      <c r="GL78" s="22"/>
      <c r="GM78" s="22"/>
      <c r="GN78" s="22"/>
      <c r="GO78" s="22"/>
      <c r="GP78" s="22"/>
      <c r="GQ78" s="22"/>
    </row>
    <row r="79" spans="3:199" s="2" customFormat="1" ht="20.100000000000001" customHeight="1">
      <c r="C79" s="13">
        <v>40030308</v>
      </c>
      <c r="D79" s="15" t="s">
        <v>115</v>
      </c>
      <c r="E79" s="12">
        <v>0</v>
      </c>
      <c r="F79" s="12">
        <v>0</v>
      </c>
      <c r="G79" s="12">
        <v>1</v>
      </c>
      <c r="H79" s="12">
        <v>20</v>
      </c>
      <c r="I79" s="12">
        <v>0.3</v>
      </c>
      <c r="J79" s="16">
        <v>0</v>
      </c>
      <c r="K79" s="16">
        <v>0</v>
      </c>
      <c r="L79" s="15">
        <v>0</v>
      </c>
      <c r="M79" s="15">
        <v>20</v>
      </c>
      <c r="N79" s="15">
        <v>20</v>
      </c>
      <c r="O79" s="17">
        <v>0</v>
      </c>
      <c r="P79" s="17">
        <v>0</v>
      </c>
      <c r="Q79" s="19">
        <v>0</v>
      </c>
      <c r="R79" s="19">
        <v>0</v>
      </c>
      <c r="S79" s="19">
        <v>10</v>
      </c>
      <c r="T79" s="19">
        <v>20</v>
      </c>
      <c r="U79" s="18">
        <v>0</v>
      </c>
      <c r="V79" s="18">
        <v>0</v>
      </c>
      <c r="W79" s="18">
        <v>0</v>
      </c>
      <c r="X79" s="18">
        <v>0</v>
      </c>
      <c r="Y79" s="18">
        <v>0</v>
      </c>
      <c r="Z79" s="18">
        <v>0</v>
      </c>
      <c r="AA79" s="18">
        <v>0</v>
      </c>
      <c r="AB79" s="16">
        <v>0</v>
      </c>
      <c r="AC79" s="16">
        <v>0</v>
      </c>
      <c r="AD79" s="16">
        <v>0</v>
      </c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  <c r="BM79" s="22"/>
      <c r="BN79" s="22"/>
      <c r="BO79" s="22"/>
      <c r="BP79" s="22"/>
      <c r="BQ79" s="22"/>
      <c r="BR79" s="22"/>
      <c r="BS79" s="22"/>
      <c r="BT79" s="22"/>
      <c r="BU79" s="22"/>
      <c r="BV79" s="22"/>
      <c r="BW79" s="22"/>
      <c r="BX79" s="22"/>
      <c r="BY79" s="22"/>
      <c r="BZ79" s="22"/>
      <c r="CA79" s="22"/>
      <c r="CB79" s="22"/>
      <c r="CC79" s="22"/>
      <c r="CD79" s="22"/>
      <c r="CE79" s="22"/>
      <c r="CF79" s="22"/>
      <c r="CG79" s="22"/>
      <c r="CH79" s="22"/>
      <c r="CI79" s="22"/>
      <c r="CJ79" s="22"/>
      <c r="CK79" s="22"/>
      <c r="CL79" s="22"/>
      <c r="CM79" s="22"/>
      <c r="CN79" s="22"/>
      <c r="CO79" s="22"/>
      <c r="CP79" s="22"/>
      <c r="CQ79" s="22"/>
      <c r="CR79" s="22"/>
      <c r="CS79" s="22"/>
      <c r="CT79" s="22"/>
      <c r="CU79" s="22"/>
      <c r="CV79" s="22"/>
      <c r="CW79" s="22"/>
      <c r="CX79" s="22"/>
      <c r="CY79" s="22"/>
      <c r="CZ79" s="22"/>
      <c r="DA79" s="22"/>
      <c r="DB79" s="22"/>
      <c r="DC79" s="22"/>
      <c r="DD79" s="22"/>
      <c r="DE79" s="22"/>
      <c r="DF79" s="22"/>
      <c r="DG79" s="22"/>
      <c r="DH79" s="22"/>
      <c r="DI79" s="22"/>
      <c r="DJ79" s="22"/>
      <c r="DK79" s="22"/>
      <c r="DL79" s="22"/>
      <c r="DM79" s="22"/>
      <c r="DN79" s="22"/>
      <c r="DO79" s="22"/>
      <c r="DP79" s="22"/>
      <c r="DQ79" s="22"/>
      <c r="DR79" s="22"/>
      <c r="DS79" s="22"/>
      <c r="DT79" s="22"/>
      <c r="DU79" s="22"/>
      <c r="DV79" s="22"/>
      <c r="DW79" s="22"/>
      <c r="DX79" s="22"/>
      <c r="DY79" s="22"/>
      <c r="DZ79" s="22"/>
      <c r="EA79" s="22"/>
      <c r="EB79" s="22"/>
      <c r="EC79" s="22"/>
      <c r="ED79" s="22"/>
      <c r="EE79" s="22"/>
      <c r="EF79" s="22"/>
      <c r="EG79" s="22"/>
      <c r="EH79" s="22"/>
      <c r="EI79" s="22"/>
      <c r="EJ79" s="22"/>
      <c r="EK79" s="22"/>
      <c r="EL79" s="22"/>
      <c r="EM79" s="22"/>
      <c r="EN79" s="22"/>
      <c r="EO79" s="22"/>
      <c r="EP79" s="22"/>
      <c r="EQ79" s="22"/>
      <c r="ER79" s="22"/>
      <c r="ES79" s="22"/>
      <c r="ET79" s="22"/>
      <c r="EU79" s="22"/>
      <c r="EV79" s="22"/>
      <c r="EW79" s="22"/>
      <c r="EX79" s="22"/>
      <c r="EY79" s="22"/>
      <c r="EZ79" s="22"/>
      <c r="FA79" s="22"/>
      <c r="FB79" s="22"/>
      <c r="FC79" s="22"/>
      <c r="FD79" s="22"/>
      <c r="FE79" s="22"/>
      <c r="FF79" s="22"/>
      <c r="FG79" s="22"/>
      <c r="FH79" s="22"/>
      <c r="FI79" s="22"/>
      <c r="FJ79" s="22"/>
      <c r="FK79" s="22"/>
      <c r="FL79" s="22"/>
      <c r="FM79" s="22"/>
      <c r="FN79" s="22"/>
      <c r="FO79" s="22"/>
      <c r="FP79" s="22"/>
      <c r="FQ79" s="22"/>
      <c r="FR79" s="22"/>
      <c r="FS79" s="22"/>
      <c r="FT79" s="22"/>
      <c r="FU79" s="22"/>
      <c r="FV79" s="22"/>
      <c r="FW79" s="22"/>
      <c r="FX79" s="22"/>
      <c r="FY79" s="22"/>
      <c r="FZ79" s="22"/>
      <c r="GA79" s="22"/>
      <c r="GB79" s="22"/>
      <c r="GC79" s="22"/>
      <c r="GD79" s="22"/>
      <c r="GE79" s="22"/>
      <c r="GF79" s="22"/>
      <c r="GG79" s="22"/>
      <c r="GH79" s="22"/>
      <c r="GI79" s="22"/>
      <c r="GJ79" s="22"/>
      <c r="GK79" s="22"/>
      <c r="GL79" s="22"/>
      <c r="GM79" s="22"/>
      <c r="GN79" s="22"/>
      <c r="GO79" s="22"/>
      <c r="GP79" s="22"/>
      <c r="GQ79" s="22"/>
    </row>
    <row r="80" spans="3:199" s="2" customFormat="1" ht="20.100000000000001" customHeight="1">
      <c r="C80" s="13">
        <v>40030309</v>
      </c>
      <c r="D80" s="15" t="s">
        <v>116</v>
      </c>
      <c r="E80" s="12">
        <v>0</v>
      </c>
      <c r="F80" s="12">
        <v>1202</v>
      </c>
      <c r="G80" s="12">
        <v>1</v>
      </c>
      <c r="H80" s="12">
        <v>20</v>
      </c>
      <c r="I80" s="12">
        <v>0.3</v>
      </c>
      <c r="J80" s="16">
        <v>0</v>
      </c>
      <c r="K80" s="16">
        <v>0</v>
      </c>
      <c r="L80" s="15">
        <v>0</v>
      </c>
      <c r="M80" s="15">
        <v>40</v>
      </c>
      <c r="N80" s="15">
        <v>70</v>
      </c>
      <c r="O80" s="17">
        <v>0</v>
      </c>
      <c r="P80" s="17">
        <v>0</v>
      </c>
      <c r="Q80" s="19">
        <v>0</v>
      </c>
      <c r="R80" s="19">
        <v>20</v>
      </c>
      <c r="S80" s="19">
        <v>0</v>
      </c>
      <c r="T80" s="19">
        <v>20</v>
      </c>
      <c r="U80" s="18">
        <v>0</v>
      </c>
      <c r="V80" s="18">
        <v>0</v>
      </c>
      <c r="W80" s="18">
        <v>0</v>
      </c>
      <c r="X80" s="18">
        <v>0</v>
      </c>
      <c r="Y80" s="18">
        <v>0</v>
      </c>
      <c r="Z80" s="18">
        <v>0</v>
      </c>
      <c r="AA80" s="18">
        <v>0</v>
      </c>
      <c r="AB80" s="16">
        <v>0</v>
      </c>
      <c r="AC80" s="16">
        <v>0</v>
      </c>
      <c r="AD80" s="16">
        <v>0</v>
      </c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  <c r="BM80" s="22"/>
      <c r="BN80" s="22"/>
      <c r="BO80" s="22"/>
      <c r="BP80" s="22"/>
      <c r="BQ80" s="22"/>
      <c r="BR80" s="22"/>
      <c r="BS80" s="22"/>
      <c r="BT80" s="22"/>
      <c r="BU80" s="22"/>
      <c r="BV80" s="22"/>
      <c r="BW80" s="22"/>
      <c r="BX80" s="22"/>
      <c r="BY80" s="22"/>
      <c r="BZ80" s="22"/>
      <c r="CA80" s="22"/>
      <c r="CB80" s="22"/>
      <c r="CC80" s="22"/>
      <c r="CD80" s="22"/>
      <c r="CE80" s="22"/>
      <c r="CF80" s="22"/>
      <c r="CG80" s="22"/>
      <c r="CH80" s="22"/>
      <c r="CI80" s="22"/>
      <c r="CJ80" s="22"/>
      <c r="CK80" s="22"/>
      <c r="CL80" s="22"/>
      <c r="CM80" s="22"/>
      <c r="CN80" s="22"/>
      <c r="CO80" s="22"/>
      <c r="CP80" s="22"/>
      <c r="CQ80" s="22"/>
      <c r="CR80" s="22"/>
      <c r="CS80" s="22"/>
      <c r="CT80" s="22"/>
      <c r="CU80" s="22"/>
      <c r="CV80" s="22"/>
      <c r="CW80" s="22"/>
      <c r="CX80" s="22"/>
      <c r="CY80" s="22"/>
      <c r="CZ80" s="22"/>
      <c r="DA80" s="22"/>
      <c r="DB80" s="22"/>
      <c r="DC80" s="22"/>
      <c r="DD80" s="22"/>
      <c r="DE80" s="22"/>
      <c r="DF80" s="22"/>
      <c r="DG80" s="22"/>
      <c r="DH80" s="22"/>
      <c r="DI80" s="22"/>
      <c r="DJ80" s="22"/>
      <c r="DK80" s="22"/>
      <c r="DL80" s="22"/>
      <c r="DM80" s="22"/>
      <c r="DN80" s="22"/>
      <c r="DO80" s="22"/>
      <c r="DP80" s="22"/>
      <c r="DQ80" s="22"/>
      <c r="DR80" s="22"/>
      <c r="DS80" s="22"/>
      <c r="DT80" s="22"/>
      <c r="DU80" s="22"/>
      <c r="DV80" s="22"/>
      <c r="DW80" s="22"/>
      <c r="DX80" s="22"/>
      <c r="DY80" s="22"/>
      <c r="DZ80" s="22"/>
      <c r="EA80" s="22"/>
      <c r="EB80" s="22"/>
      <c r="EC80" s="22"/>
      <c r="ED80" s="22"/>
      <c r="EE80" s="22"/>
      <c r="EF80" s="22"/>
      <c r="EG80" s="22"/>
      <c r="EH80" s="22"/>
      <c r="EI80" s="22"/>
      <c r="EJ80" s="22"/>
      <c r="EK80" s="22"/>
      <c r="EL80" s="22"/>
      <c r="EM80" s="22"/>
      <c r="EN80" s="22"/>
      <c r="EO80" s="22"/>
      <c r="EP80" s="22"/>
      <c r="EQ80" s="22"/>
      <c r="ER80" s="22"/>
      <c r="ES80" s="22"/>
      <c r="ET80" s="22"/>
      <c r="EU80" s="22"/>
      <c r="EV80" s="22"/>
      <c r="EW80" s="22"/>
      <c r="EX80" s="22"/>
      <c r="EY80" s="22"/>
      <c r="EZ80" s="22"/>
      <c r="FA80" s="22"/>
      <c r="FB80" s="22"/>
      <c r="FC80" s="22"/>
      <c r="FD80" s="22"/>
      <c r="FE80" s="22"/>
      <c r="FF80" s="22"/>
      <c r="FG80" s="22"/>
      <c r="FH80" s="22"/>
      <c r="FI80" s="22"/>
      <c r="FJ80" s="22"/>
      <c r="FK80" s="22"/>
      <c r="FL80" s="22"/>
      <c r="FM80" s="22"/>
      <c r="FN80" s="22"/>
      <c r="FO80" s="22"/>
      <c r="FP80" s="22"/>
      <c r="FQ80" s="22"/>
      <c r="FR80" s="22"/>
      <c r="FS80" s="22"/>
      <c r="FT80" s="22"/>
      <c r="FU80" s="22"/>
      <c r="FV80" s="22"/>
      <c r="FW80" s="22"/>
      <c r="FX80" s="22"/>
      <c r="FY80" s="22"/>
      <c r="FZ80" s="22"/>
      <c r="GA80" s="22"/>
      <c r="GB80" s="22"/>
      <c r="GC80" s="22"/>
      <c r="GD80" s="22"/>
      <c r="GE80" s="22"/>
      <c r="GF80" s="22"/>
      <c r="GG80" s="22"/>
      <c r="GH80" s="22"/>
      <c r="GI80" s="22"/>
      <c r="GJ80" s="22"/>
      <c r="GK80" s="22"/>
      <c r="GL80" s="22"/>
      <c r="GM80" s="22"/>
      <c r="GN80" s="22"/>
      <c r="GO80" s="22"/>
      <c r="GP80" s="22"/>
      <c r="GQ80" s="22"/>
    </row>
    <row r="81" spans="3:199" s="2" customFormat="1" ht="20.100000000000001" customHeight="1">
      <c r="C81" s="13">
        <v>40030310</v>
      </c>
      <c r="D81" s="15" t="s">
        <v>117</v>
      </c>
      <c r="E81" s="12">
        <v>0</v>
      </c>
      <c r="F81" s="12">
        <v>0</v>
      </c>
      <c r="G81" s="12">
        <v>1</v>
      </c>
      <c r="H81" s="12">
        <v>20</v>
      </c>
      <c r="I81" s="12">
        <v>0.3</v>
      </c>
      <c r="J81" s="16">
        <v>0</v>
      </c>
      <c r="K81" s="16">
        <v>0</v>
      </c>
      <c r="L81" s="15">
        <v>0</v>
      </c>
      <c r="M81" s="15">
        <v>20</v>
      </c>
      <c r="N81" s="15">
        <v>50</v>
      </c>
      <c r="O81" s="17">
        <v>0</v>
      </c>
      <c r="P81" s="17">
        <v>0</v>
      </c>
      <c r="Q81" s="19">
        <v>0</v>
      </c>
      <c r="R81" s="19">
        <v>10</v>
      </c>
      <c r="S81" s="19">
        <v>0</v>
      </c>
      <c r="T81" s="19">
        <v>10</v>
      </c>
      <c r="U81" s="18">
        <v>0</v>
      </c>
      <c r="V81" s="18">
        <v>0</v>
      </c>
      <c r="W81" s="18">
        <v>0</v>
      </c>
      <c r="X81" s="18">
        <v>0</v>
      </c>
      <c r="Y81" s="18">
        <v>0</v>
      </c>
      <c r="Z81" s="18">
        <v>0</v>
      </c>
      <c r="AA81" s="18">
        <v>0</v>
      </c>
      <c r="AB81" s="16">
        <v>0</v>
      </c>
      <c r="AC81" s="16">
        <v>0</v>
      </c>
      <c r="AD81" s="16">
        <v>0</v>
      </c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  <c r="BM81" s="22"/>
      <c r="BN81" s="22"/>
      <c r="BO81" s="22"/>
      <c r="BP81" s="22"/>
      <c r="BQ81" s="22"/>
      <c r="BR81" s="22"/>
      <c r="BS81" s="22"/>
      <c r="BT81" s="22"/>
      <c r="BU81" s="22"/>
      <c r="BV81" s="22"/>
      <c r="BW81" s="22"/>
      <c r="BX81" s="22"/>
      <c r="BY81" s="22"/>
      <c r="BZ81" s="22"/>
      <c r="CA81" s="22"/>
      <c r="CB81" s="22"/>
      <c r="CC81" s="22"/>
      <c r="CD81" s="22"/>
      <c r="CE81" s="22"/>
      <c r="CF81" s="22"/>
      <c r="CG81" s="22"/>
      <c r="CH81" s="22"/>
      <c r="CI81" s="22"/>
      <c r="CJ81" s="22"/>
      <c r="CK81" s="22"/>
      <c r="CL81" s="22"/>
      <c r="CM81" s="22"/>
      <c r="CN81" s="22"/>
      <c r="CO81" s="22"/>
      <c r="CP81" s="22"/>
      <c r="CQ81" s="22"/>
      <c r="CR81" s="22"/>
      <c r="CS81" s="22"/>
      <c r="CT81" s="22"/>
      <c r="CU81" s="22"/>
      <c r="CV81" s="22"/>
      <c r="CW81" s="22"/>
      <c r="CX81" s="22"/>
      <c r="CY81" s="22"/>
      <c r="CZ81" s="22"/>
      <c r="DA81" s="22"/>
      <c r="DB81" s="22"/>
      <c r="DC81" s="22"/>
      <c r="DD81" s="22"/>
      <c r="DE81" s="22"/>
      <c r="DF81" s="22"/>
      <c r="DG81" s="22"/>
      <c r="DH81" s="22"/>
      <c r="DI81" s="22"/>
      <c r="DJ81" s="22"/>
      <c r="DK81" s="22"/>
      <c r="DL81" s="22"/>
      <c r="DM81" s="22"/>
      <c r="DN81" s="22"/>
      <c r="DO81" s="22"/>
      <c r="DP81" s="22"/>
      <c r="DQ81" s="22"/>
      <c r="DR81" s="22"/>
      <c r="DS81" s="22"/>
      <c r="DT81" s="22"/>
      <c r="DU81" s="22"/>
      <c r="DV81" s="22"/>
      <c r="DW81" s="22"/>
      <c r="DX81" s="22"/>
      <c r="DY81" s="22"/>
      <c r="DZ81" s="22"/>
      <c r="EA81" s="22"/>
      <c r="EB81" s="22"/>
      <c r="EC81" s="22"/>
      <c r="ED81" s="22"/>
      <c r="EE81" s="22"/>
      <c r="EF81" s="22"/>
      <c r="EG81" s="22"/>
      <c r="EH81" s="22"/>
      <c r="EI81" s="22"/>
      <c r="EJ81" s="22"/>
      <c r="EK81" s="22"/>
      <c r="EL81" s="22"/>
      <c r="EM81" s="22"/>
      <c r="EN81" s="22"/>
      <c r="EO81" s="22"/>
      <c r="EP81" s="22"/>
      <c r="EQ81" s="22"/>
      <c r="ER81" s="22"/>
      <c r="ES81" s="22"/>
      <c r="ET81" s="22"/>
      <c r="EU81" s="22"/>
      <c r="EV81" s="22"/>
      <c r="EW81" s="22"/>
      <c r="EX81" s="22"/>
      <c r="EY81" s="22"/>
      <c r="EZ81" s="22"/>
      <c r="FA81" s="22"/>
      <c r="FB81" s="22"/>
      <c r="FC81" s="22"/>
      <c r="FD81" s="22"/>
      <c r="FE81" s="22"/>
      <c r="FF81" s="22"/>
      <c r="FG81" s="22"/>
      <c r="FH81" s="22"/>
      <c r="FI81" s="22"/>
      <c r="FJ81" s="22"/>
      <c r="FK81" s="22"/>
      <c r="FL81" s="22"/>
      <c r="FM81" s="22"/>
      <c r="FN81" s="22"/>
      <c r="FO81" s="22"/>
      <c r="FP81" s="22"/>
      <c r="FQ81" s="22"/>
      <c r="FR81" s="22"/>
      <c r="FS81" s="22"/>
      <c r="FT81" s="22"/>
      <c r="FU81" s="22"/>
      <c r="FV81" s="22"/>
      <c r="FW81" s="22"/>
      <c r="FX81" s="22"/>
      <c r="FY81" s="22"/>
      <c r="FZ81" s="22"/>
      <c r="GA81" s="22"/>
      <c r="GB81" s="22"/>
      <c r="GC81" s="22"/>
      <c r="GD81" s="22"/>
      <c r="GE81" s="22"/>
      <c r="GF81" s="22"/>
      <c r="GG81" s="22"/>
      <c r="GH81" s="22"/>
      <c r="GI81" s="22"/>
      <c r="GJ81" s="22"/>
      <c r="GK81" s="22"/>
      <c r="GL81" s="22"/>
      <c r="GM81" s="22"/>
      <c r="GN81" s="22"/>
      <c r="GO81" s="22"/>
      <c r="GP81" s="22"/>
      <c r="GQ81" s="22"/>
    </row>
    <row r="82" spans="3:199" s="2" customFormat="1" ht="20.100000000000001" customHeight="1">
      <c r="C82" s="13">
        <v>40030311</v>
      </c>
      <c r="D82" s="15" t="s">
        <v>118</v>
      </c>
      <c r="E82" s="12">
        <v>0</v>
      </c>
      <c r="F82" s="12">
        <v>1202</v>
      </c>
      <c r="G82" s="12">
        <v>1</v>
      </c>
      <c r="H82" s="12">
        <v>20</v>
      </c>
      <c r="I82" s="12">
        <v>0.3</v>
      </c>
      <c r="J82" s="16">
        <v>0</v>
      </c>
      <c r="K82" s="16">
        <v>0</v>
      </c>
      <c r="L82" s="15">
        <v>0</v>
      </c>
      <c r="M82" s="15">
        <v>20</v>
      </c>
      <c r="N82" s="15">
        <v>120</v>
      </c>
      <c r="O82" s="17">
        <v>0</v>
      </c>
      <c r="P82" s="17">
        <v>0</v>
      </c>
      <c r="Q82" s="19">
        <v>10</v>
      </c>
      <c r="R82" s="19">
        <v>20</v>
      </c>
      <c r="S82" s="19">
        <v>0</v>
      </c>
      <c r="T82" s="19">
        <v>0</v>
      </c>
      <c r="U82" s="18">
        <v>0</v>
      </c>
      <c r="V82" s="18">
        <v>0</v>
      </c>
      <c r="W82" s="18">
        <v>0</v>
      </c>
      <c r="X82" s="18">
        <v>0</v>
      </c>
      <c r="Y82" s="18">
        <v>0</v>
      </c>
      <c r="Z82" s="18">
        <v>0</v>
      </c>
      <c r="AA82" s="18">
        <v>0</v>
      </c>
      <c r="AB82" s="16">
        <v>0</v>
      </c>
      <c r="AC82" s="16">
        <v>0</v>
      </c>
      <c r="AD82" s="16">
        <v>0</v>
      </c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  <c r="BM82" s="22"/>
      <c r="BN82" s="22"/>
      <c r="BO82" s="22"/>
      <c r="BP82" s="22"/>
      <c r="BQ82" s="22"/>
      <c r="BR82" s="22"/>
      <c r="BS82" s="22"/>
      <c r="BT82" s="22"/>
      <c r="BU82" s="22"/>
      <c r="BV82" s="22"/>
      <c r="BW82" s="22"/>
      <c r="BX82" s="22"/>
      <c r="BY82" s="22"/>
      <c r="BZ82" s="22"/>
      <c r="CA82" s="22"/>
      <c r="CB82" s="22"/>
      <c r="CC82" s="22"/>
      <c r="CD82" s="22"/>
      <c r="CE82" s="22"/>
      <c r="CF82" s="22"/>
      <c r="CG82" s="22"/>
      <c r="CH82" s="22"/>
      <c r="CI82" s="22"/>
      <c r="CJ82" s="22"/>
      <c r="CK82" s="22"/>
      <c r="CL82" s="22"/>
      <c r="CM82" s="22"/>
      <c r="CN82" s="22"/>
      <c r="CO82" s="22"/>
      <c r="CP82" s="22"/>
      <c r="CQ82" s="22"/>
      <c r="CR82" s="22"/>
      <c r="CS82" s="22"/>
      <c r="CT82" s="22"/>
      <c r="CU82" s="22"/>
      <c r="CV82" s="22"/>
      <c r="CW82" s="22"/>
      <c r="CX82" s="22"/>
      <c r="CY82" s="22"/>
      <c r="CZ82" s="22"/>
      <c r="DA82" s="22"/>
      <c r="DB82" s="22"/>
      <c r="DC82" s="22"/>
      <c r="DD82" s="22"/>
      <c r="DE82" s="22"/>
      <c r="DF82" s="22"/>
      <c r="DG82" s="22"/>
      <c r="DH82" s="22"/>
      <c r="DI82" s="22"/>
      <c r="DJ82" s="22"/>
      <c r="DK82" s="22"/>
      <c r="DL82" s="22"/>
      <c r="DM82" s="22"/>
      <c r="DN82" s="22"/>
      <c r="DO82" s="22"/>
      <c r="DP82" s="22"/>
      <c r="DQ82" s="22"/>
      <c r="DR82" s="22"/>
      <c r="DS82" s="22"/>
      <c r="DT82" s="22"/>
      <c r="DU82" s="22"/>
      <c r="DV82" s="22"/>
      <c r="DW82" s="22"/>
      <c r="DX82" s="22"/>
      <c r="DY82" s="22"/>
      <c r="DZ82" s="22"/>
      <c r="EA82" s="22"/>
      <c r="EB82" s="22"/>
      <c r="EC82" s="22"/>
      <c r="ED82" s="22"/>
      <c r="EE82" s="22"/>
      <c r="EF82" s="22"/>
      <c r="EG82" s="22"/>
      <c r="EH82" s="22"/>
      <c r="EI82" s="22"/>
      <c r="EJ82" s="22"/>
      <c r="EK82" s="22"/>
      <c r="EL82" s="22"/>
      <c r="EM82" s="22"/>
      <c r="EN82" s="22"/>
      <c r="EO82" s="22"/>
      <c r="EP82" s="22"/>
      <c r="EQ82" s="22"/>
      <c r="ER82" s="22"/>
      <c r="ES82" s="22"/>
      <c r="ET82" s="22"/>
      <c r="EU82" s="22"/>
      <c r="EV82" s="22"/>
      <c r="EW82" s="22"/>
      <c r="EX82" s="22"/>
      <c r="EY82" s="22"/>
      <c r="EZ82" s="22"/>
      <c r="FA82" s="22"/>
      <c r="FB82" s="22"/>
      <c r="FC82" s="22"/>
      <c r="FD82" s="22"/>
      <c r="FE82" s="22"/>
      <c r="FF82" s="22"/>
      <c r="FG82" s="22"/>
      <c r="FH82" s="22"/>
      <c r="FI82" s="22"/>
      <c r="FJ82" s="22"/>
      <c r="FK82" s="22"/>
      <c r="FL82" s="22"/>
      <c r="FM82" s="22"/>
      <c r="FN82" s="22"/>
      <c r="FO82" s="22"/>
      <c r="FP82" s="22"/>
      <c r="FQ82" s="22"/>
      <c r="FR82" s="22"/>
      <c r="FS82" s="22"/>
      <c r="FT82" s="22"/>
      <c r="FU82" s="22"/>
      <c r="FV82" s="22"/>
      <c r="FW82" s="22"/>
      <c r="FX82" s="22"/>
      <c r="FY82" s="22"/>
      <c r="FZ82" s="22"/>
      <c r="GA82" s="22"/>
      <c r="GB82" s="22"/>
      <c r="GC82" s="22"/>
      <c r="GD82" s="22"/>
      <c r="GE82" s="22"/>
      <c r="GF82" s="22"/>
      <c r="GG82" s="22"/>
      <c r="GH82" s="22"/>
      <c r="GI82" s="22"/>
      <c r="GJ82" s="22"/>
      <c r="GK82" s="22"/>
      <c r="GL82" s="22"/>
      <c r="GM82" s="22"/>
      <c r="GN82" s="22"/>
      <c r="GO82" s="22"/>
      <c r="GP82" s="22"/>
      <c r="GQ82" s="22"/>
    </row>
    <row r="83" spans="3:199" s="2" customFormat="1" ht="20.100000000000001" customHeight="1">
      <c r="C83" s="13">
        <v>40030312</v>
      </c>
      <c r="D83" s="15" t="s">
        <v>119</v>
      </c>
      <c r="E83" s="12">
        <v>0</v>
      </c>
      <c r="F83" s="12">
        <v>0</v>
      </c>
      <c r="G83" s="12">
        <v>1</v>
      </c>
      <c r="H83" s="12">
        <v>20</v>
      </c>
      <c r="I83" s="12">
        <v>0.3</v>
      </c>
      <c r="J83" s="16">
        <v>0</v>
      </c>
      <c r="K83" s="16">
        <v>0</v>
      </c>
      <c r="L83" s="15">
        <v>0</v>
      </c>
      <c r="M83" s="15">
        <v>30</v>
      </c>
      <c r="N83" s="15">
        <v>80</v>
      </c>
      <c r="O83" s="17">
        <v>0</v>
      </c>
      <c r="P83" s="17">
        <v>0</v>
      </c>
      <c r="Q83" s="19">
        <v>0</v>
      </c>
      <c r="R83" s="19">
        <v>10</v>
      </c>
      <c r="S83" s="19">
        <v>0</v>
      </c>
      <c r="T83" s="19">
        <v>10</v>
      </c>
      <c r="U83" s="18">
        <v>0</v>
      </c>
      <c r="V83" s="18">
        <v>0</v>
      </c>
      <c r="W83" s="18">
        <v>0</v>
      </c>
      <c r="X83" s="18">
        <v>0</v>
      </c>
      <c r="Y83" s="18">
        <v>0</v>
      </c>
      <c r="Z83" s="18">
        <v>0</v>
      </c>
      <c r="AA83" s="18">
        <v>0</v>
      </c>
      <c r="AB83" s="16">
        <v>0</v>
      </c>
      <c r="AC83" s="16">
        <v>0</v>
      </c>
      <c r="AD83" s="16">
        <v>0</v>
      </c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  <c r="BM83" s="22"/>
      <c r="BN83" s="22"/>
      <c r="BO83" s="22"/>
      <c r="BP83" s="22"/>
      <c r="BQ83" s="22"/>
      <c r="BR83" s="22"/>
      <c r="BS83" s="22"/>
      <c r="BT83" s="22"/>
      <c r="BU83" s="22"/>
      <c r="BV83" s="22"/>
      <c r="BW83" s="22"/>
      <c r="BX83" s="22"/>
      <c r="BY83" s="22"/>
      <c r="BZ83" s="22"/>
      <c r="CA83" s="22"/>
      <c r="CB83" s="22"/>
      <c r="CC83" s="22"/>
      <c r="CD83" s="22"/>
      <c r="CE83" s="22"/>
      <c r="CF83" s="22"/>
      <c r="CG83" s="22"/>
      <c r="CH83" s="22"/>
      <c r="CI83" s="22"/>
      <c r="CJ83" s="22"/>
      <c r="CK83" s="22"/>
      <c r="CL83" s="22"/>
      <c r="CM83" s="22"/>
      <c r="CN83" s="22"/>
      <c r="CO83" s="22"/>
      <c r="CP83" s="22"/>
      <c r="CQ83" s="22"/>
      <c r="CR83" s="22"/>
      <c r="CS83" s="22"/>
      <c r="CT83" s="22"/>
      <c r="CU83" s="22"/>
      <c r="CV83" s="22"/>
      <c r="CW83" s="22"/>
      <c r="CX83" s="22"/>
      <c r="CY83" s="22"/>
      <c r="CZ83" s="22"/>
      <c r="DA83" s="22"/>
      <c r="DB83" s="22"/>
      <c r="DC83" s="22"/>
      <c r="DD83" s="22"/>
      <c r="DE83" s="22"/>
      <c r="DF83" s="22"/>
      <c r="DG83" s="22"/>
      <c r="DH83" s="22"/>
      <c r="DI83" s="22"/>
      <c r="DJ83" s="22"/>
      <c r="DK83" s="22"/>
      <c r="DL83" s="22"/>
      <c r="DM83" s="22"/>
      <c r="DN83" s="22"/>
      <c r="DO83" s="22"/>
      <c r="DP83" s="22"/>
      <c r="DQ83" s="22"/>
      <c r="DR83" s="22"/>
      <c r="DS83" s="22"/>
      <c r="DT83" s="22"/>
      <c r="DU83" s="22"/>
      <c r="DV83" s="22"/>
      <c r="DW83" s="22"/>
      <c r="DX83" s="22"/>
      <c r="DY83" s="22"/>
      <c r="DZ83" s="22"/>
      <c r="EA83" s="22"/>
      <c r="EB83" s="22"/>
      <c r="EC83" s="22"/>
      <c r="ED83" s="22"/>
      <c r="EE83" s="22"/>
      <c r="EF83" s="22"/>
      <c r="EG83" s="22"/>
      <c r="EH83" s="22"/>
      <c r="EI83" s="22"/>
      <c r="EJ83" s="22"/>
      <c r="EK83" s="22"/>
      <c r="EL83" s="22"/>
      <c r="EM83" s="22"/>
      <c r="EN83" s="22"/>
      <c r="EO83" s="22"/>
      <c r="EP83" s="22"/>
      <c r="EQ83" s="22"/>
      <c r="ER83" s="22"/>
      <c r="ES83" s="22"/>
      <c r="ET83" s="22"/>
      <c r="EU83" s="22"/>
      <c r="EV83" s="22"/>
      <c r="EW83" s="22"/>
      <c r="EX83" s="22"/>
      <c r="EY83" s="22"/>
      <c r="EZ83" s="22"/>
      <c r="FA83" s="22"/>
      <c r="FB83" s="22"/>
      <c r="FC83" s="22"/>
      <c r="FD83" s="22"/>
      <c r="FE83" s="22"/>
      <c r="FF83" s="22"/>
      <c r="FG83" s="22"/>
      <c r="FH83" s="22"/>
      <c r="FI83" s="22"/>
      <c r="FJ83" s="22"/>
      <c r="FK83" s="22"/>
      <c r="FL83" s="22"/>
      <c r="FM83" s="22"/>
      <c r="FN83" s="22"/>
      <c r="FO83" s="22"/>
      <c r="FP83" s="22"/>
      <c r="FQ83" s="22"/>
      <c r="FR83" s="22"/>
      <c r="FS83" s="22"/>
      <c r="FT83" s="22"/>
      <c r="FU83" s="22"/>
      <c r="FV83" s="22"/>
      <c r="FW83" s="22"/>
      <c r="FX83" s="22"/>
      <c r="FY83" s="22"/>
      <c r="FZ83" s="22"/>
      <c r="GA83" s="22"/>
      <c r="GB83" s="22"/>
      <c r="GC83" s="22"/>
      <c r="GD83" s="22"/>
      <c r="GE83" s="22"/>
      <c r="GF83" s="22"/>
      <c r="GG83" s="22"/>
      <c r="GH83" s="22"/>
      <c r="GI83" s="22"/>
      <c r="GJ83" s="22"/>
      <c r="GK83" s="22"/>
      <c r="GL83" s="22"/>
      <c r="GM83" s="22"/>
      <c r="GN83" s="22"/>
      <c r="GO83" s="22"/>
      <c r="GP83" s="22"/>
      <c r="GQ83" s="22"/>
    </row>
    <row r="84" spans="3:199" s="2" customFormat="1" ht="20.100000000000001" customHeight="1">
      <c r="C84" s="13">
        <v>40030313</v>
      </c>
      <c r="D84" s="15" t="s">
        <v>120</v>
      </c>
      <c r="E84" s="12">
        <v>0</v>
      </c>
      <c r="F84" s="12">
        <v>1204</v>
      </c>
      <c r="G84" s="12">
        <v>1</v>
      </c>
      <c r="H84" s="12">
        <v>20</v>
      </c>
      <c r="I84" s="12">
        <v>0.3</v>
      </c>
      <c r="J84" s="16">
        <v>0</v>
      </c>
      <c r="K84" s="16">
        <v>0</v>
      </c>
      <c r="L84" s="15">
        <v>0</v>
      </c>
      <c r="M84" s="15">
        <v>20</v>
      </c>
      <c r="N84" s="15">
        <v>110</v>
      </c>
      <c r="O84" s="17">
        <v>0</v>
      </c>
      <c r="P84" s="17">
        <v>0</v>
      </c>
      <c r="Q84" s="19">
        <v>0</v>
      </c>
      <c r="R84" s="19">
        <v>0</v>
      </c>
      <c r="S84" s="19">
        <v>10</v>
      </c>
      <c r="T84" s="19">
        <v>20</v>
      </c>
      <c r="U84" s="18">
        <v>0</v>
      </c>
      <c r="V84" s="18">
        <v>0</v>
      </c>
      <c r="W84" s="18">
        <v>0</v>
      </c>
      <c r="X84" s="18">
        <v>0</v>
      </c>
      <c r="Y84" s="18">
        <v>0</v>
      </c>
      <c r="Z84" s="18">
        <v>0</v>
      </c>
      <c r="AA84" s="18">
        <v>0</v>
      </c>
      <c r="AB84" s="16">
        <v>0</v>
      </c>
      <c r="AC84" s="16">
        <v>0</v>
      </c>
      <c r="AD84" s="16">
        <v>0</v>
      </c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  <c r="BM84" s="22"/>
      <c r="BN84" s="22"/>
      <c r="BO84" s="22"/>
      <c r="BP84" s="22"/>
      <c r="BQ84" s="22"/>
      <c r="BR84" s="22"/>
      <c r="BS84" s="22"/>
      <c r="BT84" s="22"/>
      <c r="BU84" s="22"/>
      <c r="BV84" s="22"/>
      <c r="BW84" s="22"/>
      <c r="BX84" s="22"/>
      <c r="BY84" s="22"/>
      <c r="BZ84" s="22"/>
      <c r="CA84" s="22"/>
      <c r="CB84" s="22"/>
      <c r="CC84" s="22"/>
      <c r="CD84" s="22"/>
      <c r="CE84" s="22"/>
      <c r="CF84" s="22"/>
      <c r="CG84" s="22"/>
      <c r="CH84" s="22"/>
      <c r="CI84" s="22"/>
      <c r="CJ84" s="22"/>
      <c r="CK84" s="22"/>
      <c r="CL84" s="22"/>
      <c r="CM84" s="22"/>
      <c r="CN84" s="22"/>
      <c r="CO84" s="22"/>
      <c r="CP84" s="22"/>
      <c r="CQ84" s="22"/>
      <c r="CR84" s="22"/>
      <c r="CS84" s="22"/>
      <c r="CT84" s="22"/>
      <c r="CU84" s="22"/>
      <c r="CV84" s="22"/>
      <c r="CW84" s="22"/>
      <c r="CX84" s="22"/>
      <c r="CY84" s="22"/>
      <c r="CZ84" s="22"/>
      <c r="DA84" s="22"/>
      <c r="DB84" s="22"/>
      <c r="DC84" s="22"/>
      <c r="DD84" s="22"/>
      <c r="DE84" s="22"/>
      <c r="DF84" s="22"/>
      <c r="DG84" s="22"/>
      <c r="DH84" s="22"/>
      <c r="DI84" s="22"/>
      <c r="DJ84" s="22"/>
      <c r="DK84" s="22"/>
      <c r="DL84" s="22"/>
      <c r="DM84" s="22"/>
      <c r="DN84" s="22"/>
      <c r="DO84" s="22"/>
      <c r="DP84" s="22"/>
      <c r="DQ84" s="22"/>
      <c r="DR84" s="22"/>
      <c r="DS84" s="22"/>
      <c r="DT84" s="22"/>
      <c r="DU84" s="22"/>
      <c r="DV84" s="22"/>
      <c r="DW84" s="22"/>
      <c r="DX84" s="22"/>
      <c r="DY84" s="22"/>
      <c r="DZ84" s="22"/>
      <c r="EA84" s="22"/>
      <c r="EB84" s="22"/>
      <c r="EC84" s="22"/>
      <c r="ED84" s="22"/>
      <c r="EE84" s="22"/>
      <c r="EF84" s="22"/>
      <c r="EG84" s="22"/>
      <c r="EH84" s="22"/>
      <c r="EI84" s="22"/>
      <c r="EJ84" s="22"/>
      <c r="EK84" s="22"/>
      <c r="EL84" s="22"/>
      <c r="EM84" s="22"/>
      <c r="EN84" s="22"/>
      <c r="EO84" s="22"/>
      <c r="EP84" s="22"/>
      <c r="EQ84" s="22"/>
      <c r="ER84" s="22"/>
      <c r="ES84" s="22"/>
      <c r="ET84" s="22"/>
      <c r="EU84" s="22"/>
      <c r="EV84" s="22"/>
      <c r="EW84" s="22"/>
      <c r="EX84" s="22"/>
      <c r="EY84" s="22"/>
      <c r="EZ84" s="22"/>
      <c r="FA84" s="22"/>
      <c r="FB84" s="22"/>
      <c r="FC84" s="22"/>
      <c r="FD84" s="22"/>
      <c r="FE84" s="22"/>
      <c r="FF84" s="22"/>
      <c r="FG84" s="22"/>
      <c r="FH84" s="22"/>
      <c r="FI84" s="22"/>
      <c r="FJ84" s="22"/>
      <c r="FK84" s="22"/>
      <c r="FL84" s="22"/>
      <c r="FM84" s="22"/>
      <c r="FN84" s="22"/>
      <c r="FO84" s="22"/>
      <c r="FP84" s="22"/>
      <c r="FQ84" s="22"/>
      <c r="FR84" s="22"/>
      <c r="FS84" s="22"/>
      <c r="FT84" s="22"/>
      <c r="FU84" s="22"/>
      <c r="FV84" s="22"/>
      <c r="FW84" s="22"/>
      <c r="FX84" s="22"/>
      <c r="FY84" s="22"/>
      <c r="FZ84" s="22"/>
      <c r="GA84" s="22"/>
      <c r="GB84" s="22"/>
      <c r="GC84" s="22"/>
      <c r="GD84" s="22"/>
      <c r="GE84" s="22"/>
      <c r="GF84" s="22"/>
      <c r="GG84" s="22"/>
      <c r="GH84" s="22"/>
      <c r="GI84" s="22"/>
      <c r="GJ84" s="22"/>
      <c r="GK84" s="22"/>
      <c r="GL84" s="22"/>
      <c r="GM84" s="22"/>
      <c r="GN84" s="22"/>
      <c r="GO84" s="22"/>
      <c r="GP84" s="22"/>
      <c r="GQ84" s="22"/>
    </row>
    <row r="85" spans="3:199" s="2" customFormat="1" ht="20.100000000000001" customHeight="1">
      <c r="C85" s="13">
        <v>40030314</v>
      </c>
      <c r="D85" s="15" t="s">
        <v>121</v>
      </c>
      <c r="E85" s="12">
        <v>0</v>
      </c>
      <c r="F85" s="12">
        <v>0</v>
      </c>
      <c r="G85" s="12">
        <v>1</v>
      </c>
      <c r="H85" s="12">
        <v>20</v>
      </c>
      <c r="I85" s="12">
        <v>0.3</v>
      </c>
      <c r="J85" s="16">
        <v>0</v>
      </c>
      <c r="K85" s="16">
        <v>0</v>
      </c>
      <c r="L85" s="15">
        <v>0</v>
      </c>
      <c r="M85" s="15">
        <v>20</v>
      </c>
      <c r="N85" s="15">
        <v>90</v>
      </c>
      <c r="O85" s="17">
        <v>0</v>
      </c>
      <c r="P85" s="17">
        <v>0</v>
      </c>
      <c r="Q85" s="19">
        <v>0</v>
      </c>
      <c r="R85" s="19">
        <v>20</v>
      </c>
      <c r="S85" s="19">
        <v>0</v>
      </c>
      <c r="T85" s="19">
        <v>20</v>
      </c>
      <c r="U85" s="18">
        <v>0</v>
      </c>
      <c r="V85" s="18">
        <v>0</v>
      </c>
      <c r="W85" s="18">
        <v>0</v>
      </c>
      <c r="X85" s="18">
        <v>0</v>
      </c>
      <c r="Y85" s="18">
        <v>0</v>
      </c>
      <c r="Z85" s="18">
        <v>0</v>
      </c>
      <c r="AA85" s="18">
        <v>0</v>
      </c>
      <c r="AB85" s="16">
        <v>0</v>
      </c>
      <c r="AC85" s="16">
        <v>0</v>
      </c>
      <c r="AD85" s="16">
        <v>0</v>
      </c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  <c r="BM85" s="22"/>
      <c r="BN85" s="22"/>
      <c r="BO85" s="22"/>
      <c r="BP85" s="22"/>
      <c r="BQ85" s="22"/>
      <c r="BR85" s="22"/>
      <c r="BS85" s="22"/>
      <c r="BT85" s="22"/>
      <c r="BU85" s="22"/>
      <c r="BV85" s="22"/>
      <c r="BW85" s="22"/>
      <c r="BX85" s="22"/>
      <c r="BY85" s="22"/>
      <c r="BZ85" s="22"/>
      <c r="CA85" s="22"/>
      <c r="CB85" s="22"/>
      <c r="CC85" s="22"/>
      <c r="CD85" s="22"/>
      <c r="CE85" s="22"/>
      <c r="CF85" s="22"/>
      <c r="CG85" s="22"/>
      <c r="CH85" s="22"/>
      <c r="CI85" s="22"/>
      <c r="CJ85" s="22"/>
      <c r="CK85" s="22"/>
      <c r="CL85" s="22"/>
      <c r="CM85" s="22"/>
      <c r="CN85" s="22"/>
      <c r="CO85" s="22"/>
      <c r="CP85" s="22"/>
      <c r="CQ85" s="22"/>
      <c r="CR85" s="22"/>
      <c r="CS85" s="22"/>
      <c r="CT85" s="22"/>
      <c r="CU85" s="22"/>
      <c r="CV85" s="22"/>
      <c r="CW85" s="22"/>
      <c r="CX85" s="22"/>
      <c r="CY85" s="22"/>
      <c r="CZ85" s="22"/>
      <c r="DA85" s="22"/>
      <c r="DB85" s="22"/>
      <c r="DC85" s="22"/>
      <c r="DD85" s="22"/>
      <c r="DE85" s="22"/>
      <c r="DF85" s="22"/>
      <c r="DG85" s="22"/>
      <c r="DH85" s="22"/>
      <c r="DI85" s="22"/>
      <c r="DJ85" s="22"/>
      <c r="DK85" s="22"/>
      <c r="DL85" s="22"/>
      <c r="DM85" s="22"/>
      <c r="DN85" s="22"/>
      <c r="DO85" s="22"/>
      <c r="DP85" s="22"/>
      <c r="DQ85" s="22"/>
      <c r="DR85" s="22"/>
      <c r="DS85" s="22"/>
      <c r="DT85" s="22"/>
      <c r="DU85" s="22"/>
      <c r="DV85" s="22"/>
      <c r="DW85" s="22"/>
      <c r="DX85" s="22"/>
      <c r="DY85" s="22"/>
      <c r="DZ85" s="22"/>
      <c r="EA85" s="22"/>
      <c r="EB85" s="22"/>
      <c r="EC85" s="22"/>
      <c r="ED85" s="22"/>
      <c r="EE85" s="22"/>
      <c r="EF85" s="22"/>
      <c r="EG85" s="22"/>
      <c r="EH85" s="22"/>
      <c r="EI85" s="22"/>
      <c r="EJ85" s="22"/>
      <c r="EK85" s="22"/>
      <c r="EL85" s="22"/>
      <c r="EM85" s="22"/>
      <c r="EN85" s="22"/>
      <c r="EO85" s="22"/>
      <c r="EP85" s="22"/>
      <c r="EQ85" s="22"/>
      <c r="ER85" s="22"/>
      <c r="ES85" s="22"/>
      <c r="ET85" s="22"/>
      <c r="EU85" s="22"/>
      <c r="EV85" s="22"/>
      <c r="EW85" s="22"/>
      <c r="EX85" s="22"/>
      <c r="EY85" s="22"/>
      <c r="EZ85" s="22"/>
      <c r="FA85" s="22"/>
      <c r="FB85" s="22"/>
      <c r="FC85" s="22"/>
      <c r="FD85" s="22"/>
      <c r="FE85" s="22"/>
      <c r="FF85" s="22"/>
      <c r="FG85" s="22"/>
      <c r="FH85" s="22"/>
      <c r="FI85" s="22"/>
      <c r="FJ85" s="22"/>
      <c r="FK85" s="22"/>
      <c r="FL85" s="22"/>
      <c r="FM85" s="22"/>
      <c r="FN85" s="22"/>
      <c r="FO85" s="22"/>
      <c r="FP85" s="22"/>
      <c r="FQ85" s="22"/>
      <c r="FR85" s="22"/>
      <c r="FS85" s="22"/>
      <c r="FT85" s="22"/>
      <c r="FU85" s="22"/>
      <c r="FV85" s="22"/>
      <c r="FW85" s="22"/>
      <c r="FX85" s="22"/>
      <c r="FY85" s="22"/>
      <c r="FZ85" s="22"/>
      <c r="GA85" s="22"/>
      <c r="GB85" s="22"/>
      <c r="GC85" s="22"/>
      <c r="GD85" s="22"/>
      <c r="GE85" s="22"/>
      <c r="GF85" s="22"/>
      <c r="GG85" s="22"/>
      <c r="GH85" s="22"/>
      <c r="GI85" s="22"/>
      <c r="GJ85" s="22"/>
      <c r="GK85" s="22"/>
      <c r="GL85" s="22"/>
      <c r="GM85" s="22"/>
      <c r="GN85" s="22"/>
      <c r="GO85" s="22"/>
      <c r="GP85" s="22"/>
      <c r="GQ85" s="22"/>
    </row>
    <row r="86" spans="3:199" s="2" customFormat="1" ht="20.100000000000001" customHeight="1">
      <c r="C86" s="13">
        <v>40030315</v>
      </c>
      <c r="D86" s="15" t="s">
        <v>122</v>
      </c>
      <c r="E86" s="12">
        <v>0</v>
      </c>
      <c r="F86" s="12">
        <v>1204</v>
      </c>
      <c r="G86" s="12">
        <v>1</v>
      </c>
      <c r="H86" s="12">
        <v>20</v>
      </c>
      <c r="I86" s="12">
        <v>0.3</v>
      </c>
      <c r="J86" s="16">
        <v>0</v>
      </c>
      <c r="K86" s="16">
        <v>0</v>
      </c>
      <c r="L86" s="15">
        <v>0</v>
      </c>
      <c r="M86" s="15">
        <v>40</v>
      </c>
      <c r="N86" s="15">
        <v>80</v>
      </c>
      <c r="O86" s="17">
        <v>0</v>
      </c>
      <c r="P86" s="17">
        <v>0</v>
      </c>
      <c r="Q86" s="19">
        <v>10</v>
      </c>
      <c r="R86" s="19">
        <v>20</v>
      </c>
      <c r="S86" s="19">
        <v>10</v>
      </c>
      <c r="T86" s="19">
        <v>20</v>
      </c>
      <c r="U86" s="18">
        <v>0</v>
      </c>
      <c r="V86" s="18">
        <v>0</v>
      </c>
      <c r="W86" s="18">
        <v>0</v>
      </c>
      <c r="X86" s="18">
        <v>0</v>
      </c>
      <c r="Y86" s="18">
        <v>0</v>
      </c>
      <c r="Z86" s="18">
        <v>0</v>
      </c>
      <c r="AA86" s="18">
        <v>0</v>
      </c>
      <c r="AB86" s="16">
        <v>0</v>
      </c>
      <c r="AC86" s="16">
        <v>0</v>
      </c>
      <c r="AD86" s="16">
        <v>0</v>
      </c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2"/>
      <c r="BS86" s="22"/>
      <c r="BT86" s="22"/>
      <c r="BU86" s="22"/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  <c r="CH86" s="22"/>
      <c r="CI86" s="22"/>
      <c r="CJ86" s="22"/>
      <c r="CK86" s="22"/>
      <c r="CL86" s="22"/>
      <c r="CM86" s="22"/>
      <c r="CN86" s="22"/>
      <c r="CO86" s="22"/>
      <c r="CP86" s="22"/>
      <c r="CQ86" s="22"/>
      <c r="CR86" s="22"/>
      <c r="CS86" s="22"/>
      <c r="CT86" s="22"/>
      <c r="CU86" s="22"/>
      <c r="CV86" s="22"/>
      <c r="CW86" s="22"/>
      <c r="CX86" s="22"/>
      <c r="CY86" s="22"/>
      <c r="CZ86" s="22"/>
      <c r="DA86" s="22"/>
      <c r="DB86" s="22"/>
      <c r="DC86" s="22"/>
      <c r="DD86" s="22"/>
      <c r="DE86" s="22"/>
      <c r="DF86" s="22"/>
      <c r="DG86" s="22"/>
      <c r="DH86" s="22"/>
      <c r="DI86" s="22"/>
      <c r="DJ86" s="22"/>
      <c r="DK86" s="22"/>
      <c r="DL86" s="22"/>
      <c r="DM86" s="22"/>
      <c r="DN86" s="22"/>
      <c r="DO86" s="22"/>
      <c r="DP86" s="22"/>
      <c r="DQ86" s="22"/>
      <c r="DR86" s="22"/>
      <c r="DS86" s="22"/>
      <c r="DT86" s="22"/>
      <c r="DU86" s="22"/>
      <c r="DV86" s="22"/>
      <c r="DW86" s="22"/>
      <c r="DX86" s="22"/>
      <c r="DY86" s="22"/>
      <c r="DZ86" s="22"/>
      <c r="EA86" s="22"/>
      <c r="EB86" s="22"/>
      <c r="EC86" s="22"/>
      <c r="ED86" s="22"/>
      <c r="EE86" s="22"/>
      <c r="EF86" s="22"/>
      <c r="EG86" s="22"/>
      <c r="EH86" s="22"/>
      <c r="EI86" s="22"/>
      <c r="EJ86" s="22"/>
      <c r="EK86" s="22"/>
      <c r="EL86" s="22"/>
      <c r="EM86" s="22"/>
      <c r="EN86" s="22"/>
      <c r="EO86" s="22"/>
      <c r="EP86" s="22"/>
      <c r="EQ86" s="22"/>
      <c r="ER86" s="22"/>
      <c r="ES86" s="22"/>
      <c r="ET86" s="22"/>
      <c r="EU86" s="22"/>
      <c r="EV86" s="22"/>
      <c r="EW86" s="22"/>
      <c r="EX86" s="22"/>
      <c r="EY86" s="22"/>
      <c r="EZ86" s="22"/>
      <c r="FA86" s="22"/>
      <c r="FB86" s="22"/>
      <c r="FC86" s="22"/>
      <c r="FD86" s="22"/>
      <c r="FE86" s="22"/>
      <c r="FF86" s="22"/>
      <c r="FG86" s="22"/>
      <c r="FH86" s="22"/>
      <c r="FI86" s="22"/>
      <c r="FJ86" s="22"/>
      <c r="FK86" s="22"/>
      <c r="FL86" s="22"/>
      <c r="FM86" s="22"/>
      <c r="FN86" s="22"/>
      <c r="FO86" s="22"/>
      <c r="FP86" s="22"/>
      <c r="FQ86" s="22"/>
      <c r="FR86" s="22"/>
      <c r="FS86" s="22"/>
      <c r="FT86" s="22"/>
      <c r="FU86" s="22"/>
      <c r="FV86" s="22"/>
      <c r="FW86" s="22"/>
      <c r="FX86" s="22"/>
      <c r="FY86" s="22"/>
      <c r="FZ86" s="22"/>
      <c r="GA86" s="22"/>
      <c r="GB86" s="22"/>
      <c r="GC86" s="22"/>
      <c r="GD86" s="22"/>
      <c r="GE86" s="22"/>
      <c r="GF86" s="22"/>
      <c r="GG86" s="22"/>
      <c r="GH86" s="22"/>
      <c r="GI86" s="22"/>
      <c r="GJ86" s="22"/>
      <c r="GK86" s="22"/>
      <c r="GL86" s="22"/>
      <c r="GM86" s="22"/>
      <c r="GN86" s="22"/>
      <c r="GO86" s="22"/>
      <c r="GP86" s="22"/>
      <c r="GQ86" s="22"/>
    </row>
    <row r="87" spans="3:199" s="2" customFormat="1" ht="20.100000000000001" customHeight="1">
      <c r="C87" s="13">
        <v>40030316</v>
      </c>
      <c r="D87" s="15" t="s">
        <v>123</v>
      </c>
      <c r="E87" s="12">
        <v>0</v>
      </c>
      <c r="F87" s="12">
        <v>1204</v>
      </c>
      <c r="G87" s="12">
        <v>1</v>
      </c>
      <c r="H87" s="12">
        <v>20</v>
      </c>
      <c r="I87" s="12">
        <v>0.3</v>
      </c>
      <c r="J87" s="16">
        <v>0</v>
      </c>
      <c r="K87" s="16">
        <v>0</v>
      </c>
      <c r="L87" s="15">
        <v>1000</v>
      </c>
      <c r="M87" s="15">
        <v>0</v>
      </c>
      <c r="N87" s="15">
        <v>0</v>
      </c>
      <c r="O87" s="17">
        <v>0</v>
      </c>
      <c r="P87" s="17">
        <v>0</v>
      </c>
      <c r="Q87" s="19">
        <v>0</v>
      </c>
      <c r="R87" s="19">
        <v>0</v>
      </c>
      <c r="S87" s="19">
        <v>0</v>
      </c>
      <c r="T87" s="19">
        <v>0</v>
      </c>
      <c r="U87" s="18">
        <v>0</v>
      </c>
      <c r="V87" s="18">
        <v>0</v>
      </c>
      <c r="W87" s="18">
        <v>0</v>
      </c>
      <c r="X87" s="18">
        <v>0</v>
      </c>
      <c r="Y87" s="18">
        <v>0</v>
      </c>
      <c r="Z87" s="18">
        <v>0</v>
      </c>
      <c r="AA87" s="18">
        <v>0</v>
      </c>
      <c r="AB87" s="16">
        <v>0</v>
      </c>
      <c r="AC87" s="16">
        <v>0</v>
      </c>
      <c r="AD87" s="16">
        <v>0</v>
      </c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  <c r="BM87" s="22"/>
      <c r="BN87" s="22"/>
      <c r="BO87" s="22"/>
      <c r="BP87" s="22"/>
      <c r="BQ87" s="22"/>
      <c r="BR87" s="22"/>
      <c r="BS87" s="22"/>
      <c r="BT87" s="22"/>
      <c r="BU87" s="22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CH87" s="22"/>
      <c r="CI87" s="22"/>
      <c r="CJ87" s="22"/>
      <c r="CK87" s="22"/>
      <c r="CL87" s="22"/>
      <c r="CM87" s="22"/>
      <c r="CN87" s="22"/>
      <c r="CO87" s="22"/>
      <c r="CP87" s="22"/>
      <c r="CQ87" s="22"/>
      <c r="CR87" s="22"/>
      <c r="CS87" s="22"/>
      <c r="CT87" s="22"/>
      <c r="CU87" s="22"/>
      <c r="CV87" s="22"/>
      <c r="CW87" s="22"/>
      <c r="CX87" s="22"/>
      <c r="CY87" s="22"/>
      <c r="CZ87" s="22"/>
      <c r="DA87" s="22"/>
      <c r="DB87" s="22"/>
      <c r="DC87" s="22"/>
      <c r="DD87" s="22"/>
      <c r="DE87" s="22"/>
      <c r="DF87" s="22"/>
      <c r="DG87" s="22"/>
      <c r="DH87" s="22"/>
      <c r="DI87" s="22"/>
      <c r="DJ87" s="22"/>
      <c r="DK87" s="22"/>
      <c r="DL87" s="22"/>
      <c r="DM87" s="22"/>
      <c r="DN87" s="22"/>
      <c r="DO87" s="22"/>
      <c r="DP87" s="22"/>
      <c r="DQ87" s="22"/>
      <c r="DR87" s="22"/>
      <c r="DS87" s="22"/>
      <c r="DT87" s="22"/>
      <c r="DU87" s="22"/>
      <c r="DV87" s="22"/>
      <c r="DW87" s="22"/>
      <c r="DX87" s="22"/>
      <c r="DY87" s="22"/>
      <c r="DZ87" s="22"/>
      <c r="EA87" s="22"/>
      <c r="EB87" s="22"/>
      <c r="EC87" s="22"/>
      <c r="ED87" s="22"/>
      <c r="EE87" s="22"/>
      <c r="EF87" s="22"/>
      <c r="EG87" s="22"/>
      <c r="EH87" s="22"/>
      <c r="EI87" s="22"/>
      <c r="EJ87" s="22"/>
      <c r="EK87" s="22"/>
      <c r="EL87" s="22"/>
      <c r="EM87" s="22"/>
      <c r="EN87" s="22"/>
      <c r="EO87" s="22"/>
      <c r="EP87" s="22"/>
      <c r="EQ87" s="22"/>
      <c r="ER87" s="22"/>
      <c r="ES87" s="22"/>
      <c r="ET87" s="22"/>
      <c r="EU87" s="22"/>
      <c r="EV87" s="22"/>
      <c r="EW87" s="22"/>
      <c r="EX87" s="22"/>
      <c r="EY87" s="22"/>
      <c r="EZ87" s="22"/>
      <c r="FA87" s="22"/>
      <c r="FB87" s="22"/>
      <c r="FC87" s="22"/>
      <c r="FD87" s="22"/>
      <c r="FE87" s="22"/>
      <c r="FF87" s="22"/>
      <c r="FG87" s="22"/>
      <c r="FH87" s="22"/>
      <c r="FI87" s="22"/>
      <c r="FJ87" s="22"/>
      <c r="FK87" s="22"/>
      <c r="FL87" s="22"/>
      <c r="FM87" s="22"/>
      <c r="FN87" s="22"/>
      <c r="FO87" s="22"/>
      <c r="FP87" s="22"/>
      <c r="FQ87" s="22"/>
      <c r="FR87" s="22"/>
      <c r="FS87" s="22"/>
      <c r="FT87" s="22"/>
      <c r="FU87" s="22"/>
      <c r="FV87" s="22"/>
      <c r="FW87" s="22"/>
      <c r="FX87" s="22"/>
      <c r="FY87" s="22"/>
      <c r="FZ87" s="22"/>
      <c r="GA87" s="22"/>
      <c r="GB87" s="22"/>
      <c r="GC87" s="22"/>
      <c r="GD87" s="22"/>
      <c r="GE87" s="22"/>
      <c r="GF87" s="22"/>
      <c r="GG87" s="22"/>
      <c r="GH87" s="22"/>
      <c r="GI87" s="22"/>
      <c r="GJ87" s="22"/>
      <c r="GK87" s="22"/>
      <c r="GL87" s="22"/>
      <c r="GM87" s="22"/>
      <c r="GN87" s="22"/>
      <c r="GO87" s="22"/>
      <c r="GP87" s="22"/>
      <c r="GQ87" s="22"/>
    </row>
    <row r="88" spans="3:199" s="2" customFormat="1" ht="20.100000000000001" customHeight="1">
      <c r="C88" s="13">
        <v>40030317</v>
      </c>
      <c r="D88" s="15" t="s">
        <v>124</v>
      </c>
      <c r="E88" s="12">
        <v>0</v>
      </c>
      <c r="F88" s="12">
        <v>1202</v>
      </c>
      <c r="G88" s="12">
        <v>1</v>
      </c>
      <c r="H88" s="12">
        <v>20</v>
      </c>
      <c r="I88" s="12">
        <v>0.3</v>
      </c>
      <c r="J88" s="16">
        <v>0</v>
      </c>
      <c r="K88" s="16">
        <v>0</v>
      </c>
      <c r="L88" s="15">
        <v>0</v>
      </c>
      <c r="M88" s="15">
        <v>50</v>
      </c>
      <c r="N88" s="15">
        <v>350</v>
      </c>
      <c r="O88" s="17">
        <v>0</v>
      </c>
      <c r="P88" s="17">
        <v>0</v>
      </c>
      <c r="Q88" s="19">
        <v>0</v>
      </c>
      <c r="R88" s="19">
        <v>0</v>
      </c>
      <c r="S88" s="19">
        <v>0</v>
      </c>
      <c r="T88" s="19">
        <v>0</v>
      </c>
      <c r="U88" s="18">
        <v>0</v>
      </c>
      <c r="V88" s="18">
        <v>0</v>
      </c>
      <c r="W88" s="18">
        <v>0</v>
      </c>
      <c r="X88" s="18">
        <v>0</v>
      </c>
      <c r="Y88" s="18">
        <v>0</v>
      </c>
      <c r="Z88" s="18">
        <v>0</v>
      </c>
      <c r="AA88" s="18">
        <v>0</v>
      </c>
      <c r="AB88" s="16">
        <v>0</v>
      </c>
      <c r="AC88" s="16">
        <v>0</v>
      </c>
      <c r="AD88" s="16">
        <v>0</v>
      </c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2"/>
      <c r="BS88" s="22"/>
      <c r="BT88" s="22"/>
      <c r="BU88" s="22"/>
      <c r="BV88" s="22"/>
      <c r="BW88" s="22"/>
      <c r="BX88" s="22"/>
      <c r="BY88" s="22"/>
      <c r="BZ88" s="22"/>
      <c r="CA88" s="22"/>
      <c r="CB88" s="22"/>
      <c r="CC88" s="22"/>
      <c r="CD88" s="22"/>
      <c r="CE88" s="22"/>
      <c r="CF88" s="22"/>
      <c r="CG88" s="22"/>
      <c r="CH88" s="22"/>
      <c r="CI88" s="22"/>
      <c r="CJ88" s="22"/>
      <c r="CK88" s="22"/>
      <c r="CL88" s="22"/>
      <c r="CM88" s="22"/>
      <c r="CN88" s="22"/>
      <c r="CO88" s="22"/>
      <c r="CP88" s="22"/>
      <c r="CQ88" s="22"/>
      <c r="CR88" s="22"/>
      <c r="CS88" s="22"/>
      <c r="CT88" s="22"/>
      <c r="CU88" s="22"/>
      <c r="CV88" s="22"/>
      <c r="CW88" s="22"/>
      <c r="CX88" s="22"/>
      <c r="CY88" s="22"/>
      <c r="CZ88" s="22"/>
      <c r="DA88" s="22"/>
      <c r="DB88" s="22"/>
      <c r="DC88" s="22"/>
      <c r="DD88" s="22"/>
      <c r="DE88" s="22"/>
      <c r="DF88" s="22"/>
      <c r="DG88" s="22"/>
      <c r="DH88" s="22"/>
      <c r="DI88" s="22"/>
      <c r="DJ88" s="22"/>
      <c r="DK88" s="22"/>
      <c r="DL88" s="22"/>
      <c r="DM88" s="22"/>
      <c r="DN88" s="22"/>
      <c r="DO88" s="22"/>
      <c r="DP88" s="22"/>
      <c r="DQ88" s="22"/>
      <c r="DR88" s="22"/>
      <c r="DS88" s="22"/>
      <c r="DT88" s="22"/>
      <c r="DU88" s="22"/>
      <c r="DV88" s="22"/>
      <c r="DW88" s="22"/>
      <c r="DX88" s="22"/>
      <c r="DY88" s="22"/>
      <c r="DZ88" s="22"/>
      <c r="EA88" s="22"/>
      <c r="EB88" s="22"/>
      <c r="EC88" s="22"/>
      <c r="ED88" s="22"/>
      <c r="EE88" s="22"/>
      <c r="EF88" s="22"/>
      <c r="EG88" s="22"/>
      <c r="EH88" s="22"/>
      <c r="EI88" s="22"/>
      <c r="EJ88" s="22"/>
      <c r="EK88" s="22"/>
      <c r="EL88" s="22"/>
      <c r="EM88" s="22"/>
      <c r="EN88" s="22"/>
      <c r="EO88" s="22"/>
      <c r="EP88" s="22"/>
      <c r="EQ88" s="22"/>
      <c r="ER88" s="22"/>
      <c r="ES88" s="22"/>
      <c r="ET88" s="22"/>
      <c r="EU88" s="22"/>
      <c r="EV88" s="22"/>
      <c r="EW88" s="22"/>
      <c r="EX88" s="22"/>
      <c r="EY88" s="22"/>
      <c r="EZ88" s="22"/>
      <c r="FA88" s="22"/>
      <c r="FB88" s="22"/>
      <c r="FC88" s="22"/>
      <c r="FD88" s="22"/>
      <c r="FE88" s="22"/>
      <c r="FF88" s="22"/>
      <c r="FG88" s="22"/>
      <c r="FH88" s="22"/>
      <c r="FI88" s="22"/>
      <c r="FJ88" s="22"/>
      <c r="FK88" s="22"/>
      <c r="FL88" s="22"/>
      <c r="FM88" s="22"/>
      <c r="FN88" s="22"/>
      <c r="FO88" s="22"/>
      <c r="FP88" s="22"/>
      <c r="FQ88" s="22"/>
      <c r="FR88" s="22"/>
      <c r="FS88" s="22"/>
      <c r="FT88" s="22"/>
      <c r="FU88" s="22"/>
      <c r="FV88" s="22"/>
      <c r="FW88" s="22"/>
      <c r="FX88" s="22"/>
      <c r="FY88" s="22"/>
      <c r="FZ88" s="22"/>
      <c r="GA88" s="22"/>
      <c r="GB88" s="22"/>
      <c r="GC88" s="22"/>
      <c r="GD88" s="22"/>
      <c r="GE88" s="22"/>
      <c r="GF88" s="22"/>
      <c r="GG88" s="22"/>
      <c r="GH88" s="22"/>
      <c r="GI88" s="22"/>
      <c r="GJ88" s="22"/>
      <c r="GK88" s="22"/>
      <c r="GL88" s="22"/>
      <c r="GM88" s="22"/>
      <c r="GN88" s="22"/>
      <c r="GO88" s="22"/>
      <c r="GP88" s="22"/>
      <c r="GQ88" s="22"/>
    </row>
    <row r="89" spans="3:199" s="2" customFormat="1" ht="20.100000000000001" customHeight="1">
      <c r="C89" s="13">
        <v>40030318</v>
      </c>
      <c r="D89" s="15" t="s">
        <v>125</v>
      </c>
      <c r="E89" s="12">
        <v>0</v>
      </c>
      <c r="F89" s="12">
        <v>0</v>
      </c>
      <c r="G89" s="12">
        <v>1</v>
      </c>
      <c r="H89" s="12">
        <v>20</v>
      </c>
      <c r="I89" s="12">
        <v>0.3</v>
      </c>
      <c r="J89" s="16">
        <v>0</v>
      </c>
      <c r="K89" s="16">
        <v>0</v>
      </c>
      <c r="L89" s="15">
        <v>0</v>
      </c>
      <c r="M89" s="15">
        <v>100</v>
      </c>
      <c r="N89" s="15">
        <v>200</v>
      </c>
      <c r="O89" s="17">
        <v>0</v>
      </c>
      <c r="P89" s="17">
        <v>0</v>
      </c>
      <c r="Q89" s="19">
        <v>0</v>
      </c>
      <c r="R89" s="19">
        <v>0</v>
      </c>
      <c r="S89" s="19">
        <v>0</v>
      </c>
      <c r="T89" s="19">
        <v>0</v>
      </c>
      <c r="U89" s="18">
        <v>0</v>
      </c>
      <c r="V89" s="18">
        <v>0</v>
      </c>
      <c r="W89" s="18">
        <v>0</v>
      </c>
      <c r="X89" s="18">
        <v>0</v>
      </c>
      <c r="Y89" s="18">
        <v>0</v>
      </c>
      <c r="Z89" s="18">
        <v>0</v>
      </c>
      <c r="AA89" s="18">
        <v>0</v>
      </c>
      <c r="AB89" s="16">
        <v>0</v>
      </c>
      <c r="AC89" s="16">
        <v>0</v>
      </c>
      <c r="AD89" s="16">
        <v>0</v>
      </c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  <c r="BM89" s="22"/>
      <c r="BN89" s="22"/>
      <c r="BO89" s="22"/>
      <c r="BP89" s="22"/>
      <c r="BQ89" s="22"/>
      <c r="BR89" s="22"/>
      <c r="BS89" s="22"/>
      <c r="BT89" s="22"/>
      <c r="BU89" s="22"/>
      <c r="BV89" s="22"/>
      <c r="BW89" s="22"/>
      <c r="BX89" s="22"/>
      <c r="BY89" s="22"/>
      <c r="BZ89" s="22"/>
      <c r="CA89" s="22"/>
      <c r="CB89" s="22"/>
      <c r="CC89" s="22"/>
      <c r="CD89" s="22"/>
      <c r="CE89" s="22"/>
      <c r="CF89" s="22"/>
      <c r="CG89" s="22"/>
      <c r="CH89" s="22"/>
      <c r="CI89" s="22"/>
      <c r="CJ89" s="22"/>
      <c r="CK89" s="22"/>
      <c r="CL89" s="22"/>
      <c r="CM89" s="22"/>
      <c r="CN89" s="22"/>
      <c r="CO89" s="22"/>
      <c r="CP89" s="22"/>
      <c r="CQ89" s="22"/>
      <c r="CR89" s="22"/>
      <c r="CS89" s="22"/>
      <c r="CT89" s="22"/>
      <c r="CU89" s="22"/>
      <c r="CV89" s="22"/>
      <c r="CW89" s="22"/>
      <c r="CX89" s="22"/>
      <c r="CY89" s="22"/>
      <c r="CZ89" s="22"/>
      <c r="DA89" s="22"/>
      <c r="DB89" s="22"/>
      <c r="DC89" s="22"/>
      <c r="DD89" s="22"/>
      <c r="DE89" s="22"/>
      <c r="DF89" s="22"/>
      <c r="DG89" s="22"/>
      <c r="DH89" s="22"/>
      <c r="DI89" s="22"/>
      <c r="DJ89" s="22"/>
      <c r="DK89" s="22"/>
      <c r="DL89" s="22"/>
      <c r="DM89" s="22"/>
      <c r="DN89" s="22"/>
      <c r="DO89" s="22"/>
      <c r="DP89" s="22"/>
      <c r="DQ89" s="22"/>
      <c r="DR89" s="22"/>
      <c r="DS89" s="22"/>
      <c r="DT89" s="22"/>
      <c r="DU89" s="22"/>
      <c r="DV89" s="22"/>
      <c r="DW89" s="22"/>
      <c r="DX89" s="22"/>
      <c r="DY89" s="22"/>
      <c r="DZ89" s="22"/>
      <c r="EA89" s="22"/>
      <c r="EB89" s="22"/>
      <c r="EC89" s="22"/>
      <c r="ED89" s="22"/>
      <c r="EE89" s="22"/>
      <c r="EF89" s="22"/>
      <c r="EG89" s="22"/>
      <c r="EH89" s="22"/>
      <c r="EI89" s="22"/>
      <c r="EJ89" s="22"/>
      <c r="EK89" s="22"/>
      <c r="EL89" s="22"/>
      <c r="EM89" s="22"/>
      <c r="EN89" s="22"/>
      <c r="EO89" s="22"/>
      <c r="EP89" s="22"/>
      <c r="EQ89" s="22"/>
      <c r="ER89" s="22"/>
      <c r="ES89" s="22"/>
      <c r="ET89" s="22"/>
      <c r="EU89" s="22"/>
      <c r="EV89" s="22"/>
      <c r="EW89" s="22"/>
      <c r="EX89" s="22"/>
      <c r="EY89" s="22"/>
      <c r="EZ89" s="22"/>
      <c r="FA89" s="22"/>
      <c r="FB89" s="22"/>
      <c r="FC89" s="22"/>
      <c r="FD89" s="22"/>
      <c r="FE89" s="22"/>
      <c r="FF89" s="22"/>
      <c r="FG89" s="22"/>
      <c r="FH89" s="22"/>
      <c r="FI89" s="22"/>
      <c r="FJ89" s="22"/>
      <c r="FK89" s="22"/>
      <c r="FL89" s="22"/>
      <c r="FM89" s="22"/>
      <c r="FN89" s="22"/>
      <c r="FO89" s="22"/>
      <c r="FP89" s="22"/>
      <c r="FQ89" s="22"/>
      <c r="FR89" s="22"/>
      <c r="FS89" s="22"/>
      <c r="FT89" s="22"/>
      <c r="FU89" s="22"/>
      <c r="FV89" s="22"/>
      <c r="FW89" s="22"/>
      <c r="FX89" s="22"/>
      <c r="FY89" s="22"/>
      <c r="FZ89" s="22"/>
      <c r="GA89" s="22"/>
      <c r="GB89" s="22"/>
      <c r="GC89" s="22"/>
      <c r="GD89" s="22"/>
      <c r="GE89" s="22"/>
      <c r="GF89" s="22"/>
      <c r="GG89" s="22"/>
      <c r="GH89" s="22"/>
      <c r="GI89" s="22"/>
      <c r="GJ89" s="22"/>
      <c r="GK89" s="22"/>
      <c r="GL89" s="22"/>
      <c r="GM89" s="22"/>
      <c r="GN89" s="22"/>
      <c r="GO89" s="22"/>
      <c r="GP89" s="22"/>
      <c r="GQ89" s="22"/>
    </row>
    <row r="90" spans="3:199" s="2" customFormat="1" ht="20.100000000000001" customHeight="1">
      <c r="C90" s="13">
        <v>40030319</v>
      </c>
      <c r="D90" s="15" t="s">
        <v>126</v>
      </c>
      <c r="E90" s="12">
        <v>0</v>
      </c>
      <c r="F90" s="12">
        <v>0</v>
      </c>
      <c r="G90" s="12">
        <v>1</v>
      </c>
      <c r="H90" s="12">
        <v>20</v>
      </c>
      <c r="I90" s="12">
        <v>0.3</v>
      </c>
      <c r="J90" s="16">
        <v>0</v>
      </c>
      <c r="K90" s="16">
        <v>0</v>
      </c>
      <c r="L90" s="15">
        <v>0</v>
      </c>
      <c r="M90" s="15">
        <v>50</v>
      </c>
      <c r="N90" s="15">
        <v>270</v>
      </c>
      <c r="O90" s="17">
        <v>0</v>
      </c>
      <c r="P90" s="17">
        <v>0</v>
      </c>
      <c r="Q90" s="19">
        <v>0</v>
      </c>
      <c r="R90" s="19">
        <v>0</v>
      </c>
      <c r="S90" s="19">
        <v>0</v>
      </c>
      <c r="T90" s="19">
        <v>0</v>
      </c>
      <c r="U90" s="18">
        <v>0</v>
      </c>
      <c r="V90" s="18">
        <v>0</v>
      </c>
      <c r="W90" s="18">
        <v>0</v>
      </c>
      <c r="X90" s="18">
        <v>0</v>
      </c>
      <c r="Y90" s="18">
        <v>0</v>
      </c>
      <c r="Z90" s="18">
        <v>0</v>
      </c>
      <c r="AA90" s="18">
        <v>0</v>
      </c>
      <c r="AB90" s="16">
        <v>0</v>
      </c>
      <c r="AC90" s="16">
        <v>0</v>
      </c>
      <c r="AD90" s="16">
        <v>0</v>
      </c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  <c r="BM90" s="22"/>
      <c r="BN90" s="22"/>
      <c r="BO90" s="22"/>
      <c r="BP90" s="22"/>
      <c r="BQ90" s="22"/>
      <c r="BR90" s="22"/>
      <c r="BS90" s="22"/>
      <c r="BT90" s="22"/>
      <c r="BU90" s="22"/>
      <c r="BV90" s="22"/>
      <c r="BW90" s="22"/>
      <c r="BX90" s="22"/>
      <c r="BY90" s="22"/>
      <c r="BZ90" s="22"/>
      <c r="CA90" s="22"/>
      <c r="CB90" s="22"/>
      <c r="CC90" s="22"/>
      <c r="CD90" s="22"/>
      <c r="CE90" s="22"/>
      <c r="CF90" s="22"/>
      <c r="CG90" s="22"/>
      <c r="CH90" s="22"/>
      <c r="CI90" s="22"/>
      <c r="CJ90" s="22"/>
      <c r="CK90" s="22"/>
      <c r="CL90" s="22"/>
      <c r="CM90" s="22"/>
      <c r="CN90" s="22"/>
      <c r="CO90" s="22"/>
      <c r="CP90" s="22"/>
      <c r="CQ90" s="22"/>
      <c r="CR90" s="22"/>
      <c r="CS90" s="22"/>
      <c r="CT90" s="22"/>
      <c r="CU90" s="22"/>
      <c r="CV90" s="22"/>
      <c r="CW90" s="22"/>
      <c r="CX90" s="22"/>
      <c r="CY90" s="22"/>
      <c r="CZ90" s="22"/>
      <c r="DA90" s="22"/>
      <c r="DB90" s="22"/>
      <c r="DC90" s="22"/>
      <c r="DD90" s="22"/>
      <c r="DE90" s="22"/>
      <c r="DF90" s="22"/>
      <c r="DG90" s="22"/>
      <c r="DH90" s="22"/>
      <c r="DI90" s="22"/>
      <c r="DJ90" s="22"/>
      <c r="DK90" s="22"/>
      <c r="DL90" s="22"/>
      <c r="DM90" s="22"/>
      <c r="DN90" s="22"/>
      <c r="DO90" s="22"/>
      <c r="DP90" s="22"/>
      <c r="DQ90" s="22"/>
      <c r="DR90" s="22"/>
      <c r="DS90" s="22"/>
      <c r="DT90" s="22"/>
      <c r="DU90" s="22"/>
      <c r="DV90" s="22"/>
      <c r="DW90" s="22"/>
      <c r="DX90" s="22"/>
      <c r="DY90" s="22"/>
      <c r="DZ90" s="22"/>
      <c r="EA90" s="22"/>
      <c r="EB90" s="22"/>
      <c r="EC90" s="22"/>
      <c r="ED90" s="22"/>
      <c r="EE90" s="22"/>
      <c r="EF90" s="22"/>
      <c r="EG90" s="22"/>
      <c r="EH90" s="22"/>
      <c r="EI90" s="22"/>
      <c r="EJ90" s="22"/>
      <c r="EK90" s="22"/>
      <c r="EL90" s="22"/>
      <c r="EM90" s="22"/>
      <c r="EN90" s="22"/>
      <c r="EO90" s="22"/>
      <c r="EP90" s="22"/>
      <c r="EQ90" s="22"/>
      <c r="ER90" s="22"/>
      <c r="ES90" s="22"/>
      <c r="ET90" s="22"/>
      <c r="EU90" s="22"/>
      <c r="EV90" s="22"/>
      <c r="EW90" s="22"/>
      <c r="EX90" s="22"/>
      <c r="EY90" s="22"/>
      <c r="EZ90" s="22"/>
      <c r="FA90" s="22"/>
      <c r="FB90" s="22"/>
      <c r="FC90" s="22"/>
      <c r="FD90" s="22"/>
      <c r="FE90" s="22"/>
      <c r="FF90" s="22"/>
      <c r="FG90" s="22"/>
      <c r="FH90" s="22"/>
      <c r="FI90" s="22"/>
      <c r="FJ90" s="22"/>
      <c r="FK90" s="22"/>
      <c r="FL90" s="22"/>
      <c r="FM90" s="22"/>
      <c r="FN90" s="22"/>
      <c r="FO90" s="22"/>
      <c r="FP90" s="22"/>
      <c r="FQ90" s="22"/>
      <c r="FR90" s="22"/>
      <c r="FS90" s="22"/>
      <c r="FT90" s="22"/>
      <c r="FU90" s="22"/>
      <c r="FV90" s="22"/>
      <c r="FW90" s="22"/>
      <c r="FX90" s="22"/>
      <c r="FY90" s="22"/>
      <c r="FZ90" s="22"/>
      <c r="GA90" s="22"/>
      <c r="GB90" s="22"/>
      <c r="GC90" s="22"/>
      <c r="GD90" s="22"/>
      <c r="GE90" s="22"/>
      <c r="GF90" s="22"/>
      <c r="GG90" s="22"/>
      <c r="GH90" s="22"/>
      <c r="GI90" s="22"/>
      <c r="GJ90" s="22"/>
      <c r="GK90" s="22"/>
      <c r="GL90" s="22"/>
      <c r="GM90" s="22"/>
      <c r="GN90" s="22"/>
      <c r="GO90" s="22"/>
      <c r="GP90" s="22"/>
      <c r="GQ90" s="22"/>
    </row>
    <row r="91" spans="3:199" s="2" customFormat="1" ht="20.100000000000001" customHeight="1">
      <c r="C91" s="13">
        <v>40030320</v>
      </c>
      <c r="D91" s="15" t="s">
        <v>127</v>
      </c>
      <c r="E91" s="12">
        <v>0</v>
      </c>
      <c r="F91" s="12">
        <v>1202</v>
      </c>
      <c r="G91" s="12">
        <v>1</v>
      </c>
      <c r="H91" s="12">
        <v>20</v>
      </c>
      <c r="I91" s="12">
        <v>0.3</v>
      </c>
      <c r="J91" s="16">
        <v>0</v>
      </c>
      <c r="K91" s="16">
        <v>0</v>
      </c>
      <c r="L91" s="15">
        <v>400</v>
      </c>
      <c r="M91" s="15">
        <v>0</v>
      </c>
      <c r="N91" s="15">
        <v>0</v>
      </c>
      <c r="O91" s="17">
        <v>0</v>
      </c>
      <c r="P91" s="17">
        <v>0</v>
      </c>
      <c r="Q91" s="19">
        <v>20</v>
      </c>
      <c r="R91" s="19">
        <v>50</v>
      </c>
      <c r="S91" s="19">
        <v>20</v>
      </c>
      <c r="T91" s="19">
        <v>50</v>
      </c>
      <c r="U91" s="18">
        <v>0</v>
      </c>
      <c r="V91" s="18">
        <v>0</v>
      </c>
      <c r="W91" s="18">
        <v>0</v>
      </c>
      <c r="X91" s="18">
        <v>0</v>
      </c>
      <c r="Y91" s="18">
        <v>0</v>
      </c>
      <c r="Z91" s="18">
        <v>0</v>
      </c>
      <c r="AA91" s="18">
        <v>0</v>
      </c>
      <c r="AB91" s="16">
        <v>0</v>
      </c>
      <c r="AC91" s="16">
        <v>0</v>
      </c>
      <c r="AD91" s="16">
        <v>0</v>
      </c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  <c r="BM91" s="22"/>
      <c r="BN91" s="22"/>
      <c r="BO91" s="22"/>
      <c r="BP91" s="22"/>
      <c r="BQ91" s="22"/>
      <c r="BR91" s="22"/>
      <c r="BS91" s="22"/>
      <c r="BT91" s="22"/>
      <c r="BU91" s="22"/>
      <c r="BV91" s="22"/>
      <c r="BW91" s="22"/>
      <c r="BX91" s="22"/>
      <c r="BY91" s="22"/>
      <c r="BZ91" s="22"/>
      <c r="CA91" s="22"/>
      <c r="CB91" s="22"/>
      <c r="CC91" s="22"/>
      <c r="CD91" s="22"/>
      <c r="CE91" s="22"/>
      <c r="CF91" s="22"/>
      <c r="CG91" s="22"/>
      <c r="CH91" s="22"/>
      <c r="CI91" s="22"/>
      <c r="CJ91" s="22"/>
      <c r="CK91" s="22"/>
      <c r="CL91" s="22"/>
      <c r="CM91" s="22"/>
      <c r="CN91" s="22"/>
      <c r="CO91" s="22"/>
      <c r="CP91" s="22"/>
      <c r="CQ91" s="22"/>
      <c r="CR91" s="22"/>
      <c r="CS91" s="22"/>
      <c r="CT91" s="22"/>
      <c r="CU91" s="22"/>
      <c r="CV91" s="22"/>
      <c r="CW91" s="22"/>
      <c r="CX91" s="22"/>
      <c r="CY91" s="22"/>
      <c r="CZ91" s="22"/>
      <c r="DA91" s="22"/>
      <c r="DB91" s="22"/>
      <c r="DC91" s="22"/>
      <c r="DD91" s="22"/>
      <c r="DE91" s="22"/>
      <c r="DF91" s="22"/>
      <c r="DG91" s="22"/>
      <c r="DH91" s="22"/>
      <c r="DI91" s="22"/>
      <c r="DJ91" s="22"/>
      <c r="DK91" s="22"/>
      <c r="DL91" s="22"/>
      <c r="DM91" s="22"/>
      <c r="DN91" s="22"/>
      <c r="DO91" s="22"/>
      <c r="DP91" s="22"/>
      <c r="DQ91" s="22"/>
      <c r="DR91" s="22"/>
      <c r="DS91" s="22"/>
      <c r="DT91" s="22"/>
      <c r="DU91" s="22"/>
      <c r="DV91" s="22"/>
      <c r="DW91" s="22"/>
      <c r="DX91" s="22"/>
      <c r="DY91" s="22"/>
      <c r="DZ91" s="22"/>
      <c r="EA91" s="22"/>
      <c r="EB91" s="22"/>
      <c r="EC91" s="22"/>
      <c r="ED91" s="22"/>
      <c r="EE91" s="22"/>
      <c r="EF91" s="22"/>
      <c r="EG91" s="22"/>
      <c r="EH91" s="22"/>
      <c r="EI91" s="22"/>
      <c r="EJ91" s="22"/>
      <c r="EK91" s="22"/>
      <c r="EL91" s="22"/>
      <c r="EM91" s="22"/>
      <c r="EN91" s="22"/>
      <c r="EO91" s="22"/>
      <c r="EP91" s="22"/>
      <c r="EQ91" s="22"/>
      <c r="ER91" s="22"/>
      <c r="ES91" s="22"/>
      <c r="ET91" s="22"/>
      <c r="EU91" s="22"/>
      <c r="EV91" s="22"/>
      <c r="EW91" s="22"/>
      <c r="EX91" s="22"/>
      <c r="EY91" s="22"/>
      <c r="EZ91" s="22"/>
      <c r="FA91" s="22"/>
      <c r="FB91" s="22"/>
      <c r="FC91" s="22"/>
      <c r="FD91" s="22"/>
      <c r="FE91" s="22"/>
      <c r="FF91" s="22"/>
      <c r="FG91" s="22"/>
      <c r="FH91" s="22"/>
      <c r="FI91" s="22"/>
      <c r="FJ91" s="22"/>
      <c r="FK91" s="22"/>
      <c r="FL91" s="22"/>
      <c r="FM91" s="22"/>
      <c r="FN91" s="22"/>
      <c r="FO91" s="22"/>
      <c r="FP91" s="22"/>
      <c r="FQ91" s="22"/>
      <c r="FR91" s="22"/>
      <c r="FS91" s="22"/>
      <c r="FT91" s="22"/>
      <c r="FU91" s="22"/>
      <c r="FV91" s="22"/>
      <c r="FW91" s="22"/>
      <c r="FX91" s="22"/>
      <c r="FY91" s="22"/>
      <c r="FZ91" s="22"/>
      <c r="GA91" s="22"/>
      <c r="GB91" s="22"/>
      <c r="GC91" s="22"/>
      <c r="GD91" s="22"/>
      <c r="GE91" s="22"/>
      <c r="GF91" s="22"/>
      <c r="GG91" s="22"/>
      <c r="GH91" s="22"/>
      <c r="GI91" s="22"/>
      <c r="GJ91" s="22"/>
      <c r="GK91" s="22"/>
      <c r="GL91" s="22"/>
      <c r="GM91" s="22"/>
      <c r="GN91" s="22"/>
      <c r="GO91" s="22"/>
      <c r="GP91" s="22"/>
      <c r="GQ91" s="22"/>
    </row>
    <row r="92" spans="3:199" s="2" customFormat="1" ht="20.100000000000001" customHeight="1">
      <c r="C92" s="13">
        <v>40030321</v>
      </c>
      <c r="D92" s="18" t="s">
        <v>128</v>
      </c>
      <c r="E92" s="12">
        <v>0</v>
      </c>
      <c r="F92" s="12">
        <v>0</v>
      </c>
      <c r="G92" s="12">
        <v>1</v>
      </c>
      <c r="H92" s="12">
        <v>20</v>
      </c>
      <c r="I92" s="12">
        <v>0.3</v>
      </c>
      <c r="J92" s="16">
        <v>0</v>
      </c>
      <c r="K92" s="16">
        <v>0</v>
      </c>
      <c r="L92" s="18">
        <v>300</v>
      </c>
      <c r="M92" s="18">
        <v>0</v>
      </c>
      <c r="N92" s="18">
        <v>0</v>
      </c>
      <c r="O92" s="17">
        <v>0</v>
      </c>
      <c r="P92" s="17">
        <v>0</v>
      </c>
      <c r="Q92" s="12">
        <v>20</v>
      </c>
      <c r="R92" s="12">
        <v>40</v>
      </c>
      <c r="S92" s="12">
        <v>20</v>
      </c>
      <c r="T92" s="12">
        <v>40</v>
      </c>
      <c r="U92" s="18">
        <v>0</v>
      </c>
      <c r="V92" s="18">
        <v>0</v>
      </c>
      <c r="W92" s="18">
        <v>0</v>
      </c>
      <c r="X92" s="18">
        <v>0</v>
      </c>
      <c r="Y92" s="18">
        <v>0</v>
      </c>
      <c r="Z92" s="18">
        <v>0</v>
      </c>
      <c r="AA92" s="18">
        <v>0</v>
      </c>
      <c r="AB92" s="16">
        <v>0</v>
      </c>
      <c r="AC92" s="16">
        <v>0</v>
      </c>
      <c r="AD92" s="16">
        <v>0</v>
      </c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  <c r="BM92" s="22"/>
      <c r="BN92" s="22"/>
      <c r="BO92" s="22"/>
      <c r="BP92" s="22"/>
      <c r="BQ92" s="22"/>
      <c r="BR92" s="22"/>
      <c r="BS92" s="22"/>
      <c r="BT92" s="22"/>
      <c r="BU92" s="22"/>
      <c r="BV92" s="22"/>
      <c r="BW92" s="22"/>
      <c r="BX92" s="22"/>
      <c r="BY92" s="22"/>
      <c r="BZ92" s="22"/>
      <c r="CA92" s="22"/>
      <c r="CB92" s="22"/>
      <c r="CC92" s="22"/>
      <c r="CD92" s="22"/>
      <c r="CE92" s="22"/>
      <c r="CF92" s="22"/>
      <c r="CG92" s="22"/>
      <c r="CH92" s="22"/>
      <c r="CI92" s="22"/>
      <c r="CJ92" s="22"/>
      <c r="CK92" s="22"/>
      <c r="CL92" s="22"/>
      <c r="CM92" s="22"/>
      <c r="CN92" s="22"/>
      <c r="CO92" s="22"/>
      <c r="CP92" s="22"/>
      <c r="CQ92" s="22"/>
      <c r="CR92" s="22"/>
      <c r="CS92" s="22"/>
      <c r="CT92" s="22"/>
      <c r="CU92" s="22"/>
      <c r="CV92" s="22"/>
      <c r="CW92" s="22"/>
      <c r="CX92" s="22"/>
      <c r="CY92" s="22"/>
      <c r="CZ92" s="22"/>
      <c r="DA92" s="22"/>
      <c r="DB92" s="22"/>
      <c r="DC92" s="22"/>
      <c r="DD92" s="22"/>
      <c r="DE92" s="22"/>
      <c r="DF92" s="22"/>
      <c r="DG92" s="22"/>
      <c r="DH92" s="22"/>
      <c r="DI92" s="22"/>
      <c r="DJ92" s="22"/>
      <c r="DK92" s="22"/>
      <c r="DL92" s="22"/>
      <c r="DM92" s="22"/>
      <c r="DN92" s="22"/>
      <c r="DO92" s="22"/>
      <c r="DP92" s="22"/>
      <c r="DQ92" s="22"/>
      <c r="DR92" s="22"/>
      <c r="DS92" s="22"/>
      <c r="DT92" s="22"/>
      <c r="DU92" s="22"/>
      <c r="DV92" s="22"/>
      <c r="DW92" s="22"/>
      <c r="DX92" s="22"/>
      <c r="DY92" s="22"/>
      <c r="DZ92" s="22"/>
      <c r="EA92" s="22"/>
      <c r="EB92" s="22"/>
      <c r="EC92" s="22"/>
      <c r="ED92" s="22"/>
      <c r="EE92" s="22"/>
      <c r="EF92" s="22"/>
      <c r="EG92" s="22"/>
      <c r="EH92" s="22"/>
      <c r="EI92" s="22"/>
      <c r="EJ92" s="22"/>
      <c r="EK92" s="22"/>
      <c r="EL92" s="22"/>
      <c r="EM92" s="22"/>
      <c r="EN92" s="22"/>
      <c r="EO92" s="22"/>
      <c r="EP92" s="22"/>
      <c r="EQ92" s="22"/>
      <c r="ER92" s="22"/>
      <c r="ES92" s="22"/>
      <c r="ET92" s="22"/>
      <c r="EU92" s="22"/>
      <c r="EV92" s="22"/>
      <c r="EW92" s="22"/>
      <c r="EX92" s="22"/>
      <c r="EY92" s="22"/>
      <c r="EZ92" s="22"/>
      <c r="FA92" s="22"/>
      <c r="FB92" s="22"/>
      <c r="FC92" s="22"/>
      <c r="FD92" s="22"/>
      <c r="FE92" s="22"/>
      <c r="FF92" s="22"/>
      <c r="FG92" s="22"/>
      <c r="FH92" s="22"/>
      <c r="FI92" s="22"/>
      <c r="FJ92" s="22"/>
      <c r="FK92" s="22"/>
      <c r="FL92" s="22"/>
      <c r="FM92" s="22"/>
      <c r="FN92" s="22"/>
      <c r="FO92" s="22"/>
      <c r="FP92" s="22"/>
      <c r="FQ92" s="22"/>
      <c r="FR92" s="22"/>
      <c r="FS92" s="22"/>
      <c r="FT92" s="22"/>
      <c r="FU92" s="22"/>
      <c r="FV92" s="22"/>
      <c r="FW92" s="22"/>
      <c r="FX92" s="22"/>
      <c r="FY92" s="22"/>
      <c r="FZ92" s="22"/>
      <c r="GA92" s="22"/>
      <c r="GB92" s="22"/>
      <c r="GC92" s="22"/>
      <c r="GD92" s="22"/>
      <c r="GE92" s="22"/>
      <c r="GF92" s="22"/>
      <c r="GG92" s="22"/>
      <c r="GH92" s="22"/>
      <c r="GI92" s="22"/>
      <c r="GJ92" s="22"/>
      <c r="GK92" s="22"/>
      <c r="GL92" s="22"/>
      <c r="GM92" s="22"/>
      <c r="GN92" s="22"/>
      <c r="GO92" s="22"/>
      <c r="GP92" s="22"/>
      <c r="GQ92" s="22"/>
    </row>
    <row r="93" spans="3:199" s="2" customFormat="1" ht="20.100000000000001" customHeight="1">
      <c r="C93" s="10">
        <v>40030322</v>
      </c>
      <c r="D93" s="10" t="s">
        <v>129</v>
      </c>
      <c r="E93" s="12">
        <v>0</v>
      </c>
      <c r="F93" s="15">
        <v>0</v>
      </c>
      <c r="G93" s="12">
        <v>1</v>
      </c>
      <c r="H93" s="12">
        <v>20</v>
      </c>
      <c r="I93" s="12">
        <v>0.3</v>
      </c>
      <c r="J93" s="16">
        <v>0</v>
      </c>
      <c r="K93" s="16">
        <v>0</v>
      </c>
      <c r="L93" s="19">
        <v>0</v>
      </c>
      <c r="M93" s="19">
        <v>20</v>
      </c>
      <c r="N93" s="19">
        <v>90</v>
      </c>
      <c r="O93" s="17">
        <v>0</v>
      </c>
      <c r="P93" s="17">
        <v>0</v>
      </c>
      <c r="Q93" s="19">
        <v>0</v>
      </c>
      <c r="R93" s="19">
        <v>20</v>
      </c>
      <c r="S93" s="19">
        <v>0</v>
      </c>
      <c r="T93" s="19">
        <v>10</v>
      </c>
      <c r="U93" s="18">
        <v>0</v>
      </c>
      <c r="V93" s="18">
        <v>0</v>
      </c>
      <c r="W93" s="18">
        <v>0</v>
      </c>
      <c r="X93" s="18">
        <v>0</v>
      </c>
      <c r="Y93" s="18">
        <v>0</v>
      </c>
      <c r="Z93" s="18">
        <v>0</v>
      </c>
      <c r="AA93" s="18">
        <v>0</v>
      </c>
      <c r="AB93" s="16">
        <v>0</v>
      </c>
      <c r="AC93" s="16">
        <v>0</v>
      </c>
      <c r="AD93" s="16">
        <v>0</v>
      </c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  <c r="BM93" s="22"/>
      <c r="BN93" s="22"/>
      <c r="BO93" s="22"/>
      <c r="BP93" s="22"/>
      <c r="BQ93" s="22"/>
      <c r="BR93" s="22"/>
      <c r="BS93" s="22"/>
      <c r="BT93" s="22"/>
      <c r="BU93" s="22"/>
      <c r="BV93" s="22"/>
      <c r="BW93" s="22"/>
      <c r="BX93" s="22"/>
      <c r="BY93" s="22"/>
      <c r="BZ93" s="22"/>
      <c r="CA93" s="22"/>
      <c r="CB93" s="22"/>
      <c r="CC93" s="22"/>
      <c r="CD93" s="22"/>
      <c r="CE93" s="22"/>
      <c r="CF93" s="22"/>
      <c r="CG93" s="22"/>
      <c r="CH93" s="22"/>
      <c r="CI93" s="22"/>
      <c r="CJ93" s="22"/>
      <c r="CK93" s="22"/>
      <c r="CL93" s="22"/>
      <c r="CM93" s="22"/>
      <c r="CN93" s="22"/>
      <c r="CO93" s="22"/>
      <c r="CP93" s="22"/>
      <c r="CQ93" s="22"/>
      <c r="CR93" s="22"/>
      <c r="CS93" s="22"/>
      <c r="CT93" s="22"/>
      <c r="CU93" s="22"/>
      <c r="CV93" s="22"/>
      <c r="CW93" s="22"/>
      <c r="CX93" s="22"/>
      <c r="CY93" s="22"/>
      <c r="CZ93" s="22"/>
      <c r="DA93" s="22"/>
      <c r="DB93" s="22"/>
      <c r="DC93" s="22"/>
      <c r="DD93" s="22"/>
      <c r="DE93" s="22"/>
      <c r="DF93" s="22"/>
      <c r="DG93" s="22"/>
      <c r="DH93" s="22"/>
      <c r="DI93" s="22"/>
      <c r="DJ93" s="22"/>
      <c r="DK93" s="22"/>
      <c r="DL93" s="22"/>
      <c r="DM93" s="22"/>
      <c r="DN93" s="22"/>
      <c r="DO93" s="22"/>
      <c r="DP93" s="22"/>
      <c r="DQ93" s="22"/>
      <c r="DR93" s="22"/>
      <c r="DS93" s="22"/>
      <c r="DT93" s="22"/>
      <c r="DU93" s="22"/>
      <c r="DV93" s="22"/>
      <c r="DW93" s="22"/>
      <c r="DX93" s="22"/>
      <c r="DY93" s="22"/>
      <c r="DZ93" s="22"/>
      <c r="EA93" s="22"/>
      <c r="EB93" s="22"/>
      <c r="EC93" s="22"/>
      <c r="ED93" s="22"/>
      <c r="EE93" s="22"/>
      <c r="EF93" s="22"/>
      <c r="EG93" s="22"/>
      <c r="EH93" s="22"/>
      <c r="EI93" s="22"/>
      <c r="EJ93" s="22"/>
      <c r="EK93" s="22"/>
      <c r="EL93" s="22"/>
      <c r="EM93" s="22"/>
      <c r="EN93" s="22"/>
      <c r="EO93" s="22"/>
      <c r="EP93" s="22"/>
      <c r="EQ93" s="22"/>
      <c r="ER93" s="22"/>
      <c r="ES93" s="22"/>
      <c r="ET93" s="22"/>
      <c r="EU93" s="22"/>
      <c r="EV93" s="22"/>
      <c r="EW93" s="22"/>
      <c r="EX93" s="22"/>
      <c r="EY93" s="22"/>
      <c r="EZ93" s="22"/>
      <c r="FA93" s="22"/>
      <c r="FB93" s="22"/>
      <c r="FC93" s="22"/>
      <c r="FD93" s="22"/>
      <c r="FE93" s="22"/>
      <c r="FF93" s="22"/>
      <c r="FG93" s="22"/>
      <c r="FH93" s="22"/>
      <c r="FI93" s="22"/>
      <c r="FJ93" s="22"/>
      <c r="FK93" s="22"/>
      <c r="FL93" s="22"/>
      <c r="FM93" s="22"/>
      <c r="FN93" s="22"/>
      <c r="FO93" s="22"/>
      <c r="FP93" s="22"/>
      <c r="FQ93" s="22"/>
      <c r="FR93" s="22"/>
      <c r="FS93" s="22"/>
      <c r="FT93" s="22"/>
      <c r="FU93" s="22"/>
      <c r="FV93" s="22"/>
      <c r="FW93" s="22"/>
      <c r="FX93" s="22"/>
      <c r="FY93" s="22"/>
      <c r="FZ93" s="22"/>
      <c r="GA93" s="22"/>
      <c r="GB93" s="22"/>
      <c r="GC93" s="22"/>
      <c r="GD93" s="22"/>
      <c r="GE93" s="22"/>
      <c r="GF93" s="22"/>
      <c r="GG93" s="22"/>
      <c r="GH93" s="22"/>
      <c r="GI93" s="22"/>
      <c r="GJ93" s="22"/>
      <c r="GK93" s="22"/>
      <c r="GL93" s="22"/>
      <c r="GM93" s="22"/>
      <c r="GN93" s="22"/>
      <c r="GO93" s="22"/>
      <c r="GP93" s="22"/>
      <c r="GQ93" s="22"/>
    </row>
    <row r="94" spans="3:199" s="2" customFormat="1" ht="20.100000000000001" customHeight="1">
      <c r="C94" s="10">
        <v>40030323</v>
      </c>
      <c r="D94" s="10" t="s">
        <v>130</v>
      </c>
      <c r="E94" s="12">
        <v>0</v>
      </c>
      <c r="F94" s="15">
        <v>0</v>
      </c>
      <c r="G94" s="12">
        <v>1</v>
      </c>
      <c r="H94" s="12">
        <v>20</v>
      </c>
      <c r="I94" s="12">
        <v>0.3</v>
      </c>
      <c r="J94" s="16">
        <v>0</v>
      </c>
      <c r="K94" s="16">
        <v>0</v>
      </c>
      <c r="L94" s="19">
        <v>0</v>
      </c>
      <c r="M94" s="19">
        <v>20</v>
      </c>
      <c r="N94" s="19">
        <v>100</v>
      </c>
      <c r="O94" s="17">
        <v>0</v>
      </c>
      <c r="P94" s="17">
        <v>0</v>
      </c>
      <c r="Q94" s="19">
        <v>10</v>
      </c>
      <c r="R94" s="19">
        <v>10</v>
      </c>
      <c r="S94" s="19">
        <v>0</v>
      </c>
      <c r="T94" s="19">
        <v>0</v>
      </c>
      <c r="U94" s="18">
        <v>0</v>
      </c>
      <c r="V94" s="18">
        <v>0</v>
      </c>
      <c r="W94" s="18">
        <v>0</v>
      </c>
      <c r="X94" s="18">
        <v>0</v>
      </c>
      <c r="Y94" s="18">
        <v>0</v>
      </c>
      <c r="Z94" s="18">
        <v>0</v>
      </c>
      <c r="AA94" s="18">
        <v>0</v>
      </c>
      <c r="AB94" s="16">
        <v>0</v>
      </c>
      <c r="AC94" s="16">
        <v>0</v>
      </c>
      <c r="AD94" s="16">
        <v>0</v>
      </c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  <c r="BM94" s="22"/>
      <c r="BN94" s="22"/>
      <c r="BO94" s="22"/>
      <c r="BP94" s="22"/>
      <c r="BQ94" s="22"/>
      <c r="BR94" s="22"/>
      <c r="BS94" s="22"/>
      <c r="BT94" s="22"/>
      <c r="BU94" s="22"/>
      <c r="BV94" s="22"/>
      <c r="BW94" s="22"/>
      <c r="BX94" s="22"/>
      <c r="BY94" s="22"/>
      <c r="BZ94" s="22"/>
      <c r="CA94" s="22"/>
      <c r="CB94" s="22"/>
      <c r="CC94" s="22"/>
      <c r="CD94" s="22"/>
      <c r="CE94" s="22"/>
      <c r="CF94" s="22"/>
      <c r="CG94" s="22"/>
      <c r="CH94" s="22"/>
      <c r="CI94" s="22"/>
      <c r="CJ94" s="22"/>
      <c r="CK94" s="22"/>
      <c r="CL94" s="22"/>
      <c r="CM94" s="22"/>
      <c r="CN94" s="22"/>
      <c r="CO94" s="22"/>
      <c r="CP94" s="22"/>
      <c r="CQ94" s="22"/>
      <c r="CR94" s="22"/>
      <c r="CS94" s="22"/>
      <c r="CT94" s="22"/>
      <c r="CU94" s="22"/>
      <c r="CV94" s="22"/>
      <c r="CW94" s="22"/>
      <c r="CX94" s="22"/>
      <c r="CY94" s="22"/>
      <c r="CZ94" s="22"/>
      <c r="DA94" s="22"/>
      <c r="DB94" s="22"/>
      <c r="DC94" s="22"/>
      <c r="DD94" s="22"/>
      <c r="DE94" s="22"/>
      <c r="DF94" s="22"/>
      <c r="DG94" s="22"/>
      <c r="DH94" s="22"/>
      <c r="DI94" s="22"/>
      <c r="DJ94" s="22"/>
      <c r="DK94" s="22"/>
      <c r="DL94" s="22"/>
      <c r="DM94" s="22"/>
      <c r="DN94" s="22"/>
      <c r="DO94" s="22"/>
      <c r="DP94" s="22"/>
      <c r="DQ94" s="22"/>
      <c r="DR94" s="22"/>
      <c r="DS94" s="22"/>
      <c r="DT94" s="22"/>
      <c r="DU94" s="22"/>
      <c r="DV94" s="22"/>
      <c r="DW94" s="22"/>
      <c r="DX94" s="22"/>
      <c r="DY94" s="22"/>
      <c r="DZ94" s="22"/>
      <c r="EA94" s="22"/>
      <c r="EB94" s="22"/>
      <c r="EC94" s="22"/>
      <c r="ED94" s="22"/>
      <c r="EE94" s="22"/>
      <c r="EF94" s="22"/>
      <c r="EG94" s="22"/>
      <c r="EH94" s="22"/>
      <c r="EI94" s="22"/>
      <c r="EJ94" s="22"/>
      <c r="EK94" s="22"/>
      <c r="EL94" s="22"/>
      <c r="EM94" s="22"/>
      <c r="EN94" s="22"/>
      <c r="EO94" s="22"/>
      <c r="EP94" s="22"/>
      <c r="EQ94" s="22"/>
      <c r="ER94" s="22"/>
      <c r="ES94" s="22"/>
      <c r="ET94" s="22"/>
      <c r="EU94" s="22"/>
      <c r="EV94" s="22"/>
      <c r="EW94" s="22"/>
      <c r="EX94" s="22"/>
      <c r="EY94" s="22"/>
      <c r="EZ94" s="22"/>
      <c r="FA94" s="22"/>
      <c r="FB94" s="22"/>
      <c r="FC94" s="22"/>
      <c r="FD94" s="22"/>
      <c r="FE94" s="22"/>
      <c r="FF94" s="22"/>
      <c r="FG94" s="22"/>
      <c r="FH94" s="22"/>
      <c r="FI94" s="22"/>
      <c r="FJ94" s="22"/>
      <c r="FK94" s="22"/>
      <c r="FL94" s="22"/>
      <c r="FM94" s="22"/>
      <c r="FN94" s="22"/>
      <c r="FO94" s="22"/>
      <c r="FP94" s="22"/>
      <c r="FQ94" s="22"/>
      <c r="FR94" s="22"/>
      <c r="FS94" s="22"/>
      <c r="FT94" s="22"/>
      <c r="FU94" s="22"/>
      <c r="FV94" s="22"/>
      <c r="FW94" s="22"/>
      <c r="FX94" s="22"/>
      <c r="FY94" s="22"/>
      <c r="FZ94" s="22"/>
      <c r="GA94" s="22"/>
      <c r="GB94" s="22"/>
      <c r="GC94" s="22"/>
      <c r="GD94" s="22"/>
      <c r="GE94" s="22"/>
      <c r="GF94" s="22"/>
      <c r="GG94" s="22"/>
      <c r="GH94" s="22"/>
      <c r="GI94" s="22"/>
      <c r="GJ94" s="22"/>
      <c r="GK94" s="22"/>
      <c r="GL94" s="22"/>
      <c r="GM94" s="22"/>
      <c r="GN94" s="22"/>
      <c r="GO94" s="22"/>
      <c r="GP94" s="22"/>
      <c r="GQ94" s="22"/>
    </row>
    <row r="95" spans="3:199" s="2" customFormat="1" ht="20.100000000000001" customHeight="1">
      <c r="C95" s="10">
        <v>40030324</v>
      </c>
      <c r="D95" s="10" t="s">
        <v>131</v>
      </c>
      <c r="E95" s="12">
        <v>0</v>
      </c>
      <c r="F95" s="15">
        <v>0</v>
      </c>
      <c r="G95" s="12">
        <v>1</v>
      </c>
      <c r="H95" s="12">
        <v>20</v>
      </c>
      <c r="I95" s="12">
        <v>0.3</v>
      </c>
      <c r="J95" s="16">
        <v>0</v>
      </c>
      <c r="K95" s="16">
        <v>0</v>
      </c>
      <c r="L95" s="19">
        <v>0</v>
      </c>
      <c r="M95" s="19">
        <v>20</v>
      </c>
      <c r="N95" s="19">
        <v>30</v>
      </c>
      <c r="O95" s="17">
        <v>0</v>
      </c>
      <c r="P95" s="17">
        <v>0</v>
      </c>
      <c r="Q95" s="19">
        <v>0</v>
      </c>
      <c r="R95" s="19">
        <v>20</v>
      </c>
      <c r="S95" s="19">
        <v>0</v>
      </c>
      <c r="T95" s="19">
        <v>0</v>
      </c>
      <c r="U95" s="18">
        <v>0</v>
      </c>
      <c r="V95" s="18">
        <v>0</v>
      </c>
      <c r="W95" s="18">
        <v>0</v>
      </c>
      <c r="X95" s="18">
        <v>0</v>
      </c>
      <c r="Y95" s="18">
        <v>0</v>
      </c>
      <c r="Z95" s="18">
        <v>0</v>
      </c>
      <c r="AA95" s="18">
        <v>0</v>
      </c>
      <c r="AB95" s="16">
        <v>0</v>
      </c>
      <c r="AC95" s="16">
        <v>0</v>
      </c>
      <c r="AD95" s="16">
        <v>0</v>
      </c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  <c r="BM95" s="22"/>
      <c r="BN95" s="22"/>
      <c r="BO95" s="22"/>
      <c r="BP95" s="22"/>
      <c r="BQ95" s="22"/>
      <c r="BR95" s="22"/>
      <c r="BS95" s="22"/>
      <c r="BT95" s="22"/>
      <c r="BU95" s="22"/>
      <c r="BV95" s="22"/>
      <c r="BW95" s="22"/>
      <c r="BX95" s="22"/>
      <c r="BY95" s="22"/>
      <c r="BZ95" s="22"/>
      <c r="CA95" s="22"/>
      <c r="CB95" s="22"/>
      <c r="CC95" s="22"/>
      <c r="CD95" s="22"/>
      <c r="CE95" s="22"/>
      <c r="CF95" s="22"/>
      <c r="CG95" s="22"/>
      <c r="CH95" s="22"/>
      <c r="CI95" s="22"/>
      <c r="CJ95" s="22"/>
      <c r="CK95" s="22"/>
      <c r="CL95" s="22"/>
      <c r="CM95" s="22"/>
      <c r="CN95" s="22"/>
      <c r="CO95" s="22"/>
      <c r="CP95" s="22"/>
      <c r="CQ95" s="22"/>
      <c r="CR95" s="22"/>
      <c r="CS95" s="22"/>
      <c r="CT95" s="22"/>
      <c r="CU95" s="22"/>
      <c r="CV95" s="22"/>
      <c r="CW95" s="22"/>
      <c r="CX95" s="22"/>
      <c r="CY95" s="22"/>
      <c r="CZ95" s="22"/>
      <c r="DA95" s="22"/>
      <c r="DB95" s="22"/>
      <c r="DC95" s="22"/>
      <c r="DD95" s="22"/>
      <c r="DE95" s="22"/>
      <c r="DF95" s="22"/>
      <c r="DG95" s="22"/>
      <c r="DH95" s="22"/>
      <c r="DI95" s="22"/>
      <c r="DJ95" s="22"/>
      <c r="DK95" s="22"/>
      <c r="DL95" s="22"/>
      <c r="DM95" s="22"/>
      <c r="DN95" s="22"/>
      <c r="DO95" s="22"/>
      <c r="DP95" s="22"/>
      <c r="DQ95" s="22"/>
      <c r="DR95" s="22"/>
      <c r="DS95" s="22"/>
      <c r="DT95" s="22"/>
      <c r="DU95" s="22"/>
      <c r="DV95" s="22"/>
      <c r="DW95" s="22"/>
      <c r="DX95" s="22"/>
      <c r="DY95" s="22"/>
      <c r="DZ95" s="22"/>
      <c r="EA95" s="22"/>
      <c r="EB95" s="22"/>
      <c r="EC95" s="22"/>
      <c r="ED95" s="22"/>
      <c r="EE95" s="22"/>
      <c r="EF95" s="22"/>
      <c r="EG95" s="22"/>
      <c r="EH95" s="22"/>
      <c r="EI95" s="22"/>
      <c r="EJ95" s="22"/>
      <c r="EK95" s="22"/>
      <c r="EL95" s="22"/>
      <c r="EM95" s="22"/>
      <c r="EN95" s="22"/>
      <c r="EO95" s="22"/>
      <c r="EP95" s="22"/>
      <c r="EQ95" s="22"/>
      <c r="ER95" s="22"/>
      <c r="ES95" s="22"/>
      <c r="ET95" s="22"/>
      <c r="EU95" s="22"/>
      <c r="EV95" s="22"/>
      <c r="EW95" s="22"/>
      <c r="EX95" s="22"/>
      <c r="EY95" s="22"/>
      <c r="EZ95" s="22"/>
      <c r="FA95" s="22"/>
      <c r="FB95" s="22"/>
      <c r="FC95" s="22"/>
      <c r="FD95" s="22"/>
      <c r="FE95" s="22"/>
      <c r="FF95" s="22"/>
      <c r="FG95" s="22"/>
      <c r="FH95" s="22"/>
      <c r="FI95" s="22"/>
      <c r="FJ95" s="22"/>
      <c r="FK95" s="22"/>
      <c r="FL95" s="22"/>
      <c r="FM95" s="22"/>
      <c r="FN95" s="22"/>
      <c r="FO95" s="22"/>
      <c r="FP95" s="22"/>
      <c r="FQ95" s="22"/>
      <c r="FR95" s="22"/>
      <c r="FS95" s="22"/>
      <c r="FT95" s="22"/>
      <c r="FU95" s="22"/>
      <c r="FV95" s="22"/>
      <c r="FW95" s="22"/>
      <c r="FX95" s="22"/>
      <c r="FY95" s="22"/>
      <c r="FZ95" s="22"/>
      <c r="GA95" s="22"/>
      <c r="GB95" s="22"/>
      <c r="GC95" s="22"/>
      <c r="GD95" s="22"/>
      <c r="GE95" s="22"/>
      <c r="GF95" s="22"/>
      <c r="GG95" s="22"/>
      <c r="GH95" s="22"/>
      <c r="GI95" s="22"/>
      <c r="GJ95" s="22"/>
      <c r="GK95" s="22"/>
      <c r="GL95" s="22"/>
      <c r="GM95" s="22"/>
      <c r="GN95" s="22"/>
      <c r="GO95" s="22"/>
      <c r="GP95" s="22"/>
      <c r="GQ95" s="22"/>
    </row>
    <row r="96" spans="3:199" s="2" customFormat="1" ht="20.100000000000001" customHeight="1">
      <c r="C96" s="10">
        <v>40030325</v>
      </c>
      <c r="D96" s="10" t="s">
        <v>132</v>
      </c>
      <c r="E96" s="12">
        <v>0</v>
      </c>
      <c r="F96" s="15">
        <v>0</v>
      </c>
      <c r="G96" s="12">
        <v>1</v>
      </c>
      <c r="H96" s="12">
        <v>20</v>
      </c>
      <c r="I96" s="12">
        <v>0.3</v>
      </c>
      <c r="J96" s="16">
        <v>0</v>
      </c>
      <c r="K96" s="16">
        <v>0</v>
      </c>
      <c r="L96" s="19">
        <v>0</v>
      </c>
      <c r="M96" s="19">
        <v>20</v>
      </c>
      <c r="N96" s="19">
        <v>60</v>
      </c>
      <c r="O96" s="17">
        <v>0</v>
      </c>
      <c r="P96" s="17">
        <v>0</v>
      </c>
      <c r="Q96" s="19">
        <v>0</v>
      </c>
      <c r="R96" s="19">
        <v>0</v>
      </c>
      <c r="S96" s="19">
        <v>0</v>
      </c>
      <c r="T96" s="19">
        <v>20</v>
      </c>
      <c r="U96" s="18">
        <v>0</v>
      </c>
      <c r="V96" s="18">
        <v>0</v>
      </c>
      <c r="W96" s="18">
        <v>0</v>
      </c>
      <c r="X96" s="18">
        <v>0</v>
      </c>
      <c r="Y96" s="18">
        <v>0</v>
      </c>
      <c r="Z96" s="18">
        <v>0</v>
      </c>
      <c r="AA96" s="18">
        <v>0</v>
      </c>
      <c r="AB96" s="16">
        <v>0</v>
      </c>
      <c r="AC96" s="16">
        <v>0</v>
      </c>
      <c r="AD96" s="16">
        <v>0</v>
      </c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  <c r="BM96" s="22"/>
      <c r="BN96" s="22"/>
      <c r="BO96" s="22"/>
      <c r="BP96" s="22"/>
      <c r="BQ96" s="22"/>
      <c r="BR96" s="22"/>
      <c r="BS96" s="22"/>
      <c r="BT96" s="22"/>
      <c r="BU96" s="22"/>
      <c r="BV96" s="22"/>
      <c r="BW96" s="22"/>
      <c r="BX96" s="22"/>
      <c r="BY96" s="22"/>
      <c r="BZ96" s="22"/>
      <c r="CA96" s="22"/>
      <c r="CB96" s="22"/>
      <c r="CC96" s="22"/>
      <c r="CD96" s="22"/>
      <c r="CE96" s="22"/>
      <c r="CF96" s="22"/>
      <c r="CG96" s="22"/>
      <c r="CH96" s="22"/>
      <c r="CI96" s="22"/>
      <c r="CJ96" s="22"/>
      <c r="CK96" s="22"/>
      <c r="CL96" s="22"/>
      <c r="CM96" s="22"/>
      <c r="CN96" s="22"/>
      <c r="CO96" s="22"/>
      <c r="CP96" s="22"/>
      <c r="CQ96" s="22"/>
      <c r="CR96" s="22"/>
      <c r="CS96" s="22"/>
      <c r="CT96" s="22"/>
      <c r="CU96" s="22"/>
      <c r="CV96" s="22"/>
      <c r="CW96" s="22"/>
      <c r="CX96" s="22"/>
      <c r="CY96" s="22"/>
      <c r="CZ96" s="22"/>
      <c r="DA96" s="22"/>
      <c r="DB96" s="22"/>
      <c r="DC96" s="22"/>
      <c r="DD96" s="22"/>
      <c r="DE96" s="22"/>
      <c r="DF96" s="22"/>
      <c r="DG96" s="22"/>
      <c r="DH96" s="22"/>
      <c r="DI96" s="22"/>
      <c r="DJ96" s="22"/>
      <c r="DK96" s="22"/>
      <c r="DL96" s="22"/>
      <c r="DM96" s="22"/>
      <c r="DN96" s="22"/>
      <c r="DO96" s="22"/>
      <c r="DP96" s="22"/>
      <c r="DQ96" s="22"/>
      <c r="DR96" s="22"/>
      <c r="DS96" s="22"/>
      <c r="DT96" s="22"/>
      <c r="DU96" s="22"/>
      <c r="DV96" s="22"/>
      <c r="DW96" s="22"/>
      <c r="DX96" s="22"/>
      <c r="DY96" s="22"/>
      <c r="DZ96" s="22"/>
      <c r="EA96" s="22"/>
      <c r="EB96" s="22"/>
      <c r="EC96" s="22"/>
      <c r="ED96" s="22"/>
      <c r="EE96" s="22"/>
      <c r="EF96" s="22"/>
      <c r="EG96" s="22"/>
      <c r="EH96" s="22"/>
      <c r="EI96" s="22"/>
      <c r="EJ96" s="22"/>
      <c r="EK96" s="22"/>
      <c r="EL96" s="22"/>
      <c r="EM96" s="22"/>
      <c r="EN96" s="22"/>
      <c r="EO96" s="22"/>
      <c r="EP96" s="22"/>
      <c r="EQ96" s="22"/>
      <c r="ER96" s="22"/>
      <c r="ES96" s="22"/>
      <c r="ET96" s="22"/>
      <c r="EU96" s="22"/>
      <c r="EV96" s="22"/>
      <c r="EW96" s="22"/>
      <c r="EX96" s="22"/>
      <c r="EY96" s="22"/>
      <c r="EZ96" s="22"/>
      <c r="FA96" s="22"/>
      <c r="FB96" s="22"/>
      <c r="FC96" s="22"/>
      <c r="FD96" s="22"/>
      <c r="FE96" s="22"/>
      <c r="FF96" s="22"/>
      <c r="FG96" s="22"/>
      <c r="FH96" s="22"/>
      <c r="FI96" s="22"/>
      <c r="FJ96" s="22"/>
      <c r="FK96" s="22"/>
      <c r="FL96" s="22"/>
      <c r="FM96" s="22"/>
      <c r="FN96" s="22"/>
      <c r="FO96" s="22"/>
      <c r="FP96" s="22"/>
      <c r="FQ96" s="22"/>
      <c r="FR96" s="22"/>
      <c r="FS96" s="22"/>
      <c r="FT96" s="22"/>
      <c r="FU96" s="22"/>
      <c r="FV96" s="22"/>
      <c r="FW96" s="22"/>
      <c r="FX96" s="22"/>
      <c r="FY96" s="22"/>
      <c r="FZ96" s="22"/>
      <c r="GA96" s="22"/>
      <c r="GB96" s="22"/>
      <c r="GC96" s="22"/>
      <c r="GD96" s="22"/>
      <c r="GE96" s="22"/>
      <c r="GF96" s="22"/>
      <c r="GG96" s="22"/>
      <c r="GH96" s="22"/>
      <c r="GI96" s="22"/>
      <c r="GJ96" s="22"/>
      <c r="GK96" s="22"/>
      <c r="GL96" s="22"/>
      <c r="GM96" s="22"/>
      <c r="GN96" s="22"/>
      <c r="GO96" s="22"/>
      <c r="GP96" s="22"/>
      <c r="GQ96" s="22"/>
    </row>
    <row r="97" spans="3:199" s="2" customFormat="1" ht="20.100000000000001" customHeight="1">
      <c r="C97" s="10">
        <v>40030326</v>
      </c>
      <c r="D97" s="10" t="s">
        <v>133</v>
      </c>
      <c r="E97" s="12">
        <v>0</v>
      </c>
      <c r="F97" s="15">
        <v>0</v>
      </c>
      <c r="G97" s="12">
        <v>1</v>
      </c>
      <c r="H97" s="12">
        <v>20</v>
      </c>
      <c r="I97" s="12">
        <v>0.3</v>
      </c>
      <c r="J97" s="16">
        <v>0</v>
      </c>
      <c r="K97" s="16">
        <v>0</v>
      </c>
      <c r="L97" s="19">
        <v>0</v>
      </c>
      <c r="M97" s="19">
        <v>10</v>
      </c>
      <c r="N97" s="19">
        <v>30</v>
      </c>
      <c r="O97" s="17">
        <v>0</v>
      </c>
      <c r="P97" s="17">
        <v>0</v>
      </c>
      <c r="Q97" s="19">
        <v>10</v>
      </c>
      <c r="R97" s="19">
        <v>20</v>
      </c>
      <c r="S97" s="19">
        <v>0</v>
      </c>
      <c r="T97" s="19">
        <v>20</v>
      </c>
      <c r="U97" s="18">
        <v>0</v>
      </c>
      <c r="V97" s="18">
        <v>0</v>
      </c>
      <c r="W97" s="18">
        <v>0</v>
      </c>
      <c r="X97" s="18">
        <v>0</v>
      </c>
      <c r="Y97" s="18">
        <v>0</v>
      </c>
      <c r="Z97" s="18">
        <v>0</v>
      </c>
      <c r="AA97" s="18">
        <v>0</v>
      </c>
      <c r="AB97" s="16">
        <v>0</v>
      </c>
      <c r="AC97" s="16">
        <v>0</v>
      </c>
      <c r="AD97" s="16">
        <v>0</v>
      </c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/>
      <c r="BR97" s="22"/>
      <c r="BS97" s="22"/>
      <c r="BT97" s="22"/>
      <c r="BU97" s="22"/>
      <c r="BV97" s="22"/>
      <c r="BW97" s="22"/>
      <c r="BX97" s="22"/>
      <c r="BY97" s="22"/>
      <c r="BZ97" s="22"/>
      <c r="CA97" s="22"/>
      <c r="CB97" s="22"/>
      <c r="CC97" s="22"/>
      <c r="CD97" s="22"/>
      <c r="CE97" s="22"/>
      <c r="CF97" s="22"/>
      <c r="CG97" s="22"/>
      <c r="CH97" s="22"/>
      <c r="CI97" s="22"/>
      <c r="CJ97" s="22"/>
      <c r="CK97" s="22"/>
      <c r="CL97" s="22"/>
      <c r="CM97" s="22"/>
      <c r="CN97" s="22"/>
      <c r="CO97" s="22"/>
      <c r="CP97" s="22"/>
      <c r="CQ97" s="22"/>
      <c r="CR97" s="22"/>
      <c r="CS97" s="22"/>
      <c r="CT97" s="22"/>
      <c r="CU97" s="22"/>
      <c r="CV97" s="22"/>
      <c r="CW97" s="22"/>
      <c r="CX97" s="22"/>
      <c r="CY97" s="22"/>
      <c r="CZ97" s="22"/>
      <c r="DA97" s="22"/>
      <c r="DB97" s="22"/>
      <c r="DC97" s="22"/>
      <c r="DD97" s="22"/>
      <c r="DE97" s="22"/>
      <c r="DF97" s="22"/>
      <c r="DG97" s="22"/>
      <c r="DH97" s="22"/>
      <c r="DI97" s="22"/>
      <c r="DJ97" s="22"/>
      <c r="DK97" s="22"/>
      <c r="DL97" s="22"/>
      <c r="DM97" s="22"/>
      <c r="DN97" s="22"/>
      <c r="DO97" s="22"/>
      <c r="DP97" s="22"/>
      <c r="DQ97" s="22"/>
      <c r="DR97" s="22"/>
      <c r="DS97" s="22"/>
      <c r="DT97" s="22"/>
      <c r="DU97" s="22"/>
      <c r="DV97" s="22"/>
      <c r="DW97" s="22"/>
      <c r="DX97" s="22"/>
      <c r="DY97" s="22"/>
      <c r="DZ97" s="22"/>
      <c r="EA97" s="22"/>
      <c r="EB97" s="22"/>
      <c r="EC97" s="22"/>
      <c r="ED97" s="22"/>
      <c r="EE97" s="22"/>
      <c r="EF97" s="22"/>
      <c r="EG97" s="22"/>
      <c r="EH97" s="22"/>
      <c r="EI97" s="22"/>
      <c r="EJ97" s="22"/>
      <c r="EK97" s="22"/>
      <c r="EL97" s="22"/>
      <c r="EM97" s="22"/>
      <c r="EN97" s="22"/>
      <c r="EO97" s="22"/>
      <c r="EP97" s="22"/>
      <c r="EQ97" s="22"/>
      <c r="ER97" s="22"/>
      <c r="ES97" s="22"/>
      <c r="ET97" s="22"/>
      <c r="EU97" s="22"/>
      <c r="EV97" s="22"/>
      <c r="EW97" s="22"/>
      <c r="EX97" s="22"/>
      <c r="EY97" s="22"/>
      <c r="EZ97" s="22"/>
      <c r="FA97" s="22"/>
      <c r="FB97" s="22"/>
      <c r="FC97" s="22"/>
      <c r="FD97" s="22"/>
      <c r="FE97" s="22"/>
      <c r="FF97" s="22"/>
      <c r="FG97" s="22"/>
      <c r="FH97" s="22"/>
      <c r="FI97" s="22"/>
      <c r="FJ97" s="22"/>
      <c r="FK97" s="22"/>
      <c r="FL97" s="22"/>
      <c r="FM97" s="22"/>
      <c r="FN97" s="22"/>
      <c r="FO97" s="22"/>
      <c r="FP97" s="22"/>
      <c r="FQ97" s="22"/>
      <c r="FR97" s="22"/>
      <c r="FS97" s="22"/>
      <c r="FT97" s="22"/>
      <c r="FU97" s="22"/>
      <c r="FV97" s="22"/>
      <c r="FW97" s="22"/>
      <c r="FX97" s="22"/>
      <c r="FY97" s="22"/>
      <c r="FZ97" s="22"/>
      <c r="GA97" s="22"/>
      <c r="GB97" s="22"/>
      <c r="GC97" s="22"/>
      <c r="GD97" s="22"/>
      <c r="GE97" s="22"/>
      <c r="GF97" s="22"/>
      <c r="GG97" s="22"/>
      <c r="GH97" s="22"/>
      <c r="GI97" s="22"/>
      <c r="GJ97" s="22"/>
      <c r="GK97" s="22"/>
      <c r="GL97" s="22"/>
      <c r="GM97" s="22"/>
      <c r="GN97" s="22"/>
      <c r="GO97" s="22"/>
      <c r="GP97" s="22"/>
      <c r="GQ97" s="22"/>
    </row>
    <row r="98" spans="3:199" s="2" customFormat="1" ht="20.100000000000001" customHeight="1">
      <c r="C98" s="10">
        <v>40030327</v>
      </c>
      <c r="D98" s="10" t="s">
        <v>134</v>
      </c>
      <c r="E98" s="12">
        <v>0</v>
      </c>
      <c r="F98" s="15">
        <v>0</v>
      </c>
      <c r="G98" s="12">
        <v>1</v>
      </c>
      <c r="H98" s="12">
        <v>20</v>
      </c>
      <c r="I98" s="12">
        <v>0.3</v>
      </c>
      <c r="J98" s="16">
        <v>0</v>
      </c>
      <c r="K98" s="16">
        <v>0</v>
      </c>
      <c r="L98" s="19">
        <v>0</v>
      </c>
      <c r="M98" s="19">
        <v>10</v>
      </c>
      <c r="N98" s="19">
        <v>30</v>
      </c>
      <c r="O98" s="17">
        <v>0</v>
      </c>
      <c r="P98" s="17">
        <v>0</v>
      </c>
      <c r="Q98" s="19">
        <v>0</v>
      </c>
      <c r="R98" s="19">
        <v>0</v>
      </c>
      <c r="S98" s="19">
        <v>10</v>
      </c>
      <c r="T98" s="19">
        <v>20</v>
      </c>
      <c r="U98" s="18">
        <v>0</v>
      </c>
      <c r="V98" s="18">
        <v>0</v>
      </c>
      <c r="W98" s="18">
        <v>0</v>
      </c>
      <c r="X98" s="18">
        <v>0</v>
      </c>
      <c r="Y98" s="18">
        <v>0</v>
      </c>
      <c r="Z98" s="18">
        <v>0</v>
      </c>
      <c r="AA98" s="18">
        <v>0</v>
      </c>
      <c r="AB98" s="16">
        <v>0</v>
      </c>
      <c r="AC98" s="16">
        <v>0</v>
      </c>
      <c r="AD98" s="16">
        <v>0</v>
      </c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  <c r="BM98" s="22"/>
      <c r="BN98" s="22"/>
      <c r="BO98" s="22"/>
      <c r="BP98" s="22"/>
      <c r="BQ98" s="22"/>
      <c r="BR98" s="22"/>
      <c r="BS98" s="22"/>
      <c r="BT98" s="22"/>
      <c r="BU98" s="22"/>
      <c r="BV98" s="22"/>
      <c r="BW98" s="22"/>
      <c r="BX98" s="22"/>
      <c r="BY98" s="22"/>
      <c r="BZ98" s="22"/>
      <c r="CA98" s="22"/>
      <c r="CB98" s="22"/>
      <c r="CC98" s="22"/>
      <c r="CD98" s="22"/>
      <c r="CE98" s="22"/>
      <c r="CF98" s="22"/>
      <c r="CG98" s="22"/>
      <c r="CH98" s="22"/>
      <c r="CI98" s="22"/>
      <c r="CJ98" s="22"/>
      <c r="CK98" s="22"/>
      <c r="CL98" s="22"/>
      <c r="CM98" s="22"/>
      <c r="CN98" s="22"/>
      <c r="CO98" s="22"/>
      <c r="CP98" s="22"/>
      <c r="CQ98" s="22"/>
      <c r="CR98" s="22"/>
      <c r="CS98" s="22"/>
      <c r="CT98" s="22"/>
      <c r="CU98" s="22"/>
      <c r="CV98" s="22"/>
      <c r="CW98" s="22"/>
      <c r="CX98" s="22"/>
      <c r="CY98" s="22"/>
      <c r="CZ98" s="22"/>
      <c r="DA98" s="22"/>
      <c r="DB98" s="22"/>
      <c r="DC98" s="22"/>
      <c r="DD98" s="22"/>
      <c r="DE98" s="22"/>
      <c r="DF98" s="22"/>
      <c r="DG98" s="22"/>
      <c r="DH98" s="22"/>
      <c r="DI98" s="22"/>
      <c r="DJ98" s="22"/>
      <c r="DK98" s="22"/>
      <c r="DL98" s="22"/>
      <c r="DM98" s="22"/>
      <c r="DN98" s="22"/>
      <c r="DO98" s="22"/>
      <c r="DP98" s="22"/>
      <c r="DQ98" s="22"/>
      <c r="DR98" s="22"/>
      <c r="DS98" s="22"/>
      <c r="DT98" s="22"/>
      <c r="DU98" s="22"/>
      <c r="DV98" s="22"/>
      <c r="DW98" s="22"/>
      <c r="DX98" s="22"/>
      <c r="DY98" s="22"/>
      <c r="DZ98" s="22"/>
      <c r="EA98" s="22"/>
      <c r="EB98" s="22"/>
      <c r="EC98" s="22"/>
      <c r="ED98" s="22"/>
      <c r="EE98" s="22"/>
      <c r="EF98" s="22"/>
      <c r="EG98" s="22"/>
      <c r="EH98" s="22"/>
      <c r="EI98" s="22"/>
      <c r="EJ98" s="22"/>
      <c r="EK98" s="22"/>
      <c r="EL98" s="22"/>
      <c r="EM98" s="22"/>
      <c r="EN98" s="22"/>
      <c r="EO98" s="22"/>
      <c r="EP98" s="22"/>
      <c r="EQ98" s="22"/>
      <c r="ER98" s="22"/>
      <c r="ES98" s="22"/>
      <c r="ET98" s="22"/>
      <c r="EU98" s="22"/>
      <c r="EV98" s="22"/>
      <c r="EW98" s="22"/>
      <c r="EX98" s="22"/>
      <c r="EY98" s="22"/>
      <c r="EZ98" s="22"/>
      <c r="FA98" s="22"/>
      <c r="FB98" s="22"/>
      <c r="FC98" s="22"/>
      <c r="FD98" s="22"/>
      <c r="FE98" s="22"/>
      <c r="FF98" s="22"/>
      <c r="FG98" s="22"/>
      <c r="FH98" s="22"/>
      <c r="FI98" s="22"/>
      <c r="FJ98" s="22"/>
      <c r="FK98" s="22"/>
      <c r="FL98" s="22"/>
      <c r="FM98" s="22"/>
      <c r="FN98" s="22"/>
      <c r="FO98" s="22"/>
      <c r="FP98" s="22"/>
      <c r="FQ98" s="22"/>
      <c r="FR98" s="22"/>
      <c r="FS98" s="22"/>
      <c r="FT98" s="22"/>
      <c r="FU98" s="22"/>
      <c r="FV98" s="22"/>
      <c r="FW98" s="22"/>
      <c r="FX98" s="22"/>
      <c r="FY98" s="22"/>
      <c r="FZ98" s="22"/>
      <c r="GA98" s="22"/>
      <c r="GB98" s="22"/>
      <c r="GC98" s="22"/>
      <c r="GD98" s="22"/>
      <c r="GE98" s="22"/>
      <c r="GF98" s="22"/>
      <c r="GG98" s="22"/>
      <c r="GH98" s="22"/>
      <c r="GI98" s="22"/>
      <c r="GJ98" s="22"/>
      <c r="GK98" s="22"/>
      <c r="GL98" s="22"/>
      <c r="GM98" s="22"/>
      <c r="GN98" s="22"/>
      <c r="GO98" s="22"/>
      <c r="GP98" s="22"/>
      <c r="GQ98" s="22"/>
    </row>
    <row r="99" spans="3:199" s="2" customFormat="1" ht="20.100000000000001" customHeight="1">
      <c r="C99" s="10">
        <v>40030328</v>
      </c>
      <c r="D99" s="10" t="s">
        <v>135</v>
      </c>
      <c r="E99" s="12">
        <v>0</v>
      </c>
      <c r="F99" s="15">
        <v>0</v>
      </c>
      <c r="G99" s="12">
        <v>1</v>
      </c>
      <c r="H99" s="12">
        <v>20</v>
      </c>
      <c r="I99" s="12">
        <v>0.3</v>
      </c>
      <c r="J99" s="16">
        <v>0</v>
      </c>
      <c r="K99" s="16">
        <v>0</v>
      </c>
      <c r="L99" s="19">
        <v>800</v>
      </c>
      <c r="M99" s="19">
        <v>0</v>
      </c>
      <c r="N99" s="19">
        <v>0</v>
      </c>
      <c r="O99" s="17">
        <v>0</v>
      </c>
      <c r="P99" s="17">
        <v>0</v>
      </c>
      <c r="Q99" s="19">
        <v>0</v>
      </c>
      <c r="R99" s="19">
        <v>0</v>
      </c>
      <c r="S99" s="19">
        <v>0</v>
      </c>
      <c r="T99" s="19">
        <v>0</v>
      </c>
      <c r="U99" s="18">
        <v>0</v>
      </c>
      <c r="V99" s="18">
        <v>0</v>
      </c>
      <c r="W99" s="18">
        <v>0</v>
      </c>
      <c r="X99" s="18">
        <v>0</v>
      </c>
      <c r="Y99" s="18">
        <v>0</v>
      </c>
      <c r="Z99" s="18">
        <v>0</v>
      </c>
      <c r="AA99" s="18">
        <v>0</v>
      </c>
      <c r="AB99" s="16">
        <v>0</v>
      </c>
      <c r="AC99" s="16">
        <v>0</v>
      </c>
      <c r="AD99" s="16">
        <v>0</v>
      </c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  <c r="BM99" s="22"/>
      <c r="BN99" s="22"/>
      <c r="BO99" s="22"/>
      <c r="BP99" s="22"/>
      <c r="BQ99" s="22"/>
      <c r="BR99" s="22"/>
      <c r="BS99" s="22"/>
      <c r="BT99" s="22"/>
      <c r="BU99" s="22"/>
      <c r="BV99" s="22"/>
      <c r="BW99" s="22"/>
      <c r="BX99" s="22"/>
      <c r="BY99" s="22"/>
      <c r="BZ99" s="22"/>
      <c r="CA99" s="22"/>
      <c r="CB99" s="22"/>
      <c r="CC99" s="22"/>
      <c r="CD99" s="22"/>
      <c r="CE99" s="22"/>
      <c r="CF99" s="22"/>
      <c r="CG99" s="22"/>
      <c r="CH99" s="22"/>
      <c r="CI99" s="22"/>
      <c r="CJ99" s="22"/>
      <c r="CK99" s="22"/>
      <c r="CL99" s="22"/>
      <c r="CM99" s="22"/>
      <c r="CN99" s="22"/>
      <c r="CO99" s="22"/>
      <c r="CP99" s="22"/>
      <c r="CQ99" s="22"/>
      <c r="CR99" s="22"/>
      <c r="CS99" s="22"/>
      <c r="CT99" s="22"/>
      <c r="CU99" s="22"/>
      <c r="CV99" s="22"/>
      <c r="CW99" s="22"/>
      <c r="CX99" s="22"/>
      <c r="CY99" s="22"/>
      <c r="CZ99" s="22"/>
      <c r="DA99" s="22"/>
      <c r="DB99" s="22"/>
      <c r="DC99" s="22"/>
      <c r="DD99" s="22"/>
      <c r="DE99" s="22"/>
      <c r="DF99" s="22"/>
      <c r="DG99" s="22"/>
      <c r="DH99" s="22"/>
      <c r="DI99" s="22"/>
      <c r="DJ99" s="22"/>
      <c r="DK99" s="22"/>
      <c r="DL99" s="22"/>
      <c r="DM99" s="22"/>
      <c r="DN99" s="22"/>
      <c r="DO99" s="22"/>
      <c r="DP99" s="22"/>
      <c r="DQ99" s="22"/>
      <c r="DR99" s="22"/>
      <c r="DS99" s="22"/>
      <c r="DT99" s="22"/>
      <c r="DU99" s="22"/>
      <c r="DV99" s="22"/>
      <c r="DW99" s="22"/>
      <c r="DX99" s="22"/>
      <c r="DY99" s="22"/>
      <c r="DZ99" s="22"/>
      <c r="EA99" s="22"/>
      <c r="EB99" s="22"/>
      <c r="EC99" s="22"/>
      <c r="ED99" s="22"/>
      <c r="EE99" s="22"/>
      <c r="EF99" s="22"/>
      <c r="EG99" s="22"/>
      <c r="EH99" s="22"/>
      <c r="EI99" s="22"/>
      <c r="EJ99" s="22"/>
      <c r="EK99" s="22"/>
      <c r="EL99" s="22"/>
      <c r="EM99" s="22"/>
      <c r="EN99" s="22"/>
      <c r="EO99" s="22"/>
      <c r="EP99" s="22"/>
      <c r="EQ99" s="22"/>
      <c r="ER99" s="22"/>
      <c r="ES99" s="22"/>
      <c r="ET99" s="22"/>
      <c r="EU99" s="22"/>
      <c r="EV99" s="22"/>
      <c r="EW99" s="22"/>
      <c r="EX99" s="22"/>
      <c r="EY99" s="22"/>
      <c r="EZ99" s="22"/>
      <c r="FA99" s="22"/>
      <c r="FB99" s="22"/>
      <c r="FC99" s="22"/>
      <c r="FD99" s="22"/>
      <c r="FE99" s="22"/>
      <c r="FF99" s="22"/>
      <c r="FG99" s="22"/>
      <c r="FH99" s="22"/>
      <c r="FI99" s="22"/>
      <c r="FJ99" s="22"/>
      <c r="FK99" s="22"/>
      <c r="FL99" s="22"/>
      <c r="FM99" s="22"/>
      <c r="FN99" s="22"/>
      <c r="FO99" s="22"/>
      <c r="FP99" s="22"/>
      <c r="FQ99" s="22"/>
      <c r="FR99" s="22"/>
      <c r="FS99" s="22"/>
      <c r="FT99" s="22"/>
      <c r="FU99" s="22"/>
      <c r="FV99" s="22"/>
      <c r="FW99" s="22"/>
      <c r="FX99" s="22"/>
      <c r="FY99" s="22"/>
      <c r="FZ99" s="22"/>
      <c r="GA99" s="22"/>
      <c r="GB99" s="22"/>
      <c r="GC99" s="22"/>
      <c r="GD99" s="22"/>
      <c r="GE99" s="22"/>
      <c r="GF99" s="22"/>
      <c r="GG99" s="22"/>
      <c r="GH99" s="22"/>
      <c r="GI99" s="22"/>
      <c r="GJ99" s="22"/>
      <c r="GK99" s="22"/>
      <c r="GL99" s="22"/>
      <c r="GM99" s="22"/>
      <c r="GN99" s="22"/>
      <c r="GO99" s="22"/>
      <c r="GP99" s="22"/>
      <c r="GQ99" s="22"/>
    </row>
    <row r="100" spans="3:199" s="2" customFormat="1" ht="20.100000000000001" customHeight="1">
      <c r="C100" s="13">
        <v>40030329</v>
      </c>
      <c r="D100" s="10" t="s">
        <v>136</v>
      </c>
      <c r="E100" s="12">
        <v>0</v>
      </c>
      <c r="F100" s="15">
        <v>0</v>
      </c>
      <c r="G100" s="12">
        <v>1</v>
      </c>
      <c r="H100" s="12">
        <v>20</v>
      </c>
      <c r="I100" s="12">
        <v>0.3</v>
      </c>
      <c r="J100" s="16">
        <v>0</v>
      </c>
      <c r="K100" s="16">
        <v>0</v>
      </c>
      <c r="L100" s="19">
        <v>0</v>
      </c>
      <c r="M100" s="19">
        <v>0</v>
      </c>
      <c r="N100" s="19">
        <v>0</v>
      </c>
      <c r="O100" s="17">
        <v>0</v>
      </c>
      <c r="P100" s="17">
        <v>0</v>
      </c>
      <c r="Q100" s="19">
        <v>0</v>
      </c>
      <c r="R100" s="19">
        <v>10</v>
      </c>
      <c r="S100" s="19">
        <v>0</v>
      </c>
      <c r="T100" s="19">
        <v>0</v>
      </c>
      <c r="U100" s="18">
        <v>0</v>
      </c>
      <c r="V100" s="18">
        <v>0</v>
      </c>
      <c r="W100" s="18">
        <v>0</v>
      </c>
      <c r="X100" s="18">
        <v>0</v>
      </c>
      <c r="Y100" s="18">
        <v>0</v>
      </c>
      <c r="Z100" s="18">
        <v>0</v>
      </c>
      <c r="AA100" s="18">
        <v>0</v>
      </c>
      <c r="AB100" s="16">
        <v>0</v>
      </c>
      <c r="AC100" s="16">
        <v>0</v>
      </c>
      <c r="AD100" s="16">
        <v>0</v>
      </c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  <c r="BM100" s="22"/>
      <c r="BN100" s="22"/>
      <c r="BO100" s="22"/>
      <c r="BP100" s="22"/>
      <c r="BQ100" s="22"/>
      <c r="BR100" s="22"/>
      <c r="BS100" s="22"/>
      <c r="BT100" s="22"/>
      <c r="BU100" s="22"/>
      <c r="BV100" s="22"/>
      <c r="BW100" s="22"/>
      <c r="BX100" s="22"/>
      <c r="BY100" s="22"/>
      <c r="BZ100" s="22"/>
      <c r="CA100" s="22"/>
      <c r="CB100" s="22"/>
      <c r="CC100" s="22"/>
      <c r="CD100" s="22"/>
      <c r="CE100" s="22"/>
      <c r="CF100" s="22"/>
      <c r="CG100" s="22"/>
      <c r="CH100" s="22"/>
      <c r="CI100" s="22"/>
      <c r="CJ100" s="22"/>
      <c r="CK100" s="22"/>
      <c r="CL100" s="22"/>
      <c r="CM100" s="22"/>
      <c r="CN100" s="22"/>
      <c r="CO100" s="22"/>
      <c r="CP100" s="22"/>
      <c r="CQ100" s="22"/>
      <c r="CR100" s="22"/>
      <c r="CS100" s="22"/>
      <c r="CT100" s="22"/>
      <c r="CU100" s="22"/>
      <c r="CV100" s="22"/>
      <c r="CW100" s="22"/>
      <c r="CX100" s="22"/>
      <c r="CY100" s="22"/>
      <c r="CZ100" s="22"/>
      <c r="DA100" s="22"/>
      <c r="DB100" s="22"/>
      <c r="DC100" s="22"/>
      <c r="DD100" s="22"/>
      <c r="DE100" s="22"/>
      <c r="DF100" s="22"/>
      <c r="DG100" s="22"/>
      <c r="DH100" s="22"/>
      <c r="DI100" s="22"/>
      <c r="DJ100" s="22"/>
      <c r="DK100" s="22"/>
      <c r="DL100" s="22"/>
      <c r="DM100" s="22"/>
      <c r="DN100" s="22"/>
      <c r="DO100" s="22"/>
      <c r="DP100" s="22"/>
      <c r="DQ100" s="22"/>
      <c r="DR100" s="22"/>
      <c r="DS100" s="22"/>
      <c r="DT100" s="22"/>
      <c r="DU100" s="22"/>
      <c r="DV100" s="22"/>
      <c r="DW100" s="22"/>
      <c r="DX100" s="22"/>
      <c r="DY100" s="22"/>
      <c r="DZ100" s="22"/>
      <c r="EA100" s="22"/>
      <c r="EB100" s="22"/>
      <c r="EC100" s="22"/>
      <c r="ED100" s="22"/>
      <c r="EE100" s="22"/>
      <c r="EF100" s="22"/>
      <c r="EG100" s="22"/>
      <c r="EH100" s="22"/>
      <c r="EI100" s="22"/>
      <c r="EJ100" s="22"/>
      <c r="EK100" s="22"/>
      <c r="EL100" s="22"/>
      <c r="EM100" s="22"/>
      <c r="EN100" s="22"/>
      <c r="EO100" s="22"/>
      <c r="EP100" s="22"/>
      <c r="EQ100" s="22"/>
      <c r="ER100" s="22"/>
      <c r="ES100" s="22"/>
      <c r="ET100" s="22"/>
      <c r="EU100" s="22"/>
      <c r="EV100" s="22"/>
      <c r="EW100" s="22"/>
      <c r="EX100" s="22"/>
      <c r="EY100" s="22"/>
      <c r="EZ100" s="22"/>
      <c r="FA100" s="22"/>
      <c r="FB100" s="22"/>
      <c r="FC100" s="22"/>
      <c r="FD100" s="22"/>
      <c r="FE100" s="22"/>
      <c r="FF100" s="22"/>
      <c r="FG100" s="22"/>
      <c r="FH100" s="22"/>
      <c r="FI100" s="22"/>
      <c r="FJ100" s="22"/>
      <c r="FK100" s="22"/>
      <c r="FL100" s="22"/>
      <c r="FM100" s="22"/>
      <c r="FN100" s="22"/>
      <c r="FO100" s="22"/>
      <c r="FP100" s="22"/>
      <c r="FQ100" s="22"/>
      <c r="FR100" s="22"/>
      <c r="FS100" s="22"/>
      <c r="FT100" s="22"/>
      <c r="FU100" s="22"/>
      <c r="FV100" s="22"/>
      <c r="FW100" s="22"/>
      <c r="FX100" s="22"/>
      <c r="FY100" s="22"/>
      <c r="FZ100" s="22"/>
      <c r="GA100" s="22"/>
      <c r="GB100" s="22"/>
      <c r="GC100" s="22"/>
      <c r="GD100" s="22"/>
      <c r="GE100" s="22"/>
      <c r="GF100" s="22"/>
      <c r="GG100" s="22"/>
      <c r="GH100" s="22"/>
      <c r="GI100" s="22"/>
      <c r="GJ100" s="22"/>
      <c r="GK100" s="22"/>
      <c r="GL100" s="22"/>
      <c r="GM100" s="22"/>
      <c r="GN100" s="22"/>
      <c r="GO100" s="22"/>
      <c r="GP100" s="22"/>
      <c r="GQ100" s="22"/>
    </row>
    <row r="101" spans="3:199" s="2" customFormat="1" ht="20.100000000000001" customHeight="1">
      <c r="C101" s="10">
        <v>40030330</v>
      </c>
      <c r="D101" s="10" t="s">
        <v>137</v>
      </c>
      <c r="E101" s="12">
        <v>0</v>
      </c>
      <c r="F101" s="15">
        <v>0</v>
      </c>
      <c r="G101" s="12">
        <v>1</v>
      </c>
      <c r="H101" s="12">
        <v>20</v>
      </c>
      <c r="I101" s="12">
        <v>0.3</v>
      </c>
      <c r="J101" s="16">
        <v>0</v>
      </c>
      <c r="K101" s="16">
        <v>0</v>
      </c>
      <c r="L101" s="19">
        <v>200</v>
      </c>
      <c r="M101" s="19">
        <v>0</v>
      </c>
      <c r="N101" s="15">
        <v>0</v>
      </c>
      <c r="O101" s="17">
        <v>0</v>
      </c>
      <c r="P101" s="17">
        <v>0</v>
      </c>
      <c r="Q101" s="19">
        <v>0</v>
      </c>
      <c r="R101" s="19">
        <v>0</v>
      </c>
      <c r="S101" s="19">
        <v>0</v>
      </c>
      <c r="T101" s="19">
        <v>0</v>
      </c>
      <c r="U101" s="15">
        <v>0</v>
      </c>
      <c r="V101" s="15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6">
        <v>0</v>
      </c>
      <c r="AC101" s="16">
        <v>0</v>
      </c>
      <c r="AD101" s="16">
        <v>0</v>
      </c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  <c r="BM101" s="22"/>
      <c r="BN101" s="22"/>
      <c r="BO101" s="22"/>
      <c r="BP101" s="22"/>
      <c r="BQ101" s="22"/>
      <c r="BR101" s="22"/>
      <c r="BS101" s="22"/>
      <c r="BT101" s="22"/>
      <c r="BU101" s="22"/>
      <c r="BV101" s="22"/>
      <c r="BW101" s="22"/>
      <c r="BX101" s="22"/>
      <c r="BY101" s="22"/>
      <c r="BZ101" s="22"/>
      <c r="CA101" s="22"/>
      <c r="CB101" s="22"/>
      <c r="CC101" s="22"/>
      <c r="CD101" s="22"/>
      <c r="CE101" s="22"/>
      <c r="CF101" s="22"/>
      <c r="CG101" s="22"/>
      <c r="CH101" s="22"/>
      <c r="CI101" s="22"/>
      <c r="CJ101" s="22"/>
      <c r="CK101" s="22"/>
      <c r="CL101" s="22"/>
      <c r="CM101" s="22"/>
      <c r="CN101" s="22"/>
      <c r="CO101" s="22"/>
      <c r="CP101" s="22"/>
      <c r="CQ101" s="22"/>
      <c r="CR101" s="22"/>
      <c r="CS101" s="22"/>
      <c r="CT101" s="22"/>
      <c r="CU101" s="22"/>
      <c r="CV101" s="22"/>
      <c r="CW101" s="22"/>
      <c r="CX101" s="22"/>
      <c r="CY101" s="22"/>
      <c r="CZ101" s="22"/>
      <c r="DA101" s="22"/>
      <c r="DB101" s="22"/>
      <c r="DC101" s="22"/>
      <c r="DD101" s="22"/>
      <c r="DE101" s="22"/>
      <c r="DF101" s="22"/>
      <c r="DG101" s="22"/>
      <c r="DH101" s="22"/>
      <c r="DI101" s="22"/>
      <c r="DJ101" s="22"/>
      <c r="DK101" s="22"/>
      <c r="DL101" s="22"/>
      <c r="DM101" s="22"/>
      <c r="DN101" s="22"/>
      <c r="DO101" s="22"/>
      <c r="DP101" s="22"/>
      <c r="DQ101" s="22"/>
      <c r="DR101" s="22"/>
      <c r="DS101" s="22"/>
      <c r="DT101" s="22"/>
      <c r="DU101" s="22"/>
      <c r="DV101" s="22"/>
      <c r="DW101" s="22"/>
      <c r="DX101" s="22"/>
      <c r="DY101" s="22"/>
      <c r="DZ101" s="22"/>
      <c r="EA101" s="22"/>
      <c r="EB101" s="22"/>
      <c r="EC101" s="22"/>
      <c r="ED101" s="22"/>
      <c r="EE101" s="22"/>
      <c r="EF101" s="22"/>
      <c r="EG101" s="22"/>
      <c r="EH101" s="22"/>
      <c r="EI101" s="22"/>
      <c r="EJ101" s="22"/>
      <c r="EK101" s="22"/>
      <c r="EL101" s="22"/>
      <c r="EM101" s="22"/>
      <c r="EN101" s="22"/>
      <c r="EO101" s="22"/>
      <c r="EP101" s="22"/>
      <c r="EQ101" s="22"/>
      <c r="ER101" s="22"/>
      <c r="ES101" s="22"/>
      <c r="ET101" s="22"/>
      <c r="EU101" s="22"/>
      <c r="EV101" s="22"/>
      <c r="EW101" s="22"/>
      <c r="EX101" s="22"/>
      <c r="EY101" s="22"/>
      <c r="EZ101" s="22"/>
      <c r="FA101" s="22"/>
      <c r="FB101" s="22"/>
      <c r="FC101" s="22"/>
      <c r="FD101" s="22"/>
      <c r="FE101" s="22"/>
      <c r="FF101" s="22"/>
      <c r="FG101" s="22"/>
      <c r="FH101" s="22"/>
      <c r="FI101" s="22"/>
      <c r="FJ101" s="22"/>
      <c r="FK101" s="22"/>
      <c r="FL101" s="22"/>
      <c r="FM101" s="22"/>
      <c r="FN101" s="22"/>
      <c r="FO101" s="22"/>
      <c r="FP101" s="22"/>
      <c r="FQ101" s="22"/>
      <c r="FR101" s="22"/>
      <c r="FS101" s="22"/>
      <c r="FT101" s="22"/>
      <c r="FU101" s="22"/>
      <c r="FV101" s="22"/>
      <c r="FW101" s="22"/>
      <c r="FX101" s="22"/>
      <c r="FY101" s="22"/>
      <c r="FZ101" s="22"/>
      <c r="GA101" s="22"/>
      <c r="GB101" s="22"/>
      <c r="GC101" s="22"/>
      <c r="GD101" s="22"/>
      <c r="GE101" s="22"/>
      <c r="GF101" s="22"/>
      <c r="GG101" s="22"/>
      <c r="GH101" s="22"/>
      <c r="GI101" s="22"/>
      <c r="GJ101" s="22"/>
      <c r="GK101" s="22"/>
      <c r="GL101" s="22"/>
      <c r="GM101" s="22"/>
      <c r="GN101" s="22"/>
      <c r="GO101" s="22"/>
      <c r="GP101" s="22"/>
      <c r="GQ101" s="22"/>
    </row>
    <row r="102" spans="3:199" s="2" customFormat="1" ht="20.100000000000001" customHeight="1">
      <c r="C102" s="13">
        <v>40030331</v>
      </c>
      <c r="D102" s="10" t="s">
        <v>138</v>
      </c>
      <c r="E102" s="12">
        <v>0</v>
      </c>
      <c r="F102" s="15">
        <v>0</v>
      </c>
      <c r="G102" s="12">
        <v>1</v>
      </c>
      <c r="H102" s="12">
        <v>20</v>
      </c>
      <c r="I102" s="12">
        <v>0.3</v>
      </c>
      <c r="J102" s="16">
        <v>0</v>
      </c>
      <c r="K102" s="16">
        <v>0</v>
      </c>
      <c r="L102" s="19">
        <v>0</v>
      </c>
      <c r="M102" s="19">
        <v>0</v>
      </c>
      <c r="N102" s="15">
        <v>0</v>
      </c>
      <c r="O102" s="17">
        <v>0</v>
      </c>
      <c r="P102" s="17">
        <v>0</v>
      </c>
      <c r="Q102" s="19">
        <v>10</v>
      </c>
      <c r="R102" s="19">
        <v>20</v>
      </c>
      <c r="S102" s="19">
        <v>0</v>
      </c>
      <c r="T102" s="19">
        <v>0</v>
      </c>
      <c r="U102" s="15">
        <v>0</v>
      </c>
      <c r="V102" s="15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6">
        <v>0</v>
      </c>
      <c r="AC102" s="16">
        <v>0</v>
      </c>
      <c r="AD102" s="16">
        <v>0</v>
      </c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  <c r="BM102" s="22"/>
      <c r="BN102" s="22"/>
      <c r="BO102" s="22"/>
      <c r="BP102" s="22"/>
      <c r="BQ102" s="22"/>
      <c r="BR102" s="22"/>
      <c r="BS102" s="22"/>
      <c r="BT102" s="22"/>
      <c r="BU102" s="22"/>
      <c r="BV102" s="22"/>
      <c r="BW102" s="22"/>
      <c r="BX102" s="22"/>
      <c r="BY102" s="22"/>
      <c r="BZ102" s="22"/>
      <c r="CA102" s="22"/>
      <c r="CB102" s="22"/>
      <c r="CC102" s="22"/>
      <c r="CD102" s="22"/>
      <c r="CE102" s="22"/>
      <c r="CF102" s="22"/>
      <c r="CG102" s="22"/>
      <c r="CH102" s="22"/>
      <c r="CI102" s="22"/>
      <c r="CJ102" s="22"/>
      <c r="CK102" s="22"/>
      <c r="CL102" s="22"/>
      <c r="CM102" s="22"/>
      <c r="CN102" s="22"/>
      <c r="CO102" s="22"/>
      <c r="CP102" s="22"/>
      <c r="CQ102" s="22"/>
      <c r="CR102" s="22"/>
      <c r="CS102" s="22"/>
      <c r="CT102" s="22"/>
      <c r="CU102" s="22"/>
      <c r="CV102" s="22"/>
      <c r="CW102" s="22"/>
      <c r="CX102" s="22"/>
      <c r="CY102" s="22"/>
      <c r="CZ102" s="22"/>
      <c r="DA102" s="22"/>
      <c r="DB102" s="22"/>
      <c r="DC102" s="22"/>
      <c r="DD102" s="22"/>
      <c r="DE102" s="22"/>
      <c r="DF102" s="22"/>
      <c r="DG102" s="22"/>
      <c r="DH102" s="22"/>
      <c r="DI102" s="22"/>
      <c r="DJ102" s="22"/>
      <c r="DK102" s="22"/>
      <c r="DL102" s="22"/>
      <c r="DM102" s="22"/>
      <c r="DN102" s="22"/>
      <c r="DO102" s="22"/>
      <c r="DP102" s="22"/>
      <c r="DQ102" s="22"/>
      <c r="DR102" s="22"/>
      <c r="DS102" s="22"/>
      <c r="DT102" s="22"/>
      <c r="DU102" s="22"/>
      <c r="DV102" s="22"/>
      <c r="DW102" s="22"/>
      <c r="DX102" s="22"/>
      <c r="DY102" s="22"/>
      <c r="DZ102" s="22"/>
      <c r="EA102" s="22"/>
      <c r="EB102" s="22"/>
      <c r="EC102" s="22"/>
      <c r="ED102" s="22"/>
      <c r="EE102" s="22"/>
      <c r="EF102" s="22"/>
      <c r="EG102" s="22"/>
      <c r="EH102" s="22"/>
      <c r="EI102" s="22"/>
      <c r="EJ102" s="22"/>
      <c r="EK102" s="22"/>
      <c r="EL102" s="22"/>
      <c r="EM102" s="22"/>
      <c r="EN102" s="22"/>
      <c r="EO102" s="22"/>
      <c r="EP102" s="22"/>
      <c r="EQ102" s="22"/>
      <c r="ER102" s="22"/>
      <c r="ES102" s="22"/>
      <c r="ET102" s="22"/>
      <c r="EU102" s="22"/>
      <c r="EV102" s="22"/>
      <c r="EW102" s="22"/>
      <c r="EX102" s="22"/>
      <c r="EY102" s="22"/>
      <c r="EZ102" s="22"/>
      <c r="FA102" s="22"/>
      <c r="FB102" s="22"/>
      <c r="FC102" s="22"/>
      <c r="FD102" s="22"/>
      <c r="FE102" s="22"/>
      <c r="FF102" s="22"/>
      <c r="FG102" s="22"/>
      <c r="FH102" s="22"/>
      <c r="FI102" s="22"/>
      <c r="FJ102" s="22"/>
      <c r="FK102" s="22"/>
      <c r="FL102" s="22"/>
      <c r="FM102" s="22"/>
      <c r="FN102" s="22"/>
      <c r="FO102" s="22"/>
      <c r="FP102" s="22"/>
      <c r="FQ102" s="22"/>
      <c r="FR102" s="22"/>
      <c r="FS102" s="22"/>
      <c r="FT102" s="22"/>
      <c r="FU102" s="22"/>
      <c r="FV102" s="22"/>
      <c r="FW102" s="22"/>
      <c r="FX102" s="22"/>
      <c r="FY102" s="22"/>
      <c r="FZ102" s="22"/>
      <c r="GA102" s="22"/>
      <c r="GB102" s="22"/>
      <c r="GC102" s="22"/>
      <c r="GD102" s="22"/>
      <c r="GE102" s="22"/>
      <c r="GF102" s="22"/>
      <c r="GG102" s="22"/>
      <c r="GH102" s="22"/>
      <c r="GI102" s="22"/>
      <c r="GJ102" s="22"/>
      <c r="GK102" s="22"/>
      <c r="GL102" s="22"/>
      <c r="GM102" s="22"/>
      <c r="GN102" s="22"/>
      <c r="GO102" s="22"/>
      <c r="GP102" s="22"/>
      <c r="GQ102" s="22"/>
    </row>
    <row r="103" spans="3:199" s="2" customFormat="1" ht="20.100000000000001" customHeight="1">
      <c r="C103" s="10">
        <v>40030332</v>
      </c>
      <c r="D103" s="10" t="s">
        <v>139</v>
      </c>
      <c r="E103" s="12">
        <v>0</v>
      </c>
      <c r="F103" s="15">
        <v>0</v>
      </c>
      <c r="G103" s="12">
        <v>1</v>
      </c>
      <c r="H103" s="12">
        <v>20</v>
      </c>
      <c r="I103" s="12">
        <v>0.3</v>
      </c>
      <c r="J103" s="16">
        <v>0</v>
      </c>
      <c r="K103" s="16">
        <v>0</v>
      </c>
      <c r="L103" s="19">
        <v>0</v>
      </c>
      <c r="M103" s="19">
        <v>0</v>
      </c>
      <c r="N103" s="15">
        <v>0</v>
      </c>
      <c r="O103" s="17">
        <v>0</v>
      </c>
      <c r="P103" s="17">
        <v>0</v>
      </c>
      <c r="Q103" s="19">
        <v>10</v>
      </c>
      <c r="R103" s="19">
        <v>10</v>
      </c>
      <c r="S103" s="19">
        <v>10</v>
      </c>
      <c r="T103" s="19">
        <v>20</v>
      </c>
      <c r="U103" s="15">
        <v>0</v>
      </c>
      <c r="V103" s="15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6">
        <v>0</v>
      </c>
      <c r="AC103" s="16">
        <v>0</v>
      </c>
      <c r="AD103" s="16">
        <v>0</v>
      </c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  <c r="BM103" s="22"/>
      <c r="BN103" s="22"/>
      <c r="BO103" s="22"/>
      <c r="BP103" s="22"/>
      <c r="BQ103" s="22"/>
      <c r="BR103" s="22"/>
      <c r="BS103" s="22"/>
      <c r="BT103" s="22"/>
      <c r="BU103" s="22"/>
      <c r="BV103" s="22"/>
      <c r="BW103" s="22"/>
      <c r="BX103" s="22"/>
      <c r="BY103" s="22"/>
      <c r="BZ103" s="22"/>
      <c r="CA103" s="22"/>
      <c r="CB103" s="22"/>
      <c r="CC103" s="22"/>
      <c r="CD103" s="22"/>
      <c r="CE103" s="22"/>
      <c r="CF103" s="22"/>
      <c r="CG103" s="22"/>
      <c r="CH103" s="22"/>
      <c r="CI103" s="22"/>
      <c r="CJ103" s="22"/>
      <c r="CK103" s="22"/>
      <c r="CL103" s="22"/>
      <c r="CM103" s="22"/>
      <c r="CN103" s="22"/>
      <c r="CO103" s="22"/>
      <c r="CP103" s="22"/>
      <c r="CQ103" s="22"/>
      <c r="CR103" s="22"/>
      <c r="CS103" s="22"/>
      <c r="CT103" s="22"/>
      <c r="CU103" s="22"/>
      <c r="CV103" s="22"/>
      <c r="CW103" s="22"/>
      <c r="CX103" s="22"/>
      <c r="CY103" s="22"/>
      <c r="CZ103" s="22"/>
      <c r="DA103" s="22"/>
      <c r="DB103" s="22"/>
      <c r="DC103" s="22"/>
      <c r="DD103" s="22"/>
      <c r="DE103" s="22"/>
      <c r="DF103" s="22"/>
      <c r="DG103" s="22"/>
      <c r="DH103" s="22"/>
      <c r="DI103" s="22"/>
      <c r="DJ103" s="22"/>
      <c r="DK103" s="22"/>
      <c r="DL103" s="22"/>
      <c r="DM103" s="22"/>
      <c r="DN103" s="22"/>
      <c r="DO103" s="22"/>
      <c r="DP103" s="22"/>
      <c r="DQ103" s="22"/>
      <c r="DR103" s="22"/>
      <c r="DS103" s="22"/>
      <c r="DT103" s="22"/>
      <c r="DU103" s="22"/>
      <c r="DV103" s="22"/>
      <c r="DW103" s="22"/>
      <c r="DX103" s="22"/>
      <c r="DY103" s="22"/>
      <c r="DZ103" s="22"/>
      <c r="EA103" s="22"/>
      <c r="EB103" s="22"/>
      <c r="EC103" s="22"/>
      <c r="ED103" s="22"/>
      <c r="EE103" s="22"/>
      <c r="EF103" s="22"/>
      <c r="EG103" s="22"/>
      <c r="EH103" s="22"/>
      <c r="EI103" s="22"/>
      <c r="EJ103" s="22"/>
      <c r="EK103" s="22"/>
      <c r="EL103" s="22"/>
      <c r="EM103" s="22"/>
      <c r="EN103" s="22"/>
      <c r="EO103" s="22"/>
      <c r="EP103" s="22"/>
      <c r="EQ103" s="22"/>
      <c r="ER103" s="22"/>
      <c r="ES103" s="22"/>
      <c r="ET103" s="22"/>
      <c r="EU103" s="22"/>
      <c r="EV103" s="22"/>
      <c r="EW103" s="22"/>
      <c r="EX103" s="22"/>
      <c r="EY103" s="22"/>
      <c r="EZ103" s="22"/>
      <c r="FA103" s="22"/>
      <c r="FB103" s="22"/>
      <c r="FC103" s="22"/>
      <c r="FD103" s="22"/>
      <c r="FE103" s="22"/>
      <c r="FF103" s="22"/>
      <c r="FG103" s="22"/>
      <c r="FH103" s="22"/>
      <c r="FI103" s="22"/>
      <c r="FJ103" s="22"/>
      <c r="FK103" s="22"/>
      <c r="FL103" s="22"/>
      <c r="FM103" s="22"/>
      <c r="FN103" s="22"/>
      <c r="FO103" s="22"/>
      <c r="FP103" s="22"/>
      <c r="FQ103" s="22"/>
      <c r="FR103" s="22"/>
      <c r="FS103" s="22"/>
      <c r="FT103" s="22"/>
      <c r="FU103" s="22"/>
      <c r="FV103" s="22"/>
      <c r="FW103" s="22"/>
      <c r="FX103" s="22"/>
      <c r="FY103" s="22"/>
      <c r="FZ103" s="22"/>
      <c r="GA103" s="22"/>
      <c r="GB103" s="22"/>
      <c r="GC103" s="22"/>
      <c r="GD103" s="22"/>
      <c r="GE103" s="22"/>
      <c r="GF103" s="22"/>
      <c r="GG103" s="22"/>
      <c r="GH103" s="22"/>
      <c r="GI103" s="22"/>
      <c r="GJ103" s="22"/>
      <c r="GK103" s="22"/>
      <c r="GL103" s="22"/>
      <c r="GM103" s="22"/>
      <c r="GN103" s="22"/>
      <c r="GO103" s="22"/>
      <c r="GP103" s="22"/>
      <c r="GQ103" s="22"/>
    </row>
    <row r="104" spans="3:199" s="2" customFormat="1" ht="20.100000000000001" customHeight="1">
      <c r="C104" s="13">
        <v>40030333</v>
      </c>
      <c r="D104" s="10" t="s">
        <v>140</v>
      </c>
      <c r="E104" s="12">
        <v>0</v>
      </c>
      <c r="F104" s="15">
        <v>0</v>
      </c>
      <c r="G104" s="12">
        <v>1</v>
      </c>
      <c r="H104" s="12">
        <v>20</v>
      </c>
      <c r="I104" s="12">
        <v>0.3</v>
      </c>
      <c r="J104" s="16">
        <v>0</v>
      </c>
      <c r="K104" s="16">
        <v>0</v>
      </c>
      <c r="L104" s="19">
        <v>200</v>
      </c>
      <c r="M104" s="19">
        <v>0</v>
      </c>
      <c r="N104" s="15">
        <v>0</v>
      </c>
      <c r="O104" s="17">
        <v>0</v>
      </c>
      <c r="P104" s="17">
        <v>0</v>
      </c>
      <c r="Q104" s="19">
        <v>10</v>
      </c>
      <c r="R104" s="19">
        <v>20</v>
      </c>
      <c r="S104" s="19">
        <v>10</v>
      </c>
      <c r="T104" s="19">
        <v>20</v>
      </c>
      <c r="U104" s="15">
        <v>0</v>
      </c>
      <c r="V104" s="15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0</v>
      </c>
      <c r="AB104" s="16">
        <v>0</v>
      </c>
      <c r="AC104" s="16">
        <v>0</v>
      </c>
      <c r="AD104" s="16">
        <v>0</v>
      </c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  <c r="BM104" s="22"/>
      <c r="BN104" s="22"/>
      <c r="BO104" s="22"/>
      <c r="BP104" s="22"/>
      <c r="BQ104" s="22"/>
      <c r="BR104" s="22"/>
      <c r="BS104" s="22"/>
      <c r="BT104" s="22"/>
      <c r="BU104" s="22"/>
      <c r="BV104" s="22"/>
      <c r="BW104" s="22"/>
      <c r="BX104" s="22"/>
      <c r="BY104" s="22"/>
      <c r="BZ104" s="22"/>
      <c r="CA104" s="22"/>
      <c r="CB104" s="22"/>
      <c r="CC104" s="22"/>
      <c r="CD104" s="22"/>
      <c r="CE104" s="22"/>
      <c r="CF104" s="22"/>
      <c r="CG104" s="22"/>
      <c r="CH104" s="22"/>
      <c r="CI104" s="22"/>
      <c r="CJ104" s="22"/>
      <c r="CK104" s="22"/>
      <c r="CL104" s="22"/>
      <c r="CM104" s="22"/>
      <c r="CN104" s="22"/>
      <c r="CO104" s="22"/>
      <c r="CP104" s="22"/>
      <c r="CQ104" s="22"/>
      <c r="CR104" s="22"/>
      <c r="CS104" s="22"/>
      <c r="CT104" s="22"/>
      <c r="CU104" s="22"/>
      <c r="CV104" s="22"/>
      <c r="CW104" s="22"/>
      <c r="CX104" s="22"/>
      <c r="CY104" s="22"/>
      <c r="CZ104" s="22"/>
      <c r="DA104" s="22"/>
      <c r="DB104" s="22"/>
      <c r="DC104" s="22"/>
      <c r="DD104" s="22"/>
      <c r="DE104" s="22"/>
      <c r="DF104" s="22"/>
      <c r="DG104" s="22"/>
      <c r="DH104" s="22"/>
      <c r="DI104" s="22"/>
      <c r="DJ104" s="22"/>
      <c r="DK104" s="22"/>
      <c r="DL104" s="22"/>
      <c r="DM104" s="22"/>
      <c r="DN104" s="22"/>
      <c r="DO104" s="22"/>
      <c r="DP104" s="22"/>
      <c r="DQ104" s="22"/>
      <c r="DR104" s="22"/>
      <c r="DS104" s="22"/>
      <c r="DT104" s="22"/>
      <c r="DU104" s="22"/>
      <c r="DV104" s="22"/>
      <c r="DW104" s="22"/>
      <c r="DX104" s="22"/>
      <c r="DY104" s="22"/>
      <c r="DZ104" s="22"/>
      <c r="EA104" s="22"/>
      <c r="EB104" s="22"/>
      <c r="EC104" s="22"/>
      <c r="ED104" s="22"/>
      <c r="EE104" s="22"/>
      <c r="EF104" s="22"/>
      <c r="EG104" s="22"/>
      <c r="EH104" s="22"/>
      <c r="EI104" s="22"/>
      <c r="EJ104" s="22"/>
      <c r="EK104" s="22"/>
      <c r="EL104" s="22"/>
      <c r="EM104" s="22"/>
      <c r="EN104" s="22"/>
      <c r="EO104" s="22"/>
      <c r="EP104" s="22"/>
      <c r="EQ104" s="22"/>
      <c r="ER104" s="22"/>
      <c r="ES104" s="22"/>
      <c r="ET104" s="22"/>
      <c r="EU104" s="22"/>
      <c r="EV104" s="22"/>
      <c r="EW104" s="22"/>
      <c r="EX104" s="22"/>
      <c r="EY104" s="22"/>
      <c r="EZ104" s="22"/>
      <c r="FA104" s="22"/>
      <c r="FB104" s="22"/>
      <c r="FC104" s="22"/>
      <c r="FD104" s="22"/>
      <c r="FE104" s="22"/>
      <c r="FF104" s="22"/>
      <c r="FG104" s="22"/>
      <c r="FH104" s="22"/>
      <c r="FI104" s="22"/>
      <c r="FJ104" s="22"/>
      <c r="FK104" s="22"/>
      <c r="FL104" s="22"/>
      <c r="FM104" s="22"/>
      <c r="FN104" s="22"/>
      <c r="FO104" s="22"/>
      <c r="FP104" s="22"/>
      <c r="FQ104" s="22"/>
      <c r="FR104" s="22"/>
      <c r="FS104" s="22"/>
      <c r="FT104" s="22"/>
      <c r="FU104" s="22"/>
      <c r="FV104" s="22"/>
      <c r="FW104" s="22"/>
      <c r="FX104" s="22"/>
      <c r="FY104" s="22"/>
      <c r="FZ104" s="22"/>
      <c r="GA104" s="22"/>
      <c r="GB104" s="22"/>
      <c r="GC104" s="22"/>
      <c r="GD104" s="22"/>
      <c r="GE104" s="22"/>
      <c r="GF104" s="22"/>
      <c r="GG104" s="22"/>
      <c r="GH104" s="22"/>
      <c r="GI104" s="22"/>
      <c r="GJ104" s="22"/>
      <c r="GK104" s="22"/>
      <c r="GL104" s="22"/>
      <c r="GM104" s="22"/>
      <c r="GN104" s="22"/>
      <c r="GO104" s="22"/>
      <c r="GP104" s="22"/>
      <c r="GQ104" s="22"/>
    </row>
    <row r="105" spans="3:199" s="2" customFormat="1" ht="20.100000000000001" customHeight="1">
      <c r="C105" s="10">
        <v>40030334</v>
      </c>
      <c r="D105" s="10" t="s">
        <v>141</v>
      </c>
      <c r="E105" s="12">
        <v>0</v>
      </c>
      <c r="F105" s="12">
        <v>1202</v>
      </c>
      <c r="G105" s="12">
        <v>1</v>
      </c>
      <c r="H105" s="12">
        <v>20</v>
      </c>
      <c r="I105" s="12">
        <v>0.3</v>
      </c>
      <c r="J105" s="16">
        <v>0</v>
      </c>
      <c r="K105" s="16">
        <v>0</v>
      </c>
      <c r="L105" s="15">
        <v>0</v>
      </c>
      <c r="M105" s="15">
        <v>100</v>
      </c>
      <c r="N105" s="15">
        <v>600</v>
      </c>
      <c r="O105" s="17">
        <v>0</v>
      </c>
      <c r="P105" s="17">
        <v>0</v>
      </c>
      <c r="Q105" s="19">
        <v>0</v>
      </c>
      <c r="R105" s="19">
        <v>0</v>
      </c>
      <c r="S105" s="19">
        <v>0</v>
      </c>
      <c r="T105" s="19">
        <v>0</v>
      </c>
      <c r="U105" s="18">
        <v>0</v>
      </c>
      <c r="V105" s="18">
        <v>0</v>
      </c>
      <c r="W105" s="18">
        <v>0</v>
      </c>
      <c r="X105" s="18">
        <v>0</v>
      </c>
      <c r="Y105" s="18">
        <v>0</v>
      </c>
      <c r="Z105" s="18">
        <v>0</v>
      </c>
      <c r="AA105" s="18">
        <v>0</v>
      </c>
      <c r="AB105" s="16">
        <v>0</v>
      </c>
      <c r="AC105" s="16">
        <v>0</v>
      </c>
      <c r="AD105" s="16">
        <v>0</v>
      </c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  <c r="BM105" s="22"/>
      <c r="BN105" s="22"/>
      <c r="BO105" s="22"/>
      <c r="BP105" s="22"/>
      <c r="BQ105" s="22"/>
      <c r="BR105" s="22"/>
      <c r="BS105" s="22"/>
      <c r="BT105" s="22"/>
      <c r="BU105" s="22"/>
      <c r="BV105" s="22"/>
      <c r="BW105" s="22"/>
      <c r="BX105" s="22"/>
      <c r="BY105" s="22"/>
      <c r="BZ105" s="22"/>
      <c r="CA105" s="22"/>
      <c r="CB105" s="22"/>
      <c r="CC105" s="22"/>
      <c r="CD105" s="22"/>
      <c r="CE105" s="22"/>
      <c r="CF105" s="22"/>
      <c r="CG105" s="22"/>
      <c r="CH105" s="22"/>
      <c r="CI105" s="22"/>
      <c r="CJ105" s="22"/>
      <c r="CK105" s="22"/>
      <c r="CL105" s="22"/>
      <c r="CM105" s="22"/>
      <c r="CN105" s="22"/>
      <c r="CO105" s="22"/>
      <c r="CP105" s="22"/>
      <c r="CQ105" s="22"/>
      <c r="CR105" s="22"/>
      <c r="CS105" s="22"/>
      <c r="CT105" s="22"/>
      <c r="CU105" s="22"/>
      <c r="CV105" s="22"/>
      <c r="CW105" s="22"/>
      <c r="CX105" s="22"/>
      <c r="CY105" s="22"/>
      <c r="CZ105" s="22"/>
      <c r="DA105" s="22"/>
      <c r="DB105" s="22"/>
      <c r="DC105" s="22"/>
      <c r="DD105" s="22"/>
      <c r="DE105" s="22"/>
      <c r="DF105" s="22"/>
      <c r="DG105" s="22"/>
      <c r="DH105" s="22"/>
      <c r="DI105" s="22"/>
      <c r="DJ105" s="22"/>
      <c r="DK105" s="22"/>
      <c r="DL105" s="22"/>
      <c r="DM105" s="22"/>
      <c r="DN105" s="22"/>
      <c r="DO105" s="22"/>
      <c r="DP105" s="22"/>
      <c r="DQ105" s="22"/>
      <c r="DR105" s="22"/>
      <c r="DS105" s="22"/>
      <c r="DT105" s="22"/>
      <c r="DU105" s="22"/>
      <c r="DV105" s="22"/>
      <c r="DW105" s="22"/>
      <c r="DX105" s="22"/>
      <c r="DY105" s="22"/>
      <c r="DZ105" s="22"/>
      <c r="EA105" s="22"/>
      <c r="EB105" s="22"/>
      <c r="EC105" s="22"/>
      <c r="ED105" s="22"/>
      <c r="EE105" s="22"/>
      <c r="EF105" s="22"/>
      <c r="EG105" s="22"/>
      <c r="EH105" s="22"/>
      <c r="EI105" s="22"/>
      <c r="EJ105" s="22"/>
      <c r="EK105" s="22"/>
      <c r="EL105" s="22"/>
      <c r="EM105" s="22"/>
      <c r="EN105" s="22"/>
      <c r="EO105" s="22"/>
      <c r="EP105" s="22"/>
      <c r="EQ105" s="22"/>
      <c r="ER105" s="22"/>
      <c r="ES105" s="22"/>
      <c r="ET105" s="22"/>
      <c r="EU105" s="22"/>
      <c r="EV105" s="22"/>
      <c r="EW105" s="22"/>
      <c r="EX105" s="22"/>
      <c r="EY105" s="22"/>
      <c r="EZ105" s="22"/>
      <c r="FA105" s="22"/>
      <c r="FB105" s="22"/>
      <c r="FC105" s="22"/>
      <c r="FD105" s="22"/>
      <c r="FE105" s="22"/>
      <c r="FF105" s="22"/>
      <c r="FG105" s="22"/>
      <c r="FH105" s="22"/>
      <c r="FI105" s="22"/>
      <c r="FJ105" s="22"/>
      <c r="FK105" s="22"/>
      <c r="FL105" s="22"/>
      <c r="FM105" s="22"/>
      <c r="FN105" s="22"/>
      <c r="FO105" s="22"/>
      <c r="FP105" s="22"/>
      <c r="FQ105" s="22"/>
      <c r="FR105" s="22"/>
      <c r="FS105" s="22"/>
      <c r="FT105" s="22"/>
      <c r="FU105" s="22"/>
      <c r="FV105" s="22"/>
      <c r="FW105" s="22"/>
      <c r="FX105" s="22"/>
      <c r="FY105" s="22"/>
      <c r="FZ105" s="22"/>
      <c r="GA105" s="22"/>
      <c r="GB105" s="22"/>
      <c r="GC105" s="22"/>
      <c r="GD105" s="22"/>
      <c r="GE105" s="22"/>
      <c r="GF105" s="22"/>
      <c r="GG105" s="22"/>
      <c r="GH105" s="22"/>
      <c r="GI105" s="22"/>
      <c r="GJ105" s="22"/>
      <c r="GK105" s="22"/>
      <c r="GL105" s="22"/>
      <c r="GM105" s="22"/>
      <c r="GN105" s="22"/>
      <c r="GO105" s="22"/>
      <c r="GP105" s="22"/>
      <c r="GQ105" s="22"/>
    </row>
    <row r="106" spans="3:199" s="2" customFormat="1" ht="20.100000000000001" customHeight="1">
      <c r="C106" s="13">
        <v>40030335</v>
      </c>
      <c r="D106" s="10" t="s">
        <v>142</v>
      </c>
      <c r="E106" s="12">
        <v>0</v>
      </c>
      <c r="F106" s="12">
        <v>1202</v>
      </c>
      <c r="G106" s="12">
        <v>1</v>
      </c>
      <c r="H106" s="12">
        <v>20</v>
      </c>
      <c r="I106" s="12">
        <v>0.3</v>
      </c>
      <c r="J106" s="16">
        <v>0</v>
      </c>
      <c r="K106" s="16">
        <v>0</v>
      </c>
      <c r="L106" s="15">
        <v>1000</v>
      </c>
      <c r="M106" s="15">
        <v>0</v>
      </c>
      <c r="N106" s="15">
        <v>0</v>
      </c>
      <c r="O106" s="17">
        <v>0</v>
      </c>
      <c r="P106" s="17">
        <v>0</v>
      </c>
      <c r="Q106" s="19">
        <v>30</v>
      </c>
      <c r="R106" s="19">
        <v>100</v>
      </c>
      <c r="S106" s="19">
        <v>30</v>
      </c>
      <c r="T106" s="19">
        <v>100</v>
      </c>
      <c r="U106" s="18">
        <v>0</v>
      </c>
      <c r="V106" s="18">
        <v>0</v>
      </c>
      <c r="W106" s="18">
        <v>0</v>
      </c>
      <c r="X106" s="18">
        <v>0</v>
      </c>
      <c r="Y106" s="18">
        <v>0</v>
      </c>
      <c r="Z106" s="18">
        <v>0</v>
      </c>
      <c r="AA106" s="18">
        <v>0</v>
      </c>
      <c r="AB106" s="16">
        <v>0</v>
      </c>
      <c r="AC106" s="16">
        <v>0</v>
      </c>
      <c r="AD106" s="16">
        <v>0</v>
      </c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  <c r="BM106" s="22"/>
      <c r="BN106" s="22"/>
      <c r="BO106" s="22"/>
      <c r="BP106" s="22"/>
      <c r="BQ106" s="22"/>
      <c r="BR106" s="22"/>
      <c r="BS106" s="22"/>
      <c r="BT106" s="22"/>
      <c r="BU106" s="22"/>
      <c r="BV106" s="22"/>
      <c r="BW106" s="22"/>
      <c r="BX106" s="22"/>
      <c r="BY106" s="22"/>
      <c r="BZ106" s="22"/>
      <c r="CA106" s="22"/>
      <c r="CB106" s="22"/>
      <c r="CC106" s="22"/>
      <c r="CD106" s="22"/>
      <c r="CE106" s="22"/>
      <c r="CF106" s="22"/>
      <c r="CG106" s="22"/>
      <c r="CH106" s="22"/>
      <c r="CI106" s="22"/>
      <c r="CJ106" s="22"/>
      <c r="CK106" s="22"/>
      <c r="CL106" s="22"/>
      <c r="CM106" s="22"/>
      <c r="CN106" s="22"/>
      <c r="CO106" s="22"/>
      <c r="CP106" s="22"/>
      <c r="CQ106" s="22"/>
      <c r="CR106" s="22"/>
      <c r="CS106" s="22"/>
      <c r="CT106" s="22"/>
      <c r="CU106" s="22"/>
      <c r="CV106" s="22"/>
      <c r="CW106" s="22"/>
      <c r="CX106" s="22"/>
      <c r="CY106" s="22"/>
      <c r="CZ106" s="22"/>
      <c r="DA106" s="22"/>
      <c r="DB106" s="22"/>
      <c r="DC106" s="22"/>
      <c r="DD106" s="22"/>
      <c r="DE106" s="22"/>
      <c r="DF106" s="22"/>
      <c r="DG106" s="22"/>
      <c r="DH106" s="22"/>
      <c r="DI106" s="22"/>
      <c r="DJ106" s="22"/>
      <c r="DK106" s="22"/>
      <c r="DL106" s="22"/>
      <c r="DM106" s="22"/>
      <c r="DN106" s="22"/>
      <c r="DO106" s="22"/>
      <c r="DP106" s="22"/>
      <c r="DQ106" s="22"/>
      <c r="DR106" s="22"/>
      <c r="DS106" s="22"/>
      <c r="DT106" s="22"/>
      <c r="DU106" s="22"/>
      <c r="DV106" s="22"/>
      <c r="DW106" s="22"/>
      <c r="DX106" s="22"/>
      <c r="DY106" s="22"/>
      <c r="DZ106" s="22"/>
      <c r="EA106" s="22"/>
      <c r="EB106" s="22"/>
      <c r="EC106" s="22"/>
      <c r="ED106" s="22"/>
      <c r="EE106" s="22"/>
      <c r="EF106" s="22"/>
      <c r="EG106" s="22"/>
      <c r="EH106" s="22"/>
      <c r="EI106" s="22"/>
      <c r="EJ106" s="22"/>
      <c r="EK106" s="22"/>
      <c r="EL106" s="22"/>
      <c r="EM106" s="22"/>
      <c r="EN106" s="22"/>
      <c r="EO106" s="22"/>
      <c r="EP106" s="22"/>
      <c r="EQ106" s="22"/>
      <c r="ER106" s="22"/>
      <c r="ES106" s="22"/>
      <c r="ET106" s="22"/>
      <c r="EU106" s="22"/>
      <c r="EV106" s="22"/>
      <c r="EW106" s="22"/>
      <c r="EX106" s="22"/>
      <c r="EY106" s="22"/>
      <c r="EZ106" s="22"/>
      <c r="FA106" s="22"/>
      <c r="FB106" s="22"/>
      <c r="FC106" s="22"/>
      <c r="FD106" s="22"/>
      <c r="FE106" s="22"/>
      <c r="FF106" s="22"/>
      <c r="FG106" s="22"/>
      <c r="FH106" s="22"/>
      <c r="FI106" s="22"/>
      <c r="FJ106" s="22"/>
      <c r="FK106" s="22"/>
      <c r="FL106" s="22"/>
      <c r="FM106" s="22"/>
      <c r="FN106" s="22"/>
      <c r="FO106" s="22"/>
      <c r="FP106" s="22"/>
      <c r="FQ106" s="22"/>
      <c r="FR106" s="22"/>
      <c r="FS106" s="22"/>
      <c r="FT106" s="22"/>
      <c r="FU106" s="22"/>
      <c r="FV106" s="22"/>
      <c r="FW106" s="22"/>
      <c r="FX106" s="22"/>
      <c r="FY106" s="22"/>
      <c r="FZ106" s="22"/>
      <c r="GA106" s="22"/>
      <c r="GB106" s="22"/>
      <c r="GC106" s="22"/>
      <c r="GD106" s="22"/>
      <c r="GE106" s="22"/>
      <c r="GF106" s="22"/>
      <c r="GG106" s="22"/>
      <c r="GH106" s="22"/>
      <c r="GI106" s="22"/>
      <c r="GJ106" s="22"/>
      <c r="GK106" s="22"/>
      <c r="GL106" s="22"/>
      <c r="GM106" s="22"/>
      <c r="GN106" s="22"/>
      <c r="GO106" s="22"/>
      <c r="GP106" s="22"/>
      <c r="GQ106" s="22"/>
    </row>
    <row r="107" spans="3:199" s="2" customFormat="1" ht="20.100000000000001" customHeight="1">
      <c r="C107" s="14">
        <v>40030401</v>
      </c>
      <c r="D107" s="15" t="s">
        <v>143</v>
      </c>
      <c r="E107" s="12">
        <v>0</v>
      </c>
      <c r="F107" s="15">
        <v>1303</v>
      </c>
      <c r="G107" s="12">
        <v>1</v>
      </c>
      <c r="H107" s="12">
        <v>30</v>
      </c>
      <c r="I107" s="12">
        <v>0.3</v>
      </c>
      <c r="J107" s="16">
        <v>0</v>
      </c>
      <c r="K107" s="16">
        <v>0</v>
      </c>
      <c r="L107" s="15">
        <v>0</v>
      </c>
      <c r="M107" s="15">
        <v>30</v>
      </c>
      <c r="N107" s="15">
        <v>70</v>
      </c>
      <c r="O107" s="17">
        <v>0</v>
      </c>
      <c r="P107" s="17">
        <v>0</v>
      </c>
      <c r="Q107" s="19">
        <v>20</v>
      </c>
      <c r="R107" s="19">
        <v>60</v>
      </c>
      <c r="S107" s="19">
        <v>20</v>
      </c>
      <c r="T107" s="19">
        <v>60</v>
      </c>
      <c r="U107" s="18">
        <v>0</v>
      </c>
      <c r="V107" s="18">
        <v>0</v>
      </c>
      <c r="W107" s="18">
        <v>0</v>
      </c>
      <c r="X107" s="18">
        <v>0</v>
      </c>
      <c r="Y107" s="18">
        <v>0</v>
      </c>
      <c r="Z107" s="18">
        <v>0</v>
      </c>
      <c r="AA107" s="18">
        <v>0</v>
      </c>
      <c r="AB107" s="16">
        <v>0</v>
      </c>
      <c r="AC107" s="16">
        <v>0</v>
      </c>
      <c r="AD107" s="16">
        <v>0</v>
      </c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  <c r="BM107" s="22"/>
      <c r="BN107" s="22"/>
      <c r="BO107" s="22"/>
      <c r="BP107" s="22"/>
      <c r="BQ107" s="22"/>
      <c r="BR107" s="22"/>
      <c r="BS107" s="22"/>
      <c r="BT107" s="22"/>
      <c r="BU107" s="22"/>
      <c r="BV107" s="22"/>
      <c r="BW107" s="22"/>
      <c r="BX107" s="22"/>
      <c r="BY107" s="22"/>
      <c r="BZ107" s="22"/>
      <c r="CA107" s="22"/>
      <c r="CB107" s="22"/>
      <c r="CC107" s="22"/>
      <c r="CD107" s="22"/>
      <c r="CE107" s="22"/>
      <c r="CF107" s="22"/>
      <c r="CG107" s="22"/>
      <c r="CH107" s="22"/>
      <c r="CI107" s="22"/>
      <c r="CJ107" s="22"/>
      <c r="CK107" s="22"/>
      <c r="CL107" s="22"/>
      <c r="CM107" s="22"/>
      <c r="CN107" s="22"/>
      <c r="CO107" s="22"/>
      <c r="CP107" s="22"/>
      <c r="CQ107" s="22"/>
      <c r="CR107" s="22"/>
      <c r="CS107" s="22"/>
      <c r="CT107" s="22"/>
      <c r="CU107" s="22"/>
      <c r="CV107" s="22"/>
      <c r="CW107" s="22"/>
      <c r="CX107" s="22"/>
      <c r="CY107" s="22"/>
      <c r="CZ107" s="22"/>
      <c r="DA107" s="22"/>
      <c r="DB107" s="22"/>
      <c r="DC107" s="22"/>
      <c r="DD107" s="22"/>
      <c r="DE107" s="22"/>
      <c r="DF107" s="22"/>
      <c r="DG107" s="22"/>
      <c r="DH107" s="22"/>
      <c r="DI107" s="22"/>
      <c r="DJ107" s="22"/>
      <c r="DK107" s="22"/>
      <c r="DL107" s="22"/>
      <c r="DM107" s="22"/>
      <c r="DN107" s="22"/>
      <c r="DO107" s="22"/>
      <c r="DP107" s="22"/>
      <c r="DQ107" s="22"/>
      <c r="DR107" s="22"/>
      <c r="DS107" s="22"/>
      <c r="DT107" s="22"/>
      <c r="DU107" s="22"/>
      <c r="DV107" s="22"/>
      <c r="DW107" s="22"/>
      <c r="DX107" s="22"/>
      <c r="DY107" s="22"/>
      <c r="DZ107" s="22"/>
      <c r="EA107" s="22"/>
      <c r="EB107" s="22"/>
      <c r="EC107" s="22"/>
      <c r="ED107" s="22"/>
      <c r="EE107" s="22"/>
      <c r="EF107" s="22"/>
      <c r="EG107" s="22"/>
      <c r="EH107" s="22"/>
      <c r="EI107" s="22"/>
      <c r="EJ107" s="22"/>
      <c r="EK107" s="22"/>
      <c r="EL107" s="22"/>
      <c r="EM107" s="22"/>
      <c r="EN107" s="22"/>
      <c r="EO107" s="22"/>
      <c r="EP107" s="22"/>
      <c r="EQ107" s="22"/>
      <c r="ER107" s="22"/>
      <c r="ES107" s="22"/>
      <c r="ET107" s="22"/>
      <c r="EU107" s="22"/>
      <c r="EV107" s="22"/>
      <c r="EW107" s="22"/>
      <c r="EX107" s="22"/>
      <c r="EY107" s="22"/>
      <c r="EZ107" s="22"/>
      <c r="FA107" s="22"/>
      <c r="FB107" s="22"/>
      <c r="FC107" s="22"/>
      <c r="FD107" s="22"/>
      <c r="FE107" s="22"/>
      <c r="FF107" s="22"/>
      <c r="FG107" s="22"/>
      <c r="FH107" s="22"/>
      <c r="FI107" s="22"/>
      <c r="FJ107" s="22"/>
      <c r="FK107" s="22"/>
      <c r="FL107" s="22"/>
      <c r="FM107" s="22"/>
      <c r="FN107" s="22"/>
      <c r="FO107" s="22"/>
      <c r="FP107" s="22"/>
      <c r="FQ107" s="22"/>
      <c r="FR107" s="22"/>
      <c r="FS107" s="22"/>
      <c r="FT107" s="22"/>
      <c r="FU107" s="22"/>
      <c r="FV107" s="22"/>
      <c r="FW107" s="22"/>
      <c r="FX107" s="22"/>
      <c r="FY107" s="22"/>
      <c r="FZ107" s="22"/>
      <c r="GA107" s="22"/>
      <c r="GB107" s="22"/>
      <c r="GC107" s="22"/>
      <c r="GD107" s="22"/>
      <c r="GE107" s="22"/>
      <c r="GF107" s="22"/>
      <c r="GG107" s="22"/>
      <c r="GH107" s="22"/>
      <c r="GI107" s="22"/>
      <c r="GJ107" s="22"/>
      <c r="GK107" s="22"/>
      <c r="GL107" s="22"/>
      <c r="GM107" s="22"/>
      <c r="GN107" s="22"/>
      <c r="GO107" s="22"/>
      <c r="GP107" s="22"/>
      <c r="GQ107" s="22"/>
    </row>
    <row r="108" spans="3:199" s="2" customFormat="1" ht="20.100000000000001" customHeight="1">
      <c r="C108" s="14">
        <v>40030402</v>
      </c>
      <c r="D108" s="15" t="s">
        <v>144</v>
      </c>
      <c r="E108" s="12">
        <v>0</v>
      </c>
      <c r="F108" s="15">
        <v>0</v>
      </c>
      <c r="G108" s="12">
        <v>1</v>
      </c>
      <c r="H108" s="12">
        <v>30</v>
      </c>
      <c r="I108" s="12">
        <v>0.3</v>
      </c>
      <c r="J108" s="16">
        <v>0</v>
      </c>
      <c r="K108" s="16">
        <v>0</v>
      </c>
      <c r="L108" s="15">
        <v>0</v>
      </c>
      <c r="M108" s="15">
        <v>10</v>
      </c>
      <c r="N108" s="15">
        <v>60</v>
      </c>
      <c r="O108" s="17">
        <v>0</v>
      </c>
      <c r="P108" s="17">
        <v>0</v>
      </c>
      <c r="Q108" s="19">
        <v>10</v>
      </c>
      <c r="R108" s="19">
        <v>30</v>
      </c>
      <c r="S108" s="19">
        <v>10</v>
      </c>
      <c r="T108" s="19">
        <v>30</v>
      </c>
      <c r="U108" s="18">
        <v>0</v>
      </c>
      <c r="V108" s="18">
        <v>0</v>
      </c>
      <c r="W108" s="18">
        <v>0</v>
      </c>
      <c r="X108" s="18">
        <v>0</v>
      </c>
      <c r="Y108" s="18">
        <v>0</v>
      </c>
      <c r="Z108" s="18">
        <v>0</v>
      </c>
      <c r="AA108" s="18">
        <v>0</v>
      </c>
      <c r="AB108" s="16">
        <v>0</v>
      </c>
      <c r="AC108" s="16">
        <v>0</v>
      </c>
      <c r="AD108" s="16">
        <v>0</v>
      </c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  <c r="BM108" s="22"/>
      <c r="BN108" s="22"/>
      <c r="BO108" s="22"/>
      <c r="BP108" s="22"/>
      <c r="BQ108" s="22"/>
      <c r="BR108" s="22"/>
      <c r="BS108" s="22"/>
      <c r="BT108" s="22"/>
      <c r="BU108" s="22"/>
      <c r="BV108" s="22"/>
      <c r="BW108" s="22"/>
      <c r="BX108" s="22"/>
      <c r="BY108" s="22"/>
      <c r="BZ108" s="22"/>
      <c r="CA108" s="22"/>
      <c r="CB108" s="22"/>
      <c r="CC108" s="22"/>
      <c r="CD108" s="22"/>
      <c r="CE108" s="22"/>
      <c r="CF108" s="22"/>
      <c r="CG108" s="22"/>
      <c r="CH108" s="22"/>
      <c r="CI108" s="22"/>
      <c r="CJ108" s="22"/>
      <c r="CK108" s="22"/>
      <c r="CL108" s="22"/>
      <c r="CM108" s="22"/>
      <c r="CN108" s="22"/>
      <c r="CO108" s="22"/>
      <c r="CP108" s="22"/>
      <c r="CQ108" s="22"/>
      <c r="CR108" s="22"/>
      <c r="CS108" s="22"/>
      <c r="CT108" s="22"/>
      <c r="CU108" s="22"/>
      <c r="CV108" s="22"/>
      <c r="CW108" s="22"/>
      <c r="CX108" s="22"/>
      <c r="CY108" s="22"/>
      <c r="CZ108" s="22"/>
      <c r="DA108" s="22"/>
      <c r="DB108" s="22"/>
      <c r="DC108" s="22"/>
      <c r="DD108" s="22"/>
      <c r="DE108" s="22"/>
      <c r="DF108" s="22"/>
      <c r="DG108" s="22"/>
      <c r="DH108" s="22"/>
      <c r="DI108" s="22"/>
      <c r="DJ108" s="22"/>
      <c r="DK108" s="22"/>
      <c r="DL108" s="22"/>
      <c r="DM108" s="22"/>
      <c r="DN108" s="22"/>
      <c r="DO108" s="22"/>
      <c r="DP108" s="22"/>
      <c r="DQ108" s="22"/>
      <c r="DR108" s="22"/>
      <c r="DS108" s="22"/>
      <c r="DT108" s="22"/>
      <c r="DU108" s="22"/>
      <c r="DV108" s="22"/>
      <c r="DW108" s="22"/>
      <c r="DX108" s="22"/>
      <c r="DY108" s="22"/>
      <c r="DZ108" s="22"/>
      <c r="EA108" s="22"/>
      <c r="EB108" s="22"/>
      <c r="EC108" s="22"/>
      <c r="ED108" s="22"/>
      <c r="EE108" s="22"/>
      <c r="EF108" s="22"/>
      <c r="EG108" s="22"/>
      <c r="EH108" s="22"/>
      <c r="EI108" s="22"/>
      <c r="EJ108" s="22"/>
      <c r="EK108" s="22"/>
      <c r="EL108" s="22"/>
      <c r="EM108" s="22"/>
      <c r="EN108" s="22"/>
      <c r="EO108" s="22"/>
      <c r="EP108" s="22"/>
      <c r="EQ108" s="22"/>
      <c r="ER108" s="22"/>
      <c r="ES108" s="22"/>
      <c r="ET108" s="22"/>
      <c r="EU108" s="22"/>
      <c r="EV108" s="22"/>
      <c r="EW108" s="22"/>
      <c r="EX108" s="22"/>
      <c r="EY108" s="22"/>
      <c r="EZ108" s="22"/>
      <c r="FA108" s="22"/>
      <c r="FB108" s="22"/>
      <c r="FC108" s="22"/>
      <c r="FD108" s="22"/>
      <c r="FE108" s="22"/>
      <c r="FF108" s="22"/>
      <c r="FG108" s="22"/>
      <c r="FH108" s="22"/>
      <c r="FI108" s="22"/>
      <c r="FJ108" s="22"/>
      <c r="FK108" s="22"/>
      <c r="FL108" s="22"/>
      <c r="FM108" s="22"/>
      <c r="FN108" s="22"/>
      <c r="FO108" s="22"/>
      <c r="FP108" s="22"/>
      <c r="FQ108" s="22"/>
      <c r="FR108" s="22"/>
      <c r="FS108" s="22"/>
      <c r="FT108" s="22"/>
      <c r="FU108" s="22"/>
      <c r="FV108" s="22"/>
      <c r="FW108" s="22"/>
      <c r="FX108" s="22"/>
      <c r="FY108" s="22"/>
      <c r="FZ108" s="22"/>
      <c r="GA108" s="22"/>
      <c r="GB108" s="22"/>
      <c r="GC108" s="22"/>
      <c r="GD108" s="22"/>
      <c r="GE108" s="22"/>
      <c r="GF108" s="22"/>
      <c r="GG108" s="22"/>
      <c r="GH108" s="22"/>
      <c r="GI108" s="22"/>
      <c r="GJ108" s="22"/>
      <c r="GK108" s="22"/>
      <c r="GL108" s="22"/>
      <c r="GM108" s="22"/>
      <c r="GN108" s="22"/>
      <c r="GO108" s="22"/>
      <c r="GP108" s="22"/>
      <c r="GQ108" s="22"/>
    </row>
    <row r="109" spans="3:199" s="2" customFormat="1" ht="20.100000000000001" customHeight="1">
      <c r="C109" s="14">
        <v>40030403</v>
      </c>
      <c r="D109" s="15" t="s">
        <v>145</v>
      </c>
      <c r="E109" s="12">
        <v>0</v>
      </c>
      <c r="F109" s="15">
        <v>1303</v>
      </c>
      <c r="G109" s="12">
        <v>1</v>
      </c>
      <c r="H109" s="12">
        <v>30</v>
      </c>
      <c r="I109" s="12">
        <v>0.3</v>
      </c>
      <c r="J109" s="16">
        <v>0</v>
      </c>
      <c r="K109" s="16">
        <v>0</v>
      </c>
      <c r="L109" s="15">
        <v>0</v>
      </c>
      <c r="M109" s="15">
        <v>40</v>
      </c>
      <c r="N109" s="15">
        <v>90</v>
      </c>
      <c r="O109" s="17">
        <v>0</v>
      </c>
      <c r="P109" s="17">
        <v>0</v>
      </c>
      <c r="Q109" s="19">
        <v>0</v>
      </c>
      <c r="R109" s="19">
        <v>0</v>
      </c>
      <c r="S109" s="19">
        <v>10</v>
      </c>
      <c r="T109" s="19">
        <v>30</v>
      </c>
      <c r="U109" s="18">
        <v>0</v>
      </c>
      <c r="V109" s="18">
        <v>0</v>
      </c>
      <c r="W109" s="18">
        <v>0</v>
      </c>
      <c r="X109" s="18">
        <v>0</v>
      </c>
      <c r="Y109" s="18">
        <v>0</v>
      </c>
      <c r="Z109" s="18">
        <v>0</v>
      </c>
      <c r="AA109" s="18">
        <v>0</v>
      </c>
      <c r="AB109" s="16">
        <v>0</v>
      </c>
      <c r="AC109" s="16">
        <v>0</v>
      </c>
      <c r="AD109" s="16">
        <v>0</v>
      </c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  <c r="BM109" s="22"/>
      <c r="BN109" s="22"/>
      <c r="BO109" s="22"/>
      <c r="BP109" s="22"/>
      <c r="BQ109" s="22"/>
      <c r="BR109" s="22"/>
      <c r="BS109" s="22"/>
      <c r="BT109" s="22"/>
      <c r="BU109" s="22"/>
      <c r="BV109" s="22"/>
      <c r="BW109" s="22"/>
      <c r="BX109" s="22"/>
      <c r="BY109" s="22"/>
      <c r="BZ109" s="22"/>
      <c r="CA109" s="22"/>
      <c r="CB109" s="22"/>
      <c r="CC109" s="22"/>
      <c r="CD109" s="22"/>
      <c r="CE109" s="22"/>
      <c r="CF109" s="22"/>
      <c r="CG109" s="22"/>
      <c r="CH109" s="22"/>
      <c r="CI109" s="22"/>
      <c r="CJ109" s="22"/>
      <c r="CK109" s="22"/>
      <c r="CL109" s="22"/>
      <c r="CM109" s="22"/>
      <c r="CN109" s="22"/>
      <c r="CO109" s="22"/>
      <c r="CP109" s="22"/>
      <c r="CQ109" s="22"/>
      <c r="CR109" s="22"/>
      <c r="CS109" s="22"/>
      <c r="CT109" s="22"/>
      <c r="CU109" s="22"/>
      <c r="CV109" s="22"/>
      <c r="CW109" s="22"/>
      <c r="CX109" s="22"/>
      <c r="CY109" s="22"/>
      <c r="CZ109" s="22"/>
      <c r="DA109" s="22"/>
      <c r="DB109" s="22"/>
      <c r="DC109" s="22"/>
      <c r="DD109" s="22"/>
      <c r="DE109" s="22"/>
      <c r="DF109" s="22"/>
      <c r="DG109" s="22"/>
      <c r="DH109" s="22"/>
      <c r="DI109" s="22"/>
      <c r="DJ109" s="22"/>
      <c r="DK109" s="22"/>
      <c r="DL109" s="22"/>
      <c r="DM109" s="22"/>
      <c r="DN109" s="22"/>
      <c r="DO109" s="22"/>
      <c r="DP109" s="22"/>
      <c r="DQ109" s="22"/>
      <c r="DR109" s="22"/>
      <c r="DS109" s="22"/>
      <c r="DT109" s="22"/>
      <c r="DU109" s="22"/>
      <c r="DV109" s="22"/>
      <c r="DW109" s="22"/>
      <c r="DX109" s="22"/>
      <c r="DY109" s="22"/>
      <c r="DZ109" s="22"/>
      <c r="EA109" s="22"/>
      <c r="EB109" s="22"/>
      <c r="EC109" s="22"/>
      <c r="ED109" s="22"/>
      <c r="EE109" s="22"/>
      <c r="EF109" s="22"/>
      <c r="EG109" s="22"/>
      <c r="EH109" s="22"/>
      <c r="EI109" s="22"/>
      <c r="EJ109" s="22"/>
      <c r="EK109" s="22"/>
      <c r="EL109" s="22"/>
      <c r="EM109" s="22"/>
      <c r="EN109" s="22"/>
      <c r="EO109" s="22"/>
      <c r="EP109" s="22"/>
      <c r="EQ109" s="22"/>
      <c r="ER109" s="22"/>
      <c r="ES109" s="22"/>
      <c r="ET109" s="22"/>
      <c r="EU109" s="22"/>
      <c r="EV109" s="22"/>
      <c r="EW109" s="22"/>
      <c r="EX109" s="22"/>
      <c r="EY109" s="22"/>
      <c r="EZ109" s="22"/>
      <c r="FA109" s="22"/>
      <c r="FB109" s="22"/>
      <c r="FC109" s="22"/>
      <c r="FD109" s="22"/>
      <c r="FE109" s="22"/>
      <c r="FF109" s="22"/>
      <c r="FG109" s="22"/>
      <c r="FH109" s="22"/>
      <c r="FI109" s="22"/>
      <c r="FJ109" s="22"/>
      <c r="FK109" s="22"/>
      <c r="FL109" s="22"/>
      <c r="FM109" s="22"/>
      <c r="FN109" s="22"/>
      <c r="FO109" s="22"/>
      <c r="FP109" s="22"/>
      <c r="FQ109" s="22"/>
      <c r="FR109" s="22"/>
      <c r="FS109" s="22"/>
      <c r="FT109" s="22"/>
      <c r="FU109" s="22"/>
      <c r="FV109" s="22"/>
      <c r="FW109" s="22"/>
      <c r="FX109" s="22"/>
      <c r="FY109" s="22"/>
      <c r="FZ109" s="22"/>
      <c r="GA109" s="22"/>
      <c r="GB109" s="22"/>
      <c r="GC109" s="22"/>
      <c r="GD109" s="22"/>
      <c r="GE109" s="22"/>
      <c r="GF109" s="22"/>
      <c r="GG109" s="22"/>
      <c r="GH109" s="22"/>
      <c r="GI109" s="22"/>
      <c r="GJ109" s="22"/>
      <c r="GK109" s="22"/>
      <c r="GL109" s="22"/>
      <c r="GM109" s="22"/>
      <c r="GN109" s="22"/>
      <c r="GO109" s="22"/>
      <c r="GP109" s="22"/>
      <c r="GQ109" s="22"/>
    </row>
    <row r="110" spans="3:199" s="2" customFormat="1" ht="20.100000000000001" customHeight="1">
      <c r="C110" s="14">
        <v>40030404</v>
      </c>
      <c r="D110" s="15" t="s">
        <v>146</v>
      </c>
      <c r="E110" s="12">
        <v>0</v>
      </c>
      <c r="F110" s="15">
        <v>0</v>
      </c>
      <c r="G110" s="12">
        <v>1</v>
      </c>
      <c r="H110" s="12">
        <v>30</v>
      </c>
      <c r="I110" s="12">
        <v>0.3</v>
      </c>
      <c r="J110" s="16">
        <v>0</v>
      </c>
      <c r="K110" s="16">
        <v>0</v>
      </c>
      <c r="L110" s="15">
        <v>0</v>
      </c>
      <c r="M110" s="15">
        <v>10</v>
      </c>
      <c r="N110" s="15">
        <v>80</v>
      </c>
      <c r="O110" s="17">
        <v>0</v>
      </c>
      <c r="P110" s="17">
        <v>0</v>
      </c>
      <c r="Q110" s="19">
        <v>0</v>
      </c>
      <c r="R110" s="19">
        <v>0</v>
      </c>
      <c r="S110" s="19">
        <v>10</v>
      </c>
      <c r="T110" s="19">
        <v>20</v>
      </c>
      <c r="U110" s="18">
        <v>0</v>
      </c>
      <c r="V110" s="18">
        <v>0</v>
      </c>
      <c r="W110" s="18">
        <v>0</v>
      </c>
      <c r="X110" s="18">
        <v>0</v>
      </c>
      <c r="Y110" s="18">
        <v>0</v>
      </c>
      <c r="Z110" s="18">
        <v>0</v>
      </c>
      <c r="AA110" s="18">
        <v>0</v>
      </c>
      <c r="AB110" s="16">
        <v>0</v>
      </c>
      <c r="AC110" s="16">
        <v>0</v>
      </c>
      <c r="AD110" s="16">
        <v>0</v>
      </c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  <c r="BM110" s="22"/>
      <c r="BN110" s="22"/>
      <c r="BO110" s="22"/>
      <c r="BP110" s="22"/>
      <c r="BQ110" s="22"/>
      <c r="BR110" s="22"/>
      <c r="BS110" s="22"/>
      <c r="BT110" s="22"/>
      <c r="BU110" s="22"/>
      <c r="BV110" s="22"/>
      <c r="BW110" s="22"/>
      <c r="BX110" s="22"/>
      <c r="BY110" s="22"/>
      <c r="BZ110" s="22"/>
      <c r="CA110" s="22"/>
      <c r="CB110" s="22"/>
      <c r="CC110" s="22"/>
      <c r="CD110" s="22"/>
      <c r="CE110" s="22"/>
      <c r="CF110" s="22"/>
      <c r="CG110" s="22"/>
      <c r="CH110" s="22"/>
      <c r="CI110" s="22"/>
      <c r="CJ110" s="22"/>
      <c r="CK110" s="22"/>
      <c r="CL110" s="22"/>
      <c r="CM110" s="22"/>
      <c r="CN110" s="22"/>
      <c r="CO110" s="22"/>
      <c r="CP110" s="22"/>
      <c r="CQ110" s="22"/>
      <c r="CR110" s="22"/>
      <c r="CS110" s="22"/>
      <c r="CT110" s="22"/>
      <c r="CU110" s="22"/>
      <c r="CV110" s="22"/>
      <c r="CW110" s="22"/>
      <c r="CX110" s="22"/>
      <c r="CY110" s="22"/>
      <c r="CZ110" s="22"/>
      <c r="DA110" s="22"/>
      <c r="DB110" s="22"/>
      <c r="DC110" s="22"/>
      <c r="DD110" s="22"/>
      <c r="DE110" s="22"/>
      <c r="DF110" s="22"/>
      <c r="DG110" s="22"/>
      <c r="DH110" s="22"/>
      <c r="DI110" s="22"/>
      <c r="DJ110" s="22"/>
      <c r="DK110" s="22"/>
      <c r="DL110" s="22"/>
      <c r="DM110" s="22"/>
      <c r="DN110" s="22"/>
      <c r="DO110" s="22"/>
      <c r="DP110" s="22"/>
      <c r="DQ110" s="22"/>
      <c r="DR110" s="22"/>
      <c r="DS110" s="22"/>
      <c r="DT110" s="22"/>
      <c r="DU110" s="22"/>
      <c r="DV110" s="22"/>
      <c r="DW110" s="22"/>
      <c r="DX110" s="22"/>
      <c r="DY110" s="22"/>
      <c r="DZ110" s="22"/>
      <c r="EA110" s="22"/>
      <c r="EB110" s="22"/>
      <c r="EC110" s="22"/>
      <c r="ED110" s="22"/>
      <c r="EE110" s="22"/>
      <c r="EF110" s="22"/>
      <c r="EG110" s="22"/>
      <c r="EH110" s="22"/>
      <c r="EI110" s="22"/>
      <c r="EJ110" s="22"/>
      <c r="EK110" s="22"/>
      <c r="EL110" s="22"/>
      <c r="EM110" s="22"/>
      <c r="EN110" s="22"/>
      <c r="EO110" s="22"/>
      <c r="EP110" s="22"/>
      <c r="EQ110" s="22"/>
      <c r="ER110" s="22"/>
      <c r="ES110" s="22"/>
      <c r="ET110" s="22"/>
      <c r="EU110" s="22"/>
      <c r="EV110" s="22"/>
      <c r="EW110" s="22"/>
      <c r="EX110" s="22"/>
      <c r="EY110" s="22"/>
      <c r="EZ110" s="22"/>
      <c r="FA110" s="22"/>
      <c r="FB110" s="22"/>
      <c r="FC110" s="22"/>
      <c r="FD110" s="22"/>
      <c r="FE110" s="22"/>
      <c r="FF110" s="22"/>
      <c r="FG110" s="22"/>
      <c r="FH110" s="22"/>
      <c r="FI110" s="22"/>
      <c r="FJ110" s="22"/>
      <c r="FK110" s="22"/>
      <c r="FL110" s="22"/>
      <c r="FM110" s="22"/>
      <c r="FN110" s="22"/>
      <c r="FO110" s="22"/>
      <c r="FP110" s="22"/>
      <c r="FQ110" s="22"/>
      <c r="FR110" s="22"/>
      <c r="FS110" s="22"/>
      <c r="FT110" s="22"/>
      <c r="FU110" s="22"/>
      <c r="FV110" s="22"/>
      <c r="FW110" s="22"/>
      <c r="FX110" s="22"/>
      <c r="FY110" s="22"/>
      <c r="FZ110" s="22"/>
      <c r="GA110" s="22"/>
      <c r="GB110" s="22"/>
      <c r="GC110" s="22"/>
      <c r="GD110" s="22"/>
      <c r="GE110" s="22"/>
      <c r="GF110" s="22"/>
      <c r="GG110" s="22"/>
      <c r="GH110" s="22"/>
      <c r="GI110" s="22"/>
      <c r="GJ110" s="22"/>
      <c r="GK110" s="22"/>
      <c r="GL110" s="22"/>
      <c r="GM110" s="22"/>
      <c r="GN110" s="22"/>
      <c r="GO110" s="22"/>
      <c r="GP110" s="22"/>
      <c r="GQ110" s="22"/>
    </row>
    <row r="111" spans="3:199" s="2" customFormat="1" ht="20.100000000000001" customHeight="1">
      <c r="C111" s="14">
        <v>40030405</v>
      </c>
      <c r="D111" s="15" t="s">
        <v>147</v>
      </c>
      <c r="E111" s="12">
        <v>0</v>
      </c>
      <c r="F111" s="15">
        <v>1305</v>
      </c>
      <c r="G111" s="12">
        <v>1</v>
      </c>
      <c r="H111" s="12">
        <v>30</v>
      </c>
      <c r="I111" s="12">
        <v>0.3</v>
      </c>
      <c r="J111" s="16">
        <v>0</v>
      </c>
      <c r="K111" s="16">
        <v>0</v>
      </c>
      <c r="L111" s="15">
        <v>0</v>
      </c>
      <c r="M111" s="15">
        <v>20</v>
      </c>
      <c r="N111" s="15">
        <v>50</v>
      </c>
      <c r="O111" s="17">
        <v>0</v>
      </c>
      <c r="P111" s="17">
        <v>0</v>
      </c>
      <c r="Q111" s="19">
        <v>20</v>
      </c>
      <c r="R111" s="19">
        <v>60</v>
      </c>
      <c r="S111" s="19">
        <v>0</v>
      </c>
      <c r="T111" s="19">
        <v>0</v>
      </c>
      <c r="U111" s="18">
        <v>0</v>
      </c>
      <c r="V111" s="18">
        <v>0</v>
      </c>
      <c r="W111" s="18">
        <v>0</v>
      </c>
      <c r="X111" s="18">
        <v>0</v>
      </c>
      <c r="Y111" s="18">
        <v>0</v>
      </c>
      <c r="Z111" s="18">
        <v>0</v>
      </c>
      <c r="AA111" s="18">
        <v>0</v>
      </c>
      <c r="AB111" s="16">
        <v>0</v>
      </c>
      <c r="AC111" s="16">
        <v>0</v>
      </c>
      <c r="AD111" s="16">
        <v>0</v>
      </c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  <c r="BM111" s="22"/>
      <c r="BN111" s="22"/>
      <c r="BO111" s="22"/>
      <c r="BP111" s="22"/>
      <c r="BQ111" s="22"/>
      <c r="BR111" s="22"/>
      <c r="BS111" s="22"/>
      <c r="BT111" s="22"/>
      <c r="BU111" s="22"/>
      <c r="BV111" s="22"/>
      <c r="BW111" s="22"/>
      <c r="BX111" s="22"/>
      <c r="BY111" s="22"/>
      <c r="BZ111" s="22"/>
      <c r="CA111" s="22"/>
      <c r="CB111" s="22"/>
      <c r="CC111" s="22"/>
      <c r="CD111" s="22"/>
      <c r="CE111" s="22"/>
      <c r="CF111" s="22"/>
      <c r="CG111" s="22"/>
      <c r="CH111" s="22"/>
      <c r="CI111" s="22"/>
      <c r="CJ111" s="22"/>
      <c r="CK111" s="22"/>
      <c r="CL111" s="22"/>
      <c r="CM111" s="22"/>
      <c r="CN111" s="22"/>
      <c r="CO111" s="22"/>
      <c r="CP111" s="22"/>
      <c r="CQ111" s="22"/>
      <c r="CR111" s="22"/>
      <c r="CS111" s="22"/>
      <c r="CT111" s="22"/>
      <c r="CU111" s="22"/>
      <c r="CV111" s="22"/>
      <c r="CW111" s="22"/>
      <c r="CX111" s="22"/>
      <c r="CY111" s="22"/>
      <c r="CZ111" s="22"/>
      <c r="DA111" s="22"/>
      <c r="DB111" s="22"/>
      <c r="DC111" s="22"/>
      <c r="DD111" s="22"/>
      <c r="DE111" s="22"/>
      <c r="DF111" s="22"/>
      <c r="DG111" s="22"/>
      <c r="DH111" s="22"/>
      <c r="DI111" s="22"/>
      <c r="DJ111" s="22"/>
      <c r="DK111" s="22"/>
      <c r="DL111" s="22"/>
      <c r="DM111" s="22"/>
      <c r="DN111" s="22"/>
      <c r="DO111" s="22"/>
      <c r="DP111" s="22"/>
      <c r="DQ111" s="22"/>
      <c r="DR111" s="22"/>
      <c r="DS111" s="22"/>
      <c r="DT111" s="22"/>
      <c r="DU111" s="22"/>
      <c r="DV111" s="22"/>
      <c r="DW111" s="22"/>
      <c r="DX111" s="22"/>
      <c r="DY111" s="22"/>
      <c r="DZ111" s="22"/>
      <c r="EA111" s="22"/>
      <c r="EB111" s="22"/>
      <c r="EC111" s="22"/>
      <c r="ED111" s="22"/>
      <c r="EE111" s="22"/>
      <c r="EF111" s="22"/>
      <c r="EG111" s="22"/>
      <c r="EH111" s="22"/>
      <c r="EI111" s="22"/>
      <c r="EJ111" s="22"/>
      <c r="EK111" s="22"/>
      <c r="EL111" s="22"/>
      <c r="EM111" s="22"/>
      <c r="EN111" s="22"/>
      <c r="EO111" s="22"/>
      <c r="EP111" s="22"/>
      <c r="EQ111" s="22"/>
      <c r="ER111" s="22"/>
      <c r="ES111" s="22"/>
      <c r="ET111" s="22"/>
      <c r="EU111" s="22"/>
      <c r="EV111" s="22"/>
      <c r="EW111" s="22"/>
      <c r="EX111" s="22"/>
      <c r="EY111" s="22"/>
      <c r="EZ111" s="22"/>
      <c r="FA111" s="22"/>
      <c r="FB111" s="22"/>
      <c r="FC111" s="22"/>
      <c r="FD111" s="22"/>
      <c r="FE111" s="22"/>
      <c r="FF111" s="22"/>
      <c r="FG111" s="22"/>
      <c r="FH111" s="22"/>
      <c r="FI111" s="22"/>
      <c r="FJ111" s="22"/>
      <c r="FK111" s="22"/>
      <c r="FL111" s="22"/>
      <c r="FM111" s="22"/>
      <c r="FN111" s="22"/>
      <c r="FO111" s="22"/>
      <c r="FP111" s="22"/>
      <c r="FQ111" s="22"/>
      <c r="FR111" s="22"/>
      <c r="FS111" s="22"/>
      <c r="FT111" s="22"/>
      <c r="FU111" s="22"/>
      <c r="FV111" s="22"/>
      <c r="FW111" s="22"/>
      <c r="FX111" s="22"/>
      <c r="FY111" s="22"/>
      <c r="FZ111" s="22"/>
      <c r="GA111" s="22"/>
      <c r="GB111" s="22"/>
      <c r="GC111" s="22"/>
      <c r="GD111" s="22"/>
      <c r="GE111" s="22"/>
      <c r="GF111" s="22"/>
      <c r="GG111" s="22"/>
      <c r="GH111" s="22"/>
      <c r="GI111" s="22"/>
      <c r="GJ111" s="22"/>
      <c r="GK111" s="22"/>
      <c r="GL111" s="22"/>
      <c r="GM111" s="22"/>
      <c r="GN111" s="22"/>
      <c r="GO111" s="22"/>
      <c r="GP111" s="22"/>
      <c r="GQ111" s="22"/>
    </row>
    <row r="112" spans="3:199" s="2" customFormat="1" ht="20.100000000000001" customHeight="1">
      <c r="C112" s="14">
        <v>40030406</v>
      </c>
      <c r="D112" s="15" t="s">
        <v>148</v>
      </c>
      <c r="E112" s="12">
        <v>0</v>
      </c>
      <c r="F112" s="15">
        <v>0</v>
      </c>
      <c r="G112" s="12">
        <v>1</v>
      </c>
      <c r="H112" s="12">
        <v>30</v>
      </c>
      <c r="I112" s="12">
        <v>0.3</v>
      </c>
      <c r="J112" s="16">
        <v>0</v>
      </c>
      <c r="K112" s="16">
        <v>0</v>
      </c>
      <c r="L112" s="15">
        <v>0</v>
      </c>
      <c r="M112" s="15">
        <v>10</v>
      </c>
      <c r="N112" s="15">
        <v>40</v>
      </c>
      <c r="O112" s="17">
        <v>0</v>
      </c>
      <c r="P112" s="17">
        <v>0</v>
      </c>
      <c r="Q112" s="19">
        <v>20</v>
      </c>
      <c r="R112" s="19">
        <v>40</v>
      </c>
      <c r="S112" s="19">
        <v>0</v>
      </c>
      <c r="T112" s="19">
        <v>0</v>
      </c>
      <c r="U112" s="18">
        <v>0</v>
      </c>
      <c r="V112" s="18">
        <v>0</v>
      </c>
      <c r="W112" s="18">
        <v>0</v>
      </c>
      <c r="X112" s="18">
        <v>0</v>
      </c>
      <c r="Y112" s="18">
        <v>0</v>
      </c>
      <c r="Z112" s="18">
        <v>0</v>
      </c>
      <c r="AA112" s="18">
        <v>0</v>
      </c>
      <c r="AB112" s="16">
        <v>0</v>
      </c>
      <c r="AC112" s="16">
        <v>0</v>
      </c>
      <c r="AD112" s="16">
        <v>0</v>
      </c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  <c r="BM112" s="22"/>
      <c r="BN112" s="22"/>
      <c r="BO112" s="22"/>
      <c r="BP112" s="22"/>
      <c r="BQ112" s="22"/>
      <c r="BR112" s="22"/>
      <c r="BS112" s="22"/>
      <c r="BT112" s="22"/>
      <c r="BU112" s="22"/>
      <c r="BV112" s="22"/>
      <c r="BW112" s="22"/>
      <c r="BX112" s="22"/>
      <c r="BY112" s="22"/>
      <c r="BZ112" s="22"/>
      <c r="CA112" s="22"/>
      <c r="CB112" s="22"/>
      <c r="CC112" s="22"/>
      <c r="CD112" s="22"/>
      <c r="CE112" s="22"/>
      <c r="CF112" s="22"/>
      <c r="CG112" s="22"/>
      <c r="CH112" s="22"/>
      <c r="CI112" s="22"/>
      <c r="CJ112" s="22"/>
      <c r="CK112" s="22"/>
      <c r="CL112" s="22"/>
      <c r="CM112" s="22"/>
      <c r="CN112" s="22"/>
      <c r="CO112" s="22"/>
      <c r="CP112" s="22"/>
      <c r="CQ112" s="22"/>
      <c r="CR112" s="22"/>
      <c r="CS112" s="22"/>
      <c r="CT112" s="22"/>
      <c r="CU112" s="22"/>
      <c r="CV112" s="22"/>
      <c r="CW112" s="22"/>
      <c r="CX112" s="22"/>
      <c r="CY112" s="22"/>
      <c r="CZ112" s="22"/>
      <c r="DA112" s="22"/>
      <c r="DB112" s="22"/>
      <c r="DC112" s="22"/>
      <c r="DD112" s="22"/>
      <c r="DE112" s="22"/>
      <c r="DF112" s="22"/>
      <c r="DG112" s="22"/>
      <c r="DH112" s="22"/>
      <c r="DI112" s="22"/>
      <c r="DJ112" s="22"/>
      <c r="DK112" s="22"/>
      <c r="DL112" s="22"/>
      <c r="DM112" s="22"/>
      <c r="DN112" s="22"/>
      <c r="DO112" s="22"/>
      <c r="DP112" s="22"/>
      <c r="DQ112" s="22"/>
      <c r="DR112" s="22"/>
      <c r="DS112" s="22"/>
      <c r="DT112" s="22"/>
      <c r="DU112" s="22"/>
      <c r="DV112" s="22"/>
      <c r="DW112" s="22"/>
      <c r="DX112" s="22"/>
      <c r="DY112" s="22"/>
      <c r="DZ112" s="22"/>
      <c r="EA112" s="22"/>
      <c r="EB112" s="22"/>
      <c r="EC112" s="22"/>
      <c r="ED112" s="22"/>
      <c r="EE112" s="22"/>
      <c r="EF112" s="22"/>
      <c r="EG112" s="22"/>
      <c r="EH112" s="22"/>
      <c r="EI112" s="22"/>
      <c r="EJ112" s="22"/>
      <c r="EK112" s="22"/>
      <c r="EL112" s="22"/>
      <c r="EM112" s="22"/>
      <c r="EN112" s="22"/>
      <c r="EO112" s="22"/>
      <c r="EP112" s="22"/>
      <c r="EQ112" s="22"/>
      <c r="ER112" s="22"/>
      <c r="ES112" s="22"/>
      <c r="ET112" s="22"/>
      <c r="EU112" s="22"/>
      <c r="EV112" s="22"/>
      <c r="EW112" s="22"/>
      <c r="EX112" s="22"/>
      <c r="EY112" s="22"/>
      <c r="EZ112" s="22"/>
      <c r="FA112" s="22"/>
      <c r="FB112" s="22"/>
      <c r="FC112" s="22"/>
      <c r="FD112" s="22"/>
      <c r="FE112" s="22"/>
      <c r="FF112" s="22"/>
      <c r="FG112" s="22"/>
      <c r="FH112" s="22"/>
      <c r="FI112" s="22"/>
      <c r="FJ112" s="22"/>
      <c r="FK112" s="22"/>
      <c r="FL112" s="22"/>
      <c r="FM112" s="22"/>
      <c r="FN112" s="22"/>
      <c r="FO112" s="22"/>
      <c r="FP112" s="22"/>
      <c r="FQ112" s="22"/>
      <c r="FR112" s="22"/>
      <c r="FS112" s="22"/>
      <c r="FT112" s="22"/>
      <c r="FU112" s="22"/>
      <c r="FV112" s="22"/>
      <c r="FW112" s="22"/>
      <c r="FX112" s="22"/>
      <c r="FY112" s="22"/>
      <c r="FZ112" s="22"/>
      <c r="GA112" s="22"/>
      <c r="GB112" s="22"/>
      <c r="GC112" s="22"/>
      <c r="GD112" s="22"/>
      <c r="GE112" s="22"/>
      <c r="GF112" s="22"/>
      <c r="GG112" s="22"/>
      <c r="GH112" s="22"/>
      <c r="GI112" s="22"/>
      <c r="GJ112" s="22"/>
      <c r="GK112" s="22"/>
      <c r="GL112" s="22"/>
      <c r="GM112" s="22"/>
      <c r="GN112" s="22"/>
      <c r="GO112" s="22"/>
      <c r="GP112" s="22"/>
      <c r="GQ112" s="22"/>
    </row>
    <row r="113" spans="3:199" s="2" customFormat="1" ht="20.100000000000001" customHeight="1">
      <c r="C113" s="14">
        <v>40030407</v>
      </c>
      <c r="D113" s="15" t="s">
        <v>149</v>
      </c>
      <c r="E113" s="12">
        <v>0</v>
      </c>
      <c r="F113" s="15">
        <v>1305</v>
      </c>
      <c r="G113" s="12">
        <v>1</v>
      </c>
      <c r="H113" s="12">
        <v>30</v>
      </c>
      <c r="I113" s="12">
        <v>0.3</v>
      </c>
      <c r="J113" s="16">
        <v>0</v>
      </c>
      <c r="K113" s="16">
        <v>0</v>
      </c>
      <c r="L113" s="15">
        <v>0</v>
      </c>
      <c r="M113" s="15">
        <v>20</v>
      </c>
      <c r="N113" s="15">
        <v>70</v>
      </c>
      <c r="O113" s="17">
        <v>0</v>
      </c>
      <c r="P113" s="17">
        <v>0</v>
      </c>
      <c r="Q113" s="19">
        <v>0</v>
      </c>
      <c r="R113" s="19">
        <v>0</v>
      </c>
      <c r="S113" s="19">
        <v>20</v>
      </c>
      <c r="T113" s="19">
        <v>50</v>
      </c>
      <c r="U113" s="18">
        <v>0</v>
      </c>
      <c r="V113" s="18">
        <v>0</v>
      </c>
      <c r="W113" s="18">
        <v>0</v>
      </c>
      <c r="X113" s="18">
        <v>0</v>
      </c>
      <c r="Y113" s="18">
        <v>0</v>
      </c>
      <c r="Z113" s="18">
        <v>0</v>
      </c>
      <c r="AA113" s="18">
        <v>0</v>
      </c>
      <c r="AB113" s="16">
        <v>0</v>
      </c>
      <c r="AC113" s="16">
        <v>0</v>
      </c>
      <c r="AD113" s="16">
        <v>0</v>
      </c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  <c r="BM113" s="22"/>
      <c r="BN113" s="22"/>
      <c r="BO113" s="22"/>
      <c r="BP113" s="22"/>
      <c r="BQ113" s="22"/>
      <c r="BR113" s="22"/>
      <c r="BS113" s="22"/>
      <c r="BT113" s="22"/>
      <c r="BU113" s="22"/>
      <c r="BV113" s="22"/>
      <c r="BW113" s="22"/>
      <c r="BX113" s="22"/>
      <c r="BY113" s="22"/>
      <c r="BZ113" s="22"/>
      <c r="CA113" s="22"/>
      <c r="CB113" s="22"/>
      <c r="CC113" s="22"/>
      <c r="CD113" s="22"/>
      <c r="CE113" s="22"/>
      <c r="CF113" s="22"/>
      <c r="CG113" s="22"/>
      <c r="CH113" s="22"/>
      <c r="CI113" s="22"/>
      <c r="CJ113" s="22"/>
      <c r="CK113" s="22"/>
      <c r="CL113" s="22"/>
      <c r="CM113" s="22"/>
      <c r="CN113" s="22"/>
      <c r="CO113" s="22"/>
      <c r="CP113" s="22"/>
      <c r="CQ113" s="22"/>
      <c r="CR113" s="22"/>
      <c r="CS113" s="22"/>
      <c r="CT113" s="22"/>
      <c r="CU113" s="22"/>
      <c r="CV113" s="22"/>
      <c r="CW113" s="22"/>
      <c r="CX113" s="22"/>
      <c r="CY113" s="22"/>
      <c r="CZ113" s="22"/>
      <c r="DA113" s="22"/>
      <c r="DB113" s="22"/>
      <c r="DC113" s="22"/>
      <c r="DD113" s="22"/>
      <c r="DE113" s="22"/>
      <c r="DF113" s="22"/>
      <c r="DG113" s="22"/>
      <c r="DH113" s="22"/>
      <c r="DI113" s="22"/>
      <c r="DJ113" s="22"/>
      <c r="DK113" s="22"/>
      <c r="DL113" s="22"/>
      <c r="DM113" s="22"/>
      <c r="DN113" s="22"/>
      <c r="DO113" s="22"/>
      <c r="DP113" s="22"/>
      <c r="DQ113" s="22"/>
      <c r="DR113" s="22"/>
      <c r="DS113" s="22"/>
      <c r="DT113" s="22"/>
      <c r="DU113" s="22"/>
      <c r="DV113" s="22"/>
      <c r="DW113" s="22"/>
      <c r="DX113" s="22"/>
      <c r="DY113" s="22"/>
      <c r="DZ113" s="22"/>
      <c r="EA113" s="22"/>
      <c r="EB113" s="22"/>
      <c r="EC113" s="22"/>
      <c r="ED113" s="22"/>
      <c r="EE113" s="22"/>
      <c r="EF113" s="22"/>
      <c r="EG113" s="22"/>
      <c r="EH113" s="22"/>
      <c r="EI113" s="22"/>
      <c r="EJ113" s="22"/>
      <c r="EK113" s="22"/>
      <c r="EL113" s="22"/>
      <c r="EM113" s="22"/>
      <c r="EN113" s="22"/>
      <c r="EO113" s="22"/>
      <c r="EP113" s="22"/>
      <c r="EQ113" s="22"/>
      <c r="ER113" s="22"/>
      <c r="ES113" s="22"/>
      <c r="ET113" s="22"/>
      <c r="EU113" s="22"/>
      <c r="EV113" s="22"/>
      <c r="EW113" s="22"/>
      <c r="EX113" s="22"/>
      <c r="EY113" s="22"/>
      <c r="EZ113" s="22"/>
      <c r="FA113" s="22"/>
      <c r="FB113" s="22"/>
      <c r="FC113" s="22"/>
      <c r="FD113" s="22"/>
      <c r="FE113" s="22"/>
      <c r="FF113" s="22"/>
      <c r="FG113" s="22"/>
      <c r="FH113" s="22"/>
      <c r="FI113" s="22"/>
      <c r="FJ113" s="22"/>
      <c r="FK113" s="22"/>
      <c r="FL113" s="22"/>
      <c r="FM113" s="22"/>
      <c r="FN113" s="22"/>
      <c r="FO113" s="22"/>
      <c r="FP113" s="22"/>
      <c r="FQ113" s="22"/>
      <c r="FR113" s="22"/>
      <c r="FS113" s="22"/>
      <c r="FT113" s="22"/>
      <c r="FU113" s="22"/>
      <c r="FV113" s="22"/>
      <c r="FW113" s="22"/>
      <c r="FX113" s="22"/>
      <c r="FY113" s="22"/>
      <c r="FZ113" s="22"/>
      <c r="GA113" s="22"/>
      <c r="GB113" s="22"/>
      <c r="GC113" s="22"/>
      <c r="GD113" s="22"/>
      <c r="GE113" s="22"/>
      <c r="GF113" s="22"/>
      <c r="GG113" s="22"/>
      <c r="GH113" s="22"/>
      <c r="GI113" s="22"/>
      <c r="GJ113" s="22"/>
      <c r="GK113" s="22"/>
      <c r="GL113" s="22"/>
      <c r="GM113" s="22"/>
      <c r="GN113" s="22"/>
      <c r="GO113" s="22"/>
      <c r="GP113" s="22"/>
      <c r="GQ113" s="22"/>
    </row>
    <row r="114" spans="3:199" s="2" customFormat="1" ht="20.100000000000001" customHeight="1">
      <c r="C114" s="14">
        <v>40030408</v>
      </c>
      <c r="D114" s="15" t="s">
        <v>150</v>
      </c>
      <c r="E114" s="12">
        <v>0</v>
      </c>
      <c r="F114" s="15">
        <v>0</v>
      </c>
      <c r="G114" s="12">
        <v>1</v>
      </c>
      <c r="H114" s="12">
        <v>30</v>
      </c>
      <c r="I114" s="12">
        <v>0.3</v>
      </c>
      <c r="J114" s="16">
        <v>0</v>
      </c>
      <c r="K114" s="16">
        <v>0</v>
      </c>
      <c r="L114" s="15">
        <v>0</v>
      </c>
      <c r="M114" s="15">
        <v>10</v>
      </c>
      <c r="N114" s="15">
        <v>50</v>
      </c>
      <c r="O114" s="17">
        <v>0</v>
      </c>
      <c r="P114" s="17">
        <v>0</v>
      </c>
      <c r="Q114" s="19">
        <v>0</v>
      </c>
      <c r="R114" s="19">
        <v>0</v>
      </c>
      <c r="S114" s="19">
        <v>10</v>
      </c>
      <c r="T114" s="19">
        <v>30</v>
      </c>
      <c r="U114" s="18">
        <v>0</v>
      </c>
      <c r="V114" s="18">
        <v>0</v>
      </c>
      <c r="W114" s="18">
        <v>0</v>
      </c>
      <c r="X114" s="18">
        <v>0</v>
      </c>
      <c r="Y114" s="18">
        <v>0</v>
      </c>
      <c r="Z114" s="18">
        <v>0</v>
      </c>
      <c r="AA114" s="18">
        <v>0</v>
      </c>
      <c r="AB114" s="16">
        <v>0</v>
      </c>
      <c r="AC114" s="16">
        <v>0</v>
      </c>
      <c r="AD114" s="16">
        <v>0</v>
      </c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  <c r="BM114" s="22"/>
      <c r="BN114" s="22"/>
      <c r="BO114" s="22"/>
      <c r="BP114" s="22"/>
      <c r="BQ114" s="22"/>
      <c r="BR114" s="22"/>
      <c r="BS114" s="22"/>
      <c r="BT114" s="22"/>
      <c r="BU114" s="22"/>
      <c r="BV114" s="22"/>
      <c r="BW114" s="22"/>
      <c r="BX114" s="22"/>
      <c r="BY114" s="22"/>
      <c r="BZ114" s="22"/>
      <c r="CA114" s="22"/>
      <c r="CB114" s="22"/>
      <c r="CC114" s="22"/>
      <c r="CD114" s="22"/>
      <c r="CE114" s="22"/>
      <c r="CF114" s="22"/>
      <c r="CG114" s="22"/>
      <c r="CH114" s="22"/>
      <c r="CI114" s="22"/>
      <c r="CJ114" s="22"/>
      <c r="CK114" s="22"/>
      <c r="CL114" s="22"/>
      <c r="CM114" s="22"/>
      <c r="CN114" s="22"/>
      <c r="CO114" s="22"/>
      <c r="CP114" s="22"/>
      <c r="CQ114" s="22"/>
      <c r="CR114" s="22"/>
      <c r="CS114" s="22"/>
      <c r="CT114" s="22"/>
      <c r="CU114" s="22"/>
      <c r="CV114" s="22"/>
      <c r="CW114" s="22"/>
      <c r="CX114" s="22"/>
      <c r="CY114" s="22"/>
      <c r="CZ114" s="22"/>
      <c r="DA114" s="22"/>
      <c r="DB114" s="22"/>
      <c r="DC114" s="22"/>
      <c r="DD114" s="22"/>
      <c r="DE114" s="22"/>
      <c r="DF114" s="22"/>
      <c r="DG114" s="22"/>
      <c r="DH114" s="22"/>
      <c r="DI114" s="22"/>
      <c r="DJ114" s="22"/>
      <c r="DK114" s="22"/>
      <c r="DL114" s="22"/>
      <c r="DM114" s="22"/>
      <c r="DN114" s="22"/>
      <c r="DO114" s="22"/>
      <c r="DP114" s="22"/>
      <c r="DQ114" s="22"/>
      <c r="DR114" s="22"/>
      <c r="DS114" s="22"/>
      <c r="DT114" s="22"/>
      <c r="DU114" s="22"/>
      <c r="DV114" s="22"/>
      <c r="DW114" s="22"/>
      <c r="DX114" s="22"/>
      <c r="DY114" s="22"/>
      <c r="DZ114" s="22"/>
      <c r="EA114" s="22"/>
      <c r="EB114" s="22"/>
      <c r="EC114" s="22"/>
      <c r="ED114" s="22"/>
      <c r="EE114" s="22"/>
      <c r="EF114" s="22"/>
      <c r="EG114" s="22"/>
      <c r="EH114" s="22"/>
      <c r="EI114" s="22"/>
      <c r="EJ114" s="22"/>
      <c r="EK114" s="22"/>
      <c r="EL114" s="22"/>
      <c r="EM114" s="22"/>
      <c r="EN114" s="22"/>
      <c r="EO114" s="22"/>
      <c r="EP114" s="22"/>
      <c r="EQ114" s="22"/>
      <c r="ER114" s="22"/>
      <c r="ES114" s="22"/>
      <c r="ET114" s="22"/>
      <c r="EU114" s="22"/>
      <c r="EV114" s="22"/>
      <c r="EW114" s="22"/>
      <c r="EX114" s="22"/>
      <c r="EY114" s="22"/>
      <c r="EZ114" s="22"/>
      <c r="FA114" s="22"/>
      <c r="FB114" s="22"/>
      <c r="FC114" s="22"/>
      <c r="FD114" s="22"/>
      <c r="FE114" s="22"/>
      <c r="FF114" s="22"/>
      <c r="FG114" s="22"/>
      <c r="FH114" s="22"/>
      <c r="FI114" s="22"/>
      <c r="FJ114" s="22"/>
      <c r="FK114" s="22"/>
      <c r="FL114" s="22"/>
      <c r="FM114" s="22"/>
      <c r="FN114" s="22"/>
      <c r="FO114" s="22"/>
      <c r="FP114" s="22"/>
      <c r="FQ114" s="22"/>
      <c r="FR114" s="22"/>
      <c r="FS114" s="22"/>
      <c r="FT114" s="22"/>
      <c r="FU114" s="22"/>
      <c r="FV114" s="22"/>
      <c r="FW114" s="22"/>
      <c r="FX114" s="22"/>
      <c r="FY114" s="22"/>
      <c r="FZ114" s="22"/>
      <c r="GA114" s="22"/>
      <c r="GB114" s="22"/>
      <c r="GC114" s="22"/>
      <c r="GD114" s="22"/>
      <c r="GE114" s="22"/>
      <c r="GF114" s="22"/>
      <c r="GG114" s="22"/>
      <c r="GH114" s="22"/>
      <c r="GI114" s="22"/>
      <c r="GJ114" s="22"/>
      <c r="GK114" s="22"/>
      <c r="GL114" s="22"/>
      <c r="GM114" s="22"/>
      <c r="GN114" s="22"/>
      <c r="GO114" s="22"/>
      <c r="GP114" s="22"/>
      <c r="GQ114" s="22"/>
    </row>
    <row r="115" spans="3:199" s="2" customFormat="1" ht="20.100000000000001" customHeight="1">
      <c r="C115" s="14">
        <v>40030409</v>
      </c>
      <c r="D115" s="15" t="s">
        <v>151</v>
      </c>
      <c r="E115" s="12">
        <v>0</v>
      </c>
      <c r="F115" s="15">
        <v>1304</v>
      </c>
      <c r="G115" s="12">
        <v>1</v>
      </c>
      <c r="H115" s="12">
        <v>30</v>
      </c>
      <c r="I115" s="12">
        <v>0.3</v>
      </c>
      <c r="J115" s="16">
        <v>0</v>
      </c>
      <c r="K115" s="16">
        <v>0</v>
      </c>
      <c r="L115" s="15">
        <v>0</v>
      </c>
      <c r="M115" s="15">
        <v>40</v>
      </c>
      <c r="N115" s="15">
        <v>110</v>
      </c>
      <c r="O115" s="17">
        <v>0</v>
      </c>
      <c r="P115" s="17">
        <v>0</v>
      </c>
      <c r="Q115" s="19">
        <v>10</v>
      </c>
      <c r="R115" s="19">
        <v>30</v>
      </c>
      <c r="S115" s="19">
        <v>10</v>
      </c>
      <c r="T115" s="19">
        <v>30</v>
      </c>
      <c r="U115" s="18">
        <v>0</v>
      </c>
      <c r="V115" s="18">
        <v>0</v>
      </c>
      <c r="W115" s="18">
        <v>0</v>
      </c>
      <c r="X115" s="18">
        <v>0</v>
      </c>
      <c r="Y115" s="18">
        <v>0</v>
      </c>
      <c r="Z115" s="18">
        <v>0</v>
      </c>
      <c r="AA115" s="18">
        <v>0</v>
      </c>
      <c r="AB115" s="16">
        <v>0</v>
      </c>
      <c r="AC115" s="16">
        <v>0</v>
      </c>
      <c r="AD115" s="16">
        <v>0</v>
      </c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  <c r="BM115" s="22"/>
      <c r="BN115" s="22"/>
      <c r="BO115" s="22"/>
      <c r="BP115" s="22"/>
      <c r="BQ115" s="22"/>
      <c r="BR115" s="22"/>
      <c r="BS115" s="22"/>
      <c r="BT115" s="22"/>
      <c r="BU115" s="22"/>
      <c r="BV115" s="22"/>
      <c r="BW115" s="22"/>
      <c r="BX115" s="22"/>
      <c r="BY115" s="22"/>
      <c r="BZ115" s="22"/>
      <c r="CA115" s="22"/>
      <c r="CB115" s="22"/>
      <c r="CC115" s="22"/>
      <c r="CD115" s="22"/>
      <c r="CE115" s="22"/>
      <c r="CF115" s="22"/>
      <c r="CG115" s="22"/>
      <c r="CH115" s="22"/>
      <c r="CI115" s="22"/>
      <c r="CJ115" s="22"/>
      <c r="CK115" s="22"/>
      <c r="CL115" s="22"/>
      <c r="CM115" s="22"/>
      <c r="CN115" s="22"/>
      <c r="CO115" s="22"/>
      <c r="CP115" s="22"/>
      <c r="CQ115" s="22"/>
      <c r="CR115" s="22"/>
      <c r="CS115" s="22"/>
      <c r="CT115" s="22"/>
      <c r="CU115" s="22"/>
      <c r="CV115" s="22"/>
      <c r="CW115" s="22"/>
      <c r="CX115" s="22"/>
      <c r="CY115" s="22"/>
      <c r="CZ115" s="22"/>
      <c r="DA115" s="22"/>
      <c r="DB115" s="22"/>
      <c r="DC115" s="22"/>
      <c r="DD115" s="22"/>
      <c r="DE115" s="22"/>
      <c r="DF115" s="22"/>
      <c r="DG115" s="22"/>
      <c r="DH115" s="22"/>
      <c r="DI115" s="22"/>
      <c r="DJ115" s="22"/>
      <c r="DK115" s="22"/>
      <c r="DL115" s="22"/>
      <c r="DM115" s="22"/>
      <c r="DN115" s="22"/>
      <c r="DO115" s="22"/>
      <c r="DP115" s="22"/>
      <c r="DQ115" s="22"/>
      <c r="DR115" s="22"/>
      <c r="DS115" s="22"/>
      <c r="DT115" s="22"/>
      <c r="DU115" s="22"/>
      <c r="DV115" s="22"/>
      <c r="DW115" s="22"/>
      <c r="DX115" s="22"/>
      <c r="DY115" s="22"/>
      <c r="DZ115" s="22"/>
      <c r="EA115" s="22"/>
      <c r="EB115" s="22"/>
      <c r="EC115" s="22"/>
      <c r="ED115" s="22"/>
      <c r="EE115" s="22"/>
      <c r="EF115" s="22"/>
      <c r="EG115" s="22"/>
      <c r="EH115" s="22"/>
      <c r="EI115" s="22"/>
      <c r="EJ115" s="22"/>
      <c r="EK115" s="22"/>
      <c r="EL115" s="22"/>
      <c r="EM115" s="22"/>
      <c r="EN115" s="22"/>
      <c r="EO115" s="22"/>
      <c r="EP115" s="22"/>
      <c r="EQ115" s="22"/>
      <c r="ER115" s="22"/>
      <c r="ES115" s="22"/>
      <c r="ET115" s="22"/>
      <c r="EU115" s="22"/>
      <c r="EV115" s="22"/>
      <c r="EW115" s="22"/>
      <c r="EX115" s="22"/>
      <c r="EY115" s="22"/>
      <c r="EZ115" s="22"/>
      <c r="FA115" s="22"/>
      <c r="FB115" s="22"/>
      <c r="FC115" s="22"/>
      <c r="FD115" s="22"/>
      <c r="FE115" s="22"/>
      <c r="FF115" s="22"/>
      <c r="FG115" s="22"/>
      <c r="FH115" s="22"/>
      <c r="FI115" s="22"/>
      <c r="FJ115" s="22"/>
      <c r="FK115" s="22"/>
      <c r="FL115" s="22"/>
      <c r="FM115" s="22"/>
      <c r="FN115" s="22"/>
      <c r="FO115" s="22"/>
      <c r="FP115" s="22"/>
      <c r="FQ115" s="22"/>
      <c r="FR115" s="22"/>
      <c r="FS115" s="22"/>
      <c r="FT115" s="22"/>
      <c r="FU115" s="22"/>
      <c r="FV115" s="22"/>
      <c r="FW115" s="22"/>
      <c r="FX115" s="22"/>
      <c r="FY115" s="22"/>
      <c r="FZ115" s="22"/>
      <c r="GA115" s="22"/>
      <c r="GB115" s="22"/>
      <c r="GC115" s="22"/>
      <c r="GD115" s="22"/>
      <c r="GE115" s="22"/>
      <c r="GF115" s="22"/>
      <c r="GG115" s="22"/>
      <c r="GH115" s="22"/>
      <c r="GI115" s="22"/>
      <c r="GJ115" s="22"/>
      <c r="GK115" s="22"/>
      <c r="GL115" s="22"/>
      <c r="GM115" s="22"/>
      <c r="GN115" s="22"/>
      <c r="GO115" s="22"/>
      <c r="GP115" s="22"/>
      <c r="GQ115" s="22"/>
    </row>
    <row r="116" spans="3:199" s="2" customFormat="1" ht="20.100000000000001" customHeight="1">
      <c r="C116" s="14">
        <v>40030410</v>
      </c>
      <c r="D116" s="15" t="s">
        <v>152</v>
      </c>
      <c r="E116" s="12">
        <v>0</v>
      </c>
      <c r="F116" s="15">
        <v>0</v>
      </c>
      <c r="G116" s="12">
        <v>1</v>
      </c>
      <c r="H116" s="12">
        <v>30</v>
      </c>
      <c r="I116" s="12">
        <v>0.3</v>
      </c>
      <c r="J116" s="16">
        <v>0</v>
      </c>
      <c r="K116" s="16">
        <v>0</v>
      </c>
      <c r="L116" s="15">
        <v>0</v>
      </c>
      <c r="M116" s="15">
        <v>20</v>
      </c>
      <c r="N116" s="15">
        <v>90</v>
      </c>
      <c r="O116" s="17">
        <v>0</v>
      </c>
      <c r="P116" s="17">
        <v>0</v>
      </c>
      <c r="Q116" s="19">
        <v>10</v>
      </c>
      <c r="R116" s="19">
        <v>20</v>
      </c>
      <c r="S116" s="19">
        <v>10</v>
      </c>
      <c r="T116" s="19">
        <v>20</v>
      </c>
      <c r="U116" s="18">
        <v>0</v>
      </c>
      <c r="V116" s="18">
        <v>0</v>
      </c>
      <c r="W116" s="18">
        <v>0</v>
      </c>
      <c r="X116" s="18">
        <v>0</v>
      </c>
      <c r="Y116" s="18">
        <v>0</v>
      </c>
      <c r="Z116" s="18">
        <v>0</v>
      </c>
      <c r="AA116" s="18">
        <v>0</v>
      </c>
      <c r="AB116" s="16">
        <v>0</v>
      </c>
      <c r="AC116" s="16">
        <v>0</v>
      </c>
      <c r="AD116" s="16">
        <v>0</v>
      </c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  <c r="BM116" s="22"/>
      <c r="BN116" s="22"/>
      <c r="BO116" s="22"/>
      <c r="BP116" s="22"/>
      <c r="BQ116" s="22"/>
      <c r="BR116" s="22"/>
      <c r="BS116" s="22"/>
      <c r="BT116" s="22"/>
      <c r="BU116" s="22"/>
      <c r="BV116" s="22"/>
      <c r="BW116" s="22"/>
      <c r="BX116" s="22"/>
      <c r="BY116" s="22"/>
      <c r="BZ116" s="22"/>
      <c r="CA116" s="22"/>
      <c r="CB116" s="22"/>
      <c r="CC116" s="22"/>
      <c r="CD116" s="22"/>
      <c r="CE116" s="22"/>
      <c r="CF116" s="22"/>
      <c r="CG116" s="22"/>
      <c r="CH116" s="22"/>
      <c r="CI116" s="22"/>
      <c r="CJ116" s="22"/>
      <c r="CK116" s="22"/>
      <c r="CL116" s="22"/>
      <c r="CM116" s="22"/>
      <c r="CN116" s="22"/>
      <c r="CO116" s="22"/>
      <c r="CP116" s="22"/>
      <c r="CQ116" s="22"/>
      <c r="CR116" s="22"/>
      <c r="CS116" s="22"/>
      <c r="CT116" s="22"/>
      <c r="CU116" s="22"/>
      <c r="CV116" s="22"/>
      <c r="CW116" s="22"/>
      <c r="CX116" s="22"/>
      <c r="CY116" s="22"/>
      <c r="CZ116" s="22"/>
      <c r="DA116" s="22"/>
      <c r="DB116" s="22"/>
      <c r="DC116" s="22"/>
      <c r="DD116" s="22"/>
      <c r="DE116" s="22"/>
      <c r="DF116" s="22"/>
      <c r="DG116" s="22"/>
      <c r="DH116" s="22"/>
      <c r="DI116" s="22"/>
      <c r="DJ116" s="22"/>
      <c r="DK116" s="22"/>
      <c r="DL116" s="22"/>
      <c r="DM116" s="22"/>
      <c r="DN116" s="22"/>
      <c r="DO116" s="22"/>
      <c r="DP116" s="22"/>
      <c r="DQ116" s="22"/>
      <c r="DR116" s="22"/>
      <c r="DS116" s="22"/>
      <c r="DT116" s="22"/>
      <c r="DU116" s="22"/>
      <c r="DV116" s="22"/>
      <c r="DW116" s="22"/>
      <c r="DX116" s="22"/>
      <c r="DY116" s="22"/>
      <c r="DZ116" s="22"/>
      <c r="EA116" s="22"/>
      <c r="EB116" s="22"/>
      <c r="EC116" s="22"/>
      <c r="ED116" s="22"/>
      <c r="EE116" s="22"/>
      <c r="EF116" s="22"/>
      <c r="EG116" s="22"/>
      <c r="EH116" s="22"/>
      <c r="EI116" s="22"/>
      <c r="EJ116" s="22"/>
      <c r="EK116" s="22"/>
      <c r="EL116" s="22"/>
      <c r="EM116" s="22"/>
      <c r="EN116" s="22"/>
      <c r="EO116" s="22"/>
      <c r="EP116" s="22"/>
      <c r="EQ116" s="22"/>
      <c r="ER116" s="22"/>
      <c r="ES116" s="22"/>
      <c r="ET116" s="22"/>
      <c r="EU116" s="22"/>
      <c r="EV116" s="22"/>
      <c r="EW116" s="22"/>
      <c r="EX116" s="22"/>
      <c r="EY116" s="22"/>
      <c r="EZ116" s="22"/>
      <c r="FA116" s="22"/>
      <c r="FB116" s="22"/>
      <c r="FC116" s="22"/>
      <c r="FD116" s="22"/>
      <c r="FE116" s="22"/>
      <c r="FF116" s="22"/>
      <c r="FG116" s="22"/>
      <c r="FH116" s="22"/>
      <c r="FI116" s="22"/>
      <c r="FJ116" s="22"/>
      <c r="FK116" s="22"/>
      <c r="FL116" s="22"/>
      <c r="FM116" s="22"/>
      <c r="FN116" s="22"/>
      <c r="FO116" s="22"/>
      <c r="FP116" s="22"/>
      <c r="FQ116" s="22"/>
      <c r="FR116" s="22"/>
      <c r="FS116" s="22"/>
      <c r="FT116" s="22"/>
      <c r="FU116" s="22"/>
      <c r="FV116" s="22"/>
      <c r="FW116" s="22"/>
      <c r="FX116" s="22"/>
      <c r="FY116" s="22"/>
      <c r="FZ116" s="22"/>
      <c r="GA116" s="22"/>
      <c r="GB116" s="22"/>
      <c r="GC116" s="22"/>
      <c r="GD116" s="22"/>
      <c r="GE116" s="22"/>
      <c r="GF116" s="22"/>
      <c r="GG116" s="22"/>
      <c r="GH116" s="22"/>
      <c r="GI116" s="22"/>
      <c r="GJ116" s="22"/>
      <c r="GK116" s="22"/>
      <c r="GL116" s="22"/>
      <c r="GM116" s="22"/>
      <c r="GN116" s="22"/>
      <c r="GO116" s="22"/>
      <c r="GP116" s="22"/>
      <c r="GQ116" s="22"/>
    </row>
    <row r="117" spans="3:199" s="2" customFormat="1" ht="20.100000000000001" customHeight="1">
      <c r="C117" s="14">
        <v>40030411</v>
      </c>
      <c r="D117" s="15" t="s">
        <v>153</v>
      </c>
      <c r="E117" s="12">
        <v>0</v>
      </c>
      <c r="F117" s="15">
        <v>1304</v>
      </c>
      <c r="G117" s="12">
        <v>1</v>
      </c>
      <c r="H117" s="12">
        <v>30</v>
      </c>
      <c r="I117" s="12">
        <v>0.3</v>
      </c>
      <c r="J117" s="16">
        <v>0</v>
      </c>
      <c r="K117" s="16">
        <v>0</v>
      </c>
      <c r="L117" s="15">
        <v>0</v>
      </c>
      <c r="M117" s="15">
        <v>30</v>
      </c>
      <c r="N117" s="15">
        <v>180</v>
      </c>
      <c r="O117" s="17">
        <v>0</v>
      </c>
      <c r="P117" s="17">
        <v>0</v>
      </c>
      <c r="Q117" s="19">
        <v>10</v>
      </c>
      <c r="R117" s="19">
        <v>30</v>
      </c>
      <c r="S117" s="19">
        <v>0</v>
      </c>
      <c r="T117" s="19">
        <v>0</v>
      </c>
      <c r="U117" s="18">
        <v>0</v>
      </c>
      <c r="V117" s="18">
        <v>0</v>
      </c>
      <c r="W117" s="18">
        <v>0</v>
      </c>
      <c r="X117" s="18">
        <v>0</v>
      </c>
      <c r="Y117" s="18">
        <v>0</v>
      </c>
      <c r="Z117" s="18">
        <v>0</v>
      </c>
      <c r="AA117" s="18">
        <v>0</v>
      </c>
      <c r="AB117" s="16">
        <v>0</v>
      </c>
      <c r="AC117" s="16">
        <v>0</v>
      </c>
      <c r="AD117" s="16">
        <v>0</v>
      </c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  <c r="BM117" s="22"/>
      <c r="BN117" s="22"/>
      <c r="BO117" s="22"/>
      <c r="BP117" s="22"/>
      <c r="BQ117" s="22"/>
      <c r="BR117" s="22"/>
      <c r="BS117" s="22"/>
      <c r="BT117" s="22"/>
      <c r="BU117" s="22"/>
      <c r="BV117" s="22"/>
      <c r="BW117" s="22"/>
      <c r="BX117" s="22"/>
      <c r="BY117" s="22"/>
      <c r="BZ117" s="22"/>
      <c r="CA117" s="22"/>
      <c r="CB117" s="22"/>
      <c r="CC117" s="22"/>
      <c r="CD117" s="22"/>
      <c r="CE117" s="22"/>
      <c r="CF117" s="22"/>
      <c r="CG117" s="22"/>
      <c r="CH117" s="22"/>
      <c r="CI117" s="22"/>
      <c r="CJ117" s="22"/>
      <c r="CK117" s="22"/>
      <c r="CL117" s="22"/>
      <c r="CM117" s="22"/>
      <c r="CN117" s="22"/>
      <c r="CO117" s="22"/>
      <c r="CP117" s="22"/>
      <c r="CQ117" s="22"/>
      <c r="CR117" s="22"/>
      <c r="CS117" s="22"/>
      <c r="CT117" s="22"/>
      <c r="CU117" s="22"/>
      <c r="CV117" s="22"/>
      <c r="CW117" s="22"/>
      <c r="CX117" s="22"/>
      <c r="CY117" s="22"/>
      <c r="CZ117" s="22"/>
      <c r="DA117" s="22"/>
      <c r="DB117" s="22"/>
      <c r="DC117" s="22"/>
      <c r="DD117" s="22"/>
      <c r="DE117" s="22"/>
      <c r="DF117" s="22"/>
      <c r="DG117" s="22"/>
      <c r="DH117" s="22"/>
      <c r="DI117" s="22"/>
      <c r="DJ117" s="22"/>
      <c r="DK117" s="22"/>
      <c r="DL117" s="22"/>
      <c r="DM117" s="22"/>
      <c r="DN117" s="22"/>
      <c r="DO117" s="22"/>
      <c r="DP117" s="22"/>
      <c r="DQ117" s="22"/>
      <c r="DR117" s="22"/>
      <c r="DS117" s="22"/>
      <c r="DT117" s="22"/>
      <c r="DU117" s="22"/>
      <c r="DV117" s="22"/>
      <c r="DW117" s="22"/>
      <c r="DX117" s="22"/>
      <c r="DY117" s="22"/>
      <c r="DZ117" s="22"/>
      <c r="EA117" s="22"/>
      <c r="EB117" s="22"/>
      <c r="EC117" s="22"/>
      <c r="ED117" s="22"/>
      <c r="EE117" s="22"/>
      <c r="EF117" s="22"/>
      <c r="EG117" s="22"/>
      <c r="EH117" s="22"/>
      <c r="EI117" s="22"/>
      <c r="EJ117" s="22"/>
      <c r="EK117" s="22"/>
      <c r="EL117" s="22"/>
      <c r="EM117" s="22"/>
      <c r="EN117" s="22"/>
      <c r="EO117" s="22"/>
      <c r="EP117" s="22"/>
      <c r="EQ117" s="22"/>
      <c r="ER117" s="22"/>
      <c r="ES117" s="22"/>
      <c r="ET117" s="22"/>
      <c r="EU117" s="22"/>
      <c r="EV117" s="22"/>
      <c r="EW117" s="22"/>
      <c r="EX117" s="22"/>
      <c r="EY117" s="22"/>
      <c r="EZ117" s="22"/>
      <c r="FA117" s="22"/>
      <c r="FB117" s="22"/>
      <c r="FC117" s="22"/>
      <c r="FD117" s="22"/>
      <c r="FE117" s="22"/>
      <c r="FF117" s="22"/>
      <c r="FG117" s="22"/>
      <c r="FH117" s="22"/>
      <c r="FI117" s="22"/>
      <c r="FJ117" s="22"/>
      <c r="FK117" s="22"/>
      <c r="FL117" s="22"/>
      <c r="FM117" s="22"/>
      <c r="FN117" s="22"/>
      <c r="FO117" s="22"/>
      <c r="FP117" s="22"/>
      <c r="FQ117" s="22"/>
      <c r="FR117" s="22"/>
      <c r="FS117" s="22"/>
      <c r="FT117" s="22"/>
      <c r="FU117" s="22"/>
      <c r="FV117" s="22"/>
      <c r="FW117" s="22"/>
      <c r="FX117" s="22"/>
      <c r="FY117" s="22"/>
      <c r="FZ117" s="22"/>
      <c r="GA117" s="22"/>
      <c r="GB117" s="22"/>
      <c r="GC117" s="22"/>
      <c r="GD117" s="22"/>
      <c r="GE117" s="22"/>
      <c r="GF117" s="22"/>
      <c r="GG117" s="22"/>
      <c r="GH117" s="22"/>
      <c r="GI117" s="22"/>
      <c r="GJ117" s="22"/>
      <c r="GK117" s="22"/>
      <c r="GL117" s="22"/>
      <c r="GM117" s="22"/>
      <c r="GN117" s="22"/>
      <c r="GO117" s="22"/>
      <c r="GP117" s="22"/>
      <c r="GQ117" s="22"/>
    </row>
    <row r="118" spans="3:199" s="2" customFormat="1" ht="20.100000000000001" customHeight="1">
      <c r="C118" s="14">
        <v>40030412</v>
      </c>
      <c r="D118" s="15" t="s">
        <v>154</v>
      </c>
      <c r="E118" s="12">
        <v>0</v>
      </c>
      <c r="F118" s="15">
        <v>0</v>
      </c>
      <c r="G118" s="12">
        <v>1</v>
      </c>
      <c r="H118" s="12">
        <v>30</v>
      </c>
      <c r="I118" s="12">
        <v>0.3</v>
      </c>
      <c r="J118" s="16">
        <v>0</v>
      </c>
      <c r="K118" s="16">
        <v>0</v>
      </c>
      <c r="L118" s="15">
        <v>0</v>
      </c>
      <c r="M118" s="15">
        <v>20</v>
      </c>
      <c r="N118" s="15">
        <v>150</v>
      </c>
      <c r="O118" s="17">
        <v>0</v>
      </c>
      <c r="P118" s="17">
        <v>0</v>
      </c>
      <c r="Q118" s="19">
        <v>10</v>
      </c>
      <c r="R118" s="19">
        <v>20</v>
      </c>
      <c r="S118" s="19">
        <v>0</v>
      </c>
      <c r="T118" s="19">
        <v>0</v>
      </c>
      <c r="U118" s="18">
        <v>0</v>
      </c>
      <c r="V118" s="18">
        <v>0</v>
      </c>
      <c r="W118" s="18">
        <v>0</v>
      </c>
      <c r="X118" s="18">
        <v>0</v>
      </c>
      <c r="Y118" s="18">
        <v>0</v>
      </c>
      <c r="Z118" s="18">
        <v>0</v>
      </c>
      <c r="AA118" s="18">
        <v>0</v>
      </c>
      <c r="AB118" s="16">
        <v>0</v>
      </c>
      <c r="AC118" s="16">
        <v>0</v>
      </c>
      <c r="AD118" s="16">
        <v>0</v>
      </c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  <c r="BM118" s="22"/>
      <c r="BN118" s="22"/>
      <c r="BO118" s="22"/>
      <c r="BP118" s="22"/>
      <c r="BQ118" s="22"/>
      <c r="BR118" s="22"/>
      <c r="BS118" s="22"/>
      <c r="BT118" s="22"/>
      <c r="BU118" s="22"/>
      <c r="BV118" s="22"/>
      <c r="BW118" s="22"/>
      <c r="BX118" s="22"/>
      <c r="BY118" s="22"/>
      <c r="BZ118" s="22"/>
      <c r="CA118" s="22"/>
      <c r="CB118" s="22"/>
      <c r="CC118" s="22"/>
      <c r="CD118" s="22"/>
      <c r="CE118" s="22"/>
      <c r="CF118" s="22"/>
      <c r="CG118" s="22"/>
      <c r="CH118" s="22"/>
      <c r="CI118" s="22"/>
      <c r="CJ118" s="22"/>
      <c r="CK118" s="22"/>
      <c r="CL118" s="22"/>
      <c r="CM118" s="22"/>
      <c r="CN118" s="22"/>
      <c r="CO118" s="22"/>
      <c r="CP118" s="22"/>
      <c r="CQ118" s="22"/>
      <c r="CR118" s="22"/>
      <c r="CS118" s="22"/>
      <c r="CT118" s="22"/>
      <c r="CU118" s="22"/>
      <c r="CV118" s="22"/>
      <c r="CW118" s="22"/>
      <c r="CX118" s="22"/>
      <c r="CY118" s="22"/>
      <c r="CZ118" s="22"/>
      <c r="DA118" s="22"/>
      <c r="DB118" s="22"/>
      <c r="DC118" s="22"/>
      <c r="DD118" s="22"/>
      <c r="DE118" s="22"/>
      <c r="DF118" s="22"/>
      <c r="DG118" s="22"/>
      <c r="DH118" s="22"/>
      <c r="DI118" s="22"/>
      <c r="DJ118" s="22"/>
      <c r="DK118" s="22"/>
      <c r="DL118" s="22"/>
      <c r="DM118" s="22"/>
      <c r="DN118" s="22"/>
      <c r="DO118" s="22"/>
      <c r="DP118" s="22"/>
      <c r="DQ118" s="22"/>
      <c r="DR118" s="22"/>
      <c r="DS118" s="22"/>
      <c r="DT118" s="22"/>
      <c r="DU118" s="22"/>
      <c r="DV118" s="22"/>
      <c r="DW118" s="22"/>
      <c r="DX118" s="22"/>
      <c r="DY118" s="22"/>
      <c r="DZ118" s="22"/>
      <c r="EA118" s="22"/>
      <c r="EB118" s="22"/>
      <c r="EC118" s="22"/>
      <c r="ED118" s="22"/>
      <c r="EE118" s="22"/>
      <c r="EF118" s="22"/>
      <c r="EG118" s="22"/>
      <c r="EH118" s="22"/>
      <c r="EI118" s="22"/>
      <c r="EJ118" s="22"/>
      <c r="EK118" s="22"/>
      <c r="EL118" s="22"/>
      <c r="EM118" s="22"/>
      <c r="EN118" s="22"/>
      <c r="EO118" s="22"/>
      <c r="EP118" s="22"/>
      <c r="EQ118" s="22"/>
      <c r="ER118" s="22"/>
      <c r="ES118" s="22"/>
      <c r="ET118" s="22"/>
      <c r="EU118" s="22"/>
      <c r="EV118" s="22"/>
      <c r="EW118" s="22"/>
      <c r="EX118" s="22"/>
      <c r="EY118" s="22"/>
      <c r="EZ118" s="22"/>
      <c r="FA118" s="22"/>
      <c r="FB118" s="22"/>
      <c r="FC118" s="22"/>
      <c r="FD118" s="22"/>
      <c r="FE118" s="22"/>
      <c r="FF118" s="22"/>
      <c r="FG118" s="22"/>
      <c r="FH118" s="22"/>
      <c r="FI118" s="22"/>
      <c r="FJ118" s="22"/>
      <c r="FK118" s="22"/>
      <c r="FL118" s="22"/>
      <c r="FM118" s="22"/>
      <c r="FN118" s="22"/>
      <c r="FO118" s="22"/>
      <c r="FP118" s="22"/>
      <c r="FQ118" s="22"/>
      <c r="FR118" s="22"/>
      <c r="FS118" s="22"/>
      <c r="FT118" s="22"/>
      <c r="FU118" s="22"/>
      <c r="FV118" s="22"/>
      <c r="FW118" s="22"/>
      <c r="FX118" s="22"/>
      <c r="FY118" s="22"/>
      <c r="FZ118" s="22"/>
      <c r="GA118" s="22"/>
      <c r="GB118" s="22"/>
      <c r="GC118" s="22"/>
      <c r="GD118" s="22"/>
      <c r="GE118" s="22"/>
      <c r="GF118" s="22"/>
      <c r="GG118" s="22"/>
      <c r="GH118" s="22"/>
      <c r="GI118" s="22"/>
      <c r="GJ118" s="22"/>
      <c r="GK118" s="22"/>
      <c r="GL118" s="22"/>
      <c r="GM118" s="22"/>
      <c r="GN118" s="22"/>
      <c r="GO118" s="22"/>
      <c r="GP118" s="22"/>
      <c r="GQ118" s="22"/>
    </row>
    <row r="119" spans="3:199" s="2" customFormat="1" ht="20.100000000000001" customHeight="1">
      <c r="C119" s="14">
        <v>40030413</v>
      </c>
      <c r="D119" s="15" t="s">
        <v>155</v>
      </c>
      <c r="E119" s="12">
        <v>0</v>
      </c>
      <c r="F119" s="15">
        <v>1306</v>
      </c>
      <c r="G119" s="12">
        <v>1</v>
      </c>
      <c r="H119" s="12">
        <v>30</v>
      </c>
      <c r="I119" s="12">
        <v>0.3</v>
      </c>
      <c r="J119" s="16">
        <v>0</v>
      </c>
      <c r="K119" s="16">
        <v>0</v>
      </c>
      <c r="L119" s="15">
        <v>0</v>
      </c>
      <c r="M119" s="15">
        <v>30</v>
      </c>
      <c r="N119" s="15">
        <v>170</v>
      </c>
      <c r="O119" s="17">
        <v>0</v>
      </c>
      <c r="P119" s="17">
        <v>0</v>
      </c>
      <c r="Q119" s="19">
        <v>0</v>
      </c>
      <c r="R119" s="19">
        <v>0</v>
      </c>
      <c r="S119" s="19">
        <v>20</v>
      </c>
      <c r="T119" s="19">
        <v>40</v>
      </c>
      <c r="U119" s="18">
        <v>0</v>
      </c>
      <c r="V119" s="18">
        <v>0</v>
      </c>
      <c r="W119" s="18">
        <v>0</v>
      </c>
      <c r="X119" s="18">
        <v>0</v>
      </c>
      <c r="Y119" s="18">
        <v>0</v>
      </c>
      <c r="Z119" s="18">
        <v>0</v>
      </c>
      <c r="AA119" s="18">
        <v>0</v>
      </c>
      <c r="AB119" s="16">
        <v>0</v>
      </c>
      <c r="AC119" s="16">
        <v>0</v>
      </c>
      <c r="AD119" s="16">
        <v>0</v>
      </c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  <c r="BM119" s="22"/>
      <c r="BN119" s="22"/>
      <c r="BO119" s="22"/>
      <c r="BP119" s="22"/>
      <c r="BQ119" s="22"/>
      <c r="BR119" s="22"/>
      <c r="BS119" s="22"/>
      <c r="BT119" s="22"/>
      <c r="BU119" s="22"/>
      <c r="BV119" s="22"/>
      <c r="BW119" s="22"/>
      <c r="BX119" s="22"/>
      <c r="BY119" s="22"/>
      <c r="BZ119" s="22"/>
      <c r="CA119" s="22"/>
      <c r="CB119" s="22"/>
      <c r="CC119" s="22"/>
      <c r="CD119" s="22"/>
      <c r="CE119" s="22"/>
      <c r="CF119" s="22"/>
      <c r="CG119" s="22"/>
      <c r="CH119" s="22"/>
      <c r="CI119" s="22"/>
      <c r="CJ119" s="22"/>
      <c r="CK119" s="22"/>
      <c r="CL119" s="22"/>
      <c r="CM119" s="22"/>
      <c r="CN119" s="22"/>
      <c r="CO119" s="22"/>
      <c r="CP119" s="22"/>
      <c r="CQ119" s="22"/>
      <c r="CR119" s="22"/>
      <c r="CS119" s="22"/>
      <c r="CT119" s="22"/>
      <c r="CU119" s="22"/>
      <c r="CV119" s="22"/>
      <c r="CW119" s="22"/>
      <c r="CX119" s="22"/>
      <c r="CY119" s="22"/>
      <c r="CZ119" s="22"/>
      <c r="DA119" s="22"/>
      <c r="DB119" s="22"/>
      <c r="DC119" s="22"/>
      <c r="DD119" s="22"/>
      <c r="DE119" s="22"/>
      <c r="DF119" s="22"/>
      <c r="DG119" s="22"/>
      <c r="DH119" s="22"/>
      <c r="DI119" s="22"/>
      <c r="DJ119" s="22"/>
      <c r="DK119" s="22"/>
      <c r="DL119" s="22"/>
      <c r="DM119" s="22"/>
      <c r="DN119" s="22"/>
      <c r="DO119" s="22"/>
      <c r="DP119" s="22"/>
      <c r="DQ119" s="22"/>
      <c r="DR119" s="22"/>
      <c r="DS119" s="22"/>
      <c r="DT119" s="22"/>
      <c r="DU119" s="22"/>
      <c r="DV119" s="22"/>
      <c r="DW119" s="22"/>
      <c r="DX119" s="22"/>
      <c r="DY119" s="22"/>
      <c r="DZ119" s="22"/>
      <c r="EA119" s="22"/>
      <c r="EB119" s="22"/>
      <c r="EC119" s="22"/>
      <c r="ED119" s="22"/>
      <c r="EE119" s="22"/>
      <c r="EF119" s="22"/>
      <c r="EG119" s="22"/>
      <c r="EH119" s="22"/>
      <c r="EI119" s="22"/>
      <c r="EJ119" s="22"/>
      <c r="EK119" s="22"/>
      <c r="EL119" s="22"/>
      <c r="EM119" s="22"/>
      <c r="EN119" s="22"/>
      <c r="EO119" s="22"/>
      <c r="EP119" s="22"/>
      <c r="EQ119" s="22"/>
      <c r="ER119" s="22"/>
      <c r="ES119" s="22"/>
      <c r="ET119" s="22"/>
      <c r="EU119" s="22"/>
      <c r="EV119" s="22"/>
      <c r="EW119" s="22"/>
      <c r="EX119" s="22"/>
      <c r="EY119" s="22"/>
      <c r="EZ119" s="22"/>
      <c r="FA119" s="22"/>
      <c r="FB119" s="22"/>
      <c r="FC119" s="22"/>
      <c r="FD119" s="22"/>
      <c r="FE119" s="22"/>
      <c r="FF119" s="22"/>
      <c r="FG119" s="22"/>
      <c r="FH119" s="22"/>
      <c r="FI119" s="22"/>
      <c r="FJ119" s="22"/>
      <c r="FK119" s="22"/>
      <c r="FL119" s="22"/>
      <c r="FM119" s="22"/>
      <c r="FN119" s="22"/>
      <c r="FO119" s="22"/>
      <c r="FP119" s="22"/>
      <c r="FQ119" s="22"/>
      <c r="FR119" s="22"/>
      <c r="FS119" s="22"/>
      <c r="FT119" s="22"/>
      <c r="FU119" s="22"/>
      <c r="FV119" s="22"/>
      <c r="FW119" s="22"/>
      <c r="FX119" s="22"/>
      <c r="FY119" s="22"/>
      <c r="FZ119" s="22"/>
      <c r="GA119" s="22"/>
      <c r="GB119" s="22"/>
      <c r="GC119" s="22"/>
      <c r="GD119" s="22"/>
      <c r="GE119" s="22"/>
      <c r="GF119" s="22"/>
      <c r="GG119" s="22"/>
      <c r="GH119" s="22"/>
      <c r="GI119" s="22"/>
      <c r="GJ119" s="22"/>
      <c r="GK119" s="22"/>
      <c r="GL119" s="22"/>
      <c r="GM119" s="22"/>
      <c r="GN119" s="22"/>
      <c r="GO119" s="22"/>
      <c r="GP119" s="22"/>
      <c r="GQ119" s="22"/>
    </row>
    <row r="120" spans="3:199" s="2" customFormat="1" ht="20.100000000000001" customHeight="1">
      <c r="C120" s="14">
        <v>40030414</v>
      </c>
      <c r="D120" s="15" t="s">
        <v>156</v>
      </c>
      <c r="E120" s="12">
        <v>0</v>
      </c>
      <c r="F120" s="15">
        <v>0</v>
      </c>
      <c r="G120" s="12">
        <v>1</v>
      </c>
      <c r="H120" s="12">
        <v>30</v>
      </c>
      <c r="I120" s="12">
        <v>0.3</v>
      </c>
      <c r="J120" s="16">
        <v>0</v>
      </c>
      <c r="K120" s="16">
        <v>0</v>
      </c>
      <c r="L120" s="15">
        <v>0</v>
      </c>
      <c r="M120" s="15">
        <v>10</v>
      </c>
      <c r="N120" s="15">
        <v>150</v>
      </c>
      <c r="O120" s="17">
        <v>0</v>
      </c>
      <c r="P120" s="17">
        <v>0</v>
      </c>
      <c r="Q120" s="19">
        <v>0</v>
      </c>
      <c r="R120" s="19">
        <v>0</v>
      </c>
      <c r="S120" s="19">
        <v>10</v>
      </c>
      <c r="T120" s="19">
        <v>20</v>
      </c>
      <c r="U120" s="18">
        <v>0</v>
      </c>
      <c r="V120" s="18">
        <v>0</v>
      </c>
      <c r="W120" s="18">
        <v>0</v>
      </c>
      <c r="X120" s="18">
        <v>0</v>
      </c>
      <c r="Y120" s="18">
        <v>0</v>
      </c>
      <c r="Z120" s="18">
        <v>0</v>
      </c>
      <c r="AA120" s="18">
        <v>0</v>
      </c>
      <c r="AB120" s="16">
        <v>0</v>
      </c>
      <c r="AC120" s="16">
        <v>0</v>
      </c>
      <c r="AD120" s="16">
        <v>0</v>
      </c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  <c r="BM120" s="22"/>
      <c r="BN120" s="22"/>
      <c r="BO120" s="22"/>
      <c r="BP120" s="22"/>
      <c r="BQ120" s="22"/>
      <c r="BR120" s="22"/>
      <c r="BS120" s="22"/>
      <c r="BT120" s="22"/>
      <c r="BU120" s="22"/>
      <c r="BV120" s="22"/>
      <c r="BW120" s="22"/>
      <c r="BX120" s="22"/>
      <c r="BY120" s="22"/>
      <c r="BZ120" s="22"/>
      <c r="CA120" s="22"/>
      <c r="CB120" s="22"/>
      <c r="CC120" s="22"/>
      <c r="CD120" s="22"/>
      <c r="CE120" s="22"/>
      <c r="CF120" s="22"/>
      <c r="CG120" s="22"/>
      <c r="CH120" s="22"/>
      <c r="CI120" s="22"/>
      <c r="CJ120" s="22"/>
      <c r="CK120" s="22"/>
      <c r="CL120" s="22"/>
      <c r="CM120" s="22"/>
      <c r="CN120" s="22"/>
      <c r="CO120" s="22"/>
      <c r="CP120" s="22"/>
      <c r="CQ120" s="22"/>
      <c r="CR120" s="22"/>
      <c r="CS120" s="22"/>
      <c r="CT120" s="22"/>
      <c r="CU120" s="22"/>
      <c r="CV120" s="22"/>
      <c r="CW120" s="22"/>
      <c r="CX120" s="22"/>
      <c r="CY120" s="22"/>
      <c r="CZ120" s="22"/>
      <c r="DA120" s="22"/>
      <c r="DB120" s="22"/>
      <c r="DC120" s="22"/>
      <c r="DD120" s="22"/>
      <c r="DE120" s="22"/>
      <c r="DF120" s="22"/>
      <c r="DG120" s="22"/>
      <c r="DH120" s="22"/>
      <c r="DI120" s="22"/>
      <c r="DJ120" s="22"/>
      <c r="DK120" s="22"/>
      <c r="DL120" s="22"/>
      <c r="DM120" s="22"/>
      <c r="DN120" s="22"/>
      <c r="DO120" s="22"/>
      <c r="DP120" s="22"/>
      <c r="DQ120" s="22"/>
      <c r="DR120" s="22"/>
      <c r="DS120" s="22"/>
      <c r="DT120" s="22"/>
      <c r="DU120" s="22"/>
      <c r="DV120" s="22"/>
      <c r="DW120" s="22"/>
      <c r="DX120" s="22"/>
      <c r="DY120" s="22"/>
      <c r="DZ120" s="22"/>
      <c r="EA120" s="22"/>
      <c r="EB120" s="22"/>
      <c r="EC120" s="22"/>
      <c r="ED120" s="22"/>
      <c r="EE120" s="22"/>
      <c r="EF120" s="22"/>
      <c r="EG120" s="22"/>
      <c r="EH120" s="22"/>
      <c r="EI120" s="22"/>
      <c r="EJ120" s="22"/>
      <c r="EK120" s="22"/>
      <c r="EL120" s="22"/>
      <c r="EM120" s="22"/>
      <c r="EN120" s="22"/>
      <c r="EO120" s="22"/>
      <c r="EP120" s="22"/>
      <c r="EQ120" s="22"/>
      <c r="ER120" s="22"/>
      <c r="ES120" s="22"/>
      <c r="ET120" s="22"/>
      <c r="EU120" s="22"/>
      <c r="EV120" s="22"/>
      <c r="EW120" s="22"/>
      <c r="EX120" s="22"/>
      <c r="EY120" s="22"/>
      <c r="EZ120" s="22"/>
      <c r="FA120" s="22"/>
      <c r="FB120" s="22"/>
      <c r="FC120" s="22"/>
      <c r="FD120" s="22"/>
      <c r="FE120" s="22"/>
      <c r="FF120" s="22"/>
      <c r="FG120" s="22"/>
      <c r="FH120" s="22"/>
      <c r="FI120" s="22"/>
      <c r="FJ120" s="22"/>
      <c r="FK120" s="22"/>
      <c r="FL120" s="22"/>
      <c r="FM120" s="22"/>
      <c r="FN120" s="22"/>
      <c r="FO120" s="22"/>
      <c r="FP120" s="22"/>
      <c r="FQ120" s="22"/>
      <c r="FR120" s="22"/>
      <c r="FS120" s="22"/>
      <c r="FT120" s="22"/>
      <c r="FU120" s="22"/>
      <c r="FV120" s="22"/>
      <c r="FW120" s="22"/>
      <c r="FX120" s="22"/>
      <c r="FY120" s="22"/>
      <c r="FZ120" s="22"/>
      <c r="GA120" s="22"/>
      <c r="GB120" s="22"/>
      <c r="GC120" s="22"/>
      <c r="GD120" s="22"/>
      <c r="GE120" s="22"/>
      <c r="GF120" s="22"/>
      <c r="GG120" s="22"/>
      <c r="GH120" s="22"/>
      <c r="GI120" s="22"/>
      <c r="GJ120" s="22"/>
      <c r="GK120" s="22"/>
      <c r="GL120" s="22"/>
      <c r="GM120" s="22"/>
      <c r="GN120" s="22"/>
      <c r="GO120" s="22"/>
      <c r="GP120" s="22"/>
      <c r="GQ120" s="22"/>
    </row>
    <row r="121" spans="3:199" s="2" customFormat="1" ht="20.100000000000001" customHeight="1">
      <c r="C121" s="14">
        <v>40030415</v>
      </c>
      <c r="D121" s="15" t="s">
        <v>157</v>
      </c>
      <c r="E121" s="12">
        <v>0</v>
      </c>
      <c r="F121" s="15">
        <v>1306</v>
      </c>
      <c r="G121" s="12">
        <v>1</v>
      </c>
      <c r="H121" s="12">
        <v>30</v>
      </c>
      <c r="I121" s="12">
        <v>0.3</v>
      </c>
      <c r="J121" s="16">
        <v>0</v>
      </c>
      <c r="K121" s="16">
        <v>0</v>
      </c>
      <c r="L121" s="15">
        <v>0</v>
      </c>
      <c r="M121" s="15">
        <v>0</v>
      </c>
      <c r="N121" s="15">
        <v>20</v>
      </c>
      <c r="O121" s="17">
        <v>0</v>
      </c>
      <c r="P121" s="17">
        <v>0</v>
      </c>
      <c r="Q121" s="19">
        <v>0</v>
      </c>
      <c r="R121" s="19">
        <v>20</v>
      </c>
      <c r="S121" s="19">
        <v>0</v>
      </c>
      <c r="T121" s="19">
        <v>20</v>
      </c>
      <c r="U121" s="18">
        <v>0</v>
      </c>
      <c r="V121" s="18">
        <v>0</v>
      </c>
      <c r="W121" s="18">
        <v>0</v>
      </c>
      <c r="X121" s="18">
        <v>0</v>
      </c>
      <c r="Y121" s="18">
        <v>0</v>
      </c>
      <c r="Z121" s="18">
        <v>0</v>
      </c>
      <c r="AA121" s="18">
        <v>0</v>
      </c>
      <c r="AB121" s="16">
        <v>0</v>
      </c>
      <c r="AC121" s="16">
        <v>0</v>
      </c>
      <c r="AD121" s="16">
        <v>0</v>
      </c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  <c r="BM121" s="22"/>
      <c r="BN121" s="22"/>
      <c r="BO121" s="22"/>
      <c r="BP121" s="22"/>
      <c r="BQ121" s="22"/>
      <c r="BR121" s="22"/>
      <c r="BS121" s="22"/>
      <c r="BT121" s="22"/>
      <c r="BU121" s="22"/>
      <c r="BV121" s="22"/>
      <c r="BW121" s="22"/>
      <c r="BX121" s="22"/>
      <c r="BY121" s="22"/>
      <c r="BZ121" s="22"/>
      <c r="CA121" s="22"/>
      <c r="CB121" s="22"/>
      <c r="CC121" s="22"/>
      <c r="CD121" s="22"/>
      <c r="CE121" s="22"/>
      <c r="CF121" s="22"/>
      <c r="CG121" s="22"/>
      <c r="CH121" s="22"/>
      <c r="CI121" s="22"/>
      <c r="CJ121" s="22"/>
      <c r="CK121" s="22"/>
      <c r="CL121" s="22"/>
      <c r="CM121" s="22"/>
      <c r="CN121" s="22"/>
      <c r="CO121" s="22"/>
      <c r="CP121" s="22"/>
      <c r="CQ121" s="22"/>
      <c r="CR121" s="22"/>
      <c r="CS121" s="22"/>
      <c r="CT121" s="22"/>
      <c r="CU121" s="22"/>
      <c r="CV121" s="22"/>
      <c r="CW121" s="22"/>
      <c r="CX121" s="22"/>
      <c r="CY121" s="22"/>
      <c r="CZ121" s="22"/>
      <c r="DA121" s="22"/>
      <c r="DB121" s="22"/>
      <c r="DC121" s="22"/>
      <c r="DD121" s="22"/>
      <c r="DE121" s="22"/>
      <c r="DF121" s="22"/>
      <c r="DG121" s="22"/>
      <c r="DH121" s="22"/>
      <c r="DI121" s="22"/>
      <c r="DJ121" s="22"/>
      <c r="DK121" s="22"/>
      <c r="DL121" s="22"/>
      <c r="DM121" s="22"/>
      <c r="DN121" s="22"/>
      <c r="DO121" s="22"/>
      <c r="DP121" s="22"/>
      <c r="DQ121" s="22"/>
      <c r="DR121" s="22"/>
      <c r="DS121" s="22"/>
      <c r="DT121" s="22"/>
      <c r="DU121" s="22"/>
      <c r="DV121" s="22"/>
      <c r="DW121" s="22"/>
      <c r="DX121" s="22"/>
      <c r="DY121" s="22"/>
      <c r="DZ121" s="22"/>
      <c r="EA121" s="22"/>
      <c r="EB121" s="22"/>
      <c r="EC121" s="22"/>
      <c r="ED121" s="22"/>
      <c r="EE121" s="22"/>
      <c r="EF121" s="22"/>
      <c r="EG121" s="22"/>
      <c r="EH121" s="22"/>
      <c r="EI121" s="22"/>
      <c r="EJ121" s="22"/>
      <c r="EK121" s="22"/>
      <c r="EL121" s="22"/>
      <c r="EM121" s="22"/>
      <c r="EN121" s="22"/>
      <c r="EO121" s="22"/>
      <c r="EP121" s="22"/>
      <c r="EQ121" s="22"/>
      <c r="ER121" s="22"/>
      <c r="ES121" s="22"/>
      <c r="ET121" s="22"/>
      <c r="EU121" s="22"/>
      <c r="EV121" s="22"/>
      <c r="EW121" s="22"/>
      <c r="EX121" s="22"/>
      <c r="EY121" s="22"/>
      <c r="EZ121" s="22"/>
      <c r="FA121" s="22"/>
      <c r="FB121" s="22"/>
      <c r="FC121" s="22"/>
      <c r="FD121" s="22"/>
      <c r="FE121" s="22"/>
      <c r="FF121" s="22"/>
      <c r="FG121" s="22"/>
      <c r="FH121" s="22"/>
      <c r="FI121" s="22"/>
      <c r="FJ121" s="22"/>
      <c r="FK121" s="22"/>
      <c r="FL121" s="22"/>
      <c r="FM121" s="22"/>
      <c r="FN121" s="22"/>
      <c r="FO121" s="22"/>
      <c r="FP121" s="22"/>
      <c r="FQ121" s="22"/>
      <c r="FR121" s="22"/>
      <c r="FS121" s="22"/>
      <c r="FT121" s="22"/>
      <c r="FU121" s="22"/>
      <c r="FV121" s="22"/>
      <c r="FW121" s="22"/>
      <c r="FX121" s="22"/>
      <c r="FY121" s="22"/>
      <c r="FZ121" s="22"/>
      <c r="GA121" s="22"/>
      <c r="GB121" s="22"/>
      <c r="GC121" s="22"/>
      <c r="GD121" s="22"/>
      <c r="GE121" s="22"/>
      <c r="GF121" s="22"/>
      <c r="GG121" s="22"/>
      <c r="GH121" s="22"/>
      <c r="GI121" s="22"/>
      <c r="GJ121" s="22"/>
      <c r="GK121" s="22"/>
      <c r="GL121" s="22"/>
      <c r="GM121" s="22"/>
      <c r="GN121" s="22"/>
      <c r="GO121" s="22"/>
      <c r="GP121" s="22"/>
      <c r="GQ121" s="22"/>
    </row>
    <row r="122" spans="3:199" s="2" customFormat="1" ht="20.100000000000001" customHeight="1">
      <c r="C122" s="14">
        <v>40030416</v>
      </c>
      <c r="D122" s="15" t="s">
        <v>158</v>
      </c>
      <c r="E122" s="12">
        <v>0</v>
      </c>
      <c r="F122" s="15">
        <v>1306</v>
      </c>
      <c r="G122" s="12">
        <v>1</v>
      </c>
      <c r="H122" s="12">
        <v>30</v>
      </c>
      <c r="I122" s="12">
        <v>0.3</v>
      </c>
      <c r="J122" s="16">
        <v>0</v>
      </c>
      <c r="K122" s="16">
        <v>0</v>
      </c>
      <c r="L122" s="15">
        <v>2000</v>
      </c>
      <c r="M122" s="15">
        <v>0</v>
      </c>
      <c r="N122" s="15">
        <v>0</v>
      </c>
      <c r="O122" s="17">
        <v>0</v>
      </c>
      <c r="P122" s="17">
        <v>0</v>
      </c>
      <c r="Q122" s="19">
        <v>0</v>
      </c>
      <c r="R122" s="19">
        <v>0</v>
      </c>
      <c r="S122" s="19">
        <v>0</v>
      </c>
      <c r="T122" s="19">
        <v>0</v>
      </c>
      <c r="U122" s="18">
        <v>0</v>
      </c>
      <c r="V122" s="18">
        <v>0</v>
      </c>
      <c r="W122" s="18">
        <v>0</v>
      </c>
      <c r="X122" s="18">
        <v>0</v>
      </c>
      <c r="Y122" s="18">
        <v>0</v>
      </c>
      <c r="Z122" s="18">
        <v>0</v>
      </c>
      <c r="AA122" s="18">
        <v>0</v>
      </c>
      <c r="AB122" s="16">
        <v>0</v>
      </c>
      <c r="AC122" s="16">
        <v>0</v>
      </c>
      <c r="AD122" s="16">
        <v>0</v>
      </c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  <c r="BM122" s="22"/>
      <c r="BN122" s="22"/>
      <c r="BO122" s="22"/>
      <c r="BP122" s="22"/>
      <c r="BQ122" s="22"/>
      <c r="BR122" s="22"/>
      <c r="BS122" s="22"/>
      <c r="BT122" s="22"/>
      <c r="BU122" s="22"/>
      <c r="BV122" s="22"/>
      <c r="BW122" s="22"/>
      <c r="BX122" s="22"/>
      <c r="BY122" s="22"/>
      <c r="BZ122" s="22"/>
      <c r="CA122" s="22"/>
      <c r="CB122" s="22"/>
      <c r="CC122" s="22"/>
      <c r="CD122" s="22"/>
      <c r="CE122" s="22"/>
      <c r="CF122" s="22"/>
      <c r="CG122" s="22"/>
      <c r="CH122" s="22"/>
      <c r="CI122" s="22"/>
      <c r="CJ122" s="22"/>
      <c r="CK122" s="22"/>
      <c r="CL122" s="22"/>
      <c r="CM122" s="22"/>
      <c r="CN122" s="22"/>
      <c r="CO122" s="22"/>
      <c r="CP122" s="22"/>
      <c r="CQ122" s="22"/>
      <c r="CR122" s="22"/>
      <c r="CS122" s="22"/>
      <c r="CT122" s="22"/>
      <c r="CU122" s="22"/>
      <c r="CV122" s="22"/>
      <c r="CW122" s="22"/>
      <c r="CX122" s="22"/>
      <c r="CY122" s="22"/>
      <c r="CZ122" s="22"/>
      <c r="DA122" s="22"/>
      <c r="DB122" s="22"/>
      <c r="DC122" s="22"/>
      <c r="DD122" s="22"/>
      <c r="DE122" s="22"/>
      <c r="DF122" s="22"/>
      <c r="DG122" s="22"/>
      <c r="DH122" s="22"/>
      <c r="DI122" s="22"/>
      <c r="DJ122" s="22"/>
      <c r="DK122" s="22"/>
      <c r="DL122" s="22"/>
      <c r="DM122" s="22"/>
      <c r="DN122" s="22"/>
      <c r="DO122" s="22"/>
      <c r="DP122" s="22"/>
      <c r="DQ122" s="22"/>
      <c r="DR122" s="22"/>
      <c r="DS122" s="22"/>
      <c r="DT122" s="22"/>
      <c r="DU122" s="22"/>
      <c r="DV122" s="22"/>
      <c r="DW122" s="22"/>
      <c r="DX122" s="22"/>
      <c r="DY122" s="22"/>
      <c r="DZ122" s="22"/>
      <c r="EA122" s="22"/>
      <c r="EB122" s="22"/>
      <c r="EC122" s="22"/>
      <c r="ED122" s="22"/>
      <c r="EE122" s="22"/>
      <c r="EF122" s="22"/>
      <c r="EG122" s="22"/>
      <c r="EH122" s="22"/>
      <c r="EI122" s="22"/>
      <c r="EJ122" s="22"/>
      <c r="EK122" s="22"/>
      <c r="EL122" s="22"/>
      <c r="EM122" s="22"/>
      <c r="EN122" s="22"/>
      <c r="EO122" s="22"/>
      <c r="EP122" s="22"/>
      <c r="EQ122" s="22"/>
      <c r="ER122" s="22"/>
      <c r="ES122" s="22"/>
      <c r="ET122" s="22"/>
      <c r="EU122" s="22"/>
      <c r="EV122" s="22"/>
      <c r="EW122" s="22"/>
      <c r="EX122" s="22"/>
      <c r="EY122" s="22"/>
      <c r="EZ122" s="22"/>
      <c r="FA122" s="22"/>
      <c r="FB122" s="22"/>
      <c r="FC122" s="22"/>
      <c r="FD122" s="22"/>
      <c r="FE122" s="22"/>
      <c r="FF122" s="22"/>
      <c r="FG122" s="22"/>
      <c r="FH122" s="22"/>
      <c r="FI122" s="22"/>
      <c r="FJ122" s="22"/>
      <c r="FK122" s="22"/>
      <c r="FL122" s="22"/>
      <c r="FM122" s="22"/>
      <c r="FN122" s="22"/>
      <c r="FO122" s="22"/>
      <c r="FP122" s="22"/>
      <c r="FQ122" s="22"/>
      <c r="FR122" s="22"/>
      <c r="FS122" s="22"/>
      <c r="FT122" s="22"/>
      <c r="FU122" s="22"/>
      <c r="FV122" s="22"/>
      <c r="FW122" s="22"/>
      <c r="FX122" s="22"/>
      <c r="FY122" s="22"/>
      <c r="FZ122" s="22"/>
      <c r="GA122" s="22"/>
      <c r="GB122" s="22"/>
      <c r="GC122" s="22"/>
      <c r="GD122" s="22"/>
      <c r="GE122" s="22"/>
      <c r="GF122" s="22"/>
      <c r="GG122" s="22"/>
      <c r="GH122" s="22"/>
      <c r="GI122" s="22"/>
      <c r="GJ122" s="22"/>
      <c r="GK122" s="22"/>
      <c r="GL122" s="22"/>
      <c r="GM122" s="22"/>
      <c r="GN122" s="22"/>
      <c r="GO122" s="22"/>
      <c r="GP122" s="22"/>
      <c r="GQ122" s="22"/>
    </row>
    <row r="123" spans="3:199" s="2" customFormat="1" ht="20.100000000000001" customHeight="1">
      <c r="C123" s="14">
        <v>40030417</v>
      </c>
      <c r="D123" s="15" t="s">
        <v>159</v>
      </c>
      <c r="E123" s="12">
        <v>0</v>
      </c>
      <c r="F123" s="15">
        <v>0</v>
      </c>
      <c r="G123" s="12">
        <v>1</v>
      </c>
      <c r="H123" s="12">
        <v>30</v>
      </c>
      <c r="I123" s="12">
        <v>0.3</v>
      </c>
      <c r="J123" s="16">
        <v>0</v>
      </c>
      <c r="K123" s="16">
        <v>0</v>
      </c>
      <c r="L123" s="15">
        <v>1500</v>
      </c>
      <c r="M123" s="15">
        <v>0</v>
      </c>
      <c r="N123" s="15">
        <v>0</v>
      </c>
      <c r="O123" s="17">
        <v>0</v>
      </c>
      <c r="P123" s="17">
        <v>0</v>
      </c>
      <c r="Q123" s="19">
        <v>0</v>
      </c>
      <c r="R123" s="19">
        <v>0</v>
      </c>
      <c r="S123" s="19">
        <v>0</v>
      </c>
      <c r="T123" s="19">
        <v>0</v>
      </c>
      <c r="U123" s="18">
        <v>0</v>
      </c>
      <c r="V123" s="18">
        <v>0</v>
      </c>
      <c r="W123" s="18">
        <v>0</v>
      </c>
      <c r="X123" s="18">
        <v>0</v>
      </c>
      <c r="Y123" s="18">
        <v>0</v>
      </c>
      <c r="Z123" s="18">
        <v>0</v>
      </c>
      <c r="AA123" s="18">
        <v>0</v>
      </c>
      <c r="AB123" s="16">
        <v>0</v>
      </c>
      <c r="AC123" s="16">
        <v>0</v>
      </c>
      <c r="AD123" s="16">
        <v>0</v>
      </c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  <c r="BM123" s="22"/>
      <c r="BN123" s="22"/>
      <c r="BO123" s="22"/>
      <c r="BP123" s="22"/>
      <c r="BQ123" s="22"/>
      <c r="BR123" s="22"/>
      <c r="BS123" s="22"/>
      <c r="BT123" s="22"/>
      <c r="BU123" s="22"/>
      <c r="BV123" s="22"/>
      <c r="BW123" s="22"/>
      <c r="BX123" s="22"/>
      <c r="BY123" s="22"/>
      <c r="BZ123" s="22"/>
      <c r="CA123" s="22"/>
      <c r="CB123" s="22"/>
      <c r="CC123" s="22"/>
      <c r="CD123" s="22"/>
      <c r="CE123" s="22"/>
      <c r="CF123" s="22"/>
      <c r="CG123" s="22"/>
      <c r="CH123" s="22"/>
      <c r="CI123" s="22"/>
      <c r="CJ123" s="22"/>
      <c r="CK123" s="22"/>
      <c r="CL123" s="22"/>
      <c r="CM123" s="22"/>
      <c r="CN123" s="22"/>
      <c r="CO123" s="22"/>
      <c r="CP123" s="22"/>
      <c r="CQ123" s="22"/>
      <c r="CR123" s="22"/>
      <c r="CS123" s="22"/>
      <c r="CT123" s="22"/>
      <c r="CU123" s="22"/>
      <c r="CV123" s="22"/>
      <c r="CW123" s="22"/>
      <c r="CX123" s="22"/>
      <c r="CY123" s="22"/>
      <c r="CZ123" s="22"/>
      <c r="DA123" s="22"/>
      <c r="DB123" s="22"/>
      <c r="DC123" s="22"/>
      <c r="DD123" s="22"/>
      <c r="DE123" s="22"/>
      <c r="DF123" s="22"/>
      <c r="DG123" s="22"/>
      <c r="DH123" s="22"/>
      <c r="DI123" s="22"/>
      <c r="DJ123" s="22"/>
      <c r="DK123" s="22"/>
      <c r="DL123" s="22"/>
      <c r="DM123" s="22"/>
      <c r="DN123" s="22"/>
      <c r="DO123" s="22"/>
      <c r="DP123" s="22"/>
      <c r="DQ123" s="22"/>
      <c r="DR123" s="22"/>
      <c r="DS123" s="22"/>
      <c r="DT123" s="22"/>
      <c r="DU123" s="22"/>
      <c r="DV123" s="22"/>
      <c r="DW123" s="22"/>
      <c r="DX123" s="22"/>
      <c r="DY123" s="22"/>
      <c r="DZ123" s="22"/>
      <c r="EA123" s="22"/>
      <c r="EB123" s="22"/>
      <c r="EC123" s="22"/>
      <c r="ED123" s="22"/>
      <c r="EE123" s="22"/>
      <c r="EF123" s="22"/>
      <c r="EG123" s="22"/>
      <c r="EH123" s="22"/>
      <c r="EI123" s="22"/>
      <c r="EJ123" s="22"/>
      <c r="EK123" s="22"/>
      <c r="EL123" s="22"/>
      <c r="EM123" s="22"/>
      <c r="EN123" s="22"/>
      <c r="EO123" s="22"/>
      <c r="EP123" s="22"/>
      <c r="EQ123" s="22"/>
      <c r="ER123" s="22"/>
      <c r="ES123" s="22"/>
      <c r="ET123" s="22"/>
      <c r="EU123" s="22"/>
      <c r="EV123" s="22"/>
      <c r="EW123" s="22"/>
      <c r="EX123" s="22"/>
      <c r="EY123" s="22"/>
      <c r="EZ123" s="22"/>
      <c r="FA123" s="22"/>
      <c r="FB123" s="22"/>
      <c r="FC123" s="22"/>
      <c r="FD123" s="22"/>
      <c r="FE123" s="22"/>
      <c r="FF123" s="22"/>
      <c r="FG123" s="22"/>
      <c r="FH123" s="22"/>
      <c r="FI123" s="22"/>
      <c r="FJ123" s="22"/>
      <c r="FK123" s="22"/>
      <c r="FL123" s="22"/>
      <c r="FM123" s="22"/>
      <c r="FN123" s="22"/>
      <c r="FO123" s="22"/>
      <c r="FP123" s="22"/>
      <c r="FQ123" s="22"/>
      <c r="FR123" s="22"/>
      <c r="FS123" s="22"/>
      <c r="FT123" s="22"/>
      <c r="FU123" s="22"/>
      <c r="FV123" s="22"/>
      <c r="FW123" s="22"/>
      <c r="FX123" s="22"/>
      <c r="FY123" s="22"/>
      <c r="FZ123" s="22"/>
      <c r="GA123" s="22"/>
      <c r="GB123" s="22"/>
      <c r="GC123" s="22"/>
      <c r="GD123" s="22"/>
      <c r="GE123" s="22"/>
      <c r="GF123" s="22"/>
      <c r="GG123" s="22"/>
      <c r="GH123" s="22"/>
      <c r="GI123" s="22"/>
      <c r="GJ123" s="22"/>
      <c r="GK123" s="22"/>
      <c r="GL123" s="22"/>
      <c r="GM123" s="22"/>
      <c r="GN123" s="22"/>
      <c r="GO123" s="22"/>
      <c r="GP123" s="22"/>
      <c r="GQ123" s="22"/>
    </row>
    <row r="124" spans="3:199" s="2" customFormat="1" ht="20.100000000000001" customHeight="1">
      <c r="C124" s="14">
        <v>40030418</v>
      </c>
      <c r="D124" s="15" t="s">
        <v>160</v>
      </c>
      <c r="E124" s="12">
        <v>0</v>
      </c>
      <c r="F124" s="15">
        <v>1304</v>
      </c>
      <c r="G124" s="12">
        <v>1</v>
      </c>
      <c r="H124" s="12">
        <v>30</v>
      </c>
      <c r="I124" s="12">
        <v>0.3</v>
      </c>
      <c r="J124" s="16">
        <v>0</v>
      </c>
      <c r="K124" s="16">
        <v>0</v>
      </c>
      <c r="L124" s="15">
        <v>0</v>
      </c>
      <c r="M124" s="15">
        <v>50</v>
      </c>
      <c r="N124" s="15">
        <v>600</v>
      </c>
      <c r="O124" s="17">
        <v>0</v>
      </c>
      <c r="P124" s="17">
        <v>0</v>
      </c>
      <c r="Q124" s="19">
        <v>0</v>
      </c>
      <c r="R124" s="19">
        <v>0</v>
      </c>
      <c r="S124" s="19">
        <v>0</v>
      </c>
      <c r="T124" s="19">
        <v>0</v>
      </c>
      <c r="U124" s="18">
        <v>0</v>
      </c>
      <c r="V124" s="18">
        <v>0</v>
      </c>
      <c r="W124" s="18">
        <v>0</v>
      </c>
      <c r="X124" s="18">
        <v>0</v>
      </c>
      <c r="Y124" s="18">
        <v>0</v>
      </c>
      <c r="Z124" s="18">
        <v>0</v>
      </c>
      <c r="AA124" s="18">
        <v>0</v>
      </c>
      <c r="AB124" s="16">
        <v>0</v>
      </c>
      <c r="AC124" s="16">
        <v>0</v>
      </c>
      <c r="AD124" s="16">
        <v>0</v>
      </c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  <c r="BM124" s="22"/>
      <c r="BN124" s="22"/>
      <c r="BO124" s="22"/>
      <c r="BP124" s="22"/>
      <c r="BQ124" s="22"/>
      <c r="BR124" s="22"/>
      <c r="BS124" s="22"/>
      <c r="BT124" s="22"/>
      <c r="BU124" s="22"/>
      <c r="BV124" s="22"/>
      <c r="BW124" s="22"/>
      <c r="BX124" s="22"/>
      <c r="BY124" s="22"/>
      <c r="BZ124" s="22"/>
      <c r="CA124" s="22"/>
      <c r="CB124" s="22"/>
      <c r="CC124" s="22"/>
      <c r="CD124" s="22"/>
      <c r="CE124" s="22"/>
      <c r="CF124" s="22"/>
      <c r="CG124" s="22"/>
      <c r="CH124" s="22"/>
      <c r="CI124" s="22"/>
      <c r="CJ124" s="22"/>
      <c r="CK124" s="22"/>
      <c r="CL124" s="22"/>
      <c r="CM124" s="22"/>
      <c r="CN124" s="22"/>
      <c r="CO124" s="22"/>
      <c r="CP124" s="22"/>
      <c r="CQ124" s="22"/>
      <c r="CR124" s="22"/>
      <c r="CS124" s="22"/>
      <c r="CT124" s="22"/>
      <c r="CU124" s="22"/>
      <c r="CV124" s="22"/>
      <c r="CW124" s="22"/>
      <c r="CX124" s="22"/>
      <c r="CY124" s="22"/>
      <c r="CZ124" s="22"/>
      <c r="DA124" s="22"/>
      <c r="DB124" s="22"/>
      <c r="DC124" s="22"/>
      <c r="DD124" s="22"/>
      <c r="DE124" s="22"/>
      <c r="DF124" s="22"/>
      <c r="DG124" s="22"/>
      <c r="DH124" s="22"/>
      <c r="DI124" s="22"/>
      <c r="DJ124" s="22"/>
      <c r="DK124" s="22"/>
      <c r="DL124" s="22"/>
      <c r="DM124" s="22"/>
      <c r="DN124" s="22"/>
      <c r="DO124" s="22"/>
      <c r="DP124" s="22"/>
      <c r="DQ124" s="22"/>
      <c r="DR124" s="22"/>
      <c r="DS124" s="22"/>
      <c r="DT124" s="22"/>
      <c r="DU124" s="22"/>
      <c r="DV124" s="22"/>
      <c r="DW124" s="22"/>
      <c r="DX124" s="22"/>
      <c r="DY124" s="22"/>
      <c r="DZ124" s="22"/>
      <c r="EA124" s="22"/>
      <c r="EB124" s="22"/>
      <c r="EC124" s="22"/>
      <c r="ED124" s="22"/>
      <c r="EE124" s="22"/>
      <c r="EF124" s="22"/>
      <c r="EG124" s="22"/>
      <c r="EH124" s="22"/>
      <c r="EI124" s="22"/>
      <c r="EJ124" s="22"/>
      <c r="EK124" s="22"/>
      <c r="EL124" s="22"/>
      <c r="EM124" s="22"/>
      <c r="EN124" s="22"/>
      <c r="EO124" s="22"/>
      <c r="EP124" s="22"/>
      <c r="EQ124" s="22"/>
      <c r="ER124" s="22"/>
      <c r="ES124" s="22"/>
      <c r="ET124" s="22"/>
      <c r="EU124" s="22"/>
      <c r="EV124" s="22"/>
      <c r="EW124" s="22"/>
      <c r="EX124" s="22"/>
      <c r="EY124" s="22"/>
      <c r="EZ124" s="22"/>
      <c r="FA124" s="22"/>
      <c r="FB124" s="22"/>
      <c r="FC124" s="22"/>
      <c r="FD124" s="22"/>
      <c r="FE124" s="22"/>
      <c r="FF124" s="22"/>
      <c r="FG124" s="22"/>
      <c r="FH124" s="22"/>
      <c r="FI124" s="22"/>
      <c r="FJ124" s="22"/>
      <c r="FK124" s="22"/>
      <c r="FL124" s="22"/>
      <c r="FM124" s="22"/>
      <c r="FN124" s="22"/>
      <c r="FO124" s="22"/>
      <c r="FP124" s="22"/>
      <c r="FQ124" s="22"/>
      <c r="FR124" s="22"/>
      <c r="FS124" s="22"/>
      <c r="FT124" s="22"/>
      <c r="FU124" s="22"/>
      <c r="FV124" s="22"/>
      <c r="FW124" s="22"/>
      <c r="FX124" s="22"/>
      <c r="FY124" s="22"/>
      <c r="FZ124" s="22"/>
      <c r="GA124" s="22"/>
      <c r="GB124" s="22"/>
      <c r="GC124" s="22"/>
      <c r="GD124" s="22"/>
      <c r="GE124" s="22"/>
      <c r="GF124" s="22"/>
      <c r="GG124" s="22"/>
      <c r="GH124" s="22"/>
      <c r="GI124" s="22"/>
      <c r="GJ124" s="22"/>
      <c r="GK124" s="22"/>
      <c r="GL124" s="22"/>
      <c r="GM124" s="22"/>
      <c r="GN124" s="22"/>
      <c r="GO124" s="22"/>
      <c r="GP124" s="22"/>
      <c r="GQ124" s="22"/>
    </row>
    <row r="125" spans="3:199" s="2" customFormat="1" ht="20.100000000000001" customHeight="1">
      <c r="C125" s="14">
        <v>40030419</v>
      </c>
      <c r="D125" s="15" t="s">
        <v>161</v>
      </c>
      <c r="E125" s="12">
        <v>0</v>
      </c>
      <c r="F125" s="15">
        <v>0</v>
      </c>
      <c r="G125" s="12">
        <v>1</v>
      </c>
      <c r="H125" s="12">
        <v>30</v>
      </c>
      <c r="I125" s="12">
        <v>0.3</v>
      </c>
      <c r="J125" s="16">
        <v>0</v>
      </c>
      <c r="K125" s="16">
        <v>0</v>
      </c>
      <c r="L125" s="15">
        <v>0</v>
      </c>
      <c r="M125" s="15">
        <v>70</v>
      </c>
      <c r="N125" s="15">
        <v>450</v>
      </c>
      <c r="O125" s="17">
        <v>0</v>
      </c>
      <c r="P125" s="17">
        <v>0</v>
      </c>
      <c r="Q125" s="19">
        <v>0</v>
      </c>
      <c r="R125" s="19">
        <v>0</v>
      </c>
      <c r="S125" s="19">
        <v>0</v>
      </c>
      <c r="T125" s="19">
        <v>0</v>
      </c>
      <c r="U125" s="18">
        <v>0</v>
      </c>
      <c r="V125" s="18">
        <v>0</v>
      </c>
      <c r="W125" s="18">
        <v>0</v>
      </c>
      <c r="X125" s="18">
        <v>0</v>
      </c>
      <c r="Y125" s="18">
        <v>0</v>
      </c>
      <c r="Z125" s="18">
        <v>0</v>
      </c>
      <c r="AA125" s="18">
        <v>0</v>
      </c>
      <c r="AB125" s="16">
        <v>0</v>
      </c>
      <c r="AC125" s="16">
        <v>0</v>
      </c>
      <c r="AD125" s="16">
        <v>0</v>
      </c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  <c r="BM125" s="22"/>
      <c r="BN125" s="22"/>
      <c r="BO125" s="22"/>
      <c r="BP125" s="22"/>
      <c r="BQ125" s="22"/>
      <c r="BR125" s="22"/>
      <c r="BS125" s="22"/>
      <c r="BT125" s="22"/>
      <c r="BU125" s="22"/>
      <c r="BV125" s="22"/>
      <c r="BW125" s="22"/>
      <c r="BX125" s="22"/>
      <c r="BY125" s="22"/>
      <c r="BZ125" s="22"/>
      <c r="CA125" s="22"/>
      <c r="CB125" s="22"/>
      <c r="CC125" s="22"/>
      <c r="CD125" s="22"/>
      <c r="CE125" s="22"/>
      <c r="CF125" s="22"/>
      <c r="CG125" s="22"/>
      <c r="CH125" s="22"/>
      <c r="CI125" s="22"/>
      <c r="CJ125" s="22"/>
      <c r="CK125" s="22"/>
      <c r="CL125" s="22"/>
      <c r="CM125" s="22"/>
      <c r="CN125" s="22"/>
      <c r="CO125" s="22"/>
      <c r="CP125" s="22"/>
      <c r="CQ125" s="22"/>
      <c r="CR125" s="22"/>
      <c r="CS125" s="22"/>
      <c r="CT125" s="22"/>
      <c r="CU125" s="22"/>
      <c r="CV125" s="22"/>
      <c r="CW125" s="22"/>
      <c r="CX125" s="22"/>
      <c r="CY125" s="22"/>
      <c r="CZ125" s="22"/>
      <c r="DA125" s="22"/>
      <c r="DB125" s="22"/>
      <c r="DC125" s="22"/>
      <c r="DD125" s="22"/>
      <c r="DE125" s="22"/>
      <c r="DF125" s="22"/>
      <c r="DG125" s="22"/>
      <c r="DH125" s="22"/>
      <c r="DI125" s="22"/>
      <c r="DJ125" s="22"/>
      <c r="DK125" s="22"/>
      <c r="DL125" s="22"/>
      <c r="DM125" s="22"/>
      <c r="DN125" s="22"/>
      <c r="DO125" s="22"/>
      <c r="DP125" s="22"/>
      <c r="DQ125" s="22"/>
      <c r="DR125" s="22"/>
      <c r="DS125" s="22"/>
      <c r="DT125" s="22"/>
      <c r="DU125" s="22"/>
      <c r="DV125" s="22"/>
      <c r="DW125" s="22"/>
      <c r="DX125" s="22"/>
      <c r="DY125" s="22"/>
      <c r="DZ125" s="22"/>
      <c r="EA125" s="22"/>
      <c r="EB125" s="22"/>
      <c r="EC125" s="22"/>
      <c r="ED125" s="22"/>
      <c r="EE125" s="22"/>
      <c r="EF125" s="22"/>
      <c r="EG125" s="22"/>
      <c r="EH125" s="22"/>
      <c r="EI125" s="22"/>
      <c r="EJ125" s="22"/>
      <c r="EK125" s="22"/>
      <c r="EL125" s="22"/>
      <c r="EM125" s="22"/>
      <c r="EN125" s="22"/>
      <c r="EO125" s="22"/>
      <c r="EP125" s="22"/>
      <c r="EQ125" s="22"/>
      <c r="ER125" s="22"/>
      <c r="ES125" s="22"/>
      <c r="ET125" s="22"/>
      <c r="EU125" s="22"/>
      <c r="EV125" s="22"/>
      <c r="EW125" s="22"/>
      <c r="EX125" s="22"/>
      <c r="EY125" s="22"/>
      <c r="EZ125" s="22"/>
      <c r="FA125" s="22"/>
      <c r="FB125" s="22"/>
      <c r="FC125" s="22"/>
      <c r="FD125" s="22"/>
      <c r="FE125" s="22"/>
      <c r="FF125" s="22"/>
      <c r="FG125" s="22"/>
      <c r="FH125" s="22"/>
      <c r="FI125" s="22"/>
      <c r="FJ125" s="22"/>
      <c r="FK125" s="22"/>
      <c r="FL125" s="22"/>
      <c r="FM125" s="22"/>
      <c r="FN125" s="22"/>
      <c r="FO125" s="22"/>
      <c r="FP125" s="22"/>
      <c r="FQ125" s="22"/>
      <c r="FR125" s="22"/>
      <c r="FS125" s="22"/>
      <c r="FT125" s="22"/>
      <c r="FU125" s="22"/>
      <c r="FV125" s="22"/>
      <c r="FW125" s="22"/>
      <c r="FX125" s="22"/>
      <c r="FY125" s="22"/>
      <c r="FZ125" s="22"/>
      <c r="GA125" s="22"/>
      <c r="GB125" s="22"/>
      <c r="GC125" s="22"/>
      <c r="GD125" s="22"/>
      <c r="GE125" s="22"/>
      <c r="GF125" s="22"/>
      <c r="GG125" s="22"/>
      <c r="GH125" s="22"/>
      <c r="GI125" s="22"/>
      <c r="GJ125" s="22"/>
      <c r="GK125" s="22"/>
      <c r="GL125" s="22"/>
      <c r="GM125" s="22"/>
      <c r="GN125" s="22"/>
      <c r="GO125" s="22"/>
      <c r="GP125" s="22"/>
      <c r="GQ125" s="22"/>
    </row>
    <row r="126" spans="3:199" s="2" customFormat="1" ht="20.100000000000001" customHeight="1">
      <c r="C126" s="14">
        <v>40030420</v>
      </c>
      <c r="D126" s="15" t="s">
        <v>162</v>
      </c>
      <c r="E126" s="12">
        <v>0</v>
      </c>
      <c r="F126" s="15">
        <v>1304</v>
      </c>
      <c r="G126" s="12">
        <v>1</v>
      </c>
      <c r="H126" s="12">
        <v>30</v>
      </c>
      <c r="I126" s="12">
        <v>0.3</v>
      </c>
      <c r="J126" s="16">
        <v>0</v>
      </c>
      <c r="K126" s="16">
        <v>0</v>
      </c>
      <c r="L126" s="15">
        <v>800</v>
      </c>
      <c r="M126" s="15">
        <v>0</v>
      </c>
      <c r="N126" s="15">
        <v>0</v>
      </c>
      <c r="O126" s="17">
        <v>0</v>
      </c>
      <c r="P126" s="17">
        <v>0</v>
      </c>
      <c r="Q126" s="19">
        <v>30</v>
      </c>
      <c r="R126" s="19">
        <v>100</v>
      </c>
      <c r="S126" s="19">
        <v>20</v>
      </c>
      <c r="T126" s="19">
        <v>70</v>
      </c>
      <c r="U126" s="18">
        <v>0</v>
      </c>
      <c r="V126" s="18">
        <v>0</v>
      </c>
      <c r="W126" s="18">
        <v>0</v>
      </c>
      <c r="X126" s="18">
        <v>0</v>
      </c>
      <c r="Y126" s="18">
        <v>0</v>
      </c>
      <c r="Z126" s="18">
        <v>0</v>
      </c>
      <c r="AA126" s="18">
        <v>0</v>
      </c>
      <c r="AB126" s="16">
        <v>0</v>
      </c>
      <c r="AC126" s="16">
        <v>0</v>
      </c>
      <c r="AD126" s="16">
        <v>0</v>
      </c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  <c r="BM126" s="22"/>
      <c r="BN126" s="22"/>
      <c r="BO126" s="22"/>
      <c r="BP126" s="22"/>
      <c r="BQ126" s="22"/>
      <c r="BR126" s="22"/>
      <c r="BS126" s="22"/>
      <c r="BT126" s="22"/>
      <c r="BU126" s="22"/>
      <c r="BV126" s="22"/>
      <c r="BW126" s="22"/>
      <c r="BX126" s="22"/>
      <c r="BY126" s="22"/>
      <c r="BZ126" s="22"/>
      <c r="CA126" s="22"/>
      <c r="CB126" s="22"/>
      <c r="CC126" s="22"/>
      <c r="CD126" s="22"/>
      <c r="CE126" s="22"/>
      <c r="CF126" s="22"/>
      <c r="CG126" s="22"/>
      <c r="CH126" s="22"/>
      <c r="CI126" s="22"/>
      <c r="CJ126" s="22"/>
      <c r="CK126" s="22"/>
      <c r="CL126" s="22"/>
      <c r="CM126" s="22"/>
      <c r="CN126" s="22"/>
      <c r="CO126" s="22"/>
      <c r="CP126" s="22"/>
      <c r="CQ126" s="22"/>
      <c r="CR126" s="22"/>
      <c r="CS126" s="22"/>
      <c r="CT126" s="22"/>
      <c r="CU126" s="22"/>
      <c r="CV126" s="22"/>
      <c r="CW126" s="22"/>
      <c r="CX126" s="22"/>
      <c r="CY126" s="22"/>
      <c r="CZ126" s="22"/>
      <c r="DA126" s="22"/>
      <c r="DB126" s="22"/>
      <c r="DC126" s="22"/>
      <c r="DD126" s="22"/>
      <c r="DE126" s="22"/>
      <c r="DF126" s="22"/>
      <c r="DG126" s="22"/>
      <c r="DH126" s="22"/>
      <c r="DI126" s="22"/>
      <c r="DJ126" s="22"/>
      <c r="DK126" s="22"/>
      <c r="DL126" s="22"/>
      <c r="DM126" s="22"/>
      <c r="DN126" s="22"/>
      <c r="DO126" s="22"/>
      <c r="DP126" s="22"/>
      <c r="DQ126" s="22"/>
      <c r="DR126" s="22"/>
      <c r="DS126" s="22"/>
      <c r="DT126" s="22"/>
      <c r="DU126" s="22"/>
      <c r="DV126" s="22"/>
      <c r="DW126" s="22"/>
      <c r="DX126" s="22"/>
      <c r="DY126" s="22"/>
      <c r="DZ126" s="22"/>
      <c r="EA126" s="22"/>
      <c r="EB126" s="22"/>
      <c r="EC126" s="22"/>
      <c r="ED126" s="22"/>
      <c r="EE126" s="22"/>
      <c r="EF126" s="22"/>
      <c r="EG126" s="22"/>
      <c r="EH126" s="22"/>
      <c r="EI126" s="22"/>
      <c r="EJ126" s="22"/>
      <c r="EK126" s="22"/>
      <c r="EL126" s="22"/>
      <c r="EM126" s="22"/>
      <c r="EN126" s="22"/>
      <c r="EO126" s="22"/>
      <c r="EP126" s="22"/>
      <c r="EQ126" s="22"/>
      <c r="ER126" s="22"/>
      <c r="ES126" s="22"/>
      <c r="ET126" s="22"/>
      <c r="EU126" s="22"/>
      <c r="EV126" s="22"/>
      <c r="EW126" s="22"/>
      <c r="EX126" s="22"/>
      <c r="EY126" s="22"/>
      <c r="EZ126" s="22"/>
      <c r="FA126" s="22"/>
      <c r="FB126" s="22"/>
      <c r="FC126" s="22"/>
      <c r="FD126" s="22"/>
      <c r="FE126" s="22"/>
      <c r="FF126" s="22"/>
      <c r="FG126" s="22"/>
      <c r="FH126" s="22"/>
      <c r="FI126" s="22"/>
      <c r="FJ126" s="22"/>
      <c r="FK126" s="22"/>
      <c r="FL126" s="22"/>
      <c r="FM126" s="22"/>
      <c r="FN126" s="22"/>
      <c r="FO126" s="22"/>
      <c r="FP126" s="22"/>
      <c r="FQ126" s="22"/>
      <c r="FR126" s="22"/>
      <c r="FS126" s="22"/>
      <c r="FT126" s="22"/>
      <c r="FU126" s="22"/>
      <c r="FV126" s="22"/>
      <c r="FW126" s="22"/>
      <c r="FX126" s="22"/>
      <c r="FY126" s="22"/>
      <c r="FZ126" s="22"/>
      <c r="GA126" s="22"/>
      <c r="GB126" s="22"/>
      <c r="GC126" s="22"/>
      <c r="GD126" s="22"/>
      <c r="GE126" s="22"/>
      <c r="GF126" s="22"/>
      <c r="GG126" s="22"/>
      <c r="GH126" s="22"/>
      <c r="GI126" s="22"/>
      <c r="GJ126" s="22"/>
      <c r="GK126" s="22"/>
      <c r="GL126" s="22"/>
      <c r="GM126" s="22"/>
      <c r="GN126" s="22"/>
      <c r="GO126" s="22"/>
      <c r="GP126" s="22"/>
      <c r="GQ126" s="22"/>
    </row>
    <row r="127" spans="3:199" s="2" customFormat="1" ht="20.100000000000001" customHeight="1">
      <c r="C127" s="14">
        <v>40030421</v>
      </c>
      <c r="D127" s="15" t="s">
        <v>163</v>
      </c>
      <c r="E127" s="12">
        <v>0</v>
      </c>
      <c r="F127" s="15">
        <v>0</v>
      </c>
      <c r="G127" s="12">
        <v>1</v>
      </c>
      <c r="H127" s="12">
        <v>30</v>
      </c>
      <c r="I127" s="12">
        <v>0.3</v>
      </c>
      <c r="J127" s="16">
        <v>0</v>
      </c>
      <c r="K127" s="16">
        <v>0</v>
      </c>
      <c r="L127" s="15">
        <v>600</v>
      </c>
      <c r="M127" s="15">
        <v>0</v>
      </c>
      <c r="N127" s="15">
        <v>0</v>
      </c>
      <c r="O127" s="17">
        <v>0</v>
      </c>
      <c r="P127" s="17">
        <v>0</v>
      </c>
      <c r="Q127" s="19">
        <v>20</v>
      </c>
      <c r="R127" s="19">
        <v>90</v>
      </c>
      <c r="S127" s="19">
        <v>20</v>
      </c>
      <c r="T127" s="19">
        <v>50</v>
      </c>
      <c r="U127" s="18">
        <v>0</v>
      </c>
      <c r="V127" s="18">
        <v>0</v>
      </c>
      <c r="W127" s="18">
        <v>0</v>
      </c>
      <c r="X127" s="18">
        <v>0</v>
      </c>
      <c r="Y127" s="18">
        <v>0</v>
      </c>
      <c r="Z127" s="18">
        <v>0</v>
      </c>
      <c r="AA127" s="18">
        <v>0</v>
      </c>
      <c r="AB127" s="16">
        <v>0</v>
      </c>
      <c r="AC127" s="16">
        <v>0</v>
      </c>
      <c r="AD127" s="16">
        <v>0</v>
      </c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  <c r="BM127" s="22"/>
      <c r="BN127" s="22"/>
      <c r="BO127" s="22"/>
      <c r="BP127" s="22"/>
      <c r="BQ127" s="22"/>
      <c r="BR127" s="22"/>
      <c r="BS127" s="22"/>
      <c r="BT127" s="22"/>
      <c r="BU127" s="22"/>
      <c r="BV127" s="22"/>
      <c r="BW127" s="22"/>
      <c r="BX127" s="22"/>
      <c r="BY127" s="22"/>
      <c r="BZ127" s="22"/>
      <c r="CA127" s="22"/>
      <c r="CB127" s="22"/>
      <c r="CC127" s="22"/>
      <c r="CD127" s="22"/>
      <c r="CE127" s="22"/>
      <c r="CF127" s="22"/>
      <c r="CG127" s="22"/>
      <c r="CH127" s="22"/>
      <c r="CI127" s="22"/>
      <c r="CJ127" s="22"/>
      <c r="CK127" s="22"/>
      <c r="CL127" s="22"/>
      <c r="CM127" s="22"/>
      <c r="CN127" s="22"/>
      <c r="CO127" s="22"/>
      <c r="CP127" s="22"/>
      <c r="CQ127" s="22"/>
      <c r="CR127" s="22"/>
      <c r="CS127" s="22"/>
      <c r="CT127" s="22"/>
      <c r="CU127" s="22"/>
      <c r="CV127" s="22"/>
      <c r="CW127" s="22"/>
      <c r="CX127" s="22"/>
      <c r="CY127" s="22"/>
      <c r="CZ127" s="22"/>
      <c r="DA127" s="22"/>
      <c r="DB127" s="22"/>
      <c r="DC127" s="22"/>
      <c r="DD127" s="22"/>
      <c r="DE127" s="22"/>
      <c r="DF127" s="22"/>
      <c r="DG127" s="22"/>
      <c r="DH127" s="22"/>
      <c r="DI127" s="22"/>
      <c r="DJ127" s="22"/>
      <c r="DK127" s="22"/>
      <c r="DL127" s="22"/>
      <c r="DM127" s="22"/>
      <c r="DN127" s="22"/>
      <c r="DO127" s="22"/>
      <c r="DP127" s="22"/>
      <c r="DQ127" s="22"/>
      <c r="DR127" s="22"/>
      <c r="DS127" s="22"/>
      <c r="DT127" s="22"/>
      <c r="DU127" s="22"/>
      <c r="DV127" s="22"/>
      <c r="DW127" s="22"/>
      <c r="DX127" s="22"/>
      <c r="DY127" s="22"/>
      <c r="DZ127" s="22"/>
      <c r="EA127" s="22"/>
      <c r="EB127" s="22"/>
      <c r="EC127" s="22"/>
      <c r="ED127" s="22"/>
      <c r="EE127" s="22"/>
      <c r="EF127" s="22"/>
      <c r="EG127" s="22"/>
      <c r="EH127" s="22"/>
      <c r="EI127" s="22"/>
      <c r="EJ127" s="22"/>
      <c r="EK127" s="22"/>
      <c r="EL127" s="22"/>
      <c r="EM127" s="22"/>
      <c r="EN127" s="22"/>
      <c r="EO127" s="22"/>
      <c r="EP127" s="22"/>
      <c r="EQ127" s="22"/>
      <c r="ER127" s="22"/>
      <c r="ES127" s="22"/>
      <c r="ET127" s="22"/>
      <c r="EU127" s="22"/>
      <c r="EV127" s="22"/>
      <c r="EW127" s="22"/>
      <c r="EX127" s="22"/>
      <c r="EY127" s="22"/>
      <c r="EZ127" s="22"/>
      <c r="FA127" s="22"/>
      <c r="FB127" s="22"/>
      <c r="FC127" s="22"/>
      <c r="FD127" s="22"/>
      <c r="FE127" s="22"/>
      <c r="FF127" s="22"/>
      <c r="FG127" s="22"/>
      <c r="FH127" s="22"/>
      <c r="FI127" s="22"/>
      <c r="FJ127" s="22"/>
      <c r="FK127" s="22"/>
      <c r="FL127" s="22"/>
      <c r="FM127" s="22"/>
      <c r="FN127" s="22"/>
      <c r="FO127" s="22"/>
      <c r="FP127" s="22"/>
      <c r="FQ127" s="22"/>
      <c r="FR127" s="22"/>
      <c r="FS127" s="22"/>
      <c r="FT127" s="22"/>
      <c r="FU127" s="22"/>
      <c r="FV127" s="22"/>
      <c r="FW127" s="22"/>
      <c r="FX127" s="22"/>
      <c r="FY127" s="22"/>
      <c r="FZ127" s="22"/>
      <c r="GA127" s="22"/>
      <c r="GB127" s="22"/>
      <c r="GC127" s="22"/>
      <c r="GD127" s="22"/>
      <c r="GE127" s="22"/>
      <c r="GF127" s="22"/>
      <c r="GG127" s="22"/>
      <c r="GH127" s="22"/>
      <c r="GI127" s="22"/>
      <c r="GJ127" s="22"/>
      <c r="GK127" s="22"/>
      <c r="GL127" s="22"/>
      <c r="GM127" s="22"/>
      <c r="GN127" s="22"/>
      <c r="GO127" s="22"/>
      <c r="GP127" s="22"/>
      <c r="GQ127" s="22"/>
    </row>
    <row r="128" spans="3:199" s="2" customFormat="1" ht="20.100000000000001" customHeight="1">
      <c r="C128" s="14">
        <v>40030422</v>
      </c>
      <c r="D128" s="15" t="s">
        <v>164</v>
      </c>
      <c r="E128" s="12">
        <v>0</v>
      </c>
      <c r="F128" s="15">
        <v>0</v>
      </c>
      <c r="G128" s="12">
        <v>1</v>
      </c>
      <c r="H128" s="12">
        <v>30</v>
      </c>
      <c r="I128" s="12">
        <v>0.3</v>
      </c>
      <c r="J128" s="16">
        <v>0</v>
      </c>
      <c r="K128" s="16">
        <v>0</v>
      </c>
      <c r="L128" s="15">
        <v>0</v>
      </c>
      <c r="M128" s="15">
        <v>10</v>
      </c>
      <c r="N128" s="15">
        <v>40</v>
      </c>
      <c r="O128" s="17">
        <v>0</v>
      </c>
      <c r="P128" s="17">
        <v>0</v>
      </c>
      <c r="Q128" s="19">
        <v>20</v>
      </c>
      <c r="R128" s="19">
        <v>40</v>
      </c>
      <c r="S128" s="19">
        <v>0</v>
      </c>
      <c r="T128" s="19">
        <v>0</v>
      </c>
      <c r="U128" s="18">
        <v>0</v>
      </c>
      <c r="V128" s="18">
        <v>0</v>
      </c>
      <c r="W128" s="18">
        <v>0</v>
      </c>
      <c r="X128" s="18">
        <v>0</v>
      </c>
      <c r="Y128" s="18">
        <v>0</v>
      </c>
      <c r="Z128" s="18">
        <v>0</v>
      </c>
      <c r="AA128" s="18">
        <v>0</v>
      </c>
      <c r="AB128" s="16">
        <v>0</v>
      </c>
      <c r="AC128" s="16">
        <v>0</v>
      </c>
      <c r="AD128" s="16">
        <v>0</v>
      </c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  <c r="BM128" s="22"/>
      <c r="BN128" s="22"/>
      <c r="BO128" s="22"/>
      <c r="BP128" s="22"/>
      <c r="BQ128" s="22"/>
      <c r="BR128" s="22"/>
      <c r="BS128" s="22"/>
      <c r="BT128" s="22"/>
      <c r="BU128" s="22"/>
      <c r="BV128" s="22"/>
      <c r="BW128" s="22"/>
      <c r="BX128" s="22"/>
      <c r="BY128" s="22"/>
      <c r="BZ128" s="22"/>
      <c r="CA128" s="22"/>
      <c r="CB128" s="22"/>
      <c r="CC128" s="22"/>
      <c r="CD128" s="22"/>
      <c r="CE128" s="22"/>
      <c r="CF128" s="22"/>
      <c r="CG128" s="22"/>
      <c r="CH128" s="22"/>
      <c r="CI128" s="22"/>
      <c r="CJ128" s="22"/>
      <c r="CK128" s="22"/>
      <c r="CL128" s="22"/>
      <c r="CM128" s="22"/>
      <c r="CN128" s="22"/>
      <c r="CO128" s="22"/>
      <c r="CP128" s="22"/>
      <c r="CQ128" s="22"/>
      <c r="CR128" s="22"/>
      <c r="CS128" s="22"/>
      <c r="CT128" s="22"/>
      <c r="CU128" s="22"/>
      <c r="CV128" s="22"/>
      <c r="CW128" s="22"/>
      <c r="CX128" s="22"/>
      <c r="CY128" s="22"/>
      <c r="CZ128" s="22"/>
      <c r="DA128" s="22"/>
      <c r="DB128" s="22"/>
      <c r="DC128" s="22"/>
      <c r="DD128" s="22"/>
      <c r="DE128" s="22"/>
      <c r="DF128" s="22"/>
      <c r="DG128" s="22"/>
      <c r="DH128" s="22"/>
      <c r="DI128" s="22"/>
      <c r="DJ128" s="22"/>
      <c r="DK128" s="22"/>
      <c r="DL128" s="22"/>
      <c r="DM128" s="22"/>
      <c r="DN128" s="22"/>
      <c r="DO128" s="22"/>
      <c r="DP128" s="22"/>
      <c r="DQ128" s="22"/>
      <c r="DR128" s="22"/>
      <c r="DS128" s="22"/>
      <c r="DT128" s="22"/>
      <c r="DU128" s="22"/>
      <c r="DV128" s="22"/>
      <c r="DW128" s="22"/>
      <c r="DX128" s="22"/>
      <c r="DY128" s="22"/>
      <c r="DZ128" s="22"/>
      <c r="EA128" s="22"/>
      <c r="EB128" s="22"/>
      <c r="EC128" s="22"/>
      <c r="ED128" s="22"/>
      <c r="EE128" s="22"/>
      <c r="EF128" s="22"/>
      <c r="EG128" s="22"/>
      <c r="EH128" s="22"/>
      <c r="EI128" s="22"/>
      <c r="EJ128" s="22"/>
      <c r="EK128" s="22"/>
      <c r="EL128" s="22"/>
      <c r="EM128" s="22"/>
      <c r="EN128" s="22"/>
      <c r="EO128" s="22"/>
      <c r="EP128" s="22"/>
      <c r="EQ128" s="22"/>
      <c r="ER128" s="22"/>
      <c r="ES128" s="22"/>
      <c r="ET128" s="22"/>
      <c r="EU128" s="22"/>
      <c r="EV128" s="22"/>
      <c r="EW128" s="22"/>
      <c r="EX128" s="22"/>
      <c r="EY128" s="22"/>
      <c r="EZ128" s="22"/>
      <c r="FA128" s="22"/>
      <c r="FB128" s="22"/>
      <c r="FC128" s="22"/>
      <c r="FD128" s="22"/>
      <c r="FE128" s="22"/>
      <c r="FF128" s="22"/>
      <c r="FG128" s="22"/>
      <c r="FH128" s="22"/>
      <c r="FI128" s="22"/>
      <c r="FJ128" s="22"/>
      <c r="FK128" s="22"/>
      <c r="FL128" s="22"/>
      <c r="FM128" s="22"/>
      <c r="FN128" s="22"/>
      <c r="FO128" s="22"/>
      <c r="FP128" s="22"/>
      <c r="FQ128" s="22"/>
      <c r="FR128" s="22"/>
      <c r="FS128" s="22"/>
      <c r="FT128" s="22"/>
      <c r="FU128" s="22"/>
      <c r="FV128" s="22"/>
      <c r="FW128" s="22"/>
      <c r="FX128" s="22"/>
      <c r="FY128" s="22"/>
      <c r="FZ128" s="22"/>
      <c r="GA128" s="22"/>
      <c r="GB128" s="22"/>
      <c r="GC128" s="22"/>
      <c r="GD128" s="22"/>
      <c r="GE128" s="22"/>
      <c r="GF128" s="22"/>
      <c r="GG128" s="22"/>
      <c r="GH128" s="22"/>
      <c r="GI128" s="22"/>
      <c r="GJ128" s="22"/>
      <c r="GK128" s="22"/>
      <c r="GL128" s="22"/>
      <c r="GM128" s="22"/>
      <c r="GN128" s="22"/>
      <c r="GO128" s="22"/>
      <c r="GP128" s="22"/>
      <c r="GQ128" s="22"/>
    </row>
    <row r="129" spans="3:199" s="2" customFormat="1" ht="20.100000000000001" customHeight="1">
      <c r="C129" s="14">
        <v>40030423</v>
      </c>
      <c r="D129" s="15" t="s">
        <v>165</v>
      </c>
      <c r="E129" s="12">
        <v>0</v>
      </c>
      <c r="F129" s="15">
        <v>0</v>
      </c>
      <c r="G129" s="12">
        <v>1</v>
      </c>
      <c r="H129" s="12">
        <v>30</v>
      </c>
      <c r="I129" s="12">
        <v>0.3</v>
      </c>
      <c r="J129" s="16">
        <v>0</v>
      </c>
      <c r="K129" s="16">
        <v>0</v>
      </c>
      <c r="L129" s="15">
        <v>0</v>
      </c>
      <c r="M129" s="15">
        <v>20</v>
      </c>
      <c r="N129" s="15">
        <v>60</v>
      </c>
      <c r="O129" s="17">
        <v>0</v>
      </c>
      <c r="P129" s="17">
        <v>0</v>
      </c>
      <c r="Q129" s="19">
        <v>0</v>
      </c>
      <c r="R129" s="19">
        <v>0</v>
      </c>
      <c r="S129" s="19">
        <v>20</v>
      </c>
      <c r="T129" s="19">
        <v>30</v>
      </c>
      <c r="U129" s="18">
        <v>0</v>
      </c>
      <c r="V129" s="18">
        <v>0</v>
      </c>
      <c r="W129" s="18">
        <v>0</v>
      </c>
      <c r="X129" s="18">
        <v>0</v>
      </c>
      <c r="Y129" s="18">
        <v>0</v>
      </c>
      <c r="Z129" s="18">
        <v>0</v>
      </c>
      <c r="AA129" s="18">
        <v>0</v>
      </c>
      <c r="AB129" s="16">
        <v>0</v>
      </c>
      <c r="AC129" s="16">
        <v>0</v>
      </c>
      <c r="AD129" s="16">
        <v>0</v>
      </c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  <c r="BM129" s="22"/>
      <c r="BN129" s="22"/>
      <c r="BO129" s="22"/>
      <c r="BP129" s="22"/>
      <c r="BQ129" s="22"/>
      <c r="BR129" s="22"/>
      <c r="BS129" s="22"/>
      <c r="BT129" s="22"/>
      <c r="BU129" s="22"/>
      <c r="BV129" s="22"/>
      <c r="BW129" s="22"/>
      <c r="BX129" s="22"/>
      <c r="BY129" s="22"/>
      <c r="BZ129" s="22"/>
      <c r="CA129" s="22"/>
      <c r="CB129" s="22"/>
      <c r="CC129" s="22"/>
      <c r="CD129" s="22"/>
      <c r="CE129" s="22"/>
      <c r="CF129" s="22"/>
      <c r="CG129" s="22"/>
      <c r="CH129" s="22"/>
      <c r="CI129" s="22"/>
      <c r="CJ129" s="22"/>
      <c r="CK129" s="22"/>
      <c r="CL129" s="22"/>
      <c r="CM129" s="22"/>
      <c r="CN129" s="22"/>
      <c r="CO129" s="22"/>
      <c r="CP129" s="22"/>
      <c r="CQ129" s="22"/>
      <c r="CR129" s="22"/>
      <c r="CS129" s="22"/>
      <c r="CT129" s="22"/>
      <c r="CU129" s="22"/>
      <c r="CV129" s="22"/>
      <c r="CW129" s="22"/>
      <c r="CX129" s="22"/>
      <c r="CY129" s="22"/>
      <c r="CZ129" s="22"/>
      <c r="DA129" s="22"/>
      <c r="DB129" s="22"/>
      <c r="DC129" s="22"/>
      <c r="DD129" s="22"/>
      <c r="DE129" s="22"/>
      <c r="DF129" s="22"/>
      <c r="DG129" s="22"/>
      <c r="DH129" s="22"/>
      <c r="DI129" s="22"/>
      <c r="DJ129" s="22"/>
      <c r="DK129" s="22"/>
      <c r="DL129" s="22"/>
      <c r="DM129" s="22"/>
      <c r="DN129" s="22"/>
      <c r="DO129" s="22"/>
      <c r="DP129" s="22"/>
      <c r="DQ129" s="22"/>
      <c r="DR129" s="22"/>
      <c r="DS129" s="22"/>
      <c r="DT129" s="22"/>
      <c r="DU129" s="22"/>
      <c r="DV129" s="22"/>
      <c r="DW129" s="22"/>
      <c r="DX129" s="22"/>
      <c r="DY129" s="22"/>
      <c r="DZ129" s="22"/>
      <c r="EA129" s="22"/>
      <c r="EB129" s="22"/>
      <c r="EC129" s="22"/>
      <c r="ED129" s="22"/>
      <c r="EE129" s="22"/>
      <c r="EF129" s="22"/>
      <c r="EG129" s="22"/>
      <c r="EH129" s="22"/>
      <c r="EI129" s="22"/>
      <c r="EJ129" s="22"/>
      <c r="EK129" s="22"/>
      <c r="EL129" s="22"/>
      <c r="EM129" s="22"/>
      <c r="EN129" s="22"/>
      <c r="EO129" s="22"/>
      <c r="EP129" s="22"/>
      <c r="EQ129" s="22"/>
      <c r="ER129" s="22"/>
      <c r="ES129" s="22"/>
      <c r="ET129" s="22"/>
      <c r="EU129" s="22"/>
      <c r="EV129" s="22"/>
      <c r="EW129" s="22"/>
      <c r="EX129" s="22"/>
      <c r="EY129" s="22"/>
      <c r="EZ129" s="22"/>
      <c r="FA129" s="22"/>
      <c r="FB129" s="22"/>
      <c r="FC129" s="22"/>
      <c r="FD129" s="22"/>
      <c r="FE129" s="22"/>
      <c r="FF129" s="22"/>
      <c r="FG129" s="22"/>
      <c r="FH129" s="22"/>
      <c r="FI129" s="22"/>
      <c r="FJ129" s="22"/>
      <c r="FK129" s="22"/>
      <c r="FL129" s="22"/>
      <c r="FM129" s="22"/>
      <c r="FN129" s="22"/>
      <c r="FO129" s="22"/>
      <c r="FP129" s="22"/>
      <c r="FQ129" s="22"/>
      <c r="FR129" s="22"/>
      <c r="FS129" s="22"/>
      <c r="FT129" s="22"/>
      <c r="FU129" s="22"/>
      <c r="FV129" s="22"/>
      <c r="FW129" s="22"/>
      <c r="FX129" s="22"/>
      <c r="FY129" s="22"/>
      <c r="FZ129" s="22"/>
      <c r="GA129" s="22"/>
      <c r="GB129" s="22"/>
      <c r="GC129" s="22"/>
      <c r="GD129" s="22"/>
      <c r="GE129" s="22"/>
      <c r="GF129" s="22"/>
      <c r="GG129" s="22"/>
      <c r="GH129" s="22"/>
      <c r="GI129" s="22"/>
      <c r="GJ129" s="22"/>
      <c r="GK129" s="22"/>
      <c r="GL129" s="22"/>
      <c r="GM129" s="22"/>
      <c r="GN129" s="22"/>
      <c r="GO129" s="22"/>
      <c r="GP129" s="22"/>
      <c r="GQ129" s="22"/>
    </row>
    <row r="130" spans="3:199" s="2" customFormat="1" ht="20.100000000000001" customHeight="1">
      <c r="C130" s="14">
        <v>40030424</v>
      </c>
      <c r="D130" s="15" t="s">
        <v>166</v>
      </c>
      <c r="E130" s="12">
        <v>0</v>
      </c>
      <c r="F130" s="15">
        <v>0</v>
      </c>
      <c r="G130" s="12">
        <v>1</v>
      </c>
      <c r="H130" s="12">
        <v>30</v>
      </c>
      <c r="I130" s="12">
        <v>0.3</v>
      </c>
      <c r="J130" s="16">
        <v>0</v>
      </c>
      <c r="K130" s="16">
        <v>0</v>
      </c>
      <c r="L130" s="15">
        <v>700</v>
      </c>
      <c r="M130" s="15">
        <v>0</v>
      </c>
      <c r="N130" s="15">
        <v>0</v>
      </c>
      <c r="O130" s="17">
        <v>0</v>
      </c>
      <c r="P130" s="17">
        <v>0</v>
      </c>
      <c r="Q130" s="19">
        <v>30</v>
      </c>
      <c r="R130" s="19">
        <v>90</v>
      </c>
      <c r="S130" s="19">
        <v>20</v>
      </c>
      <c r="T130" s="19">
        <v>60</v>
      </c>
      <c r="U130" s="18">
        <v>0</v>
      </c>
      <c r="V130" s="18">
        <v>0</v>
      </c>
      <c r="W130" s="18">
        <v>0</v>
      </c>
      <c r="X130" s="18">
        <v>0</v>
      </c>
      <c r="Y130" s="18">
        <v>0</v>
      </c>
      <c r="Z130" s="18">
        <v>0</v>
      </c>
      <c r="AA130" s="18">
        <v>0</v>
      </c>
      <c r="AB130" s="16">
        <v>0</v>
      </c>
      <c r="AC130" s="16">
        <v>0</v>
      </c>
      <c r="AD130" s="16">
        <v>0</v>
      </c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  <c r="BM130" s="22"/>
      <c r="BN130" s="22"/>
      <c r="BO130" s="22"/>
      <c r="BP130" s="22"/>
      <c r="BQ130" s="22"/>
      <c r="BR130" s="22"/>
      <c r="BS130" s="22"/>
      <c r="BT130" s="22"/>
      <c r="BU130" s="22"/>
      <c r="BV130" s="22"/>
      <c r="BW130" s="22"/>
      <c r="BX130" s="22"/>
      <c r="BY130" s="22"/>
      <c r="BZ130" s="22"/>
      <c r="CA130" s="22"/>
      <c r="CB130" s="22"/>
      <c r="CC130" s="22"/>
      <c r="CD130" s="22"/>
      <c r="CE130" s="22"/>
      <c r="CF130" s="22"/>
      <c r="CG130" s="22"/>
      <c r="CH130" s="22"/>
      <c r="CI130" s="22"/>
      <c r="CJ130" s="22"/>
      <c r="CK130" s="22"/>
      <c r="CL130" s="22"/>
      <c r="CM130" s="22"/>
      <c r="CN130" s="22"/>
      <c r="CO130" s="22"/>
      <c r="CP130" s="22"/>
      <c r="CQ130" s="22"/>
      <c r="CR130" s="22"/>
      <c r="CS130" s="22"/>
      <c r="CT130" s="22"/>
      <c r="CU130" s="22"/>
      <c r="CV130" s="22"/>
      <c r="CW130" s="22"/>
      <c r="CX130" s="22"/>
      <c r="CY130" s="22"/>
      <c r="CZ130" s="22"/>
      <c r="DA130" s="22"/>
      <c r="DB130" s="22"/>
      <c r="DC130" s="22"/>
      <c r="DD130" s="22"/>
      <c r="DE130" s="22"/>
      <c r="DF130" s="22"/>
      <c r="DG130" s="22"/>
      <c r="DH130" s="22"/>
      <c r="DI130" s="22"/>
      <c r="DJ130" s="22"/>
      <c r="DK130" s="22"/>
      <c r="DL130" s="22"/>
      <c r="DM130" s="22"/>
      <c r="DN130" s="22"/>
      <c r="DO130" s="22"/>
      <c r="DP130" s="22"/>
      <c r="DQ130" s="22"/>
      <c r="DR130" s="22"/>
      <c r="DS130" s="22"/>
      <c r="DT130" s="22"/>
      <c r="DU130" s="22"/>
      <c r="DV130" s="22"/>
      <c r="DW130" s="22"/>
      <c r="DX130" s="22"/>
      <c r="DY130" s="22"/>
      <c r="DZ130" s="22"/>
      <c r="EA130" s="22"/>
      <c r="EB130" s="22"/>
      <c r="EC130" s="22"/>
      <c r="ED130" s="22"/>
      <c r="EE130" s="22"/>
      <c r="EF130" s="22"/>
      <c r="EG130" s="22"/>
      <c r="EH130" s="22"/>
      <c r="EI130" s="22"/>
      <c r="EJ130" s="22"/>
      <c r="EK130" s="22"/>
      <c r="EL130" s="22"/>
      <c r="EM130" s="22"/>
      <c r="EN130" s="22"/>
      <c r="EO130" s="22"/>
      <c r="EP130" s="22"/>
      <c r="EQ130" s="22"/>
      <c r="ER130" s="22"/>
      <c r="ES130" s="22"/>
      <c r="ET130" s="22"/>
      <c r="EU130" s="22"/>
      <c r="EV130" s="22"/>
      <c r="EW130" s="22"/>
      <c r="EX130" s="22"/>
      <c r="EY130" s="22"/>
      <c r="EZ130" s="22"/>
      <c r="FA130" s="22"/>
      <c r="FB130" s="22"/>
      <c r="FC130" s="22"/>
      <c r="FD130" s="22"/>
      <c r="FE130" s="22"/>
      <c r="FF130" s="22"/>
      <c r="FG130" s="22"/>
      <c r="FH130" s="22"/>
      <c r="FI130" s="22"/>
      <c r="FJ130" s="22"/>
      <c r="FK130" s="22"/>
      <c r="FL130" s="22"/>
      <c r="FM130" s="22"/>
      <c r="FN130" s="22"/>
      <c r="FO130" s="22"/>
      <c r="FP130" s="22"/>
      <c r="FQ130" s="22"/>
      <c r="FR130" s="22"/>
      <c r="FS130" s="22"/>
      <c r="FT130" s="22"/>
      <c r="FU130" s="22"/>
      <c r="FV130" s="22"/>
      <c r="FW130" s="22"/>
      <c r="FX130" s="22"/>
      <c r="FY130" s="22"/>
      <c r="FZ130" s="22"/>
      <c r="GA130" s="22"/>
      <c r="GB130" s="22"/>
      <c r="GC130" s="22"/>
      <c r="GD130" s="22"/>
      <c r="GE130" s="22"/>
      <c r="GF130" s="22"/>
      <c r="GG130" s="22"/>
      <c r="GH130" s="22"/>
      <c r="GI130" s="22"/>
      <c r="GJ130" s="22"/>
      <c r="GK130" s="22"/>
      <c r="GL130" s="22"/>
      <c r="GM130" s="22"/>
      <c r="GN130" s="22"/>
      <c r="GO130" s="22"/>
      <c r="GP130" s="22"/>
      <c r="GQ130" s="22"/>
    </row>
    <row r="131" spans="3:199" s="2" customFormat="1" ht="20.100000000000001" customHeight="1">
      <c r="C131" s="14">
        <v>40030425</v>
      </c>
      <c r="D131" s="15" t="s">
        <v>167</v>
      </c>
      <c r="E131" s="12">
        <v>0</v>
      </c>
      <c r="F131" s="15">
        <v>0</v>
      </c>
      <c r="G131" s="12">
        <v>1</v>
      </c>
      <c r="H131" s="12">
        <v>30</v>
      </c>
      <c r="I131" s="12">
        <v>0.3</v>
      </c>
      <c r="J131" s="16">
        <v>0</v>
      </c>
      <c r="K131" s="16">
        <v>0</v>
      </c>
      <c r="L131" s="15">
        <v>0</v>
      </c>
      <c r="M131" s="15">
        <v>30</v>
      </c>
      <c r="N131" s="15">
        <v>60</v>
      </c>
      <c r="O131" s="17">
        <v>0</v>
      </c>
      <c r="P131" s="17">
        <v>0</v>
      </c>
      <c r="Q131" s="19">
        <v>10</v>
      </c>
      <c r="R131" s="19">
        <v>40</v>
      </c>
      <c r="S131" s="19">
        <v>10</v>
      </c>
      <c r="T131" s="19">
        <v>40</v>
      </c>
      <c r="U131" s="18">
        <v>0</v>
      </c>
      <c r="V131" s="18">
        <v>0</v>
      </c>
      <c r="W131" s="18">
        <v>0</v>
      </c>
      <c r="X131" s="18">
        <v>0</v>
      </c>
      <c r="Y131" s="18">
        <v>0</v>
      </c>
      <c r="Z131" s="18">
        <v>0</v>
      </c>
      <c r="AA131" s="18">
        <v>0</v>
      </c>
      <c r="AB131" s="16">
        <v>0</v>
      </c>
      <c r="AC131" s="16">
        <v>0</v>
      </c>
      <c r="AD131" s="16">
        <v>0</v>
      </c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  <c r="BM131" s="22"/>
      <c r="BN131" s="22"/>
      <c r="BO131" s="22"/>
      <c r="BP131" s="22"/>
      <c r="BQ131" s="22"/>
      <c r="BR131" s="22"/>
      <c r="BS131" s="22"/>
      <c r="BT131" s="22"/>
      <c r="BU131" s="22"/>
      <c r="BV131" s="22"/>
      <c r="BW131" s="22"/>
      <c r="BX131" s="22"/>
      <c r="BY131" s="22"/>
      <c r="BZ131" s="22"/>
      <c r="CA131" s="22"/>
      <c r="CB131" s="22"/>
      <c r="CC131" s="22"/>
      <c r="CD131" s="22"/>
      <c r="CE131" s="22"/>
      <c r="CF131" s="22"/>
      <c r="CG131" s="22"/>
      <c r="CH131" s="22"/>
      <c r="CI131" s="22"/>
      <c r="CJ131" s="22"/>
      <c r="CK131" s="22"/>
      <c r="CL131" s="22"/>
      <c r="CM131" s="22"/>
      <c r="CN131" s="22"/>
      <c r="CO131" s="22"/>
      <c r="CP131" s="22"/>
      <c r="CQ131" s="22"/>
      <c r="CR131" s="22"/>
      <c r="CS131" s="22"/>
      <c r="CT131" s="22"/>
      <c r="CU131" s="22"/>
      <c r="CV131" s="22"/>
      <c r="CW131" s="22"/>
      <c r="CX131" s="22"/>
      <c r="CY131" s="22"/>
      <c r="CZ131" s="22"/>
      <c r="DA131" s="22"/>
      <c r="DB131" s="22"/>
      <c r="DC131" s="22"/>
      <c r="DD131" s="22"/>
      <c r="DE131" s="22"/>
      <c r="DF131" s="22"/>
      <c r="DG131" s="22"/>
      <c r="DH131" s="22"/>
      <c r="DI131" s="22"/>
      <c r="DJ131" s="22"/>
      <c r="DK131" s="22"/>
      <c r="DL131" s="22"/>
      <c r="DM131" s="22"/>
      <c r="DN131" s="22"/>
      <c r="DO131" s="22"/>
      <c r="DP131" s="22"/>
      <c r="DQ131" s="22"/>
      <c r="DR131" s="22"/>
      <c r="DS131" s="22"/>
      <c r="DT131" s="22"/>
      <c r="DU131" s="22"/>
      <c r="DV131" s="22"/>
      <c r="DW131" s="22"/>
      <c r="DX131" s="22"/>
      <c r="DY131" s="22"/>
      <c r="DZ131" s="22"/>
      <c r="EA131" s="22"/>
      <c r="EB131" s="22"/>
      <c r="EC131" s="22"/>
      <c r="ED131" s="22"/>
      <c r="EE131" s="22"/>
      <c r="EF131" s="22"/>
      <c r="EG131" s="22"/>
      <c r="EH131" s="22"/>
      <c r="EI131" s="22"/>
      <c r="EJ131" s="22"/>
      <c r="EK131" s="22"/>
      <c r="EL131" s="22"/>
      <c r="EM131" s="22"/>
      <c r="EN131" s="22"/>
      <c r="EO131" s="22"/>
      <c r="EP131" s="22"/>
      <c r="EQ131" s="22"/>
      <c r="ER131" s="22"/>
      <c r="ES131" s="22"/>
      <c r="ET131" s="22"/>
      <c r="EU131" s="22"/>
      <c r="EV131" s="22"/>
      <c r="EW131" s="22"/>
      <c r="EX131" s="22"/>
      <c r="EY131" s="22"/>
      <c r="EZ131" s="22"/>
      <c r="FA131" s="22"/>
      <c r="FB131" s="22"/>
      <c r="FC131" s="22"/>
      <c r="FD131" s="22"/>
      <c r="FE131" s="22"/>
      <c r="FF131" s="22"/>
      <c r="FG131" s="22"/>
      <c r="FH131" s="22"/>
      <c r="FI131" s="22"/>
      <c r="FJ131" s="22"/>
      <c r="FK131" s="22"/>
      <c r="FL131" s="22"/>
      <c r="FM131" s="22"/>
      <c r="FN131" s="22"/>
      <c r="FO131" s="22"/>
      <c r="FP131" s="22"/>
      <c r="FQ131" s="22"/>
      <c r="FR131" s="22"/>
      <c r="FS131" s="22"/>
      <c r="FT131" s="22"/>
      <c r="FU131" s="22"/>
      <c r="FV131" s="22"/>
      <c r="FW131" s="22"/>
      <c r="FX131" s="22"/>
      <c r="FY131" s="22"/>
      <c r="FZ131" s="22"/>
      <c r="GA131" s="22"/>
      <c r="GB131" s="22"/>
      <c r="GC131" s="22"/>
      <c r="GD131" s="22"/>
      <c r="GE131" s="22"/>
      <c r="GF131" s="22"/>
      <c r="GG131" s="22"/>
      <c r="GH131" s="22"/>
      <c r="GI131" s="22"/>
      <c r="GJ131" s="22"/>
      <c r="GK131" s="22"/>
      <c r="GL131" s="22"/>
      <c r="GM131" s="22"/>
      <c r="GN131" s="22"/>
      <c r="GO131" s="22"/>
      <c r="GP131" s="22"/>
      <c r="GQ131" s="22"/>
    </row>
    <row r="132" spans="3:199" s="2" customFormat="1" ht="20.100000000000001" customHeight="1">
      <c r="C132" s="14">
        <v>40030426</v>
      </c>
      <c r="D132" s="15" t="s">
        <v>168</v>
      </c>
      <c r="E132" s="12">
        <v>0</v>
      </c>
      <c r="F132" s="15">
        <v>0</v>
      </c>
      <c r="G132" s="12">
        <v>1</v>
      </c>
      <c r="H132" s="12">
        <v>30</v>
      </c>
      <c r="I132" s="12">
        <v>0.3</v>
      </c>
      <c r="J132" s="16">
        <v>0</v>
      </c>
      <c r="K132" s="16">
        <v>0</v>
      </c>
      <c r="L132" s="15">
        <v>0</v>
      </c>
      <c r="M132" s="15">
        <v>40</v>
      </c>
      <c r="N132" s="15">
        <v>90</v>
      </c>
      <c r="O132" s="17">
        <v>0</v>
      </c>
      <c r="P132" s="17">
        <v>0</v>
      </c>
      <c r="Q132" s="19">
        <v>10</v>
      </c>
      <c r="R132" s="19">
        <v>20</v>
      </c>
      <c r="S132" s="19">
        <v>10</v>
      </c>
      <c r="T132" s="19">
        <v>20</v>
      </c>
      <c r="U132" s="18">
        <v>0</v>
      </c>
      <c r="V132" s="18">
        <v>0</v>
      </c>
      <c r="W132" s="18">
        <v>0</v>
      </c>
      <c r="X132" s="18">
        <v>0</v>
      </c>
      <c r="Y132" s="18">
        <v>0</v>
      </c>
      <c r="Z132" s="18">
        <v>0</v>
      </c>
      <c r="AA132" s="18">
        <v>0</v>
      </c>
      <c r="AB132" s="16">
        <v>0</v>
      </c>
      <c r="AC132" s="16">
        <v>0</v>
      </c>
      <c r="AD132" s="16">
        <v>0</v>
      </c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  <c r="BM132" s="22"/>
      <c r="BN132" s="22"/>
      <c r="BO132" s="22"/>
      <c r="BP132" s="22"/>
      <c r="BQ132" s="22"/>
      <c r="BR132" s="22"/>
      <c r="BS132" s="22"/>
      <c r="BT132" s="22"/>
      <c r="BU132" s="22"/>
      <c r="BV132" s="22"/>
      <c r="BW132" s="22"/>
      <c r="BX132" s="22"/>
      <c r="BY132" s="22"/>
      <c r="BZ132" s="22"/>
      <c r="CA132" s="22"/>
      <c r="CB132" s="22"/>
      <c r="CC132" s="22"/>
      <c r="CD132" s="22"/>
      <c r="CE132" s="22"/>
      <c r="CF132" s="22"/>
      <c r="CG132" s="22"/>
      <c r="CH132" s="22"/>
      <c r="CI132" s="22"/>
      <c r="CJ132" s="22"/>
      <c r="CK132" s="22"/>
      <c r="CL132" s="22"/>
      <c r="CM132" s="22"/>
      <c r="CN132" s="22"/>
      <c r="CO132" s="22"/>
      <c r="CP132" s="22"/>
      <c r="CQ132" s="22"/>
      <c r="CR132" s="22"/>
      <c r="CS132" s="22"/>
      <c r="CT132" s="22"/>
      <c r="CU132" s="22"/>
      <c r="CV132" s="22"/>
      <c r="CW132" s="22"/>
      <c r="CX132" s="22"/>
      <c r="CY132" s="22"/>
      <c r="CZ132" s="22"/>
      <c r="DA132" s="22"/>
      <c r="DB132" s="22"/>
      <c r="DC132" s="22"/>
      <c r="DD132" s="22"/>
      <c r="DE132" s="22"/>
      <c r="DF132" s="22"/>
      <c r="DG132" s="22"/>
      <c r="DH132" s="22"/>
      <c r="DI132" s="22"/>
      <c r="DJ132" s="22"/>
      <c r="DK132" s="22"/>
      <c r="DL132" s="22"/>
      <c r="DM132" s="22"/>
      <c r="DN132" s="22"/>
      <c r="DO132" s="22"/>
      <c r="DP132" s="22"/>
      <c r="DQ132" s="22"/>
      <c r="DR132" s="22"/>
      <c r="DS132" s="22"/>
      <c r="DT132" s="22"/>
      <c r="DU132" s="22"/>
      <c r="DV132" s="22"/>
      <c r="DW132" s="22"/>
      <c r="DX132" s="22"/>
      <c r="DY132" s="22"/>
      <c r="DZ132" s="22"/>
      <c r="EA132" s="22"/>
      <c r="EB132" s="22"/>
      <c r="EC132" s="22"/>
      <c r="ED132" s="22"/>
      <c r="EE132" s="22"/>
      <c r="EF132" s="22"/>
      <c r="EG132" s="22"/>
      <c r="EH132" s="22"/>
      <c r="EI132" s="22"/>
      <c r="EJ132" s="22"/>
      <c r="EK132" s="22"/>
      <c r="EL132" s="22"/>
      <c r="EM132" s="22"/>
      <c r="EN132" s="22"/>
      <c r="EO132" s="22"/>
      <c r="EP132" s="22"/>
      <c r="EQ132" s="22"/>
      <c r="ER132" s="22"/>
      <c r="ES132" s="22"/>
      <c r="ET132" s="22"/>
      <c r="EU132" s="22"/>
      <c r="EV132" s="22"/>
      <c r="EW132" s="22"/>
      <c r="EX132" s="22"/>
      <c r="EY132" s="22"/>
      <c r="EZ132" s="22"/>
      <c r="FA132" s="22"/>
      <c r="FB132" s="22"/>
      <c r="FC132" s="22"/>
      <c r="FD132" s="22"/>
      <c r="FE132" s="22"/>
      <c r="FF132" s="22"/>
      <c r="FG132" s="22"/>
      <c r="FH132" s="22"/>
      <c r="FI132" s="22"/>
      <c r="FJ132" s="22"/>
      <c r="FK132" s="22"/>
      <c r="FL132" s="22"/>
      <c r="FM132" s="22"/>
      <c r="FN132" s="22"/>
      <c r="FO132" s="22"/>
      <c r="FP132" s="22"/>
      <c r="FQ132" s="22"/>
      <c r="FR132" s="22"/>
      <c r="FS132" s="22"/>
      <c r="FT132" s="22"/>
      <c r="FU132" s="22"/>
      <c r="FV132" s="22"/>
      <c r="FW132" s="22"/>
      <c r="FX132" s="22"/>
      <c r="FY132" s="22"/>
      <c r="FZ132" s="22"/>
      <c r="GA132" s="22"/>
      <c r="GB132" s="22"/>
      <c r="GC132" s="22"/>
      <c r="GD132" s="22"/>
      <c r="GE132" s="22"/>
      <c r="GF132" s="22"/>
      <c r="GG132" s="22"/>
      <c r="GH132" s="22"/>
      <c r="GI132" s="22"/>
      <c r="GJ132" s="22"/>
      <c r="GK132" s="22"/>
      <c r="GL132" s="22"/>
      <c r="GM132" s="22"/>
      <c r="GN132" s="22"/>
      <c r="GO132" s="22"/>
      <c r="GP132" s="22"/>
      <c r="GQ132" s="22"/>
    </row>
    <row r="133" spans="3:199" s="2" customFormat="1" ht="20.100000000000001" customHeight="1">
      <c r="C133" s="14">
        <v>40030427</v>
      </c>
      <c r="D133" s="15" t="s">
        <v>169</v>
      </c>
      <c r="E133" s="12">
        <v>0</v>
      </c>
      <c r="F133" s="15">
        <v>0</v>
      </c>
      <c r="G133" s="12">
        <v>1</v>
      </c>
      <c r="H133" s="12">
        <v>30</v>
      </c>
      <c r="I133" s="12">
        <v>0.3</v>
      </c>
      <c r="J133" s="16">
        <v>0</v>
      </c>
      <c r="K133" s="16">
        <v>0</v>
      </c>
      <c r="L133" s="15">
        <v>0</v>
      </c>
      <c r="M133" s="15">
        <v>50</v>
      </c>
      <c r="N133" s="15">
        <v>500</v>
      </c>
      <c r="O133" s="17">
        <v>0</v>
      </c>
      <c r="P133" s="17">
        <v>0</v>
      </c>
      <c r="Q133" s="19">
        <v>0</v>
      </c>
      <c r="R133" s="19">
        <v>0</v>
      </c>
      <c r="S133" s="19">
        <v>0</v>
      </c>
      <c r="T133" s="19">
        <v>0</v>
      </c>
      <c r="U133" s="18">
        <v>0</v>
      </c>
      <c r="V133" s="18">
        <v>0</v>
      </c>
      <c r="W133" s="18">
        <v>0</v>
      </c>
      <c r="X133" s="18">
        <v>0</v>
      </c>
      <c r="Y133" s="18">
        <v>0</v>
      </c>
      <c r="Z133" s="18">
        <v>0</v>
      </c>
      <c r="AA133" s="18">
        <v>0</v>
      </c>
      <c r="AB133" s="16">
        <v>0</v>
      </c>
      <c r="AC133" s="16">
        <v>0</v>
      </c>
      <c r="AD133" s="16">
        <v>0</v>
      </c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  <c r="BM133" s="22"/>
      <c r="BN133" s="22"/>
      <c r="BO133" s="22"/>
      <c r="BP133" s="22"/>
      <c r="BQ133" s="22"/>
      <c r="BR133" s="22"/>
      <c r="BS133" s="22"/>
      <c r="BT133" s="22"/>
      <c r="BU133" s="22"/>
      <c r="BV133" s="22"/>
      <c r="BW133" s="22"/>
      <c r="BX133" s="22"/>
      <c r="BY133" s="22"/>
      <c r="BZ133" s="22"/>
      <c r="CA133" s="22"/>
      <c r="CB133" s="22"/>
      <c r="CC133" s="22"/>
      <c r="CD133" s="22"/>
      <c r="CE133" s="22"/>
      <c r="CF133" s="22"/>
      <c r="CG133" s="22"/>
      <c r="CH133" s="22"/>
      <c r="CI133" s="22"/>
      <c r="CJ133" s="22"/>
      <c r="CK133" s="22"/>
      <c r="CL133" s="22"/>
      <c r="CM133" s="22"/>
      <c r="CN133" s="22"/>
      <c r="CO133" s="22"/>
      <c r="CP133" s="22"/>
      <c r="CQ133" s="22"/>
      <c r="CR133" s="22"/>
      <c r="CS133" s="22"/>
      <c r="CT133" s="22"/>
      <c r="CU133" s="22"/>
      <c r="CV133" s="22"/>
      <c r="CW133" s="22"/>
      <c r="CX133" s="22"/>
      <c r="CY133" s="22"/>
      <c r="CZ133" s="22"/>
      <c r="DA133" s="22"/>
      <c r="DB133" s="22"/>
      <c r="DC133" s="22"/>
      <c r="DD133" s="22"/>
      <c r="DE133" s="22"/>
      <c r="DF133" s="22"/>
      <c r="DG133" s="22"/>
      <c r="DH133" s="22"/>
      <c r="DI133" s="22"/>
      <c r="DJ133" s="22"/>
      <c r="DK133" s="22"/>
      <c r="DL133" s="22"/>
      <c r="DM133" s="22"/>
      <c r="DN133" s="22"/>
      <c r="DO133" s="22"/>
      <c r="DP133" s="22"/>
      <c r="DQ133" s="22"/>
      <c r="DR133" s="22"/>
      <c r="DS133" s="22"/>
      <c r="DT133" s="22"/>
      <c r="DU133" s="22"/>
      <c r="DV133" s="22"/>
      <c r="DW133" s="22"/>
      <c r="DX133" s="22"/>
      <c r="DY133" s="22"/>
      <c r="DZ133" s="22"/>
      <c r="EA133" s="22"/>
      <c r="EB133" s="22"/>
      <c r="EC133" s="22"/>
      <c r="ED133" s="22"/>
      <c r="EE133" s="22"/>
      <c r="EF133" s="22"/>
      <c r="EG133" s="22"/>
      <c r="EH133" s="22"/>
      <c r="EI133" s="22"/>
      <c r="EJ133" s="22"/>
      <c r="EK133" s="22"/>
      <c r="EL133" s="22"/>
      <c r="EM133" s="22"/>
      <c r="EN133" s="22"/>
      <c r="EO133" s="22"/>
      <c r="EP133" s="22"/>
      <c r="EQ133" s="22"/>
      <c r="ER133" s="22"/>
      <c r="ES133" s="22"/>
      <c r="ET133" s="22"/>
      <c r="EU133" s="22"/>
      <c r="EV133" s="22"/>
      <c r="EW133" s="22"/>
      <c r="EX133" s="22"/>
      <c r="EY133" s="22"/>
      <c r="EZ133" s="22"/>
      <c r="FA133" s="22"/>
      <c r="FB133" s="22"/>
      <c r="FC133" s="22"/>
      <c r="FD133" s="22"/>
      <c r="FE133" s="22"/>
      <c r="FF133" s="22"/>
      <c r="FG133" s="22"/>
      <c r="FH133" s="22"/>
      <c r="FI133" s="22"/>
      <c r="FJ133" s="22"/>
      <c r="FK133" s="22"/>
      <c r="FL133" s="22"/>
      <c r="FM133" s="22"/>
      <c r="FN133" s="22"/>
      <c r="FO133" s="22"/>
      <c r="FP133" s="22"/>
      <c r="FQ133" s="22"/>
      <c r="FR133" s="22"/>
      <c r="FS133" s="22"/>
      <c r="FT133" s="22"/>
      <c r="FU133" s="22"/>
      <c r="FV133" s="22"/>
      <c r="FW133" s="22"/>
      <c r="FX133" s="22"/>
      <c r="FY133" s="22"/>
      <c r="FZ133" s="22"/>
      <c r="GA133" s="22"/>
      <c r="GB133" s="22"/>
      <c r="GC133" s="22"/>
      <c r="GD133" s="22"/>
      <c r="GE133" s="22"/>
      <c r="GF133" s="22"/>
      <c r="GG133" s="22"/>
      <c r="GH133" s="22"/>
      <c r="GI133" s="22"/>
      <c r="GJ133" s="22"/>
      <c r="GK133" s="22"/>
      <c r="GL133" s="22"/>
      <c r="GM133" s="22"/>
      <c r="GN133" s="22"/>
      <c r="GO133" s="22"/>
      <c r="GP133" s="22"/>
      <c r="GQ133" s="22"/>
    </row>
    <row r="134" spans="3:199" s="2" customFormat="1" ht="20.100000000000001" customHeight="1">
      <c r="C134" s="23">
        <v>40030428</v>
      </c>
      <c r="D134" s="18" t="s">
        <v>170</v>
      </c>
      <c r="E134" s="12">
        <v>0</v>
      </c>
      <c r="F134" s="15">
        <v>0</v>
      </c>
      <c r="G134" s="12">
        <v>1</v>
      </c>
      <c r="H134" s="12">
        <v>30</v>
      </c>
      <c r="I134" s="12">
        <v>0.3</v>
      </c>
      <c r="J134" s="16">
        <v>0</v>
      </c>
      <c r="K134" s="16">
        <v>0</v>
      </c>
      <c r="L134" s="15">
        <v>1750</v>
      </c>
      <c r="M134" s="15">
        <v>0</v>
      </c>
      <c r="N134" s="15">
        <v>0</v>
      </c>
      <c r="O134" s="17">
        <v>0</v>
      </c>
      <c r="P134" s="17">
        <v>0</v>
      </c>
      <c r="Q134" s="19">
        <v>0</v>
      </c>
      <c r="R134" s="19">
        <v>0</v>
      </c>
      <c r="S134" s="19">
        <v>0</v>
      </c>
      <c r="T134" s="19">
        <v>0</v>
      </c>
      <c r="U134" s="18">
        <v>0</v>
      </c>
      <c r="V134" s="18">
        <v>0</v>
      </c>
      <c r="W134" s="18">
        <v>0</v>
      </c>
      <c r="X134" s="18">
        <v>0</v>
      </c>
      <c r="Y134" s="18">
        <v>0</v>
      </c>
      <c r="Z134" s="18">
        <v>0</v>
      </c>
      <c r="AA134" s="18">
        <v>0</v>
      </c>
      <c r="AB134" s="16">
        <v>0</v>
      </c>
      <c r="AC134" s="16">
        <v>0</v>
      </c>
      <c r="AD134" s="16">
        <v>0</v>
      </c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  <c r="BM134" s="22"/>
      <c r="BN134" s="22"/>
      <c r="BO134" s="22"/>
      <c r="BP134" s="22"/>
      <c r="BQ134" s="22"/>
      <c r="BR134" s="22"/>
      <c r="BS134" s="22"/>
      <c r="BT134" s="22"/>
      <c r="BU134" s="22"/>
      <c r="BV134" s="22"/>
      <c r="BW134" s="22"/>
      <c r="BX134" s="22"/>
      <c r="BY134" s="22"/>
      <c r="BZ134" s="22"/>
      <c r="CA134" s="22"/>
      <c r="CB134" s="22"/>
      <c r="CC134" s="22"/>
      <c r="CD134" s="22"/>
      <c r="CE134" s="22"/>
      <c r="CF134" s="22"/>
      <c r="CG134" s="22"/>
      <c r="CH134" s="22"/>
      <c r="CI134" s="22"/>
      <c r="CJ134" s="22"/>
      <c r="CK134" s="22"/>
      <c r="CL134" s="22"/>
      <c r="CM134" s="22"/>
      <c r="CN134" s="22"/>
      <c r="CO134" s="22"/>
      <c r="CP134" s="22"/>
      <c r="CQ134" s="22"/>
      <c r="CR134" s="22"/>
      <c r="CS134" s="22"/>
      <c r="CT134" s="22"/>
      <c r="CU134" s="22"/>
      <c r="CV134" s="22"/>
      <c r="CW134" s="22"/>
      <c r="CX134" s="22"/>
      <c r="CY134" s="22"/>
      <c r="CZ134" s="22"/>
      <c r="DA134" s="22"/>
      <c r="DB134" s="22"/>
      <c r="DC134" s="22"/>
      <c r="DD134" s="22"/>
      <c r="DE134" s="22"/>
      <c r="DF134" s="22"/>
      <c r="DG134" s="22"/>
      <c r="DH134" s="22"/>
      <c r="DI134" s="22"/>
      <c r="DJ134" s="22"/>
      <c r="DK134" s="22"/>
      <c r="DL134" s="22"/>
      <c r="DM134" s="22"/>
      <c r="DN134" s="22"/>
      <c r="DO134" s="22"/>
      <c r="DP134" s="22"/>
      <c r="DQ134" s="22"/>
      <c r="DR134" s="22"/>
      <c r="DS134" s="22"/>
      <c r="DT134" s="22"/>
      <c r="DU134" s="22"/>
      <c r="DV134" s="22"/>
      <c r="DW134" s="22"/>
      <c r="DX134" s="22"/>
      <c r="DY134" s="22"/>
      <c r="DZ134" s="22"/>
      <c r="EA134" s="22"/>
      <c r="EB134" s="22"/>
      <c r="EC134" s="22"/>
      <c r="ED134" s="22"/>
      <c r="EE134" s="22"/>
      <c r="EF134" s="22"/>
      <c r="EG134" s="22"/>
      <c r="EH134" s="22"/>
      <c r="EI134" s="22"/>
      <c r="EJ134" s="22"/>
      <c r="EK134" s="22"/>
      <c r="EL134" s="22"/>
      <c r="EM134" s="22"/>
      <c r="EN134" s="22"/>
      <c r="EO134" s="22"/>
      <c r="EP134" s="22"/>
      <c r="EQ134" s="22"/>
      <c r="ER134" s="22"/>
      <c r="ES134" s="22"/>
      <c r="ET134" s="22"/>
      <c r="EU134" s="22"/>
      <c r="EV134" s="22"/>
      <c r="EW134" s="22"/>
      <c r="EX134" s="22"/>
      <c r="EY134" s="22"/>
      <c r="EZ134" s="22"/>
      <c r="FA134" s="22"/>
      <c r="FB134" s="22"/>
      <c r="FC134" s="22"/>
      <c r="FD134" s="22"/>
      <c r="FE134" s="22"/>
      <c r="FF134" s="22"/>
      <c r="FG134" s="22"/>
      <c r="FH134" s="22"/>
      <c r="FI134" s="22"/>
      <c r="FJ134" s="22"/>
      <c r="FK134" s="22"/>
      <c r="FL134" s="22"/>
      <c r="FM134" s="22"/>
      <c r="FN134" s="22"/>
      <c r="FO134" s="22"/>
      <c r="FP134" s="22"/>
      <c r="FQ134" s="22"/>
      <c r="FR134" s="22"/>
      <c r="FS134" s="22"/>
      <c r="FT134" s="22"/>
      <c r="FU134" s="22"/>
      <c r="FV134" s="22"/>
      <c r="FW134" s="22"/>
      <c r="FX134" s="22"/>
      <c r="FY134" s="22"/>
      <c r="FZ134" s="22"/>
      <c r="GA134" s="22"/>
      <c r="GB134" s="22"/>
      <c r="GC134" s="22"/>
      <c r="GD134" s="22"/>
      <c r="GE134" s="22"/>
      <c r="GF134" s="22"/>
      <c r="GG134" s="22"/>
      <c r="GH134" s="22"/>
      <c r="GI134" s="22"/>
      <c r="GJ134" s="22"/>
      <c r="GK134" s="22"/>
      <c r="GL134" s="22"/>
      <c r="GM134" s="22"/>
      <c r="GN134" s="22"/>
      <c r="GO134" s="22"/>
      <c r="GP134" s="22"/>
      <c r="GQ134" s="22"/>
    </row>
    <row r="135" spans="3:199" s="2" customFormat="1" ht="20.100000000000001" customHeight="1">
      <c r="C135" s="14">
        <v>40030429</v>
      </c>
      <c r="D135" s="15" t="s">
        <v>171</v>
      </c>
      <c r="E135" s="12">
        <v>0</v>
      </c>
      <c r="F135" s="15">
        <v>0</v>
      </c>
      <c r="G135" s="12">
        <v>1</v>
      </c>
      <c r="H135" s="12">
        <v>30</v>
      </c>
      <c r="I135" s="12">
        <v>0.3</v>
      </c>
      <c r="J135" s="16">
        <v>0</v>
      </c>
      <c r="K135" s="16">
        <v>0</v>
      </c>
      <c r="L135" s="15">
        <v>400</v>
      </c>
      <c r="M135" s="15">
        <v>0</v>
      </c>
      <c r="N135" s="15">
        <v>0</v>
      </c>
      <c r="O135" s="17">
        <v>0</v>
      </c>
      <c r="P135" s="17">
        <v>0</v>
      </c>
      <c r="Q135" s="15">
        <v>0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  <c r="W135" s="15">
        <v>0</v>
      </c>
      <c r="X135" s="15">
        <v>0</v>
      </c>
      <c r="Y135" s="15">
        <v>0</v>
      </c>
      <c r="Z135" s="15">
        <v>0</v>
      </c>
      <c r="AA135" s="15">
        <v>0</v>
      </c>
      <c r="AB135" s="16">
        <v>0</v>
      </c>
      <c r="AC135" s="16">
        <v>0</v>
      </c>
      <c r="AD135" s="16">
        <v>0</v>
      </c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  <c r="BM135" s="22"/>
      <c r="BN135" s="22"/>
      <c r="BO135" s="22"/>
      <c r="BP135" s="22"/>
      <c r="BQ135" s="22"/>
      <c r="BR135" s="22"/>
      <c r="BS135" s="22"/>
      <c r="BT135" s="22"/>
      <c r="BU135" s="22"/>
      <c r="BV135" s="22"/>
      <c r="BW135" s="22"/>
      <c r="BX135" s="22"/>
      <c r="BY135" s="22"/>
      <c r="BZ135" s="22"/>
      <c r="CA135" s="22"/>
      <c r="CB135" s="22"/>
      <c r="CC135" s="22"/>
      <c r="CD135" s="22"/>
      <c r="CE135" s="22"/>
      <c r="CF135" s="22"/>
      <c r="CG135" s="22"/>
      <c r="CH135" s="22"/>
      <c r="CI135" s="22"/>
      <c r="CJ135" s="22"/>
      <c r="CK135" s="22"/>
      <c r="CL135" s="22"/>
      <c r="CM135" s="22"/>
      <c r="CN135" s="22"/>
      <c r="CO135" s="22"/>
      <c r="CP135" s="22"/>
      <c r="CQ135" s="22"/>
      <c r="CR135" s="22"/>
      <c r="CS135" s="22"/>
      <c r="CT135" s="22"/>
      <c r="CU135" s="22"/>
      <c r="CV135" s="22"/>
      <c r="CW135" s="22"/>
      <c r="CX135" s="22"/>
      <c r="CY135" s="22"/>
      <c r="CZ135" s="22"/>
      <c r="DA135" s="22"/>
      <c r="DB135" s="22"/>
      <c r="DC135" s="22"/>
      <c r="DD135" s="22"/>
      <c r="DE135" s="22"/>
      <c r="DF135" s="22"/>
      <c r="DG135" s="22"/>
      <c r="DH135" s="22"/>
      <c r="DI135" s="22"/>
      <c r="DJ135" s="22"/>
      <c r="DK135" s="22"/>
      <c r="DL135" s="22"/>
      <c r="DM135" s="22"/>
      <c r="DN135" s="22"/>
      <c r="DO135" s="22"/>
      <c r="DP135" s="22"/>
      <c r="DQ135" s="22"/>
      <c r="DR135" s="22"/>
      <c r="DS135" s="22"/>
      <c r="DT135" s="22"/>
      <c r="DU135" s="22"/>
      <c r="DV135" s="22"/>
      <c r="DW135" s="22"/>
      <c r="DX135" s="22"/>
      <c r="DY135" s="22"/>
      <c r="DZ135" s="22"/>
      <c r="EA135" s="22"/>
      <c r="EB135" s="22"/>
      <c r="EC135" s="22"/>
      <c r="ED135" s="22"/>
      <c r="EE135" s="22"/>
      <c r="EF135" s="22"/>
      <c r="EG135" s="22"/>
      <c r="EH135" s="22"/>
      <c r="EI135" s="22"/>
      <c r="EJ135" s="22"/>
      <c r="EK135" s="22"/>
      <c r="EL135" s="22"/>
      <c r="EM135" s="22"/>
      <c r="EN135" s="22"/>
      <c r="EO135" s="22"/>
      <c r="EP135" s="22"/>
      <c r="EQ135" s="22"/>
      <c r="ER135" s="22"/>
      <c r="ES135" s="22"/>
      <c r="ET135" s="22"/>
      <c r="EU135" s="22"/>
      <c r="EV135" s="22"/>
      <c r="EW135" s="22"/>
      <c r="EX135" s="22"/>
      <c r="EY135" s="22"/>
      <c r="EZ135" s="22"/>
      <c r="FA135" s="22"/>
      <c r="FB135" s="22"/>
      <c r="FC135" s="22"/>
      <c r="FD135" s="22"/>
      <c r="FE135" s="22"/>
      <c r="FF135" s="22"/>
      <c r="FG135" s="22"/>
      <c r="FH135" s="22"/>
      <c r="FI135" s="22"/>
      <c r="FJ135" s="22"/>
      <c r="FK135" s="22"/>
      <c r="FL135" s="22"/>
      <c r="FM135" s="22"/>
      <c r="FN135" s="22"/>
      <c r="FO135" s="22"/>
      <c r="FP135" s="22"/>
      <c r="FQ135" s="22"/>
      <c r="FR135" s="22"/>
      <c r="FS135" s="22"/>
      <c r="FT135" s="22"/>
      <c r="FU135" s="22"/>
      <c r="FV135" s="22"/>
      <c r="FW135" s="22"/>
      <c r="FX135" s="22"/>
      <c r="FY135" s="22"/>
      <c r="FZ135" s="22"/>
      <c r="GA135" s="22"/>
      <c r="GB135" s="22"/>
      <c r="GC135" s="22"/>
      <c r="GD135" s="22"/>
      <c r="GE135" s="22"/>
      <c r="GF135" s="22"/>
      <c r="GG135" s="22"/>
      <c r="GH135" s="22"/>
      <c r="GI135" s="22"/>
      <c r="GJ135" s="22"/>
      <c r="GK135" s="22"/>
      <c r="GL135" s="22"/>
      <c r="GM135" s="22"/>
      <c r="GN135" s="22"/>
      <c r="GO135" s="22"/>
      <c r="GP135" s="22"/>
      <c r="GQ135" s="22"/>
    </row>
    <row r="136" spans="3:199" s="2" customFormat="1" ht="20.100000000000001" customHeight="1">
      <c r="C136" s="23">
        <v>40030430</v>
      </c>
      <c r="D136" s="15" t="s">
        <v>172</v>
      </c>
      <c r="E136" s="12">
        <v>0</v>
      </c>
      <c r="F136" s="15">
        <v>0</v>
      </c>
      <c r="G136" s="12">
        <v>1</v>
      </c>
      <c r="H136" s="12">
        <v>30</v>
      </c>
      <c r="I136" s="12">
        <v>0.3</v>
      </c>
      <c r="J136" s="16">
        <v>0</v>
      </c>
      <c r="K136" s="16">
        <v>0</v>
      </c>
      <c r="L136" s="15">
        <v>200</v>
      </c>
      <c r="M136" s="15">
        <v>0</v>
      </c>
      <c r="N136" s="15">
        <v>0</v>
      </c>
      <c r="O136" s="17">
        <v>0</v>
      </c>
      <c r="P136" s="17">
        <v>0</v>
      </c>
      <c r="Q136" s="15">
        <v>0</v>
      </c>
      <c r="R136" s="15">
        <v>20</v>
      </c>
      <c r="S136" s="15">
        <v>0</v>
      </c>
      <c r="T136" s="15">
        <v>20</v>
      </c>
      <c r="U136" s="15">
        <v>0</v>
      </c>
      <c r="V136" s="15">
        <v>0</v>
      </c>
      <c r="W136" s="15">
        <v>0</v>
      </c>
      <c r="X136" s="15">
        <v>0</v>
      </c>
      <c r="Y136" s="15">
        <v>0</v>
      </c>
      <c r="Z136" s="15">
        <v>0</v>
      </c>
      <c r="AA136" s="15">
        <v>0</v>
      </c>
      <c r="AB136" s="16">
        <v>0</v>
      </c>
      <c r="AC136" s="16">
        <v>0</v>
      </c>
      <c r="AD136" s="16">
        <v>0</v>
      </c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  <c r="BM136" s="22"/>
      <c r="BN136" s="22"/>
      <c r="BO136" s="22"/>
      <c r="BP136" s="22"/>
      <c r="BQ136" s="22"/>
      <c r="BR136" s="22"/>
      <c r="BS136" s="22"/>
      <c r="BT136" s="22"/>
      <c r="BU136" s="22"/>
      <c r="BV136" s="22"/>
      <c r="BW136" s="22"/>
      <c r="BX136" s="22"/>
      <c r="BY136" s="22"/>
      <c r="BZ136" s="22"/>
      <c r="CA136" s="22"/>
      <c r="CB136" s="22"/>
      <c r="CC136" s="22"/>
      <c r="CD136" s="22"/>
      <c r="CE136" s="22"/>
      <c r="CF136" s="22"/>
      <c r="CG136" s="22"/>
      <c r="CH136" s="22"/>
      <c r="CI136" s="22"/>
      <c r="CJ136" s="22"/>
      <c r="CK136" s="22"/>
      <c r="CL136" s="22"/>
      <c r="CM136" s="22"/>
      <c r="CN136" s="22"/>
      <c r="CO136" s="22"/>
      <c r="CP136" s="22"/>
      <c r="CQ136" s="22"/>
      <c r="CR136" s="22"/>
      <c r="CS136" s="22"/>
      <c r="CT136" s="22"/>
      <c r="CU136" s="22"/>
      <c r="CV136" s="22"/>
      <c r="CW136" s="22"/>
      <c r="CX136" s="22"/>
      <c r="CY136" s="22"/>
      <c r="CZ136" s="22"/>
      <c r="DA136" s="22"/>
      <c r="DB136" s="22"/>
      <c r="DC136" s="22"/>
      <c r="DD136" s="22"/>
      <c r="DE136" s="22"/>
      <c r="DF136" s="22"/>
      <c r="DG136" s="22"/>
      <c r="DH136" s="22"/>
      <c r="DI136" s="22"/>
      <c r="DJ136" s="22"/>
      <c r="DK136" s="22"/>
      <c r="DL136" s="22"/>
      <c r="DM136" s="22"/>
      <c r="DN136" s="22"/>
      <c r="DO136" s="22"/>
      <c r="DP136" s="22"/>
      <c r="DQ136" s="22"/>
      <c r="DR136" s="22"/>
      <c r="DS136" s="22"/>
      <c r="DT136" s="22"/>
      <c r="DU136" s="22"/>
      <c r="DV136" s="22"/>
      <c r="DW136" s="22"/>
      <c r="DX136" s="22"/>
      <c r="DY136" s="22"/>
      <c r="DZ136" s="22"/>
      <c r="EA136" s="22"/>
      <c r="EB136" s="22"/>
      <c r="EC136" s="22"/>
      <c r="ED136" s="22"/>
      <c r="EE136" s="22"/>
      <c r="EF136" s="22"/>
      <c r="EG136" s="22"/>
      <c r="EH136" s="22"/>
      <c r="EI136" s="22"/>
      <c r="EJ136" s="22"/>
      <c r="EK136" s="22"/>
      <c r="EL136" s="22"/>
      <c r="EM136" s="22"/>
      <c r="EN136" s="22"/>
      <c r="EO136" s="22"/>
      <c r="EP136" s="22"/>
      <c r="EQ136" s="22"/>
      <c r="ER136" s="22"/>
      <c r="ES136" s="22"/>
      <c r="ET136" s="22"/>
      <c r="EU136" s="22"/>
      <c r="EV136" s="22"/>
      <c r="EW136" s="22"/>
      <c r="EX136" s="22"/>
      <c r="EY136" s="22"/>
      <c r="EZ136" s="22"/>
      <c r="FA136" s="22"/>
      <c r="FB136" s="22"/>
      <c r="FC136" s="22"/>
      <c r="FD136" s="22"/>
      <c r="FE136" s="22"/>
      <c r="FF136" s="22"/>
      <c r="FG136" s="22"/>
      <c r="FH136" s="22"/>
      <c r="FI136" s="22"/>
      <c r="FJ136" s="22"/>
      <c r="FK136" s="22"/>
      <c r="FL136" s="22"/>
      <c r="FM136" s="22"/>
      <c r="FN136" s="22"/>
      <c r="FO136" s="22"/>
      <c r="FP136" s="22"/>
      <c r="FQ136" s="22"/>
      <c r="FR136" s="22"/>
      <c r="FS136" s="22"/>
      <c r="FT136" s="22"/>
      <c r="FU136" s="22"/>
      <c r="FV136" s="22"/>
      <c r="FW136" s="22"/>
      <c r="FX136" s="22"/>
      <c r="FY136" s="22"/>
      <c r="FZ136" s="22"/>
      <c r="GA136" s="22"/>
      <c r="GB136" s="22"/>
      <c r="GC136" s="22"/>
      <c r="GD136" s="22"/>
      <c r="GE136" s="22"/>
      <c r="GF136" s="22"/>
      <c r="GG136" s="22"/>
      <c r="GH136" s="22"/>
      <c r="GI136" s="22"/>
      <c r="GJ136" s="22"/>
      <c r="GK136" s="22"/>
      <c r="GL136" s="22"/>
      <c r="GM136" s="22"/>
      <c r="GN136" s="22"/>
      <c r="GO136" s="22"/>
      <c r="GP136" s="22"/>
      <c r="GQ136" s="22"/>
    </row>
    <row r="137" spans="3:199" s="2" customFormat="1" ht="20.100000000000001" customHeight="1">
      <c r="C137" s="14">
        <v>40030431</v>
      </c>
      <c r="D137" s="15" t="s">
        <v>173</v>
      </c>
      <c r="E137" s="12">
        <v>0</v>
      </c>
      <c r="F137" s="15">
        <v>0</v>
      </c>
      <c r="G137" s="12">
        <v>1</v>
      </c>
      <c r="H137" s="12">
        <v>30</v>
      </c>
      <c r="I137" s="12">
        <v>0.3</v>
      </c>
      <c r="J137" s="16">
        <v>0</v>
      </c>
      <c r="K137" s="16">
        <v>0</v>
      </c>
      <c r="L137" s="15">
        <v>0</v>
      </c>
      <c r="M137" s="15">
        <v>0</v>
      </c>
      <c r="N137" s="15">
        <v>0</v>
      </c>
      <c r="O137" s="17">
        <v>0</v>
      </c>
      <c r="P137" s="17">
        <v>0</v>
      </c>
      <c r="Q137" s="19">
        <v>30</v>
      </c>
      <c r="R137" s="19">
        <v>30</v>
      </c>
      <c r="S137" s="19">
        <v>0</v>
      </c>
      <c r="T137" s="19">
        <v>0</v>
      </c>
      <c r="U137" s="15">
        <v>0</v>
      </c>
      <c r="V137" s="15">
        <v>0</v>
      </c>
      <c r="W137" s="15">
        <v>0</v>
      </c>
      <c r="X137" s="15">
        <v>0</v>
      </c>
      <c r="Y137" s="15">
        <v>0</v>
      </c>
      <c r="Z137" s="15">
        <v>0</v>
      </c>
      <c r="AA137" s="15">
        <v>0</v>
      </c>
      <c r="AB137" s="16">
        <v>0</v>
      </c>
      <c r="AC137" s="16">
        <v>0</v>
      </c>
      <c r="AD137" s="16">
        <v>0</v>
      </c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  <c r="BM137" s="22"/>
      <c r="BN137" s="22"/>
      <c r="BO137" s="22"/>
      <c r="BP137" s="22"/>
      <c r="BQ137" s="22"/>
      <c r="BR137" s="22"/>
      <c r="BS137" s="22"/>
      <c r="BT137" s="22"/>
      <c r="BU137" s="22"/>
      <c r="BV137" s="22"/>
      <c r="BW137" s="22"/>
      <c r="BX137" s="22"/>
      <c r="BY137" s="22"/>
      <c r="BZ137" s="22"/>
      <c r="CA137" s="22"/>
      <c r="CB137" s="22"/>
      <c r="CC137" s="22"/>
      <c r="CD137" s="22"/>
      <c r="CE137" s="22"/>
      <c r="CF137" s="22"/>
      <c r="CG137" s="22"/>
      <c r="CH137" s="22"/>
      <c r="CI137" s="22"/>
      <c r="CJ137" s="22"/>
      <c r="CK137" s="22"/>
      <c r="CL137" s="22"/>
      <c r="CM137" s="22"/>
      <c r="CN137" s="22"/>
      <c r="CO137" s="22"/>
      <c r="CP137" s="22"/>
      <c r="CQ137" s="22"/>
      <c r="CR137" s="22"/>
      <c r="CS137" s="22"/>
      <c r="CT137" s="22"/>
      <c r="CU137" s="22"/>
      <c r="CV137" s="22"/>
      <c r="CW137" s="22"/>
      <c r="CX137" s="22"/>
      <c r="CY137" s="22"/>
      <c r="CZ137" s="22"/>
      <c r="DA137" s="22"/>
      <c r="DB137" s="22"/>
      <c r="DC137" s="22"/>
      <c r="DD137" s="22"/>
      <c r="DE137" s="22"/>
      <c r="DF137" s="22"/>
      <c r="DG137" s="22"/>
      <c r="DH137" s="22"/>
      <c r="DI137" s="22"/>
      <c r="DJ137" s="22"/>
      <c r="DK137" s="22"/>
      <c r="DL137" s="22"/>
      <c r="DM137" s="22"/>
      <c r="DN137" s="22"/>
      <c r="DO137" s="22"/>
      <c r="DP137" s="22"/>
      <c r="DQ137" s="22"/>
      <c r="DR137" s="22"/>
      <c r="DS137" s="22"/>
      <c r="DT137" s="22"/>
      <c r="DU137" s="22"/>
      <c r="DV137" s="22"/>
      <c r="DW137" s="22"/>
      <c r="DX137" s="22"/>
      <c r="DY137" s="22"/>
      <c r="DZ137" s="22"/>
      <c r="EA137" s="22"/>
      <c r="EB137" s="22"/>
      <c r="EC137" s="22"/>
      <c r="ED137" s="22"/>
      <c r="EE137" s="22"/>
      <c r="EF137" s="22"/>
      <c r="EG137" s="22"/>
      <c r="EH137" s="22"/>
      <c r="EI137" s="22"/>
      <c r="EJ137" s="22"/>
      <c r="EK137" s="22"/>
      <c r="EL137" s="22"/>
      <c r="EM137" s="22"/>
      <c r="EN137" s="22"/>
      <c r="EO137" s="22"/>
      <c r="EP137" s="22"/>
      <c r="EQ137" s="22"/>
      <c r="ER137" s="22"/>
      <c r="ES137" s="22"/>
      <c r="ET137" s="22"/>
      <c r="EU137" s="22"/>
      <c r="EV137" s="22"/>
      <c r="EW137" s="22"/>
      <c r="EX137" s="22"/>
      <c r="EY137" s="22"/>
      <c r="EZ137" s="22"/>
      <c r="FA137" s="22"/>
      <c r="FB137" s="22"/>
      <c r="FC137" s="22"/>
      <c r="FD137" s="22"/>
      <c r="FE137" s="22"/>
      <c r="FF137" s="22"/>
      <c r="FG137" s="22"/>
      <c r="FH137" s="22"/>
      <c r="FI137" s="22"/>
      <c r="FJ137" s="22"/>
      <c r="FK137" s="22"/>
      <c r="FL137" s="22"/>
      <c r="FM137" s="22"/>
      <c r="FN137" s="22"/>
      <c r="FO137" s="22"/>
      <c r="FP137" s="22"/>
      <c r="FQ137" s="22"/>
      <c r="FR137" s="22"/>
      <c r="FS137" s="22"/>
      <c r="FT137" s="22"/>
      <c r="FU137" s="22"/>
      <c r="FV137" s="22"/>
      <c r="FW137" s="22"/>
      <c r="FX137" s="22"/>
      <c r="FY137" s="22"/>
      <c r="FZ137" s="22"/>
      <c r="GA137" s="22"/>
      <c r="GB137" s="22"/>
      <c r="GC137" s="22"/>
      <c r="GD137" s="22"/>
      <c r="GE137" s="22"/>
      <c r="GF137" s="22"/>
      <c r="GG137" s="22"/>
      <c r="GH137" s="22"/>
      <c r="GI137" s="22"/>
      <c r="GJ137" s="22"/>
      <c r="GK137" s="22"/>
      <c r="GL137" s="22"/>
      <c r="GM137" s="22"/>
      <c r="GN137" s="22"/>
      <c r="GO137" s="22"/>
      <c r="GP137" s="22"/>
      <c r="GQ137" s="22"/>
    </row>
    <row r="138" spans="3:199" s="2" customFormat="1" ht="20.100000000000001" customHeight="1">
      <c r="C138" s="23">
        <v>40030432</v>
      </c>
      <c r="D138" s="15" t="s">
        <v>174</v>
      </c>
      <c r="E138" s="12">
        <v>0</v>
      </c>
      <c r="F138" s="15">
        <v>0</v>
      </c>
      <c r="G138" s="12">
        <v>1</v>
      </c>
      <c r="H138" s="12">
        <v>30</v>
      </c>
      <c r="I138" s="12">
        <v>0.3</v>
      </c>
      <c r="J138" s="16">
        <v>0</v>
      </c>
      <c r="K138" s="16">
        <v>0</v>
      </c>
      <c r="L138" s="15">
        <v>0</v>
      </c>
      <c r="M138" s="15">
        <v>0</v>
      </c>
      <c r="N138" s="15">
        <v>0</v>
      </c>
      <c r="O138" s="17">
        <v>0</v>
      </c>
      <c r="P138" s="17">
        <v>0</v>
      </c>
      <c r="Q138" s="19">
        <v>10</v>
      </c>
      <c r="R138" s="19">
        <v>30</v>
      </c>
      <c r="S138" s="19">
        <v>10</v>
      </c>
      <c r="T138" s="19">
        <v>30</v>
      </c>
      <c r="U138" s="15">
        <v>0</v>
      </c>
      <c r="V138" s="15">
        <v>0</v>
      </c>
      <c r="W138" s="15">
        <v>0</v>
      </c>
      <c r="X138" s="15">
        <v>0</v>
      </c>
      <c r="Y138" s="15">
        <v>0</v>
      </c>
      <c r="Z138" s="15">
        <v>0</v>
      </c>
      <c r="AA138" s="15">
        <v>0</v>
      </c>
      <c r="AB138" s="16">
        <v>0</v>
      </c>
      <c r="AC138" s="16">
        <v>0</v>
      </c>
      <c r="AD138" s="16">
        <v>0</v>
      </c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  <c r="BM138" s="22"/>
      <c r="BN138" s="22"/>
      <c r="BO138" s="22"/>
      <c r="BP138" s="22"/>
      <c r="BQ138" s="22"/>
      <c r="BR138" s="22"/>
      <c r="BS138" s="22"/>
      <c r="BT138" s="22"/>
      <c r="BU138" s="22"/>
      <c r="BV138" s="22"/>
      <c r="BW138" s="22"/>
      <c r="BX138" s="22"/>
      <c r="BY138" s="22"/>
      <c r="BZ138" s="22"/>
      <c r="CA138" s="22"/>
      <c r="CB138" s="22"/>
      <c r="CC138" s="22"/>
      <c r="CD138" s="22"/>
      <c r="CE138" s="22"/>
      <c r="CF138" s="22"/>
      <c r="CG138" s="22"/>
      <c r="CH138" s="22"/>
      <c r="CI138" s="22"/>
      <c r="CJ138" s="22"/>
      <c r="CK138" s="22"/>
      <c r="CL138" s="22"/>
      <c r="CM138" s="22"/>
      <c r="CN138" s="22"/>
      <c r="CO138" s="22"/>
      <c r="CP138" s="22"/>
      <c r="CQ138" s="22"/>
      <c r="CR138" s="22"/>
      <c r="CS138" s="22"/>
      <c r="CT138" s="22"/>
      <c r="CU138" s="22"/>
      <c r="CV138" s="22"/>
      <c r="CW138" s="22"/>
      <c r="CX138" s="22"/>
      <c r="CY138" s="22"/>
      <c r="CZ138" s="22"/>
      <c r="DA138" s="22"/>
      <c r="DB138" s="22"/>
      <c r="DC138" s="22"/>
      <c r="DD138" s="22"/>
      <c r="DE138" s="22"/>
      <c r="DF138" s="22"/>
      <c r="DG138" s="22"/>
      <c r="DH138" s="22"/>
      <c r="DI138" s="22"/>
      <c r="DJ138" s="22"/>
      <c r="DK138" s="22"/>
      <c r="DL138" s="22"/>
      <c r="DM138" s="22"/>
      <c r="DN138" s="22"/>
      <c r="DO138" s="22"/>
      <c r="DP138" s="22"/>
      <c r="DQ138" s="22"/>
      <c r="DR138" s="22"/>
      <c r="DS138" s="22"/>
      <c r="DT138" s="22"/>
      <c r="DU138" s="22"/>
      <c r="DV138" s="22"/>
      <c r="DW138" s="22"/>
      <c r="DX138" s="22"/>
      <c r="DY138" s="22"/>
      <c r="DZ138" s="22"/>
      <c r="EA138" s="22"/>
      <c r="EB138" s="22"/>
      <c r="EC138" s="22"/>
      <c r="ED138" s="22"/>
      <c r="EE138" s="22"/>
      <c r="EF138" s="22"/>
      <c r="EG138" s="22"/>
      <c r="EH138" s="22"/>
      <c r="EI138" s="22"/>
      <c r="EJ138" s="22"/>
      <c r="EK138" s="22"/>
      <c r="EL138" s="22"/>
      <c r="EM138" s="22"/>
      <c r="EN138" s="22"/>
      <c r="EO138" s="22"/>
      <c r="EP138" s="22"/>
      <c r="EQ138" s="22"/>
      <c r="ER138" s="22"/>
      <c r="ES138" s="22"/>
      <c r="ET138" s="22"/>
      <c r="EU138" s="22"/>
      <c r="EV138" s="22"/>
      <c r="EW138" s="22"/>
      <c r="EX138" s="22"/>
      <c r="EY138" s="22"/>
      <c r="EZ138" s="22"/>
      <c r="FA138" s="22"/>
      <c r="FB138" s="22"/>
      <c r="FC138" s="22"/>
      <c r="FD138" s="22"/>
      <c r="FE138" s="22"/>
      <c r="FF138" s="22"/>
      <c r="FG138" s="22"/>
      <c r="FH138" s="22"/>
      <c r="FI138" s="22"/>
      <c r="FJ138" s="22"/>
      <c r="FK138" s="22"/>
      <c r="FL138" s="22"/>
      <c r="FM138" s="22"/>
      <c r="FN138" s="22"/>
      <c r="FO138" s="22"/>
      <c r="FP138" s="22"/>
      <c r="FQ138" s="22"/>
      <c r="FR138" s="22"/>
      <c r="FS138" s="22"/>
      <c r="FT138" s="22"/>
      <c r="FU138" s="22"/>
      <c r="FV138" s="22"/>
      <c r="FW138" s="22"/>
      <c r="FX138" s="22"/>
      <c r="FY138" s="22"/>
      <c r="FZ138" s="22"/>
      <c r="GA138" s="22"/>
      <c r="GB138" s="22"/>
      <c r="GC138" s="22"/>
      <c r="GD138" s="22"/>
      <c r="GE138" s="22"/>
      <c r="GF138" s="22"/>
      <c r="GG138" s="22"/>
      <c r="GH138" s="22"/>
      <c r="GI138" s="22"/>
      <c r="GJ138" s="22"/>
      <c r="GK138" s="22"/>
      <c r="GL138" s="22"/>
      <c r="GM138" s="22"/>
      <c r="GN138" s="22"/>
      <c r="GO138" s="22"/>
      <c r="GP138" s="22"/>
      <c r="GQ138" s="22"/>
    </row>
    <row r="139" spans="3:199" s="2" customFormat="1" ht="20.100000000000001" customHeight="1">
      <c r="C139" s="14">
        <v>40030433</v>
      </c>
      <c r="D139" s="15" t="s">
        <v>175</v>
      </c>
      <c r="E139" s="12">
        <v>0</v>
      </c>
      <c r="F139" s="15">
        <v>1304</v>
      </c>
      <c r="G139" s="12">
        <v>1</v>
      </c>
      <c r="H139" s="12">
        <v>30</v>
      </c>
      <c r="I139" s="12">
        <v>0.3</v>
      </c>
      <c r="J139" s="16">
        <v>0</v>
      </c>
      <c r="K139" s="16">
        <v>0</v>
      </c>
      <c r="L139" s="15">
        <v>0</v>
      </c>
      <c r="M139" s="15">
        <v>100</v>
      </c>
      <c r="N139" s="15">
        <v>900</v>
      </c>
      <c r="O139" s="17">
        <v>0</v>
      </c>
      <c r="P139" s="17">
        <v>0</v>
      </c>
      <c r="Q139" s="19">
        <v>0</v>
      </c>
      <c r="R139" s="19">
        <v>0</v>
      </c>
      <c r="S139" s="19">
        <v>0</v>
      </c>
      <c r="T139" s="19">
        <v>0</v>
      </c>
      <c r="U139" s="18">
        <v>0.1</v>
      </c>
      <c r="V139" s="18">
        <v>0</v>
      </c>
      <c r="W139" s="18">
        <v>0</v>
      </c>
      <c r="X139" s="18">
        <v>0</v>
      </c>
      <c r="Y139" s="18">
        <v>0</v>
      </c>
      <c r="Z139" s="18">
        <v>0</v>
      </c>
      <c r="AA139" s="18">
        <v>0</v>
      </c>
      <c r="AB139" s="16">
        <v>0</v>
      </c>
      <c r="AC139" s="16">
        <v>0</v>
      </c>
      <c r="AD139" s="16">
        <v>0</v>
      </c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  <c r="BM139" s="22"/>
      <c r="BN139" s="22"/>
      <c r="BO139" s="22"/>
      <c r="BP139" s="22"/>
      <c r="BQ139" s="22"/>
      <c r="BR139" s="22"/>
      <c r="BS139" s="22"/>
      <c r="BT139" s="22"/>
      <c r="BU139" s="22"/>
      <c r="BV139" s="22"/>
      <c r="BW139" s="22"/>
      <c r="BX139" s="22"/>
      <c r="BY139" s="22"/>
      <c r="BZ139" s="22"/>
      <c r="CA139" s="22"/>
      <c r="CB139" s="22"/>
      <c r="CC139" s="22"/>
      <c r="CD139" s="22"/>
      <c r="CE139" s="22"/>
      <c r="CF139" s="22"/>
      <c r="CG139" s="22"/>
      <c r="CH139" s="22"/>
      <c r="CI139" s="22"/>
      <c r="CJ139" s="22"/>
      <c r="CK139" s="22"/>
      <c r="CL139" s="22"/>
      <c r="CM139" s="22"/>
      <c r="CN139" s="22"/>
      <c r="CO139" s="22"/>
      <c r="CP139" s="22"/>
      <c r="CQ139" s="22"/>
      <c r="CR139" s="22"/>
      <c r="CS139" s="22"/>
      <c r="CT139" s="22"/>
      <c r="CU139" s="22"/>
      <c r="CV139" s="22"/>
      <c r="CW139" s="22"/>
      <c r="CX139" s="22"/>
      <c r="CY139" s="22"/>
      <c r="CZ139" s="22"/>
      <c r="DA139" s="22"/>
      <c r="DB139" s="22"/>
      <c r="DC139" s="22"/>
      <c r="DD139" s="22"/>
      <c r="DE139" s="22"/>
      <c r="DF139" s="22"/>
      <c r="DG139" s="22"/>
      <c r="DH139" s="22"/>
      <c r="DI139" s="22"/>
      <c r="DJ139" s="22"/>
      <c r="DK139" s="22"/>
      <c r="DL139" s="22"/>
      <c r="DM139" s="22"/>
      <c r="DN139" s="22"/>
      <c r="DO139" s="22"/>
      <c r="DP139" s="22"/>
      <c r="DQ139" s="22"/>
      <c r="DR139" s="22"/>
      <c r="DS139" s="22"/>
      <c r="DT139" s="22"/>
      <c r="DU139" s="22"/>
      <c r="DV139" s="22"/>
      <c r="DW139" s="22"/>
      <c r="DX139" s="22"/>
      <c r="DY139" s="22"/>
      <c r="DZ139" s="22"/>
      <c r="EA139" s="22"/>
      <c r="EB139" s="22"/>
      <c r="EC139" s="22"/>
      <c r="ED139" s="22"/>
      <c r="EE139" s="22"/>
      <c r="EF139" s="22"/>
      <c r="EG139" s="22"/>
      <c r="EH139" s="22"/>
      <c r="EI139" s="22"/>
      <c r="EJ139" s="22"/>
      <c r="EK139" s="22"/>
      <c r="EL139" s="22"/>
      <c r="EM139" s="22"/>
      <c r="EN139" s="22"/>
      <c r="EO139" s="22"/>
      <c r="EP139" s="22"/>
      <c r="EQ139" s="22"/>
      <c r="ER139" s="22"/>
      <c r="ES139" s="22"/>
      <c r="ET139" s="22"/>
      <c r="EU139" s="22"/>
      <c r="EV139" s="22"/>
      <c r="EW139" s="22"/>
      <c r="EX139" s="22"/>
      <c r="EY139" s="22"/>
      <c r="EZ139" s="22"/>
      <c r="FA139" s="22"/>
      <c r="FB139" s="22"/>
      <c r="FC139" s="22"/>
      <c r="FD139" s="22"/>
      <c r="FE139" s="22"/>
      <c r="FF139" s="22"/>
      <c r="FG139" s="22"/>
      <c r="FH139" s="22"/>
      <c r="FI139" s="22"/>
      <c r="FJ139" s="22"/>
      <c r="FK139" s="22"/>
      <c r="FL139" s="22"/>
      <c r="FM139" s="22"/>
      <c r="FN139" s="22"/>
      <c r="FO139" s="22"/>
      <c r="FP139" s="22"/>
      <c r="FQ139" s="22"/>
      <c r="FR139" s="22"/>
      <c r="FS139" s="22"/>
      <c r="FT139" s="22"/>
      <c r="FU139" s="22"/>
      <c r="FV139" s="22"/>
      <c r="FW139" s="22"/>
      <c r="FX139" s="22"/>
      <c r="FY139" s="22"/>
      <c r="FZ139" s="22"/>
      <c r="GA139" s="22"/>
      <c r="GB139" s="22"/>
      <c r="GC139" s="22"/>
      <c r="GD139" s="22"/>
      <c r="GE139" s="22"/>
      <c r="GF139" s="22"/>
      <c r="GG139" s="22"/>
      <c r="GH139" s="22"/>
      <c r="GI139" s="22"/>
      <c r="GJ139" s="22"/>
      <c r="GK139" s="22"/>
      <c r="GL139" s="22"/>
      <c r="GM139" s="22"/>
      <c r="GN139" s="22"/>
      <c r="GO139" s="22"/>
      <c r="GP139" s="22"/>
      <c r="GQ139" s="22"/>
    </row>
    <row r="140" spans="3:199" s="2" customFormat="1" ht="20.100000000000001" customHeight="1">
      <c r="C140" s="23">
        <v>40030434</v>
      </c>
      <c r="D140" s="15" t="s">
        <v>176</v>
      </c>
      <c r="E140" s="12">
        <v>0</v>
      </c>
      <c r="F140" s="15">
        <v>1304</v>
      </c>
      <c r="G140" s="12">
        <v>1</v>
      </c>
      <c r="H140" s="12">
        <v>30</v>
      </c>
      <c r="I140" s="12">
        <v>0.3</v>
      </c>
      <c r="J140" s="16">
        <v>0</v>
      </c>
      <c r="K140" s="16">
        <v>0</v>
      </c>
      <c r="L140" s="15">
        <v>0</v>
      </c>
      <c r="M140" s="15">
        <v>50</v>
      </c>
      <c r="N140" s="15">
        <v>350</v>
      </c>
      <c r="O140" s="17">
        <v>0</v>
      </c>
      <c r="P140" s="17">
        <v>0</v>
      </c>
      <c r="Q140" s="19">
        <v>0</v>
      </c>
      <c r="R140" s="19">
        <v>0</v>
      </c>
      <c r="S140" s="19">
        <v>0</v>
      </c>
      <c r="T140" s="19">
        <v>0</v>
      </c>
      <c r="U140" s="18">
        <v>0</v>
      </c>
      <c r="V140" s="18">
        <v>0</v>
      </c>
      <c r="W140" s="18">
        <v>0</v>
      </c>
      <c r="X140" s="18">
        <v>0</v>
      </c>
      <c r="Y140" s="18">
        <v>0</v>
      </c>
      <c r="Z140" s="18">
        <v>0</v>
      </c>
      <c r="AA140" s="18">
        <v>0</v>
      </c>
      <c r="AB140" s="16">
        <v>0</v>
      </c>
      <c r="AC140" s="16">
        <v>0</v>
      </c>
      <c r="AD140" s="16">
        <v>0</v>
      </c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  <c r="BM140" s="22"/>
      <c r="BN140" s="22"/>
      <c r="BO140" s="22"/>
      <c r="BP140" s="22"/>
      <c r="BQ140" s="22"/>
      <c r="BR140" s="22"/>
      <c r="BS140" s="22"/>
      <c r="BT140" s="22"/>
      <c r="BU140" s="22"/>
      <c r="BV140" s="22"/>
      <c r="BW140" s="22"/>
      <c r="BX140" s="22"/>
      <c r="BY140" s="22"/>
      <c r="BZ140" s="22"/>
      <c r="CA140" s="22"/>
      <c r="CB140" s="22"/>
      <c r="CC140" s="22"/>
      <c r="CD140" s="22"/>
      <c r="CE140" s="22"/>
      <c r="CF140" s="22"/>
      <c r="CG140" s="22"/>
      <c r="CH140" s="22"/>
      <c r="CI140" s="22"/>
      <c r="CJ140" s="22"/>
      <c r="CK140" s="22"/>
      <c r="CL140" s="22"/>
      <c r="CM140" s="22"/>
      <c r="CN140" s="22"/>
      <c r="CO140" s="22"/>
      <c r="CP140" s="22"/>
      <c r="CQ140" s="22"/>
      <c r="CR140" s="22"/>
      <c r="CS140" s="22"/>
      <c r="CT140" s="22"/>
      <c r="CU140" s="22"/>
      <c r="CV140" s="22"/>
      <c r="CW140" s="22"/>
      <c r="CX140" s="22"/>
      <c r="CY140" s="22"/>
      <c r="CZ140" s="22"/>
      <c r="DA140" s="22"/>
      <c r="DB140" s="22"/>
      <c r="DC140" s="22"/>
      <c r="DD140" s="22"/>
      <c r="DE140" s="22"/>
      <c r="DF140" s="22"/>
      <c r="DG140" s="22"/>
      <c r="DH140" s="22"/>
      <c r="DI140" s="22"/>
      <c r="DJ140" s="22"/>
      <c r="DK140" s="22"/>
      <c r="DL140" s="22"/>
      <c r="DM140" s="22"/>
      <c r="DN140" s="22"/>
      <c r="DO140" s="22"/>
      <c r="DP140" s="22"/>
      <c r="DQ140" s="22"/>
      <c r="DR140" s="22"/>
      <c r="DS140" s="22"/>
      <c r="DT140" s="22"/>
      <c r="DU140" s="22"/>
      <c r="DV140" s="22"/>
      <c r="DW140" s="22"/>
      <c r="DX140" s="22"/>
      <c r="DY140" s="22"/>
      <c r="DZ140" s="22"/>
      <c r="EA140" s="22"/>
      <c r="EB140" s="22"/>
      <c r="EC140" s="22"/>
      <c r="ED140" s="22"/>
      <c r="EE140" s="22"/>
      <c r="EF140" s="22"/>
      <c r="EG140" s="22"/>
      <c r="EH140" s="22"/>
      <c r="EI140" s="22"/>
      <c r="EJ140" s="22"/>
      <c r="EK140" s="22"/>
      <c r="EL140" s="22"/>
      <c r="EM140" s="22"/>
      <c r="EN140" s="22"/>
      <c r="EO140" s="22"/>
      <c r="EP140" s="22"/>
      <c r="EQ140" s="22"/>
      <c r="ER140" s="22"/>
      <c r="ES140" s="22"/>
      <c r="ET140" s="22"/>
      <c r="EU140" s="22"/>
      <c r="EV140" s="22"/>
      <c r="EW140" s="22"/>
      <c r="EX140" s="22"/>
      <c r="EY140" s="22"/>
      <c r="EZ140" s="22"/>
      <c r="FA140" s="22"/>
      <c r="FB140" s="22"/>
      <c r="FC140" s="22"/>
      <c r="FD140" s="22"/>
      <c r="FE140" s="22"/>
      <c r="FF140" s="22"/>
      <c r="FG140" s="22"/>
      <c r="FH140" s="22"/>
      <c r="FI140" s="22"/>
      <c r="FJ140" s="22"/>
      <c r="FK140" s="22"/>
      <c r="FL140" s="22"/>
      <c r="FM140" s="22"/>
      <c r="FN140" s="22"/>
      <c r="FO140" s="22"/>
      <c r="FP140" s="22"/>
      <c r="FQ140" s="22"/>
      <c r="FR140" s="22"/>
      <c r="FS140" s="22"/>
      <c r="FT140" s="22"/>
      <c r="FU140" s="22"/>
      <c r="FV140" s="22"/>
      <c r="FW140" s="22"/>
      <c r="FX140" s="22"/>
      <c r="FY140" s="22"/>
      <c r="FZ140" s="22"/>
      <c r="GA140" s="22"/>
      <c r="GB140" s="22"/>
      <c r="GC140" s="22"/>
      <c r="GD140" s="22"/>
      <c r="GE140" s="22"/>
      <c r="GF140" s="22"/>
      <c r="GG140" s="22"/>
      <c r="GH140" s="22"/>
      <c r="GI140" s="22"/>
      <c r="GJ140" s="22"/>
      <c r="GK140" s="22"/>
      <c r="GL140" s="22"/>
      <c r="GM140" s="22"/>
      <c r="GN140" s="22"/>
      <c r="GO140" s="22"/>
      <c r="GP140" s="22"/>
      <c r="GQ140" s="22"/>
    </row>
    <row r="141" spans="3:199" s="2" customFormat="1" ht="20.100000000000001" customHeight="1">
      <c r="C141" s="10">
        <v>40030501</v>
      </c>
      <c r="D141" s="15" t="s">
        <v>177</v>
      </c>
      <c r="E141" s="12">
        <v>0</v>
      </c>
      <c r="F141" s="15">
        <v>1403</v>
      </c>
      <c r="G141" s="12">
        <v>1</v>
      </c>
      <c r="H141" s="12">
        <v>40</v>
      </c>
      <c r="I141" s="12">
        <v>0.3</v>
      </c>
      <c r="J141" s="16">
        <v>0</v>
      </c>
      <c r="K141" s="16">
        <v>0</v>
      </c>
      <c r="L141" s="15">
        <v>0</v>
      </c>
      <c r="M141" s="15">
        <v>30</v>
      </c>
      <c r="N141" s="15">
        <v>100</v>
      </c>
      <c r="O141" s="17">
        <v>0</v>
      </c>
      <c r="P141" s="17">
        <v>0</v>
      </c>
      <c r="Q141" s="19">
        <v>30</v>
      </c>
      <c r="R141" s="19">
        <v>80</v>
      </c>
      <c r="S141" s="19">
        <v>30</v>
      </c>
      <c r="T141" s="19">
        <v>80</v>
      </c>
      <c r="U141" s="18">
        <v>0</v>
      </c>
      <c r="V141" s="18">
        <v>0</v>
      </c>
      <c r="W141" s="18">
        <v>0</v>
      </c>
      <c r="X141" s="18">
        <v>0</v>
      </c>
      <c r="Y141" s="18">
        <v>0</v>
      </c>
      <c r="Z141" s="18">
        <v>0</v>
      </c>
      <c r="AA141" s="18">
        <v>0</v>
      </c>
      <c r="AB141" s="16">
        <v>0</v>
      </c>
      <c r="AC141" s="16">
        <v>0</v>
      </c>
      <c r="AD141" s="16">
        <v>0</v>
      </c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  <c r="BM141" s="22"/>
      <c r="BN141" s="22"/>
      <c r="BO141" s="22"/>
      <c r="BP141" s="22"/>
      <c r="BQ141" s="22"/>
      <c r="BR141" s="22"/>
      <c r="BS141" s="22"/>
      <c r="BT141" s="22"/>
      <c r="BU141" s="22"/>
      <c r="BV141" s="22"/>
      <c r="BW141" s="22"/>
      <c r="BX141" s="22"/>
      <c r="BY141" s="22"/>
      <c r="BZ141" s="22"/>
      <c r="CA141" s="22"/>
      <c r="CB141" s="22"/>
      <c r="CC141" s="22"/>
      <c r="CD141" s="22"/>
      <c r="CE141" s="22"/>
      <c r="CF141" s="22"/>
      <c r="CG141" s="22"/>
      <c r="CH141" s="22"/>
      <c r="CI141" s="22"/>
      <c r="CJ141" s="22"/>
      <c r="CK141" s="22"/>
      <c r="CL141" s="22"/>
      <c r="CM141" s="22"/>
      <c r="CN141" s="22"/>
      <c r="CO141" s="22"/>
      <c r="CP141" s="22"/>
      <c r="CQ141" s="22"/>
      <c r="CR141" s="22"/>
      <c r="CS141" s="22"/>
      <c r="CT141" s="22"/>
      <c r="CU141" s="22"/>
      <c r="CV141" s="22"/>
      <c r="CW141" s="22"/>
      <c r="CX141" s="22"/>
      <c r="CY141" s="22"/>
      <c r="CZ141" s="22"/>
      <c r="DA141" s="22"/>
      <c r="DB141" s="22"/>
      <c r="DC141" s="22"/>
      <c r="DD141" s="22"/>
      <c r="DE141" s="22"/>
      <c r="DF141" s="22"/>
      <c r="DG141" s="22"/>
      <c r="DH141" s="22"/>
      <c r="DI141" s="22"/>
      <c r="DJ141" s="22"/>
      <c r="DK141" s="22"/>
      <c r="DL141" s="22"/>
      <c r="DM141" s="22"/>
      <c r="DN141" s="22"/>
      <c r="DO141" s="22"/>
      <c r="DP141" s="22"/>
      <c r="DQ141" s="22"/>
      <c r="DR141" s="22"/>
      <c r="DS141" s="22"/>
      <c r="DT141" s="22"/>
      <c r="DU141" s="22"/>
      <c r="DV141" s="22"/>
      <c r="DW141" s="22"/>
      <c r="DX141" s="22"/>
      <c r="DY141" s="22"/>
      <c r="DZ141" s="22"/>
      <c r="EA141" s="22"/>
      <c r="EB141" s="22"/>
      <c r="EC141" s="22"/>
      <c r="ED141" s="22"/>
      <c r="EE141" s="22"/>
      <c r="EF141" s="22"/>
      <c r="EG141" s="22"/>
      <c r="EH141" s="22"/>
      <c r="EI141" s="22"/>
      <c r="EJ141" s="22"/>
      <c r="EK141" s="22"/>
      <c r="EL141" s="22"/>
      <c r="EM141" s="22"/>
      <c r="EN141" s="22"/>
      <c r="EO141" s="22"/>
      <c r="EP141" s="22"/>
      <c r="EQ141" s="22"/>
      <c r="ER141" s="22"/>
      <c r="ES141" s="22"/>
      <c r="ET141" s="22"/>
      <c r="EU141" s="22"/>
      <c r="EV141" s="22"/>
      <c r="EW141" s="22"/>
      <c r="EX141" s="22"/>
      <c r="EY141" s="22"/>
      <c r="EZ141" s="22"/>
      <c r="FA141" s="22"/>
      <c r="FB141" s="22"/>
      <c r="FC141" s="22"/>
      <c r="FD141" s="22"/>
      <c r="FE141" s="22"/>
      <c r="FF141" s="22"/>
      <c r="FG141" s="22"/>
      <c r="FH141" s="22"/>
      <c r="FI141" s="22"/>
      <c r="FJ141" s="22"/>
      <c r="FK141" s="22"/>
      <c r="FL141" s="22"/>
      <c r="FM141" s="22"/>
      <c r="FN141" s="22"/>
      <c r="FO141" s="22"/>
      <c r="FP141" s="22"/>
      <c r="FQ141" s="22"/>
      <c r="FR141" s="22"/>
      <c r="FS141" s="22"/>
      <c r="FT141" s="22"/>
      <c r="FU141" s="22"/>
      <c r="FV141" s="22"/>
      <c r="FW141" s="22"/>
      <c r="FX141" s="22"/>
      <c r="FY141" s="22"/>
      <c r="FZ141" s="22"/>
      <c r="GA141" s="22"/>
      <c r="GB141" s="22"/>
      <c r="GC141" s="22"/>
      <c r="GD141" s="22"/>
      <c r="GE141" s="22"/>
      <c r="GF141" s="22"/>
      <c r="GG141" s="22"/>
      <c r="GH141" s="22"/>
      <c r="GI141" s="22"/>
      <c r="GJ141" s="22"/>
      <c r="GK141" s="22"/>
      <c r="GL141" s="22"/>
      <c r="GM141" s="22"/>
      <c r="GN141" s="22"/>
      <c r="GO141" s="22"/>
      <c r="GP141" s="22"/>
      <c r="GQ141" s="22"/>
    </row>
    <row r="142" spans="3:199" s="2" customFormat="1" ht="20.100000000000001" customHeight="1">
      <c r="C142" s="10">
        <v>40030502</v>
      </c>
      <c r="D142" s="15" t="s">
        <v>178</v>
      </c>
      <c r="E142" s="12">
        <v>0</v>
      </c>
      <c r="F142" s="15">
        <v>0</v>
      </c>
      <c r="G142" s="12">
        <v>1</v>
      </c>
      <c r="H142" s="12">
        <v>40</v>
      </c>
      <c r="I142" s="12">
        <v>0.3</v>
      </c>
      <c r="J142" s="16">
        <v>0</v>
      </c>
      <c r="K142" s="16">
        <v>0</v>
      </c>
      <c r="L142" s="15">
        <v>0</v>
      </c>
      <c r="M142" s="15">
        <v>30</v>
      </c>
      <c r="N142" s="15">
        <v>80</v>
      </c>
      <c r="O142" s="17">
        <v>0</v>
      </c>
      <c r="P142" s="17">
        <v>0</v>
      </c>
      <c r="Q142" s="19">
        <v>20</v>
      </c>
      <c r="R142" s="19">
        <v>60</v>
      </c>
      <c r="S142" s="19">
        <v>20</v>
      </c>
      <c r="T142" s="19">
        <v>80</v>
      </c>
      <c r="U142" s="18">
        <v>0</v>
      </c>
      <c r="V142" s="18">
        <v>0</v>
      </c>
      <c r="W142" s="18">
        <v>0</v>
      </c>
      <c r="X142" s="18">
        <v>0</v>
      </c>
      <c r="Y142" s="18">
        <v>0</v>
      </c>
      <c r="Z142" s="18">
        <v>0</v>
      </c>
      <c r="AA142" s="18">
        <v>0</v>
      </c>
      <c r="AB142" s="16">
        <v>0</v>
      </c>
      <c r="AC142" s="16">
        <v>0</v>
      </c>
      <c r="AD142" s="16">
        <v>0</v>
      </c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  <c r="BM142" s="22"/>
      <c r="BN142" s="22"/>
      <c r="BO142" s="22"/>
      <c r="BP142" s="22"/>
      <c r="BQ142" s="22"/>
      <c r="BR142" s="22"/>
      <c r="BS142" s="22"/>
      <c r="BT142" s="22"/>
      <c r="BU142" s="22"/>
      <c r="BV142" s="22"/>
      <c r="BW142" s="22"/>
      <c r="BX142" s="22"/>
      <c r="BY142" s="22"/>
      <c r="BZ142" s="22"/>
      <c r="CA142" s="22"/>
      <c r="CB142" s="22"/>
      <c r="CC142" s="22"/>
      <c r="CD142" s="22"/>
      <c r="CE142" s="22"/>
      <c r="CF142" s="22"/>
      <c r="CG142" s="22"/>
      <c r="CH142" s="22"/>
      <c r="CI142" s="22"/>
      <c r="CJ142" s="22"/>
      <c r="CK142" s="22"/>
      <c r="CL142" s="22"/>
      <c r="CM142" s="22"/>
      <c r="CN142" s="22"/>
      <c r="CO142" s="22"/>
      <c r="CP142" s="22"/>
      <c r="CQ142" s="22"/>
      <c r="CR142" s="22"/>
      <c r="CS142" s="22"/>
      <c r="CT142" s="22"/>
      <c r="CU142" s="22"/>
      <c r="CV142" s="22"/>
      <c r="CW142" s="22"/>
      <c r="CX142" s="22"/>
      <c r="CY142" s="22"/>
      <c r="CZ142" s="22"/>
      <c r="DA142" s="22"/>
      <c r="DB142" s="22"/>
      <c r="DC142" s="22"/>
      <c r="DD142" s="22"/>
      <c r="DE142" s="22"/>
      <c r="DF142" s="22"/>
      <c r="DG142" s="22"/>
      <c r="DH142" s="22"/>
      <c r="DI142" s="22"/>
      <c r="DJ142" s="22"/>
      <c r="DK142" s="22"/>
      <c r="DL142" s="22"/>
      <c r="DM142" s="22"/>
      <c r="DN142" s="22"/>
      <c r="DO142" s="22"/>
      <c r="DP142" s="22"/>
      <c r="DQ142" s="22"/>
      <c r="DR142" s="22"/>
      <c r="DS142" s="22"/>
      <c r="DT142" s="22"/>
      <c r="DU142" s="22"/>
      <c r="DV142" s="22"/>
      <c r="DW142" s="22"/>
      <c r="DX142" s="22"/>
      <c r="DY142" s="22"/>
      <c r="DZ142" s="22"/>
      <c r="EA142" s="22"/>
      <c r="EB142" s="22"/>
      <c r="EC142" s="22"/>
      <c r="ED142" s="22"/>
      <c r="EE142" s="22"/>
      <c r="EF142" s="22"/>
      <c r="EG142" s="22"/>
      <c r="EH142" s="22"/>
      <c r="EI142" s="22"/>
      <c r="EJ142" s="22"/>
      <c r="EK142" s="22"/>
      <c r="EL142" s="22"/>
      <c r="EM142" s="22"/>
      <c r="EN142" s="22"/>
      <c r="EO142" s="22"/>
      <c r="EP142" s="22"/>
      <c r="EQ142" s="22"/>
      <c r="ER142" s="22"/>
      <c r="ES142" s="22"/>
      <c r="ET142" s="22"/>
      <c r="EU142" s="22"/>
      <c r="EV142" s="22"/>
      <c r="EW142" s="22"/>
      <c r="EX142" s="22"/>
      <c r="EY142" s="22"/>
      <c r="EZ142" s="22"/>
      <c r="FA142" s="22"/>
      <c r="FB142" s="22"/>
      <c r="FC142" s="22"/>
      <c r="FD142" s="22"/>
      <c r="FE142" s="22"/>
      <c r="FF142" s="22"/>
      <c r="FG142" s="22"/>
      <c r="FH142" s="22"/>
      <c r="FI142" s="22"/>
      <c r="FJ142" s="22"/>
      <c r="FK142" s="22"/>
      <c r="FL142" s="22"/>
      <c r="FM142" s="22"/>
      <c r="FN142" s="22"/>
      <c r="FO142" s="22"/>
      <c r="FP142" s="22"/>
      <c r="FQ142" s="22"/>
      <c r="FR142" s="22"/>
      <c r="FS142" s="22"/>
      <c r="FT142" s="22"/>
      <c r="FU142" s="22"/>
      <c r="FV142" s="22"/>
      <c r="FW142" s="22"/>
      <c r="FX142" s="22"/>
      <c r="FY142" s="22"/>
      <c r="FZ142" s="22"/>
      <c r="GA142" s="22"/>
      <c r="GB142" s="22"/>
      <c r="GC142" s="22"/>
      <c r="GD142" s="22"/>
      <c r="GE142" s="22"/>
      <c r="GF142" s="22"/>
      <c r="GG142" s="22"/>
      <c r="GH142" s="22"/>
      <c r="GI142" s="22"/>
      <c r="GJ142" s="22"/>
      <c r="GK142" s="22"/>
      <c r="GL142" s="22"/>
      <c r="GM142" s="22"/>
      <c r="GN142" s="22"/>
      <c r="GO142" s="22"/>
      <c r="GP142" s="22"/>
      <c r="GQ142" s="22"/>
    </row>
    <row r="143" spans="3:199" s="2" customFormat="1" ht="20.100000000000001" customHeight="1">
      <c r="C143" s="10">
        <v>40030503</v>
      </c>
      <c r="D143" s="15" t="s">
        <v>179</v>
      </c>
      <c r="E143" s="12">
        <v>0</v>
      </c>
      <c r="F143" s="15">
        <v>1403</v>
      </c>
      <c r="G143" s="12">
        <v>1</v>
      </c>
      <c r="H143" s="12">
        <v>40</v>
      </c>
      <c r="I143" s="12">
        <v>0.3</v>
      </c>
      <c r="J143" s="16">
        <v>0</v>
      </c>
      <c r="K143" s="16">
        <v>0</v>
      </c>
      <c r="L143" s="15">
        <v>0</v>
      </c>
      <c r="M143" s="15">
        <v>40</v>
      </c>
      <c r="N143" s="15">
        <v>130</v>
      </c>
      <c r="O143" s="17">
        <v>0</v>
      </c>
      <c r="P143" s="17">
        <v>0</v>
      </c>
      <c r="Q143" s="19">
        <v>0</v>
      </c>
      <c r="R143" s="19">
        <v>0</v>
      </c>
      <c r="S143" s="19">
        <v>20</v>
      </c>
      <c r="T143" s="19">
        <v>40</v>
      </c>
      <c r="U143" s="18">
        <v>0</v>
      </c>
      <c r="V143" s="18">
        <v>0</v>
      </c>
      <c r="W143" s="18">
        <v>0</v>
      </c>
      <c r="X143" s="18">
        <v>0</v>
      </c>
      <c r="Y143" s="18">
        <v>0</v>
      </c>
      <c r="Z143" s="18">
        <v>0</v>
      </c>
      <c r="AA143" s="18">
        <v>0</v>
      </c>
      <c r="AB143" s="16">
        <v>0</v>
      </c>
      <c r="AC143" s="16">
        <v>0</v>
      </c>
      <c r="AD143" s="16">
        <v>0</v>
      </c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  <c r="BM143" s="22"/>
      <c r="BN143" s="22"/>
      <c r="BO143" s="22"/>
      <c r="BP143" s="22"/>
      <c r="BQ143" s="22"/>
      <c r="BR143" s="22"/>
      <c r="BS143" s="22"/>
      <c r="BT143" s="22"/>
      <c r="BU143" s="22"/>
      <c r="BV143" s="22"/>
      <c r="BW143" s="22"/>
      <c r="BX143" s="22"/>
      <c r="BY143" s="22"/>
      <c r="BZ143" s="22"/>
      <c r="CA143" s="22"/>
      <c r="CB143" s="22"/>
      <c r="CC143" s="22"/>
      <c r="CD143" s="22"/>
      <c r="CE143" s="22"/>
      <c r="CF143" s="22"/>
      <c r="CG143" s="22"/>
      <c r="CH143" s="22"/>
      <c r="CI143" s="22"/>
      <c r="CJ143" s="22"/>
      <c r="CK143" s="22"/>
      <c r="CL143" s="22"/>
      <c r="CM143" s="22"/>
      <c r="CN143" s="22"/>
      <c r="CO143" s="22"/>
      <c r="CP143" s="22"/>
      <c r="CQ143" s="22"/>
      <c r="CR143" s="22"/>
      <c r="CS143" s="22"/>
      <c r="CT143" s="22"/>
      <c r="CU143" s="22"/>
      <c r="CV143" s="22"/>
      <c r="CW143" s="22"/>
      <c r="CX143" s="22"/>
      <c r="CY143" s="22"/>
      <c r="CZ143" s="22"/>
      <c r="DA143" s="22"/>
      <c r="DB143" s="22"/>
      <c r="DC143" s="22"/>
      <c r="DD143" s="22"/>
      <c r="DE143" s="22"/>
      <c r="DF143" s="22"/>
      <c r="DG143" s="22"/>
      <c r="DH143" s="22"/>
      <c r="DI143" s="22"/>
      <c r="DJ143" s="22"/>
      <c r="DK143" s="22"/>
      <c r="DL143" s="22"/>
      <c r="DM143" s="22"/>
      <c r="DN143" s="22"/>
      <c r="DO143" s="22"/>
      <c r="DP143" s="22"/>
      <c r="DQ143" s="22"/>
      <c r="DR143" s="22"/>
      <c r="DS143" s="22"/>
      <c r="DT143" s="22"/>
      <c r="DU143" s="22"/>
      <c r="DV143" s="22"/>
      <c r="DW143" s="22"/>
      <c r="DX143" s="22"/>
      <c r="DY143" s="22"/>
      <c r="DZ143" s="22"/>
      <c r="EA143" s="22"/>
      <c r="EB143" s="22"/>
      <c r="EC143" s="22"/>
      <c r="ED143" s="22"/>
      <c r="EE143" s="22"/>
      <c r="EF143" s="22"/>
      <c r="EG143" s="22"/>
      <c r="EH143" s="22"/>
      <c r="EI143" s="22"/>
      <c r="EJ143" s="22"/>
      <c r="EK143" s="22"/>
      <c r="EL143" s="22"/>
      <c r="EM143" s="22"/>
      <c r="EN143" s="22"/>
      <c r="EO143" s="22"/>
      <c r="EP143" s="22"/>
      <c r="EQ143" s="22"/>
      <c r="ER143" s="22"/>
      <c r="ES143" s="22"/>
      <c r="ET143" s="22"/>
      <c r="EU143" s="22"/>
      <c r="EV143" s="22"/>
      <c r="EW143" s="22"/>
      <c r="EX143" s="22"/>
      <c r="EY143" s="22"/>
      <c r="EZ143" s="22"/>
      <c r="FA143" s="22"/>
      <c r="FB143" s="22"/>
      <c r="FC143" s="22"/>
      <c r="FD143" s="22"/>
      <c r="FE143" s="22"/>
      <c r="FF143" s="22"/>
      <c r="FG143" s="22"/>
      <c r="FH143" s="22"/>
      <c r="FI143" s="22"/>
      <c r="FJ143" s="22"/>
      <c r="FK143" s="22"/>
      <c r="FL143" s="22"/>
      <c r="FM143" s="22"/>
      <c r="FN143" s="22"/>
      <c r="FO143" s="22"/>
      <c r="FP143" s="22"/>
      <c r="FQ143" s="22"/>
      <c r="FR143" s="22"/>
      <c r="FS143" s="22"/>
      <c r="FT143" s="22"/>
      <c r="FU143" s="22"/>
      <c r="FV143" s="22"/>
      <c r="FW143" s="22"/>
      <c r="FX143" s="22"/>
      <c r="FY143" s="22"/>
      <c r="FZ143" s="22"/>
      <c r="GA143" s="22"/>
      <c r="GB143" s="22"/>
      <c r="GC143" s="22"/>
      <c r="GD143" s="22"/>
      <c r="GE143" s="22"/>
      <c r="GF143" s="22"/>
      <c r="GG143" s="22"/>
      <c r="GH143" s="22"/>
      <c r="GI143" s="22"/>
      <c r="GJ143" s="22"/>
      <c r="GK143" s="22"/>
      <c r="GL143" s="22"/>
      <c r="GM143" s="22"/>
      <c r="GN143" s="22"/>
      <c r="GO143" s="22"/>
      <c r="GP143" s="22"/>
      <c r="GQ143" s="22"/>
    </row>
    <row r="144" spans="3:199" s="2" customFormat="1" ht="20.100000000000001" customHeight="1">
      <c r="C144" s="10">
        <v>40030504</v>
      </c>
      <c r="D144" s="15" t="s">
        <v>180</v>
      </c>
      <c r="E144" s="12">
        <v>0</v>
      </c>
      <c r="F144" s="15">
        <v>0</v>
      </c>
      <c r="G144" s="12">
        <v>1</v>
      </c>
      <c r="H144" s="12">
        <v>40</v>
      </c>
      <c r="I144" s="12">
        <v>0.3</v>
      </c>
      <c r="J144" s="16">
        <v>0</v>
      </c>
      <c r="K144" s="16">
        <v>0</v>
      </c>
      <c r="L144" s="15">
        <v>0</v>
      </c>
      <c r="M144" s="15">
        <v>40</v>
      </c>
      <c r="N144" s="15">
        <v>110</v>
      </c>
      <c r="O144" s="17">
        <v>0</v>
      </c>
      <c r="P144" s="17">
        <v>0</v>
      </c>
      <c r="Q144" s="19">
        <v>0</v>
      </c>
      <c r="R144" s="19">
        <v>0</v>
      </c>
      <c r="S144" s="19">
        <v>10</v>
      </c>
      <c r="T144" s="19">
        <v>30</v>
      </c>
      <c r="U144" s="18">
        <v>0</v>
      </c>
      <c r="V144" s="18">
        <v>0</v>
      </c>
      <c r="W144" s="18">
        <v>0</v>
      </c>
      <c r="X144" s="18">
        <v>0</v>
      </c>
      <c r="Y144" s="18">
        <v>0</v>
      </c>
      <c r="Z144" s="18">
        <v>0</v>
      </c>
      <c r="AA144" s="18">
        <v>0</v>
      </c>
      <c r="AB144" s="16">
        <v>0</v>
      </c>
      <c r="AC144" s="16">
        <v>0</v>
      </c>
      <c r="AD144" s="16">
        <v>0</v>
      </c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  <c r="BM144" s="22"/>
      <c r="BN144" s="22"/>
      <c r="BO144" s="22"/>
      <c r="BP144" s="22"/>
      <c r="BQ144" s="22"/>
      <c r="BR144" s="22"/>
      <c r="BS144" s="22"/>
      <c r="BT144" s="22"/>
      <c r="BU144" s="22"/>
      <c r="BV144" s="22"/>
      <c r="BW144" s="22"/>
      <c r="BX144" s="22"/>
      <c r="BY144" s="22"/>
      <c r="BZ144" s="22"/>
      <c r="CA144" s="22"/>
      <c r="CB144" s="22"/>
      <c r="CC144" s="22"/>
      <c r="CD144" s="22"/>
      <c r="CE144" s="22"/>
      <c r="CF144" s="22"/>
      <c r="CG144" s="22"/>
      <c r="CH144" s="22"/>
      <c r="CI144" s="22"/>
      <c r="CJ144" s="22"/>
      <c r="CK144" s="22"/>
      <c r="CL144" s="22"/>
      <c r="CM144" s="22"/>
      <c r="CN144" s="22"/>
      <c r="CO144" s="22"/>
      <c r="CP144" s="22"/>
      <c r="CQ144" s="22"/>
      <c r="CR144" s="22"/>
      <c r="CS144" s="22"/>
      <c r="CT144" s="22"/>
      <c r="CU144" s="22"/>
      <c r="CV144" s="22"/>
      <c r="CW144" s="22"/>
      <c r="CX144" s="22"/>
      <c r="CY144" s="22"/>
      <c r="CZ144" s="22"/>
      <c r="DA144" s="22"/>
      <c r="DB144" s="22"/>
      <c r="DC144" s="22"/>
      <c r="DD144" s="22"/>
      <c r="DE144" s="22"/>
      <c r="DF144" s="22"/>
      <c r="DG144" s="22"/>
      <c r="DH144" s="22"/>
      <c r="DI144" s="22"/>
      <c r="DJ144" s="22"/>
      <c r="DK144" s="22"/>
      <c r="DL144" s="22"/>
      <c r="DM144" s="22"/>
      <c r="DN144" s="22"/>
      <c r="DO144" s="22"/>
      <c r="DP144" s="22"/>
      <c r="DQ144" s="22"/>
      <c r="DR144" s="22"/>
      <c r="DS144" s="22"/>
      <c r="DT144" s="22"/>
      <c r="DU144" s="22"/>
      <c r="DV144" s="22"/>
      <c r="DW144" s="22"/>
      <c r="DX144" s="22"/>
      <c r="DY144" s="22"/>
      <c r="DZ144" s="22"/>
      <c r="EA144" s="22"/>
      <c r="EB144" s="22"/>
      <c r="EC144" s="22"/>
      <c r="ED144" s="22"/>
      <c r="EE144" s="22"/>
      <c r="EF144" s="22"/>
      <c r="EG144" s="22"/>
      <c r="EH144" s="22"/>
      <c r="EI144" s="22"/>
      <c r="EJ144" s="22"/>
      <c r="EK144" s="22"/>
      <c r="EL144" s="22"/>
      <c r="EM144" s="22"/>
      <c r="EN144" s="22"/>
      <c r="EO144" s="22"/>
      <c r="EP144" s="22"/>
      <c r="EQ144" s="22"/>
      <c r="ER144" s="22"/>
      <c r="ES144" s="22"/>
      <c r="ET144" s="22"/>
      <c r="EU144" s="22"/>
      <c r="EV144" s="22"/>
      <c r="EW144" s="22"/>
      <c r="EX144" s="22"/>
      <c r="EY144" s="22"/>
      <c r="EZ144" s="22"/>
      <c r="FA144" s="22"/>
      <c r="FB144" s="22"/>
      <c r="FC144" s="22"/>
      <c r="FD144" s="22"/>
      <c r="FE144" s="22"/>
      <c r="FF144" s="22"/>
      <c r="FG144" s="22"/>
      <c r="FH144" s="22"/>
      <c r="FI144" s="22"/>
      <c r="FJ144" s="22"/>
      <c r="FK144" s="22"/>
      <c r="FL144" s="22"/>
      <c r="FM144" s="22"/>
      <c r="FN144" s="22"/>
      <c r="FO144" s="22"/>
      <c r="FP144" s="22"/>
      <c r="FQ144" s="22"/>
      <c r="FR144" s="22"/>
      <c r="FS144" s="22"/>
      <c r="FT144" s="22"/>
      <c r="FU144" s="22"/>
      <c r="FV144" s="22"/>
      <c r="FW144" s="22"/>
      <c r="FX144" s="22"/>
      <c r="FY144" s="22"/>
      <c r="FZ144" s="22"/>
      <c r="GA144" s="22"/>
      <c r="GB144" s="22"/>
      <c r="GC144" s="22"/>
      <c r="GD144" s="22"/>
      <c r="GE144" s="22"/>
      <c r="GF144" s="22"/>
      <c r="GG144" s="22"/>
      <c r="GH144" s="22"/>
      <c r="GI144" s="22"/>
      <c r="GJ144" s="22"/>
      <c r="GK144" s="22"/>
      <c r="GL144" s="22"/>
      <c r="GM144" s="22"/>
      <c r="GN144" s="22"/>
      <c r="GO144" s="22"/>
      <c r="GP144" s="22"/>
      <c r="GQ144" s="22"/>
    </row>
    <row r="145" spans="3:199" s="2" customFormat="1" ht="20.100000000000001" customHeight="1">
      <c r="C145" s="10">
        <v>40030505</v>
      </c>
      <c r="D145" s="15" t="s">
        <v>181</v>
      </c>
      <c r="E145" s="12">
        <v>0</v>
      </c>
      <c r="F145" s="15">
        <v>1405</v>
      </c>
      <c r="G145" s="12">
        <v>1</v>
      </c>
      <c r="H145" s="12">
        <v>40</v>
      </c>
      <c r="I145" s="12">
        <v>0.3</v>
      </c>
      <c r="J145" s="16">
        <v>0</v>
      </c>
      <c r="K145" s="16">
        <v>0</v>
      </c>
      <c r="L145" s="15">
        <v>0</v>
      </c>
      <c r="M145" s="15">
        <v>20</v>
      </c>
      <c r="N145" s="15">
        <v>70</v>
      </c>
      <c r="O145" s="17">
        <v>0</v>
      </c>
      <c r="P145" s="17">
        <v>0</v>
      </c>
      <c r="Q145" s="19">
        <v>30</v>
      </c>
      <c r="R145" s="19">
        <v>80</v>
      </c>
      <c r="S145" s="19">
        <v>0</v>
      </c>
      <c r="T145" s="19">
        <v>0</v>
      </c>
      <c r="U145" s="18">
        <v>0</v>
      </c>
      <c r="V145" s="18">
        <v>0</v>
      </c>
      <c r="W145" s="18">
        <v>0</v>
      </c>
      <c r="X145" s="18">
        <v>0</v>
      </c>
      <c r="Y145" s="18">
        <v>0</v>
      </c>
      <c r="Z145" s="18">
        <v>0</v>
      </c>
      <c r="AA145" s="18">
        <v>0</v>
      </c>
      <c r="AB145" s="16">
        <v>0</v>
      </c>
      <c r="AC145" s="16">
        <v>0</v>
      </c>
      <c r="AD145" s="16">
        <v>0</v>
      </c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  <c r="BM145" s="22"/>
      <c r="BN145" s="22"/>
      <c r="BO145" s="22"/>
      <c r="BP145" s="22"/>
      <c r="BQ145" s="22"/>
      <c r="BR145" s="22"/>
      <c r="BS145" s="22"/>
      <c r="BT145" s="22"/>
      <c r="BU145" s="22"/>
      <c r="BV145" s="22"/>
      <c r="BW145" s="22"/>
      <c r="BX145" s="22"/>
      <c r="BY145" s="22"/>
      <c r="BZ145" s="22"/>
      <c r="CA145" s="22"/>
      <c r="CB145" s="22"/>
      <c r="CC145" s="22"/>
      <c r="CD145" s="22"/>
      <c r="CE145" s="22"/>
      <c r="CF145" s="22"/>
      <c r="CG145" s="22"/>
      <c r="CH145" s="22"/>
      <c r="CI145" s="22"/>
      <c r="CJ145" s="22"/>
      <c r="CK145" s="22"/>
      <c r="CL145" s="22"/>
      <c r="CM145" s="22"/>
      <c r="CN145" s="22"/>
      <c r="CO145" s="22"/>
      <c r="CP145" s="22"/>
      <c r="CQ145" s="22"/>
      <c r="CR145" s="22"/>
      <c r="CS145" s="22"/>
      <c r="CT145" s="22"/>
      <c r="CU145" s="22"/>
      <c r="CV145" s="22"/>
      <c r="CW145" s="22"/>
      <c r="CX145" s="22"/>
      <c r="CY145" s="22"/>
      <c r="CZ145" s="22"/>
      <c r="DA145" s="22"/>
      <c r="DB145" s="22"/>
      <c r="DC145" s="22"/>
      <c r="DD145" s="22"/>
      <c r="DE145" s="22"/>
      <c r="DF145" s="22"/>
      <c r="DG145" s="22"/>
      <c r="DH145" s="22"/>
      <c r="DI145" s="22"/>
      <c r="DJ145" s="22"/>
      <c r="DK145" s="22"/>
      <c r="DL145" s="22"/>
      <c r="DM145" s="22"/>
      <c r="DN145" s="22"/>
      <c r="DO145" s="22"/>
      <c r="DP145" s="22"/>
      <c r="DQ145" s="22"/>
      <c r="DR145" s="22"/>
      <c r="DS145" s="22"/>
      <c r="DT145" s="22"/>
      <c r="DU145" s="22"/>
      <c r="DV145" s="22"/>
      <c r="DW145" s="22"/>
      <c r="DX145" s="22"/>
      <c r="DY145" s="22"/>
      <c r="DZ145" s="22"/>
      <c r="EA145" s="22"/>
      <c r="EB145" s="22"/>
      <c r="EC145" s="22"/>
      <c r="ED145" s="22"/>
      <c r="EE145" s="22"/>
      <c r="EF145" s="22"/>
      <c r="EG145" s="22"/>
      <c r="EH145" s="22"/>
      <c r="EI145" s="22"/>
      <c r="EJ145" s="22"/>
      <c r="EK145" s="22"/>
      <c r="EL145" s="22"/>
      <c r="EM145" s="22"/>
      <c r="EN145" s="22"/>
      <c r="EO145" s="22"/>
      <c r="EP145" s="22"/>
      <c r="EQ145" s="22"/>
      <c r="ER145" s="22"/>
      <c r="ES145" s="22"/>
      <c r="ET145" s="22"/>
      <c r="EU145" s="22"/>
      <c r="EV145" s="22"/>
      <c r="EW145" s="22"/>
      <c r="EX145" s="22"/>
      <c r="EY145" s="22"/>
      <c r="EZ145" s="22"/>
      <c r="FA145" s="22"/>
      <c r="FB145" s="22"/>
      <c r="FC145" s="22"/>
      <c r="FD145" s="22"/>
      <c r="FE145" s="22"/>
      <c r="FF145" s="22"/>
      <c r="FG145" s="22"/>
      <c r="FH145" s="22"/>
      <c r="FI145" s="22"/>
      <c r="FJ145" s="22"/>
      <c r="FK145" s="22"/>
      <c r="FL145" s="22"/>
      <c r="FM145" s="22"/>
      <c r="FN145" s="22"/>
      <c r="FO145" s="22"/>
      <c r="FP145" s="22"/>
      <c r="FQ145" s="22"/>
      <c r="FR145" s="22"/>
      <c r="FS145" s="22"/>
      <c r="FT145" s="22"/>
      <c r="FU145" s="22"/>
      <c r="FV145" s="22"/>
      <c r="FW145" s="22"/>
      <c r="FX145" s="22"/>
      <c r="FY145" s="22"/>
      <c r="FZ145" s="22"/>
      <c r="GA145" s="22"/>
      <c r="GB145" s="22"/>
      <c r="GC145" s="22"/>
      <c r="GD145" s="22"/>
      <c r="GE145" s="22"/>
      <c r="GF145" s="22"/>
      <c r="GG145" s="22"/>
      <c r="GH145" s="22"/>
      <c r="GI145" s="22"/>
      <c r="GJ145" s="22"/>
      <c r="GK145" s="22"/>
      <c r="GL145" s="22"/>
      <c r="GM145" s="22"/>
      <c r="GN145" s="22"/>
      <c r="GO145" s="22"/>
      <c r="GP145" s="22"/>
      <c r="GQ145" s="22"/>
    </row>
    <row r="146" spans="3:199" s="2" customFormat="1" ht="20.100000000000001" customHeight="1">
      <c r="C146" s="10">
        <v>40030506</v>
      </c>
      <c r="D146" s="15" t="s">
        <v>81</v>
      </c>
      <c r="E146" s="12">
        <v>0</v>
      </c>
      <c r="F146" s="15">
        <v>0</v>
      </c>
      <c r="G146" s="12">
        <v>1</v>
      </c>
      <c r="H146" s="12">
        <v>40</v>
      </c>
      <c r="I146" s="12">
        <v>0.3</v>
      </c>
      <c r="J146" s="16">
        <v>0</v>
      </c>
      <c r="K146" s="16">
        <v>0</v>
      </c>
      <c r="L146" s="15">
        <v>0</v>
      </c>
      <c r="M146" s="15">
        <v>20</v>
      </c>
      <c r="N146" s="15">
        <v>60</v>
      </c>
      <c r="O146" s="17">
        <v>0</v>
      </c>
      <c r="P146" s="17">
        <v>0</v>
      </c>
      <c r="Q146" s="19">
        <v>20</v>
      </c>
      <c r="R146" s="19">
        <v>60</v>
      </c>
      <c r="S146" s="19">
        <v>0</v>
      </c>
      <c r="T146" s="19">
        <v>0</v>
      </c>
      <c r="U146" s="18">
        <v>0</v>
      </c>
      <c r="V146" s="18">
        <v>0</v>
      </c>
      <c r="W146" s="18">
        <v>0</v>
      </c>
      <c r="X146" s="18">
        <v>0</v>
      </c>
      <c r="Y146" s="18">
        <v>0</v>
      </c>
      <c r="Z146" s="18">
        <v>0</v>
      </c>
      <c r="AA146" s="18">
        <v>0</v>
      </c>
      <c r="AB146" s="16">
        <v>0</v>
      </c>
      <c r="AC146" s="16">
        <v>0</v>
      </c>
      <c r="AD146" s="16">
        <v>0</v>
      </c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  <c r="BM146" s="22"/>
      <c r="BN146" s="22"/>
      <c r="BO146" s="22"/>
      <c r="BP146" s="22"/>
      <c r="BQ146" s="22"/>
      <c r="BR146" s="22"/>
      <c r="BS146" s="22"/>
      <c r="BT146" s="22"/>
      <c r="BU146" s="22"/>
      <c r="BV146" s="22"/>
      <c r="BW146" s="22"/>
      <c r="BX146" s="22"/>
      <c r="BY146" s="22"/>
      <c r="BZ146" s="22"/>
      <c r="CA146" s="22"/>
      <c r="CB146" s="22"/>
      <c r="CC146" s="22"/>
      <c r="CD146" s="22"/>
      <c r="CE146" s="22"/>
      <c r="CF146" s="22"/>
      <c r="CG146" s="22"/>
      <c r="CH146" s="22"/>
      <c r="CI146" s="22"/>
      <c r="CJ146" s="22"/>
      <c r="CK146" s="22"/>
      <c r="CL146" s="22"/>
      <c r="CM146" s="22"/>
      <c r="CN146" s="22"/>
      <c r="CO146" s="22"/>
      <c r="CP146" s="22"/>
      <c r="CQ146" s="22"/>
      <c r="CR146" s="22"/>
      <c r="CS146" s="22"/>
      <c r="CT146" s="22"/>
      <c r="CU146" s="22"/>
      <c r="CV146" s="22"/>
      <c r="CW146" s="22"/>
      <c r="CX146" s="22"/>
      <c r="CY146" s="22"/>
      <c r="CZ146" s="22"/>
      <c r="DA146" s="22"/>
      <c r="DB146" s="22"/>
      <c r="DC146" s="22"/>
      <c r="DD146" s="22"/>
      <c r="DE146" s="22"/>
      <c r="DF146" s="22"/>
      <c r="DG146" s="22"/>
      <c r="DH146" s="22"/>
      <c r="DI146" s="22"/>
      <c r="DJ146" s="22"/>
      <c r="DK146" s="22"/>
      <c r="DL146" s="22"/>
      <c r="DM146" s="22"/>
      <c r="DN146" s="22"/>
      <c r="DO146" s="22"/>
      <c r="DP146" s="22"/>
      <c r="DQ146" s="22"/>
      <c r="DR146" s="22"/>
      <c r="DS146" s="22"/>
      <c r="DT146" s="22"/>
      <c r="DU146" s="22"/>
      <c r="DV146" s="22"/>
      <c r="DW146" s="22"/>
      <c r="DX146" s="22"/>
      <c r="DY146" s="22"/>
      <c r="DZ146" s="22"/>
      <c r="EA146" s="22"/>
      <c r="EB146" s="22"/>
      <c r="EC146" s="22"/>
      <c r="ED146" s="22"/>
      <c r="EE146" s="22"/>
      <c r="EF146" s="22"/>
      <c r="EG146" s="22"/>
      <c r="EH146" s="22"/>
      <c r="EI146" s="22"/>
      <c r="EJ146" s="22"/>
      <c r="EK146" s="22"/>
      <c r="EL146" s="22"/>
      <c r="EM146" s="22"/>
      <c r="EN146" s="22"/>
      <c r="EO146" s="22"/>
      <c r="EP146" s="22"/>
      <c r="EQ146" s="22"/>
      <c r="ER146" s="22"/>
      <c r="ES146" s="22"/>
      <c r="ET146" s="22"/>
      <c r="EU146" s="22"/>
      <c r="EV146" s="22"/>
      <c r="EW146" s="22"/>
      <c r="EX146" s="22"/>
      <c r="EY146" s="22"/>
      <c r="EZ146" s="22"/>
      <c r="FA146" s="22"/>
      <c r="FB146" s="22"/>
      <c r="FC146" s="22"/>
      <c r="FD146" s="22"/>
      <c r="FE146" s="22"/>
      <c r="FF146" s="22"/>
      <c r="FG146" s="22"/>
      <c r="FH146" s="22"/>
      <c r="FI146" s="22"/>
      <c r="FJ146" s="22"/>
      <c r="FK146" s="22"/>
      <c r="FL146" s="22"/>
      <c r="FM146" s="22"/>
      <c r="FN146" s="22"/>
      <c r="FO146" s="22"/>
      <c r="FP146" s="22"/>
      <c r="FQ146" s="22"/>
      <c r="FR146" s="22"/>
      <c r="FS146" s="22"/>
      <c r="FT146" s="22"/>
      <c r="FU146" s="22"/>
      <c r="FV146" s="22"/>
      <c r="FW146" s="22"/>
      <c r="FX146" s="22"/>
      <c r="FY146" s="22"/>
      <c r="FZ146" s="22"/>
      <c r="GA146" s="22"/>
      <c r="GB146" s="22"/>
      <c r="GC146" s="22"/>
      <c r="GD146" s="22"/>
      <c r="GE146" s="22"/>
      <c r="GF146" s="22"/>
      <c r="GG146" s="22"/>
      <c r="GH146" s="22"/>
      <c r="GI146" s="22"/>
      <c r="GJ146" s="22"/>
      <c r="GK146" s="22"/>
      <c r="GL146" s="22"/>
      <c r="GM146" s="22"/>
      <c r="GN146" s="22"/>
      <c r="GO146" s="22"/>
      <c r="GP146" s="22"/>
      <c r="GQ146" s="22"/>
    </row>
    <row r="147" spans="3:199" s="2" customFormat="1" ht="20.100000000000001" customHeight="1">
      <c r="C147" s="10">
        <v>40030507</v>
      </c>
      <c r="D147" s="15" t="s">
        <v>182</v>
      </c>
      <c r="E147" s="12">
        <v>0</v>
      </c>
      <c r="F147" s="15">
        <v>1405</v>
      </c>
      <c r="G147" s="12">
        <v>1</v>
      </c>
      <c r="H147" s="12">
        <v>40</v>
      </c>
      <c r="I147" s="12">
        <v>0.3</v>
      </c>
      <c r="J147" s="16">
        <v>0</v>
      </c>
      <c r="K147" s="16">
        <v>0</v>
      </c>
      <c r="L147" s="15">
        <v>0</v>
      </c>
      <c r="M147" s="15">
        <v>30</v>
      </c>
      <c r="N147" s="15">
        <v>110</v>
      </c>
      <c r="O147" s="17">
        <v>0</v>
      </c>
      <c r="P147" s="17">
        <v>0</v>
      </c>
      <c r="Q147" s="19">
        <v>0</v>
      </c>
      <c r="R147" s="19">
        <v>0</v>
      </c>
      <c r="S147" s="19">
        <v>20</v>
      </c>
      <c r="T147" s="19">
        <v>50</v>
      </c>
      <c r="U147" s="18">
        <v>0</v>
      </c>
      <c r="V147" s="18">
        <v>0</v>
      </c>
      <c r="W147" s="18">
        <v>0</v>
      </c>
      <c r="X147" s="18">
        <v>0</v>
      </c>
      <c r="Y147" s="18">
        <v>0</v>
      </c>
      <c r="Z147" s="18">
        <v>0</v>
      </c>
      <c r="AA147" s="18">
        <v>0</v>
      </c>
      <c r="AB147" s="16">
        <v>0</v>
      </c>
      <c r="AC147" s="16">
        <v>0</v>
      </c>
      <c r="AD147" s="16">
        <v>0</v>
      </c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  <c r="BM147" s="22"/>
      <c r="BN147" s="22"/>
      <c r="BO147" s="22"/>
      <c r="BP147" s="22"/>
      <c r="BQ147" s="22"/>
      <c r="BR147" s="22"/>
      <c r="BS147" s="22"/>
      <c r="BT147" s="22"/>
      <c r="BU147" s="22"/>
      <c r="BV147" s="22"/>
      <c r="BW147" s="22"/>
      <c r="BX147" s="22"/>
      <c r="BY147" s="22"/>
      <c r="BZ147" s="22"/>
      <c r="CA147" s="22"/>
      <c r="CB147" s="22"/>
      <c r="CC147" s="22"/>
      <c r="CD147" s="22"/>
      <c r="CE147" s="22"/>
      <c r="CF147" s="22"/>
      <c r="CG147" s="22"/>
      <c r="CH147" s="22"/>
      <c r="CI147" s="22"/>
      <c r="CJ147" s="22"/>
      <c r="CK147" s="22"/>
      <c r="CL147" s="22"/>
      <c r="CM147" s="22"/>
      <c r="CN147" s="22"/>
      <c r="CO147" s="22"/>
      <c r="CP147" s="22"/>
      <c r="CQ147" s="22"/>
      <c r="CR147" s="22"/>
      <c r="CS147" s="22"/>
      <c r="CT147" s="22"/>
      <c r="CU147" s="22"/>
      <c r="CV147" s="22"/>
      <c r="CW147" s="22"/>
      <c r="CX147" s="22"/>
      <c r="CY147" s="22"/>
      <c r="CZ147" s="22"/>
      <c r="DA147" s="22"/>
      <c r="DB147" s="22"/>
      <c r="DC147" s="22"/>
      <c r="DD147" s="22"/>
      <c r="DE147" s="22"/>
      <c r="DF147" s="22"/>
      <c r="DG147" s="22"/>
      <c r="DH147" s="22"/>
      <c r="DI147" s="22"/>
      <c r="DJ147" s="22"/>
      <c r="DK147" s="22"/>
      <c r="DL147" s="22"/>
      <c r="DM147" s="22"/>
      <c r="DN147" s="22"/>
      <c r="DO147" s="22"/>
      <c r="DP147" s="22"/>
      <c r="DQ147" s="22"/>
      <c r="DR147" s="22"/>
      <c r="DS147" s="22"/>
      <c r="DT147" s="22"/>
      <c r="DU147" s="22"/>
      <c r="DV147" s="22"/>
      <c r="DW147" s="22"/>
      <c r="DX147" s="22"/>
      <c r="DY147" s="22"/>
      <c r="DZ147" s="22"/>
      <c r="EA147" s="22"/>
      <c r="EB147" s="22"/>
      <c r="EC147" s="22"/>
      <c r="ED147" s="22"/>
      <c r="EE147" s="22"/>
      <c r="EF147" s="22"/>
      <c r="EG147" s="22"/>
      <c r="EH147" s="22"/>
      <c r="EI147" s="22"/>
      <c r="EJ147" s="22"/>
      <c r="EK147" s="22"/>
      <c r="EL147" s="22"/>
      <c r="EM147" s="22"/>
      <c r="EN147" s="22"/>
      <c r="EO147" s="22"/>
      <c r="EP147" s="22"/>
      <c r="EQ147" s="22"/>
      <c r="ER147" s="22"/>
      <c r="ES147" s="22"/>
      <c r="ET147" s="22"/>
      <c r="EU147" s="22"/>
      <c r="EV147" s="22"/>
      <c r="EW147" s="22"/>
      <c r="EX147" s="22"/>
      <c r="EY147" s="22"/>
      <c r="EZ147" s="22"/>
      <c r="FA147" s="22"/>
      <c r="FB147" s="22"/>
      <c r="FC147" s="22"/>
      <c r="FD147" s="22"/>
      <c r="FE147" s="22"/>
      <c r="FF147" s="22"/>
      <c r="FG147" s="22"/>
      <c r="FH147" s="22"/>
      <c r="FI147" s="22"/>
      <c r="FJ147" s="22"/>
      <c r="FK147" s="22"/>
      <c r="FL147" s="22"/>
      <c r="FM147" s="22"/>
      <c r="FN147" s="22"/>
      <c r="FO147" s="22"/>
      <c r="FP147" s="22"/>
      <c r="FQ147" s="22"/>
      <c r="FR147" s="22"/>
      <c r="FS147" s="22"/>
      <c r="FT147" s="22"/>
      <c r="FU147" s="22"/>
      <c r="FV147" s="22"/>
      <c r="FW147" s="22"/>
      <c r="FX147" s="22"/>
      <c r="FY147" s="22"/>
      <c r="FZ147" s="22"/>
      <c r="GA147" s="22"/>
      <c r="GB147" s="22"/>
      <c r="GC147" s="22"/>
      <c r="GD147" s="22"/>
      <c r="GE147" s="22"/>
      <c r="GF147" s="22"/>
      <c r="GG147" s="22"/>
      <c r="GH147" s="22"/>
      <c r="GI147" s="22"/>
      <c r="GJ147" s="22"/>
      <c r="GK147" s="22"/>
      <c r="GL147" s="22"/>
      <c r="GM147" s="22"/>
      <c r="GN147" s="22"/>
      <c r="GO147" s="22"/>
      <c r="GP147" s="22"/>
      <c r="GQ147" s="22"/>
    </row>
    <row r="148" spans="3:199" s="2" customFormat="1" ht="20.100000000000001" customHeight="1">
      <c r="C148" s="10">
        <v>40030508</v>
      </c>
      <c r="D148" s="15" t="s">
        <v>183</v>
      </c>
      <c r="E148" s="12">
        <v>0</v>
      </c>
      <c r="F148" s="15">
        <v>0</v>
      </c>
      <c r="G148" s="12">
        <v>1</v>
      </c>
      <c r="H148" s="12">
        <v>40</v>
      </c>
      <c r="I148" s="12">
        <v>0.3</v>
      </c>
      <c r="J148" s="16">
        <v>0</v>
      </c>
      <c r="K148" s="16">
        <v>0</v>
      </c>
      <c r="L148" s="15">
        <v>0</v>
      </c>
      <c r="M148" s="15">
        <v>20</v>
      </c>
      <c r="N148" s="15">
        <v>90</v>
      </c>
      <c r="O148" s="17">
        <v>0</v>
      </c>
      <c r="P148" s="17">
        <v>0</v>
      </c>
      <c r="Q148" s="19">
        <v>0</v>
      </c>
      <c r="R148" s="19">
        <v>0</v>
      </c>
      <c r="S148" s="19">
        <v>10</v>
      </c>
      <c r="T148" s="19">
        <v>40</v>
      </c>
      <c r="U148" s="18">
        <v>0</v>
      </c>
      <c r="V148" s="18">
        <v>0</v>
      </c>
      <c r="W148" s="18">
        <v>0</v>
      </c>
      <c r="X148" s="18">
        <v>0</v>
      </c>
      <c r="Y148" s="18">
        <v>0</v>
      </c>
      <c r="Z148" s="18">
        <v>0</v>
      </c>
      <c r="AA148" s="18">
        <v>0</v>
      </c>
      <c r="AB148" s="16">
        <v>0</v>
      </c>
      <c r="AC148" s="16">
        <v>0</v>
      </c>
      <c r="AD148" s="16">
        <v>0</v>
      </c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  <c r="BM148" s="22"/>
      <c r="BN148" s="22"/>
      <c r="BO148" s="22"/>
      <c r="BP148" s="22"/>
      <c r="BQ148" s="22"/>
      <c r="BR148" s="22"/>
      <c r="BS148" s="22"/>
      <c r="BT148" s="22"/>
      <c r="BU148" s="22"/>
      <c r="BV148" s="22"/>
      <c r="BW148" s="22"/>
      <c r="BX148" s="22"/>
      <c r="BY148" s="22"/>
      <c r="BZ148" s="22"/>
      <c r="CA148" s="22"/>
      <c r="CB148" s="22"/>
      <c r="CC148" s="22"/>
      <c r="CD148" s="22"/>
      <c r="CE148" s="22"/>
      <c r="CF148" s="22"/>
      <c r="CG148" s="22"/>
      <c r="CH148" s="22"/>
      <c r="CI148" s="22"/>
      <c r="CJ148" s="22"/>
      <c r="CK148" s="22"/>
      <c r="CL148" s="22"/>
      <c r="CM148" s="22"/>
      <c r="CN148" s="22"/>
      <c r="CO148" s="22"/>
      <c r="CP148" s="22"/>
      <c r="CQ148" s="22"/>
      <c r="CR148" s="22"/>
      <c r="CS148" s="22"/>
      <c r="CT148" s="22"/>
      <c r="CU148" s="22"/>
      <c r="CV148" s="22"/>
      <c r="CW148" s="22"/>
      <c r="CX148" s="22"/>
      <c r="CY148" s="22"/>
      <c r="CZ148" s="22"/>
      <c r="DA148" s="22"/>
      <c r="DB148" s="22"/>
      <c r="DC148" s="22"/>
      <c r="DD148" s="22"/>
      <c r="DE148" s="22"/>
      <c r="DF148" s="22"/>
      <c r="DG148" s="22"/>
      <c r="DH148" s="22"/>
      <c r="DI148" s="22"/>
      <c r="DJ148" s="22"/>
      <c r="DK148" s="22"/>
      <c r="DL148" s="22"/>
      <c r="DM148" s="22"/>
      <c r="DN148" s="22"/>
      <c r="DO148" s="22"/>
      <c r="DP148" s="22"/>
      <c r="DQ148" s="22"/>
      <c r="DR148" s="22"/>
      <c r="DS148" s="22"/>
      <c r="DT148" s="22"/>
      <c r="DU148" s="22"/>
      <c r="DV148" s="22"/>
      <c r="DW148" s="22"/>
      <c r="DX148" s="22"/>
      <c r="DY148" s="22"/>
      <c r="DZ148" s="22"/>
      <c r="EA148" s="22"/>
      <c r="EB148" s="22"/>
      <c r="EC148" s="22"/>
      <c r="ED148" s="22"/>
      <c r="EE148" s="22"/>
      <c r="EF148" s="22"/>
      <c r="EG148" s="22"/>
      <c r="EH148" s="22"/>
      <c r="EI148" s="22"/>
      <c r="EJ148" s="22"/>
      <c r="EK148" s="22"/>
      <c r="EL148" s="22"/>
      <c r="EM148" s="22"/>
      <c r="EN148" s="22"/>
      <c r="EO148" s="22"/>
      <c r="EP148" s="22"/>
      <c r="EQ148" s="22"/>
      <c r="ER148" s="22"/>
      <c r="ES148" s="22"/>
      <c r="ET148" s="22"/>
      <c r="EU148" s="22"/>
      <c r="EV148" s="22"/>
      <c r="EW148" s="22"/>
      <c r="EX148" s="22"/>
      <c r="EY148" s="22"/>
      <c r="EZ148" s="22"/>
      <c r="FA148" s="22"/>
      <c r="FB148" s="22"/>
      <c r="FC148" s="22"/>
      <c r="FD148" s="22"/>
      <c r="FE148" s="22"/>
      <c r="FF148" s="22"/>
      <c r="FG148" s="22"/>
      <c r="FH148" s="22"/>
      <c r="FI148" s="22"/>
      <c r="FJ148" s="22"/>
      <c r="FK148" s="22"/>
      <c r="FL148" s="22"/>
      <c r="FM148" s="22"/>
      <c r="FN148" s="22"/>
      <c r="FO148" s="22"/>
      <c r="FP148" s="22"/>
      <c r="FQ148" s="22"/>
      <c r="FR148" s="22"/>
      <c r="FS148" s="22"/>
      <c r="FT148" s="22"/>
      <c r="FU148" s="22"/>
      <c r="FV148" s="22"/>
      <c r="FW148" s="22"/>
      <c r="FX148" s="22"/>
      <c r="FY148" s="22"/>
      <c r="FZ148" s="22"/>
      <c r="GA148" s="22"/>
      <c r="GB148" s="22"/>
      <c r="GC148" s="22"/>
      <c r="GD148" s="22"/>
      <c r="GE148" s="22"/>
      <c r="GF148" s="22"/>
      <c r="GG148" s="22"/>
      <c r="GH148" s="22"/>
      <c r="GI148" s="22"/>
      <c r="GJ148" s="22"/>
      <c r="GK148" s="22"/>
      <c r="GL148" s="22"/>
      <c r="GM148" s="22"/>
      <c r="GN148" s="22"/>
      <c r="GO148" s="22"/>
      <c r="GP148" s="22"/>
      <c r="GQ148" s="22"/>
    </row>
    <row r="149" spans="3:199" s="2" customFormat="1" ht="20.100000000000001" customHeight="1">
      <c r="C149" s="10">
        <v>40030509</v>
      </c>
      <c r="D149" s="15" t="s">
        <v>184</v>
      </c>
      <c r="E149" s="12">
        <v>0</v>
      </c>
      <c r="F149" s="15">
        <v>1404</v>
      </c>
      <c r="G149" s="12">
        <v>1</v>
      </c>
      <c r="H149" s="12">
        <v>40</v>
      </c>
      <c r="I149" s="12">
        <v>0.3</v>
      </c>
      <c r="J149" s="16">
        <v>0</v>
      </c>
      <c r="K149" s="16">
        <v>0</v>
      </c>
      <c r="L149" s="15">
        <v>0</v>
      </c>
      <c r="M149" s="15">
        <v>50</v>
      </c>
      <c r="N149" s="15">
        <v>150</v>
      </c>
      <c r="O149" s="17">
        <v>0</v>
      </c>
      <c r="P149" s="17">
        <v>0</v>
      </c>
      <c r="Q149" s="19">
        <v>20</v>
      </c>
      <c r="R149" s="19">
        <v>40</v>
      </c>
      <c r="S149" s="19">
        <v>20</v>
      </c>
      <c r="T149" s="19">
        <v>40</v>
      </c>
      <c r="U149" s="18">
        <v>0</v>
      </c>
      <c r="V149" s="18">
        <v>0</v>
      </c>
      <c r="W149" s="18">
        <v>0</v>
      </c>
      <c r="X149" s="18">
        <v>0</v>
      </c>
      <c r="Y149" s="18">
        <v>0</v>
      </c>
      <c r="Z149" s="18">
        <v>0</v>
      </c>
      <c r="AA149" s="18">
        <v>0</v>
      </c>
      <c r="AB149" s="16">
        <v>0</v>
      </c>
      <c r="AC149" s="16">
        <v>0</v>
      </c>
      <c r="AD149" s="16">
        <v>0</v>
      </c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  <c r="BM149" s="22"/>
      <c r="BN149" s="22"/>
      <c r="BO149" s="22"/>
      <c r="BP149" s="22"/>
      <c r="BQ149" s="22"/>
      <c r="BR149" s="22"/>
      <c r="BS149" s="22"/>
      <c r="BT149" s="22"/>
      <c r="BU149" s="22"/>
      <c r="BV149" s="22"/>
      <c r="BW149" s="22"/>
      <c r="BX149" s="22"/>
      <c r="BY149" s="22"/>
      <c r="BZ149" s="22"/>
      <c r="CA149" s="22"/>
      <c r="CB149" s="22"/>
      <c r="CC149" s="22"/>
      <c r="CD149" s="22"/>
      <c r="CE149" s="22"/>
      <c r="CF149" s="22"/>
      <c r="CG149" s="22"/>
      <c r="CH149" s="22"/>
      <c r="CI149" s="22"/>
      <c r="CJ149" s="22"/>
      <c r="CK149" s="22"/>
      <c r="CL149" s="22"/>
      <c r="CM149" s="22"/>
      <c r="CN149" s="22"/>
      <c r="CO149" s="22"/>
      <c r="CP149" s="22"/>
      <c r="CQ149" s="22"/>
      <c r="CR149" s="22"/>
      <c r="CS149" s="22"/>
      <c r="CT149" s="22"/>
      <c r="CU149" s="22"/>
      <c r="CV149" s="22"/>
      <c r="CW149" s="22"/>
      <c r="CX149" s="22"/>
      <c r="CY149" s="22"/>
      <c r="CZ149" s="22"/>
      <c r="DA149" s="22"/>
      <c r="DB149" s="22"/>
      <c r="DC149" s="22"/>
      <c r="DD149" s="22"/>
      <c r="DE149" s="22"/>
      <c r="DF149" s="22"/>
      <c r="DG149" s="22"/>
      <c r="DH149" s="22"/>
      <c r="DI149" s="22"/>
      <c r="DJ149" s="22"/>
      <c r="DK149" s="22"/>
      <c r="DL149" s="22"/>
      <c r="DM149" s="22"/>
      <c r="DN149" s="22"/>
      <c r="DO149" s="22"/>
      <c r="DP149" s="22"/>
      <c r="DQ149" s="22"/>
      <c r="DR149" s="22"/>
      <c r="DS149" s="22"/>
      <c r="DT149" s="22"/>
      <c r="DU149" s="22"/>
      <c r="DV149" s="22"/>
      <c r="DW149" s="22"/>
      <c r="DX149" s="22"/>
      <c r="DY149" s="22"/>
      <c r="DZ149" s="22"/>
      <c r="EA149" s="22"/>
      <c r="EB149" s="22"/>
      <c r="EC149" s="22"/>
      <c r="ED149" s="22"/>
      <c r="EE149" s="22"/>
      <c r="EF149" s="22"/>
      <c r="EG149" s="22"/>
      <c r="EH149" s="22"/>
      <c r="EI149" s="22"/>
      <c r="EJ149" s="22"/>
      <c r="EK149" s="22"/>
      <c r="EL149" s="22"/>
      <c r="EM149" s="22"/>
      <c r="EN149" s="22"/>
      <c r="EO149" s="22"/>
      <c r="EP149" s="22"/>
      <c r="EQ149" s="22"/>
      <c r="ER149" s="22"/>
      <c r="ES149" s="22"/>
      <c r="ET149" s="22"/>
      <c r="EU149" s="22"/>
      <c r="EV149" s="22"/>
      <c r="EW149" s="22"/>
      <c r="EX149" s="22"/>
      <c r="EY149" s="22"/>
      <c r="EZ149" s="22"/>
      <c r="FA149" s="22"/>
      <c r="FB149" s="22"/>
      <c r="FC149" s="22"/>
      <c r="FD149" s="22"/>
      <c r="FE149" s="22"/>
      <c r="FF149" s="22"/>
      <c r="FG149" s="22"/>
      <c r="FH149" s="22"/>
      <c r="FI149" s="22"/>
      <c r="FJ149" s="22"/>
      <c r="FK149" s="22"/>
      <c r="FL149" s="22"/>
      <c r="FM149" s="22"/>
      <c r="FN149" s="22"/>
      <c r="FO149" s="22"/>
      <c r="FP149" s="22"/>
      <c r="FQ149" s="22"/>
      <c r="FR149" s="22"/>
      <c r="FS149" s="22"/>
      <c r="FT149" s="22"/>
      <c r="FU149" s="22"/>
      <c r="FV149" s="22"/>
      <c r="FW149" s="22"/>
      <c r="FX149" s="22"/>
      <c r="FY149" s="22"/>
      <c r="FZ149" s="22"/>
      <c r="GA149" s="22"/>
      <c r="GB149" s="22"/>
      <c r="GC149" s="22"/>
      <c r="GD149" s="22"/>
      <c r="GE149" s="22"/>
      <c r="GF149" s="22"/>
      <c r="GG149" s="22"/>
      <c r="GH149" s="22"/>
      <c r="GI149" s="22"/>
      <c r="GJ149" s="22"/>
      <c r="GK149" s="22"/>
      <c r="GL149" s="22"/>
      <c r="GM149" s="22"/>
      <c r="GN149" s="22"/>
      <c r="GO149" s="22"/>
      <c r="GP149" s="22"/>
      <c r="GQ149" s="22"/>
    </row>
    <row r="150" spans="3:199" s="2" customFormat="1" ht="20.100000000000001" customHeight="1">
      <c r="C150" s="10">
        <v>40030510</v>
      </c>
      <c r="D150" s="15" t="s">
        <v>185</v>
      </c>
      <c r="E150" s="12">
        <v>0</v>
      </c>
      <c r="F150" s="15">
        <v>0</v>
      </c>
      <c r="G150" s="12">
        <v>1</v>
      </c>
      <c r="H150" s="12">
        <v>40</v>
      </c>
      <c r="I150" s="12">
        <v>0.3</v>
      </c>
      <c r="J150" s="16">
        <v>0</v>
      </c>
      <c r="K150" s="16">
        <v>0</v>
      </c>
      <c r="L150" s="15">
        <v>0</v>
      </c>
      <c r="M150" s="15">
        <v>40</v>
      </c>
      <c r="N150" s="15">
        <v>130</v>
      </c>
      <c r="O150" s="17">
        <v>0</v>
      </c>
      <c r="P150" s="17">
        <v>0</v>
      </c>
      <c r="Q150" s="19">
        <v>20</v>
      </c>
      <c r="R150" s="19">
        <v>30</v>
      </c>
      <c r="S150" s="19">
        <v>20</v>
      </c>
      <c r="T150" s="19">
        <v>30</v>
      </c>
      <c r="U150" s="18">
        <v>0</v>
      </c>
      <c r="V150" s="18">
        <v>0</v>
      </c>
      <c r="W150" s="18">
        <v>0</v>
      </c>
      <c r="X150" s="18">
        <v>0</v>
      </c>
      <c r="Y150" s="18">
        <v>0</v>
      </c>
      <c r="Z150" s="18">
        <v>0</v>
      </c>
      <c r="AA150" s="18">
        <v>0</v>
      </c>
      <c r="AB150" s="16">
        <v>0</v>
      </c>
      <c r="AC150" s="16">
        <v>0</v>
      </c>
      <c r="AD150" s="16">
        <v>0</v>
      </c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  <c r="BM150" s="22"/>
      <c r="BN150" s="22"/>
      <c r="BO150" s="22"/>
      <c r="BP150" s="22"/>
      <c r="BQ150" s="22"/>
      <c r="BR150" s="22"/>
      <c r="BS150" s="22"/>
      <c r="BT150" s="22"/>
      <c r="BU150" s="22"/>
      <c r="BV150" s="22"/>
      <c r="BW150" s="22"/>
      <c r="BX150" s="22"/>
      <c r="BY150" s="22"/>
      <c r="BZ150" s="22"/>
      <c r="CA150" s="22"/>
      <c r="CB150" s="22"/>
      <c r="CC150" s="22"/>
      <c r="CD150" s="22"/>
      <c r="CE150" s="22"/>
      <c r="CF150" s="22"/>
      <c r="CG150" s="22"/>
      <c r="CH150" s="22"/>
      <c r="CI150" s="22"/>
      <c r="CJ150" s="22"/>
      <c r="CK150" s="22"/>
      <c r="CL150" s="22"/>
      <c r="CM150" s="22"/>
      <c r="CN150" s="22"/>
      <c r="CO150" s="22"/>
      <c r="CP150" s="22"/>
      <c r="CQ150" s="22"/>
      <c r="CR150" s="22"/>
      <c r="CS150" s="22"/>
      <c r="CT150" s="22"/>
      <c r="CU150" s="22"/>
      <c r="CV150" s="22"/>
      <c r="CW150" s="22"/>
      <c r="CX150" s="22"/>
      <c r="CY150" s="22"/>
      <c r="CZ150" s="22"/>
      <c r="DA150" s="22"/>
      <c r="DB150" s="22"/>
      <c r="DC150" s="22"/>
      <c r="DD150" s="22"/>
      <c r="DE150" s="22"/>
      <c r="DF150" s="22"/>
      <c r="DG150" s="22"/>
      <c r="DH150" s="22"/>
      <c r="DI150" s="22"/>
      <c r="DJ150" s="22"/>
      <c r="DK150" s="22"/>
      <c r="DL150" s="22"/>
      <c r="DM150" s="22"/>
      <c r="DN150" s="22"/>
      <c r="DO150" s="22"/>
      <c r="DP150" s="22"/>
      <c r="DQ150" s="22"/>
      <c r="DR150" s="22"/>
      <c r="DS150" s="22"/>
      <c r="DT150" s="22"/>
      <c r="DU150" s="22"/>
      <c r="DV150" s="22"/>
      <c r="DW150" s="22"/>
      <c r="DX150" s="22"/>
      <c r="DY150" s="22"/>
      <c r="DZ150" s="22"/>
      <c r="EA150" s="22"/>
      <c r="EB150" s="22"/>
      <c r="EC150" s="22"/>
      <c r="ED150" s="22"/>
      <c r="EE150" s="22"/>
      <c r="EF150" s="22"/>
      <c r="EG150" s="22"/>
      <c r="EH150" s="22"/>
      <c r="EI150" s="22"/>
      <c r="EJ150" s="22"/>
      <c r="EK150" s="22"/>
      <c r="EL150" s="22"/>
      <c r="EM150" s="22"/>
      <c r="EN150" s="22"/>
      <c r="EO150" s="22"/>
      <c r="EP150" s="22"/>
      <c r="EQ150" s="22"/>
      <c r="ER150" s="22"/>
      <c r="ES150" s="22"/>
      <c r="ET150" s="22"/>
      <c r="EU150" s="22"/>
      <c r="EV150" s="22"/>
      <c r="EW150" s="22"/>
      <c r="EX150" s="22"/>
      <c r="EY150" s="22"/>
      <c r="EZ150" s="22"/>
      <c r="FA150" s="22"/>
      <c r="FB150" s="22"/>
      <c r="FC150" s="22"/>
      <c r="FD150" s="22"/>
      <c r="FE150" s="22"/>
      <c r="FF150" s="22"/>
      <c r="FG150" s="22"/>
      <c r="FH150" s="22"/>
      <c r="FI150" s="22"/>
      <c r="FJ150" s="22"/>
      <c r="FK150" s="22"/>
      <c r="FL150" s="22"/>
      <c r="FM150" s="22"/>
      <c r="FN150" s="22"/>
      <c r="FO150" s="22"/>
      <c r="FP150" s="22"/>
      <c r="FQ150" s="22"/>
      <c r="FR150" s="22"/>
      <c r="FS150" s="22"/>
      <c r="FT150" s="22"/>
      <c r="FU150" s="22"/>
      <c r="FV150" s="22"/>
      <c r="FW150" s="22"/>
      <c r="FX150" s="22"/>
      <c r="FY150" s="22"/>
      <c r="FZ150" s="22"/>
      <c r="GA150" s="22"/>
      <c r="GB150" s="22"/>
      <c r="GC150" s="22"/>
      <c r="GD150" s="22"/>
      <c r="GE150" s="22"/>
      <c r="GF150" s="22"/>
      <c r="GG150" s="22"/>
      <c r="GH150" s="22"/>
      <c r="GI150" s="22"/>
      <c r="GJ150" s="22"/>
      <c r="GK150" s="22"/>
      <c r="GL150" s="22"/>
      <c r="GM150" s="22"/>
      <c r="GN150" s="22"/>
      <c r="GO150" s="22"/>
      <c r="GP150" s="22"/>
      <c r="GQ150" s="22"/>
    </row>
    <row r="151" spans="3:199" s="2" customFormat="1" ht="20.100000000000001" customHeight="1">
      <c r="C151" s="10">
        <v>40030511</v>
      </c>
      <c r="D151" s="15" t="s">
        <v>186</v>
      </c>
      <c r="E151" s="12">
        <v>0</v>
      </c>
      <c r="F151" s="15">
        <v>1404</v>
      </c>
      <c r="G151" s="12">
        <v>1</v>
      </c>
      <c r="H151" s="12">
        <v>40</v>
      </c>
      <c r="I151" s="12">
        <v>0.3</v>
      </c>
      <c r="J151" s="16">
        <v>0</v>
      </c>
      <c r="K151" s="16">
        <v>0</v>
      </c>
      <c r="L151" s="15">
        <v>0</v>
      </c>
      <c r="M151" s="15">
        <v>50</v>
      </c>
      <c r="N151" s="15">
        <v>300</v>
      </c>
      <c r="O151" s="17">
        <v>0</v>
      </c>
      <c r="P151" s="17">
        <v>0</v>
      </c>
      <c r="Q151" s="19">
        <v>20</v>
      </c>
      <c r="R151" s="19">
        <v>40</v>
      </c>
      <c r="S151" s="19">
        <v>0</v>
      </c>
      <c r="T151" s="19">
        <v>0</v>
      </c>
      <c r="U151" s="18">
        <v>0</v>
      </c>
      <c r="V151" s="18">
        <v>0</v>
      </c>
      <c r="W151" s="18">
        <v>0</v>
      </c>
      <c r="X151" s="18">
        <v>0</v>
      </c>
      <c r="Y151" s="18">
        <v>0</v>
      </c>
      <c r="Z151" s="18">
        <v>0</v>
      </c>
      <c r="AA151" s="18">
        <v>0</v>
      </c>
      <c r="AB151" s="16">
        <v>0</v>
      </c>
      <c r="AC151" s="16">
        <v>0</v>
      </c>
      <c r="AD151" s="16">
        <v>0</v>
      </c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  <c r="BM151" s="22"/>
      <c r="BN151" s="22"/>
      <c r="BO151" s="22"/>
      <c r="BP151" s="22"/>
      <c r="BQ151" s="22"/>
      <c r="BR151" s="22"/>
      <c r="BS151" s="22"/>
      <c r="BT151" s="22"/>
      <c r="BU151" s="22"/>
      <c r="BV151" s="22"/>
      <c r="BW151" s="22"/>
      <c r="BX151" s="22"/>
      <c r="BY151" s="22"/>
      <c r="BZ151" s="22"/>
      <c r="CA151" s="22"/>
      <c r="CB151" s="22"/>
      <c r="CC151" s="22"/>
      <c r="CD151" s="22"/>
      <c r="CE151" s="22"/>
      <c r="CF151" s="22"/>
      <c r="CG151" s="22"/>
      <c r="CH151" s="22"/>
      <c r="CI151" s="22"/>
      <c r="CJ151" s="22"/>
      <c r="CK151" s="22"/>
      <c r="CL151" s="22"/>
      <c r="CM151" s="22"/>
      <c r="CN151" s="22"/>
      <c r="CO151" s="22"/>
      <c r="CP151" s="22"/>
      <c r="CQ151" s="22"/>
      <c r="CR151" s="22"/>
      <c r="CS151" s="22"/>
      <c r="CT151" s="22"/>
      <c r="CU151" s="22"/>
      <c r="CV151" s="22"/>
      <c r="CW151" s="22"/>
      <c r="CX151" s="22"/>
      <c r="CY151" s="22"/>
      <c r="CZ151" s="22"/>
      <c r="DA151" s="22"/>
      <c r="DB151" s="22"/>
      <c r="DC151" s="22"/>
      <c r="DD151" s="22"/>
      <c r="DE151" s="22"/>
      <c r="DF151" s="22"/>
      <c r="DG151" s="22"/>
      <c r="DH151" s="22"/>
      <c r="DI151" s="22"/>
      <c r="DJ151" s="22"/>
      <c r="DK151" s="22"/>
      <c r="DL151" s="22"/>
      <c r="DM151" s="22"/>
      <c r="DN151" s="22"/>
      <c r="DO151" s="22"/>
      <c r="DP151" s="22"/>
      <c r="DQ151" s="22"/>
      <c r="DR151" s="22"/>
      <c r="DS151" s="22"/>
      <c r="DT151" s="22"/>
      <c r="DU151" s="22"/>
      <c r="DV151" s="22"/>
      <c r="DW151" s="22"/>
      <c r="DX151" s="22"/>
      <c r="DY151" s="22"/>
      <c r="DZ151" s="22"/>
      <c r="EA151" s="22"/>
      <c r="EB151" s="22"/>
      <c r="EC151" s="22"/>
      <c r="ED151" s="22"/>
      <c r="EE151" s="22"/>
      <c r="EF151" s="22"/>
      <c r="EG151" s="22"/>
      <c r="EH151" s="22"/>
      <c r="EI151" s="22"/>
      <c r="EJ151" s="22"/>
      <c r="EK151" s="22"/>
      <c r="EL151" s="22"/>
      <c r="EM151" s="22"/>
      <c r="EN151" s="22"/>
      <c r="EO151" s="22"/>
      <c r="EP151" s="22"/>
      <c r="EQ151" s="22"/>
      <c r="ER151" s="22"/>
      <c r="ES151" s="22"/>
      <c r="ET151" s="22"/>
      <c r="EU151" s="22"/>
      <c r="EV151" s="22"/>
      <c r="EW151" s="22"/>
      <c r="EX151" s="22"/>
      <c r="EY151" s="22"/>
      <c r="EZ151" s="22"/>
      <c r="FA151" s="22"/>
      <c r="FB151" s="22"/>
      <c r="FC151" s="22"/>
      <c r="FD151" s="22"/>
      <c r="FE151" s="22"/>
      <c r="FF151" s="22"/>
      <c r="FG151" s="22"/>
      <c r="FH151" s="22"/>
      <c r="FI151" s="22"/>
      <c r="FJ151" s="22"/>
      <c r="FK151" s="22"/>
      <c r="FL151" s="22"/>
      <c r="FM151" s="22"/>
      <c r="FN151" s="22"/>
      <c r="FO151" s="22"/>
      <c r="FP151" s="22"/>
      <c r="FQ151" s="22"/>
      <c r="FR151" s="22"/>
      <c r="FS151" s="22"/>
      <c r="FT151" s="22"/>
      <c r="FU151" s="22"/>
      <c r="FV151" s="22"/>
      <c r="FW151" s="22"/>
      <c r="FX151" s="22"/>
      <c r="FY151" s="22"/>
      <c r="FZ151" s="22"/>
      <c r="GA151" s="22"/>
      <c r="GB151" s="22"/>
      <c r="GC151" s="22"/>
      <c r="GD151" s="22"/>
      <c r="GE151" s="22"/>
      <c r="GF151" s="22"/>
      <c r="GG151" s="22"/>
      <c r="GH151" s="22"/>
      <c r="GI151" s="22"/>
      <c r="GJ151" s="22"/>
      <c r="GK151" s="22"/>
      <c r="GL151" s="22"/>
      <c r="GM151" s="22"/>
      <c r="GN151" s="22"/>
      <c r="GO151" s="22"/>
      <c r="GP151" s="22"/>
      <c r="GQ151" s="22"/>
    </row>
    <row r="152" spans="3:199" s="2" customFormat="1" ht="20.100000000000001" customHeight="1">
      <c r="C152" s="10">
        <v>40030512</v>
      </c>
      <c r="D152" s="15" t="s">
        <v>187</v>
      </c>
      <c r="E152" s="12">
        <v>0</v>
      </c>
      <c r="F152" s="15">
        <v>0</v>
      </c>
      <c r="G152" s="12">
        <v>1</v>
      </c>
      <c r="H152" s="12">
        <v>40</v>
      </c>
      <c r="I152" s="12">
        <v>0.3</v>
      </c>
      <c r="J152" s="16">
        <v>0</v>
      </c>
      <c r="K152" s="16">
        <v>0</v>
      </c>
      <c r="L152" s="15">
        <v>0</v>
      </c>
      <c r="M152" s="15">
        <v>30</v>
      </c>
      <c r="N152" s="15">
        <v>210</v>
      </c>
      <c r="O152" s="17">
        <v>0</v>
      </c>
      <c r="P152" s="17">
        <v>0</v>
      </c>
      <c r="Q152" s="19">
        <v>10</v>
      </c>
      <c r="R152" s="19">
        <v>30</v>
      </c>
      <c r="S152" s="19">
        <v>0</v>
      </c>
      <c r="T152" s="19">
        <v>0</v>
      </c>
      <c r="U152" s="18">
        <v>0</v>
      </c>
      <c r="V152" s="18">
        <v>0</v>
      </c>
      <c r="W152" s="18">
        <v>0</v>
      </c>
      <c r="X152" s="18">
        <v>0</v>
      </c>
      <c r="Y152" s="18">
        <v>0</v>
      </c>
      <c r="Z152" s="18">
        <v>0</v>
      </c>
      <c r="AA152" s="18">
        <v>0</v>
      </c>
      <c r="AB152" s="16">
        <v>0</v>
      </c>
      <c r="AC152" s="16">
        <v>0</v>
      </c>
      <c r="AD152" s="16">
        <v>0</v>
      </c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  <c r="BM152" s="22"/>
      <c r="BN152" s="22"/>
      <c r="BO152" s="22"/>
      <c r="BP152" s="22"/>
      <c r="BQ152" s="22"/>
      <c r="BR152" s="22"/>
      <c r="BS152" s="22"/>
      <c r="BT152" s="22"/>
      <c r="BU152" s="22"/>
      <c r="BV152" s="22"/>
      <c r="BW152" s="22"/>
      <c r="BX152" s="22"/>
      <c r="BY152" s="22"/>
      <c r="BZ152" s="22"/>
      <c r="CA152" s="22"/>
      <c r="CB152" s="22"/>
      <c r="CC152" s="22"/>
      <c r="CD152" s="22"/>
      <c r="CE152" s="22"/>
      <c r="CF152" s="22"/>
      <c r="CG152" s="22"/>
      <c r="CH152" s="22"/>
      <c r="CI152" s="22"/>
      <c r="CJ152" s="22"/>
      <c r="CK152" s="22"/>
      <c r="CL152" s="22"/>
      <c r="CM152" s="22"/>
      <c r="CN152" s="22"/>
      <c r="CO152" s="22"/>
      <c r="CP152" s="22"/>
      <c r="CQ152" s="22"/>
      <c r="CR152" s="22"/>
      <c r="CS152" s="22"/>
      <c r="CT152" s="22"/>
      <c r="CU152" s="22"/>
      <c r="CV152" s="22"/>
      <c r="CW152" s="22"/>
      <c r="CX152" s="22"/>
      <c r="CY152" s="22"/>
      <c r="CZ152" s="22"/>
      <c r="DA152" s="22"/>
      <c r="DB152" s="22"/>
      <c r="DC152" s="22"/>
      <c r="DD152" s="22"/>
      <c r="DE152" s="22"/>
      <c r="DF152" s="22"/>
      <c r="DG152" s="22"/>
      <c r="DH152" s="22"/>
      <c r="DI152" s="22"/>
      <c r="DJ152" s="22"/>
      <c r="DK152" s="22"/>
      <c r="DL152" s="22"/>
      <c r="DM152" s="22"/>
      <c r="DN152" s="22"/>
      <c r="DO152" s="22"/>
      <c r="DP152" s="22"/>
      <c r="DQ152" s="22"/>
      <c r="DR152" s="22"/>
      <c r="DS152" s="22"/>
      <c r="DT152" s="22"/>
      <c r="DU152" s="22"/>
      <c r="DV152" s="22"/>
      <c r="DW152" s="22"/>
      <c r="DX152" s="22"/>
      <c r="DY152" s="22"/>
      <c r="DZ152" s="22"/>
      <c r="EA152" s="22"/>
      <c r="EB152" s="22"/>
      <c r="EC152" s="22"/>
      <c r="ED152" s="22"/>
      <c r="EE152" s="22"/>
      <c r="EF152" s="22"/>
      <c r="EG152" s="22"/>
      <c r="EH152" s="22"/>
      <c r="EI152" s="22"/>
      <c r="EJ152" s="22"/>
      <c r="EK152" s="22"/>
      <c r="EL152" s="22"/>
      <c r="EM152" s="22"/>
      <c r="EN152" s="22"/>
      <c r="EO152" s="22"/>
      <c r="EP152" s="22"/>
      <c r="EQ152" s="22"/>
      <c r="ER152" s="22"/>
      <c r="ES152" s="22"/>
      <c r="ET152" s="22"/>
      <c r="EU152" s="22"/>
      <c r="EV152" s="22"/>
      <c r="EW152" s="22"/>
      <c r="EX152" s="22"/>
      <c r="EY152" s="22"/>
      <c r="EZ152" s="22"/>
      <c r="FA152" s="22"/>
      <c r="FB152" s="22"/>
      <c r="FC152" s="22"/>
      <c r="FD152" s="22"/>
      <c r="FE152" s="22"/>
      <c r="FF152" s="22"/>
      <c r="FG152" s="22"/>
      <c r="FH152" s="22"/>
      <c r="FI152" s="22"/>
      <c r="FJ152" s="22"/>
      <c r="FK152" s="22"/>
      <c r="FL152" s="22"/>
      <c r="FM152" s="22"/>
      <c r="FN152" s="22"/>
      <c r="FO152" s="22"/>
      <c r="FP152" s="22"/>
      <c r="FQ152" s="22"/>
      <c r="FR152" s="22"/>
      <c r="FS152" s="22"/>
      <c r="FT152" s="22"/>
      <c r="FU152" s="22"/>
      <c r="FV152" s="22"/>
      <c r="FW152" s="22"/>
      <c r="FX152" s="22"/>
      <c r="FY152" s="22"/>
      <c r="FZ152" s="22"/>
      <c r="GA152" s="22"/>
      <c r="GB152" s="22"/>
      <c r="GC152" s="22"/>
      <c r="GD152" s="22"/>
      <c r="GE152" s="22"/>
      <c r="GF152" s="22"/>
      <c r="GG152" s="22"/>
      <c r="GH152" s="22"/>
      <c r="GI152" s="22"/>
      <c r="GJ152" s="22"/>
      <c r="GK152" s="22"/>
      <c r="GL152" s="22"/>
      <c r="GM152" s="22"/>
      <c r="GN152" s="22"/>
      <c r="GO152" s="22"/>
      <c r="GP152" s="22"/>
      <c r="GQ152" s="22"/>
    </row>
    <row r="153" spans="3:199" s="2" customFormat="1" ht="20.100000000000001" customHeight="1">
      <c r="C153" s="10">
        <v>40030513</v>
      </c>
      <c r="D153" s="15" t="s">
        <v>188</v>
      </c>
      <c r="E153" s="12">
        <v>0</v>
      </c>
      <c r="F153" s="15">
        <v>1406</v>
      </c>
      <c r="G153" s="12">
        <v>1</v>
      </c>
      <c r="H153" s="12">
        <v>40</v>
      </c>
      <c r="I153" s="12">
        <v>0.3</v>
      </c>
      <c r="J153" s="16">
        <v>0</v>
      </c>
      <c r="K153" s="16">
        <v>0</v>
      </c>
      <c r="L153" s="15">
        <v>0</v>
      </c>
      <c r="M153" s="15">
        <v>60</v>
      </c>
      <c r="N153" s="15">
        <v>240</v>
      </c>
      <c r="O153" s="17">
        <v>0</v>
      </c>
      <c r="P153" s="17">
        <v>0</v>
      </c>
      <c r="Q153" s="19">
        <v>0</v>
      </c>
      <c r="R153" s="19">
        <v>0</v>
      </c>
      <c r="S153" s="19">
        <v>20</v>
      </c>
      <c r="T153" s="19">
        <v>40</v>
      </c>
      <c r="U153" s="18">
        <v>0</v>
      </c>
      <c r="V153" s="18">
        <v>0</v>
      </c>
      <c r="W153" s="18">
        <v>0</v>
      </c>
      <c r="X153" s="18">
        <v>0</v>
      </c>
      <c r="Y153" s="18">
        <v>0</v>
      </c>
      <c r="Z153" s="18">
        <v>0</v>
      </c>
      <c r="AA153" s="18">
        <v>0</v>
      </c>
      <c r="AB153" s="16">
        <v>0</v>
      </c>
      <c r="AC153" s="16">
        <v>0</v>
      </c>
      <c r="AD153" s="16">
        <v>0</v>
      </c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  <c r="BM153" s="22"/>
      <c r="BN153" s="22"/>
      <c r="BO153" s="22"/>
      <c r="BP153" s="22"/>
      <c r="BQ153" s="22"/>
      <c r="BR153" s="22"/>
      <c r="BS153" s="22"/>
      <c r="BT153" s="22"/>
      <c r="BU153" s="22"/>
      <c r="BV153" s="22"/>
      <c r="BW153" s="22"/>
      <c r="BX153" s="22"/>
      <c r="BY153" s="22"/>
      <c r="BZ153" s="22"/>
      <c r="CA153" s="22"/>
      <c r="CB153" s="22"/>
      <c r="CC153" s="22"/>
      <c r="CD153" s="22"/>
      <c r="CE153" s="22"/>
      <c r="CF153" s="22"/>
      <c r="CG153" s="22"/>
      <c r="CH153" s="22"/>
      <c r="CI153" s="22"/>
      <c r="CJ153" s="22"/>
      <c r="CK153" s="22"/>
      <c r="CL153" s="22"/>
      <c r="CM153" s="22"/>
      <c r="CN153" s="22"/>
      <c r="CO153" s="22"/>
      <c r="CP153" s="22"/>
      <c r="CQ153" s="22"/>
      <c r="CR153" s="22"/>
      <c r="CS153" s="22"/>
      <c r="CT153" s="22"/>
      <c r="CU153" s="22"/>
      <c r="CV153" s="22"/>
      <c r="CW153" s="22"/>
      <c r="CX153" s="22"/>
      <c r="CY153" s="22"/>
      <c r="CZ153" s="22"/>
      <c r="DA153" s="22"/>
      <c r="DB153" s="22"/>
      <c r="DC153" s="22"/>
      <c r="DD153" s="22"/>
      <c r="DE153" s="22"/>
      <c r="DF153" s="22"/>
      <c r="DG153" s="22"/>
      <c r="DH153" s="22"/>
      <c r="DI153" s="22"/>
      <c r="DJ153" s="22"/>
      <c r="DK153" s="22"/>
      <c r="DL153" s="22"/>
      <c r="DM153" s="22"/>
      <c r="DN153" s="22"/>
      <c r="DO153" s="22"/>
      <c r="DP153" s="22"/>
      <c r="DQ153" s="22"/>
      <c r="DR153" s="22"/>
      <c r="DS153" s="22"/>
      <c r="DT153" s="22"/>
      <c r="DU153" s="22"/>
      <c r="DV153" s="22"/>
      <c r="DW153" s="22"/>
      <c r="DX153" s="22"/>
      <c r="DY153" s="22"/>
      <c r="DZ153" s="22"/>
      <c r="EA153" s="22"/>
      <c r="EB153" s="22"/>
      <c r="EC153" s="22"/>
      <c r="ED153" s="22"/>
      <c r="EE153" s="22"/>
      <c r="EF153" s="22"/>
      <c r="EG153" s="22"/>
      <c r="EH153" s="22"/>
      <c r="EI153" s="22"/>
      <c r="EJ153" s="22"/>
      <c r="EK153" s="22"/>
      <c r="EL153" s="22"/>
      <c r="EM153" s="22"/>
      <c r="EN153" s="22"/>
      <c r="EO153" s="22"/>
      <c r="EP153" s="22"/>
      <c r="EQ153" s="22"/>
      <c r="ER153" s="22"/>
      <c r="ES153" s="22"/>
      <c r="ET153" s="22"/>
      <c r="EU153" s="22"/>
      <c r="EV153" s="22"/>
      <c r="EW153" s="22"/>
      <c r="EX153" s="22"/>
      <c r="EY153" s="22"/>
      <c r="EZ153" s="22"/>
      <c r="FA153" s="22"/>
      <c r="FB153" s="22"/>
      <c r="FC153" s="22"/>
      <c r="FD153" s="22"/>
      <c r="FE153" s="22"/>
      <c r="FF153" s="22"/>
      <c r="FG153" s="22"/>
      <c r="FH153" s="22"/>
      <c r="FI153" s="22"/>
      <c r="FJ153" s="22"/>
      <c r="FK153" s="22"/>
      <c r="FL153" s="22"/>
      <c r="FM153" s="22"/>
      <c r="FN153" s="22"/>
      <c r="FO153" s="22"/>
      <c r="FP153" s="22"/>
      <c r="FQ153" s="22"/>
      <c r="FR153" s="22"/>
      <c r="FS153" s="22"/>
      <c r="FT153" s="22"/>
      <c r="FU153" s="22"/>
      <c r="FV153" s="22"/>
      <c r="FW153" s="22"/>
      <c r="FX153" s="22"/>
      <c r="FY153" s="22"/>
      <c r="FZ153" s="22"/>
      <c r="GA153" s="22"/>
      <c r="GB153" s="22"/>
      <c r="GC153" s="22"/>
      <c r="GD153" s="22"/>
      <c r="GE153" s="22"/>
      <c r="GF153" s="22"/>
      <c r="GG153" s="22"/>
      <c r="GH153" s="22"/>
      <c r="GI153" s="22"/>
      <c r="GJ153" s="22"/>
      <c r="GK153" s="22"/>
      <c r="GL153" s="22"/>
      <c r="GM153" s="22"/>
      <c r="GN153" s="22"/>
      <c r="GO153" s="22"/>
      <c r="GP153" s="22"/>
      <c r="GQ153" s="22"/>
    </row>
    <row r="154" spans="3:199" s="2" customFormat="1" ht="20.100000000000001" customHeight="1">
      <c r="C154" s="10">
        <v>40030514</v>
      </c>
      <c r="D154" s="15" t="s">
        <v>189</v>
      </c>
      <c r="E154" s="12">
        <v>0</v>
      </c>
      <c r="F154" s="15">
        <v>0</v>
      </c>
      <c r="G154" s="12">
        <v>1</v>
      </c>
      <c r="H154" s="12">
        <v>40</v>
      </c>
      <c r="I154" s="12">
        <v>0.3</v>
      </c>
      <c r="J154" s="16">
        <v>0</v>
      </c>
      <c r="K154" s="16">
        <v>0</v>
      </c>
      <c r="L154" s="15">
        <v>0</v>
      </c>
      <c r="M154" s="15">
        <v>50</v>
      </c>
      <c r="N154" s="15">
        <v>200</v>
      </c>
      <c r="O154" s="17">
        <v>0</v>
      </c>
      <c r="P154" s="17">
        <v>0</v>
      </c>
      <c r="Q154" s="19">
        <v>0</v>
      </c>
      <c r="R154" s="19">
        <v>0</v>
      </c>
      <c r="S154" s="19">
        <v>10</v>
      </c>
      <c r="T154" s="19">
        <v>30</v>
      </c>
      <c r="U154" s="18">
        <v>0</v>
      </c>
      <c r="V154" s="18">
        <v>0</v>
      </c>
      <c r="W154" s="18">
        <v>0</v>
      </c>
      <c r="X154" s="18">
        <v>0</v>
      </c>
      <c r="Y154" s="18">
        <v>0</v>
      </c>
      <c r="Z154" s="18">
        <v>0</v>
      </c>
      <c r="AA154" s="18">
        <v>0</v>
      </c>
      <c r="AB154" s="16">
        <v>0</v>
      </c>
      <c r="AC154" s="16">
        <v>0</v>
      </c>
      <c r="AD154" s="16">
        <v>0</v>
      </c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  <c r="BM154" s="22"/>
      <c r="BN154" s="22"/>
      <c r="BO154" s="22"/>
      <c r="BP154" s="22"/>
      <c r="BQ154" s="22"/>
      <c r="BR154" s="22"/>
      <c r="BS154" s="22"/>
      <c r="BT154" s="22"/>
      <c r="BU154" s="22"/>
      <c r="BV154" s="22"/>
      <c r="BW154" s="22"/>
      <c r="BX154" s="22"/>
      <c r="BY154" s="22"/>
      <c r="BZ154" s="22"/>
      <c r="CA154" s="22"/>
      <c r="CB154" s="22"/>
      <c r="CC154" s="22"/>
      <c r="CD154" s="22"/>
      <c r="CE154" s="22"/>
      <c r="CF154" s="22"/>
      <c r="CG154" s="22"/>
      <c r="CH154" s="22"/>
      <c r="CI154" s="22"/>
      <c r="CJ154" s="22"/>
      <c r="CK154" s="22"/>
      <c r="CL154" s="22"/>
      <c r="CM154" s="22"/>
      <c r="CN154" s="22"/>
      <c r="CO154" s="22"/>
      <c r="CP154" s="22"/>
      <c r="CQ154" s="22"/>
      <c r="CR154" s="22"/>
      <c r="CS154" s="22"/>
      <c r="CT154" s="22"/>
      <c r="CU154" s="22"/>
      <c r="CV154" s="22"/>
      <c r="CW154" s="22"/>
      <c r="CX154" s="22"/>
      <c r="CY154" s="22"/>
      <c r="CZ154" s="22"/>
      <c r="DA154" s="22"/>
      <c r="DB154" s="22"/>
      <c r="DC154" s="22"/>
      <c r="DD154" s="22"/>
      <c r="DE154" s="22"/>
      <c r="DF154" s="22"/>
      <c r="DG154" s="22"/>
      <c r="DH154" s="22"/>
      <c r="DI154" s="22"/>
      <c r="DJ154" s="22"/>
      <c r="DK154" s="22"/>
      <c r="DL154" s="22"/>
      <c r="DM154" s="22"/>
      <c r="DN154" s="22"/>
      <c r="DO154" s="22"/>
      <c r="DP154" s="22"/>
      <c r="DQ154" s="22"/>
      <c r="DR154" s="22"/>
      <c r="DS154" s="22"/>
      <c r="DT154" s="22"/>
      <c r="DU154" s="22"/>
      <c r="DV154" s="22"/>
      <c r="DW154" s="22"/>
      <c r="DX154" s="22"/>
      <c r="DY154" s="22"/>
      <c r="DZ154" s="22"/>
      <c r="EA154" s="22"/>
      <c r="EB154" s="22"/>
      <c r="EC154" s="22"/>
      <c r="ED154" s="22"/>
      <c r="EE154" s="22"/>
      <c r="EF154" s="22"/>
      <c r="EG154" s="22"/>
      <c r="EH154" s="22"/>
      <c r="EI154" s="22"/>
      <c r="EJ154" s="22"/>
      <c r="EK154" s="22"/>
      <c r="EL154" s="22"/>
      <c r="EM154" s="22"/>
      <c r="EN154" s="22"/>
      <c r="EO154" s="22"/>
      <c r="EP154" s="22"/>
      <c r="EQ154" s="22"/>
      <c r="ER154" s="22"/>
      <c r="ES154" s="22"/>
      <c r="ET154" s="22"/>
      <c r="EU154" s="22"/>
      <c r="EV154" s="22"/>
      <c r="EW154" s="22"/>
      <c r="EX154" s="22"/>
      <c r="EY154" s="22"/>
      <c r="EZ154" s="22"/>
      <c r="FA154" s="22"/>
      <c r="FB154" s="22"/>
      <c r="FC154" s="22"/>
      <c r="FD154" s="22"/>
      <c r="FE154" s="22"/>
      <c r="FF154" s="22"/>
      <c r="FG154" s="22"/>
      <c r="FH154" s="22"/>
      <c r="FI154" s="22"/>
      <c r="FJ154" s="22"/>
      <c r="FK154" s="22"/>
      <c r="FL154" s="22"/>
      <c r="FM154" s="22"/>
      <c r="FN154" s="22"/>
      <c r="FO154" s="22"/>
      <c r="FP154" s="22"/>
      <c r="FQ154" s="22"/>
      <c r="FR154" s="22"/>
      <c r="FS154" s="22"/>
      <c r="FT154" s="22"/>
      <c r="FU154" s="22"/>
      <c r="FV154" s="22"/>
      <c r="FW154" s="22"/>
      <c r="FX154" s="22"/>
      <c r="FY154" s="22"/>
      <c r="FZ154" s="22"/>
      <c r="GA154" s="22"/>
      <c r="GB154" s="22"/>
      <c r="GC154" s="22"/>
      <c r="GD154" s="22"/>
      <c r="GE154" s="22"/>
      <c r="GF154" s="22"/>
      <c r="GG154" s="22"/>
      <c r="GH154" s="22"/>
      <c r="GI154" s="22"/>
      <c r="GJ154" s="22"/>
      <c r="GK154" s="22"/>
      <c r="GL154" s="22"/>
      <c r="GM154" s="22"/>
      <c r="GN154" s="22"/>
      <c r="GO154" s="22"/>
      <c r="GP154" s="22"/>
      <c r="GQ154" s="22"/>
    </row>
    <row r="155" spans="3:199" s="2" customFormat="1" ht="20.100000000000001" customHeight="1">
      <c r="C155" s="10">
        <v>40030515</v>
      </c>
      <c r="D155" s="15" t="s">
        <v>190</v>
      </c>
      <c r="E155" s="12">
        <v>0</v>
      </c>
      <c r="F155" s="15">
        <v>1406</v>
      </c>
      <c r="G155" s="12">
        <v>1</v>
      </c>
      <c r="H155" s="12">
        <v>40</v>
      </c>
      <c r="I155" s="12">
        <v>0.3</v>
      </c>
      <c r="J155" s="16">
        <v>0</v>
      </c>
      <c r="K155" s="16">
        <v>0</v>
      </c>
      <c r="L155" s="15">
        <v>0</v>
      </c>
      <c r="M155" s="15">
        <v>0</v>
      </c>
      <c r="N155" s="15">
        <v>30</v>
      </c>
      <c r="O155" s="17">
        <v>0</v>
      </c>
      <c r="P155" s="17">
        <v>0</v>
      </c>
      <c r="Q155" s="19">
        <v>0</v>
      </c>
      <c r="R155" s="19">
        <v>30</v>
      </c>
      <c r="S155" s="19">
        <v>0</v>
      </c>
      <c r="T155" s="19">
        <v>30</v>
      </c>
      <c r="U155" s="18">
        <v>0</v>
      </c>
      <c r="V155" s="18">
        <v>0</v>
      </c>
      <c r="W155" s="18">
        <v>0</v>
      </c>
      <c r="X155" s="18">
        <v>0</v>
      </c>
      <c r="Y155" s="18">
        <v>0</v>
      </c>
      <c r="Z155" s="18">
        <v>0</v>
      </c>
      <c r="AA155" s="18">
        <v>0</v>
      </c>
      <c r="AB155" s="16">
        <v>0</v>
      </c>
      <c r="AC155" s="16">
        <v>0</v>
      </c>
      <c r="AD155" s="16">
        <v>0</v>
      </c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  <c r="BM155" s="22"/>
      <c r="BN155" s="22"/>
      <c r="BO155" s="22"/>
      <c r="BP155" s="22"/>
      <c r="BQ155" s="22"/>
      <c r="BR155" s="22"/>
      <c r="BS155" s="22"/>
      <c r="BT155" s="22"/>
      <c r="BU155" s="22"/>
      <c r="BV155" s="22"/>
      <c r="BW155" s="22"/>
      <c r="BX155" s="22"/>
      <c r="BY155" s="22"/>
      <c r="BZ155" s="22"/>
      <c r="CA155" s="22"/>
      <c r="CB155" s="22"/>
      <c r="CC155" s="22"/>
      <c r="CD155" s="22"/>
      <c r="CE155" s="22"/>
      <c r="CF155" s="22"/>
      <c r="CG155" s="22"/>
      <c r="CH155" s="22"/>
      <c r="CI155" s="22"/>
      <c r="CJ155" s="22"/>
      <c r="CK155" s="22"/>
      <c r="CL155" s="22"/>
      <c r="CM155" s="22"/>
      <c r="CN155" s="22"/>
      <c r="CO155" s="22"/>
      <c r="CP155" s="22"/>
      <c r="CQ155" s="22"/>
      <c r="CR155" s="22"/>
      <c r="CS155" s="22"/>
      <c r="CT155" s="22"/>
      <c r="CU155" s="22"/>
      <c r="CV155" s="22"/>
      <c r="CW155" s="22"/>
      <c r="CX155" s="22"/>
      <c r="CY155" s="22"/>
      <c r="CZ155" s="22"/>
      <c r="DA155" s="22"/>
      <c r="DB155" s="22"/>
      <c r="DC155" s="22"/>
      <c r="DD155" s="22"/>
      <c r="DE155" s="22"/>
      <c r="DF155" s="22"/>
      <c r="DG155" s="22"/>
      <c r="DH155" s="22"/>
      <c r="DI155" s="22"/>
      <c r="DJ155" s="22"/>
      <c r="DK155" s="22"/>
      <c r="DL155" s="22"/>
      <c r="DM155" s="22"/>
      <c r="DN155" s="22"/>
      <c r="DO155" s="22"/>
      <c r="DP155" s="22"/>
      <c r="DQ155" s="22"/>
      <c r="DR155" s="22"/>
      <c r="DS155" s="22"/>
      <c r="DT155" s="22"/>
      <c r="DU155" s="22"/>
      <c r="DV155" s="22"/>
      <c r="DW155" s="22"/>
      <c r="DX155" s="22"/>
      <c r="DY155" s="22"/>
      <c r="DZ155" s="22"/>
      <c r="EA155" s="22"/>
      <c r="EB155" s="22"/>
      <c r="EC155" s="22"/>
      <c r="ED155" s="22"/>
      <c r="EE155" s="22"/>
      <c r="EF155" s="22"/>
      <c r="EG155" s="22"/>
      <c r="EH155" s="22"/>
      <c r="EI155" s="22"/>
      <c r="EJ155" s="22"/>
      <c r="EK155" s="22"/>
      <c r="EL155" s="22"/>
      <c r="EM155" s="22"/>
      <c r="EN155" s="22"/>
      <c r="EO155" s="22"/>
      <c r="EP155" s="22"/>
      <c r="EQ155" s="22"/>
      <c r="ER155" s="22"/>
      <c r="ES155" s="22"/>
      <c r="ET155" s="22"/>
      <c r="EU155" s="22"/>
      <c r="EV155" s="22"/>
      <c r="EW155" s="22"/>
      <c r="EX155" s="22"/>
      <c r="EY155" s="22"/>
      <c r="EZ155" s="22"/>
      <c r="FA155" s="22"/>
      <c r="FB155" s="22"/>
      <c r="FC155" s="22"/>
      <c r="FD155" s="22"/>
      <c r="FE155" s="22"/>
      <c r="FF155" s="22"/>
      <c r="FG155" s="22"/>
      <c r="FH155" s="22"/>
      <c r="FI155" s="22"/>
      <c r="FJ155" s="22"/>
      <c r="FK155" s="22"/>
      <c r="FL155" s="22"/>
      <c r="FM155" s="22"/>
      <c r="FN155" s="22"/>
      <c r="FO155" s="22"/>
      <c r="FP155" s="22"/>
      <c r="FQ155" s="22"/>
      <c r="FR155" s="22"/>
      <c r="FS155" s="22"/>
      <c r="FT155" s="22"/>
      <c r="FU155" s="22"/>
      <c r="FV155" s="22"/>
      <c r="FW155" s="22"/>
      <c r="FX155" s="22"/>
      <c r="FY155" s="22"/>
      <c r="FZ155" s="22"/>
      <c r="GA155" s="22"/>
      <c r="GB155" s="22"/>
      <c r="GC155" s="22"/>
      <c r="GD155" s="22"/>
      <c r="GE155" s="22"/>
      <c r="GF155" s="22"/>
      <c r="GG155" s="22"/>
      <c r="GH155" s="22"/>
      <c r="GI155" s="22"/>
      <c r="GJ155" s="22"/>
      <c r="GK155" s="22"/>
      <c r="GL155" s="22"/>
      <c r="GM155" s="22"/>
      <c r="GN155" s="22"/>
      <c r="GO155" s="22"/>
      <c r="GP155" s="22"/>
      <c r="GQ155" s="22"/>
    </row>
    <row r="156" spans="3:199" s="2" customFormat="1" ht="20.100000000000001" customHeight="1">
      <c r="C156" s="10">
        <v>40030516</v>
      </c>
      <c r="D156" s="15" t="s">
        <v>191</v>
      </c>
      <c r="E156" s="12">
        <v>0</v>
      </c>
      <c r="F156" s="15">
        <v>1406</v>
      </c>
      <c r="G156" s="12">
        <v>1</v>
      </c>
      <c r="H156" s="12">
        <v>40</v>
      </c>
      <c r="I156" s="12">
        <v>0.3</v>
      </c>
      <c r="J156" s="16">
        <v>0</v>
      </c>
      <c r="K156" s="16">
        <v>0</v>
      </c>
      <c r="L156" s="15">
        <v>3200</v>
      </c>
      <c r="M156" s="15">
        <v>0</v>
      </c>
      <c r="N156" s="15">
        <v>0</v>
      </c>
      <c r="O156" s="17">
        <v>0</v>
      </c>
      <c r="P156" s="17">
        <v>0</v>
      </c>
      <c r="Q156" s="19">
        <v>0</v>
      </c>
      <c r="R156" s="19">
        <v>0</v>
      </c>
      <c r="S156" s="19">
        <v>0</v>
      </c>
      <c r="T156" s="19">
        <v>0</v>
      </c>
      <c r="U156" s="18">
        <v>0</v>
      </c>
      <c r="V156" s="18">
        <v>0</v>
      </c>
      <c r="W156" s="18">
        <v>0</v>
      </c>
      <c r="X156" s="18">
        <v>0</v>
      </c>
      <c r="Y156" s="18">
        <v>0</v>
      </c>
      <c r="Z156" s="18">
        <v>0</v>
      </c>
      <c r="AA156" s="18">
        <v>0</v>
      </c>
      <c r="AB156" s="16">
        <v>0</v>
      </c>
      <c r="AC156" s="16">
        <v>0</v>
      </c>
      <c r="AD156" s="16">
        <v>0</v>
      </c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  <c r="BM156" s="22"/>
      <c r="BN156" s="22"/>
      <c r="BO156" s="22"/>
      <c r="BP156" s="22"/>
      <c r="BQ156" s="22"/>
      <c r="BR156" s="22"/>
      <c r="BS156" s="22"/>
      <c r="BT156" s="22"/>
      <c r="BU156" s="22"/>
      <c r="BV156" s="22"/>
      <c r="BW156" s="22"/>
      <c r="BX156" s="22"/>
      <c r="BY156" s="22"/>
      <c r="BZ156" s="22"/>
      <c r="CA156" s="22"/>
      <c r="CB156" s="22"/>
      <c r="CC156" s="22"/>
      <c r="CD156" s="22"/>
      <c r="CE156" s="22"/>
      <c r="CF156" s="22"/>
      <c r="CG156" s="22"/>
      <c r="CH156" s="22"/>
      <c r="CI156" s="22"/>
      <c r="CJ156" s="22"/>
      <c r="CK156" s="22"/>
      <c r="CL156" s="22"/>
      <c r="CM156" s="22"/>
      <c r="CN156" s="22"/>
      <c r="CO156" s="22"/>
      <c r="CP156" s="22"/>
      <c r="CQ156" s="22"/>
      <c r="CR156" s="22"/>
      <c r="CS156" s="22"/>
      <c r="CT156" s="22"/>
      <c r="CU156" s="22"/>
      <c r="CV156" s="22"/>
      <c r="CW156" s="22"/>
      <c r="CX156" s="22"/>
      <c r="CY156" s="22"/>
      <c r="CZ156" s="22"/>
      <c r="DA156" s="22"/>
      <c r="DB156" s="22"/>
      <c r="DC156" s="22"/>
      <c r="DD156" s="22"/>
      <c r="DE156" s="22"/>
      <c r="DF156" s="22"/>
      <c r="DG156" s="22"/>
      <c r="DH156" s="22"/>
      <c r="DI156" s="22"/>
      <c r="DJ156" s="22"/>
      <c r="DK156" s="22"/>
      <c r="DL156" s="22"/>
      <c r="DM156" s="22"/>
      <c r="DN156" s="22"/>
      <c r="DO156" s="22"/>
      <c r="DP156" s="22"/>
      <c r="DQ156" s="22"/>
      <c r="DR156" s="22"/>
      <c r="DS156" s="22"/>
      <c r="DT156" s="22"/>
      <c r="DU156" s="22"/>
      <c r="DV156" s="22"/>
      <c r="DW156" s="22"/>
      <c r="DX156" s="22"/>
      <c r="DY156" s="22"/>
      <c r="DZ156" s="22"/>
      <c r="EA156" s="22"/>
      <c r="EB156" s="22"/>
      <c r="EC156" s="22"/>
      <c r="ED156" s="22"/>
      <c r="EE156" s="22"/>
      <c r="EF156" s="22"/>
      <c r="EG156" s="22"/>
      <c r="EH156" s="22"/>
      <c r="EI156" s="22"/>
      <c r="EJ156" s="22"/>
      <c r="EK156" s="22"/>
      <c r="EL156" s="22"/>
      <c r="EM156" s="22"/>
      <c r="EN156" s="22"/>
      <c r="EO156" s="22"/>
      <c r="EP156" s="22"/>
      <c r="EQ156" s="22"/>
      <c r="ER156" s="22"/>
      <c r="ES156" s="22"/>
      <c r="ET156" s="22"/>
      <c r="EU156" s="22"/>
      <c r="EV156" s="22"/>
      <c r="EW156" s="22"/>
      <c r="EX156" s="22"/>
      <c r="EY156" s="22"/>
      <c r="EZ156" s="22"/>
      <c r="FA156" s="22"/>
      <c r="FB156" s="22"/>
      <c r="FC156" s="22"/>
      <c r="FD156" s="22"/>
      <c r="FE156" s="22"/>
      <c r="FF156" s="22"/>
      <c r="FG156" s="22"/>
      <c r="FH156" s="22"/>
      <c r="FI156" s="22"/>
      <c r="FJ156" s="22"/>
      <c r="FK156" s="22"/>
      <c r="FL156" s="22"/>
      <c r="FM156" s="22"/>
      <c r="FN156" s="22"/>
      <c r="FO156" s="22"/>
      <c r="FP156" s="22"/>
      <c r="FQ156" s="22"/>
      <c r="FR156" s="22"/>
      <c r="FS156" s="22"/>
      <c r="FT156" s="22"/>
      <c r="FU156" s="22"/>
      <c r="FV156" s="22"/>
      <c r="FW156" s="22"/>
      <c r="FX156" s="22"/>
      <c r="FY156" s="22"/>
      <c r="FZ156" s="22"/>
      <c r="GA156" s="22"/>
      <c r="GB156" s="22"/>
      <c r="GC156" s="22"/>
      <c r="GD156" s="22"/>
      <c r="GE156" s="22"/>
      <c r="GF156" s="22"/>
      <c r="GG156" s="22"/>
      <c r="GH156" s="22"/>
      <c r="GI156" s="22"/>
      <c r="GJ156" s="22"/>
      <c r="GK156" s="22"/>
      <c r="GL156" s="22"/>
      <c r="GM156" s="22"/>
      <c r="GN156" s="22"/>
      <c r="GO156" s="22"/>
      <c r="GP156" s="22"/>
      <c r="GQ156" s="22"/>
    </row>
    <row r="157" spans="3:199" s="2" customFormat="1" ht="20.100000000000001" customHeight="1">
      <c r="C157" s="10">
        <v>40030517</v>
      </c>
      <c r="D157" s="15" t="s">
        <v>159</v>
      </c>
      <c r="E157" s="12">
        <v>0</v>
      </c>
      <c r="F157" s="15">
        <v>0</v>
      </c>
      <c r="G157" s="12">
        <v>1</v>
      </c>
      <c r="H157" s="12">
        <v>40</v>
      </c>
      <c r="I157" s="12">
        <v>0.3</v>
      </c>
      <c r="J157" s="16">
        <v>0</v>
      </c>
      <c r="K157" s="16">
        <v>0</v>
      </c>
      <c r="L157" s="15">
        <v>2500</v>
      </c>
      <c r="M157" s="15">
        <v>0</v>
      </c>
      <c r="N157" s="15">
        <v>0</v>
      </c>
      <c r="O157" s="17">
        <v>0</v>
      </c>
      <c r="P157" s="17">
        <v>0</v>
      </c>
      <c r="Q157" s="19">
        <v>0</v>
      </c>
      <c r="R157" s="19">
        <v>0</v>
      </c>
      <c r="S157" s="19">
        <v>0</v>
      </c>
      <c r="T157" s="19">
        <v>0</v>
      </c>
      <c r="U157" s="18">
        <v>0</v>
      </c>
      <c r="V157" s="18">
        <v>0</v>
      </c>
      <c r="W157" s="18">
        <v>0</v>
      </c>
      <c r="X157" s="18">
        <v>0</v>
      </c>
      <c r="Y157" s="18">
        <v>0</v>
      </c>
      <c r="Z157" s="18">
        <v>0</v>
      </c>
      <c r="AA157" s="18">
        <v>0</v>
      </c>
      <c r="AB157" s="16">
        <v>0</v>
      </c>
      <c r="AC157" s="16">
        <v>0</v>
      </c>
      <c r="AD157" s="16">
        <v>0</v>
      </c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  <c r="BM157" s="22"/>
      <c r="BN157" s="22"/>
      <c r="BO157" s="22"/>
      <c r="BP157" s="22"/>
      <c r="BQ157" s="22"/>
      <c r="BR157" s="22"/>
      <c r="BS157" s="22"/>
      <c r="BT157" s="22"/>
      <c r="BU157" s="22"/>
      <c r="BV157" s="22"/>
      <c r="BW157" s="22"/>
      <c r="BX157" s="22"/>
      <c r="BY157" s="22"/>
      <c r="BZ157" s="22"/>
      <c r="CA157" s="22"/>
      <c r="CB157" s="22"/>
      <c r="CC157" s="22"/>
      <c r="CD157" s="22"/>
      <c r="CE157" s="22"/>
      <c r="CF157" s="22"/>
      <c r="CG157" s="22"/>
      <c r="CH157" s="22"/>
      <c r="CI157" s="22"/>
      <c r="CJ157" s="22"/>
      <c r="CK157" s="22"/>
      <c r="CL157" s="22"/>
      <c r="CM157" s="22"/>
      <c r="CN157" s="22"/>
      <c r="CO157" s="22"/>
      <c r="CP157" s="22"/>
      <c r="CQ157" s="22"/>
      <c r="CR157" s="22"/>
      <c r="CS157" s="22"/>
      <c r="CT157" s="22"/>
      <c r="CU157" s="22"/>
      <c r="CV157" s="22"/>
      <c r="CW157" s="22"/>
      <c r="CX157" s="22"/>
      <c r="CY157" s="22"/>
      <c r="CZ157" s="22"/>
      <c r="DA157" s="22"/>
      <c r="DB157" s="22"/>
      <c r="DC157" s="22"/>
      <c r="DD157" s="22"/>
      <c r="DE157" s="22"/>
      <c r="DF157" s="22"/>
      <c r="DG157" s="22"/>
      <c r="DH157" s="22"/>
      <c r="DI157" s="22"/>
      <c r="DJ157" s="22"/>
      <c r="DK157" s="22"/>
      <c r="DL157" s="22"/>
      <c r="DM157" s="22"/>
      <c r="DN157" s="22"/>
      <c r="DO157" s="22"/>
      <c r="DP157" s="22"/>
      <c r="DQ157" s="22"/>
      <c r="DR157" s="22"/>
      <c r="DS157" s="22"/>
      <c r="DT157" s="22"/>
      <c r="DU157" s="22"/>
      <c r="DV157" s="22"/>
      <c r="DW157" s="22"/>
      <c r="DX157" s="22"/>
      <c r="DY157" s="22"/>
      <c r="DZ157" s="22"/>
      <c r="EA157" s="22"/>
      <c r="EB157" s="22"/>
      <c r="EC157" s="22"/>
      <c r="ED157" s="22"/>
      <c r="EE157" s="22"/>
      <c r="EF157" s="22"/>
      <c r="EG157" s="22"/>
      <c r="EH157" s="22"/>
      <c r="EI157" s="22"/>
      <c r="EJ157" s="22"/>
      <c r="EK157" s="22"/>
      <c r="EL157" s="22"/>
      <c r="EM157" s="22"/>
      <c r="EN157" s="22"/>
      <c r="EO157" s="22"/>
      <c r="EP157" s="22"/>
      <c r="EQ157" s="22"/>
      <c r="ER157" s="22"/>
      <c r="ES157" s="22"/>
      <c r="ET157" s="22"/>
      <c r="EU157" s="22"/>
      <c r="EV157" s="22"/>
      <c r="EW157" s="22"/>
      <c r="EX157" s="22"/>
      <c r="EY157" s="22"/>
      <c r="EZ157" s="22"/>
      <c r="FA157" s="22"/>
      <c r="FB157" s="22"/>
      <c r="FC157" s="22"/>
      <c r="FD157" s="22"/>
      <c r="FE157" s="22"/>
      <c r="FF157" s="22"/>
      <c r="FG157" s="22"/>
      <c r="FH157" s="22"/>
      <c r="FI157" s="22"/>
      <c r="FJ157" s="22"/>
      <c r="FK157" s="22"/>
      <c r="FL157" s="22"/>
      <c r="FM157" s="22"/>
      <c r="FN157" s="22"/>
      <c r="FO157" s="22"/>
      <c r="FP157" s="22"/>
      <c r="FQ157" s="22"/>
      <c r="FR157" s="22"/>
      <c r="FS157" s="22"/>
      <c r="FT157" s="22"/>
      <c r="FU157" s="22"/>
      <c r="FV157" s="22"/>
      <c r="FW157" s="22"/>
      <c r="FX157" s="22"/>
      <c r="FY157" s="22"/>
      <c r="FZ157" s="22"/>
      <c r="GA157" s="22"/>
      <c r="GB157" s="22"/>
      <c r="GC157" s="22"/>
      <c r="GD157" s="22"/>
      <c r="GE157" s="22"/>
      <c r="GF157" s="22"/>
      <c r="GG157" s="22"/>
      <c r="GH157" s="22"/>
      <c r="GI157" s="22"/>
      <c r="GJ157" s="22"/>
      <c r="GK157" s="22"/>
      <c r="GL157" s="22"/>
      <c r="GM157" s="22"/>
      <c r="GN157" s="22"/>
      <c r="GO157" s="22"/>
      <c r="GP157" s="22"/>
      <c r="GQ157" s="22"/>
    </row>
    <row r="158" spans="3:199" s="2" customFormat="1" ht="20.100000000000001" customHeight="1">
      <c r="C158" s="10">
        <v>40030518</v>
      </c>
      <c r="D158" s="15" t="s">
        <v>192</v>
      </c>
      <c r="E158" s="12">
        <v>0</v>
      </c>
      <c r="F158" s="15">
        <v>1404</v>
      </c>
      <c r="G158" s="12">
        <v>1</v>
      </c>
      <c r="H158" s="12">
        <v>40</v>
      </c>
      <c r="I158" s="12">
        <v>0.3</v>
      </c>
      <c r="J158" s="16">
        <v>0</v>
      </c>
      <c r="K158" s="16">
        <v>0</v>
      </c>
      <c r="L158" s="15">
        <v>0</v>
      </c>
      <c r="M158" s="15">
        <v>70</v>
      </c>
      <c r="N158" s="15">
        <v>900</v>
      </c>
      <c r="O158" s="17">
        <v>0</v>
      </c>
      <c r="P158" s="17">
        <v>0</v>
      </c>
      <c r="Q158" s="19">
        <v>0</v>
      </c>
      <c r="R158" s="19">
        <v>0</v>
      </c>
      <c r="S158" s="19">
        <v>0</v>
      </c>
      <c r="T158" s="19">
        <v>0</v>
      </c>
      <c r="U158" s="18">
        <v>0</v>
      </c>
      <c r="V158" s="18">
        <v>0</v>
      </c>
      <c r="W158" s="18">
        <v>0</v>
      </c>
      <c r="X158" s="18">
        <v>0</v>
      </c>
      <c r="Y158" s="18">
        <v>0</v>
      </c>
      <c r="Z158" s="18">
        <v>0</v>
      </c>
      <c r="AA158" s="18">
        <v>0</v>
      </c>
      <c r="AB158" s="16">
        <v>0</v>
      </c>
      <c r="AC158" s="16">
        <v>0</v>
      </c>
      <c r="AD158" s="16">
        <v>0</v>
      </c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  <c r="BM158" s="22"/>
      <c r="BN158" s="22"/>
      <c r="BO158" s="22"/>
      <c r="BP158" s="22"/>
      <c r="BQ158" s="22"/>
      <c r="BR158" s="22"/>
      <c r="BS158" s="22"/>
      <c r="BT158" s="22"/>
      <c r="BU158" s="22"/>
      <c r="BV158" s="22"/>
      <c r="BW158" s="22"/>
      <c r="BX158" s="22"/>
      <c r="BY158" s="22"/>
      <c r="BZ158" s="22"/>
      <c r="CA158" s="22"/>
      <c r="CB158" s="22"/>
      <c r="CC158" s="22"/>
      <c r="CD158" s="22"/>
      <c r="CE158" s="22"/>
      <c r="CF158" s="22"/>
      <c r="CG158" s="22"/>
      <c r="CH158" s="22"/>
      <c r="CI158" s="22"/>
      <c r="CJ158" s="22"/>
      <c r="CK158" s="22"/>
      <c r="CL158" s="22"/>
      <c r="CM158" s="22"/>
      <c r="CN158" s="22"/>
      <c r="CO158" s="22"/>
      <c r="CP158" s="22"/>
      <c r="CQ158" s="22"/>
      <c r="CR158" s="22"/>
      <c r="CS158" s="22"/>
      <c r="CT158" s="22"/>
      <c r="CU158" s="22"/>
      <c r="CV158" s="22"/>
      <c r="CW158" s="22"/>
      <c r="CX158" s="22"/>
      <c r="CY158" s="22"/>
      <c r="CZ158" s="22"/>
      <c r="DA158" s="22"/>
      <c r="DB158" s="22"/>
      <c r="DC158" s="22"/>
      <c r="DD158" s="22"/>
      <c r="DE158" s="22"/>
      <c r="DF158" s="22"/>
      <c r="DG158" s="22"/>
      <c r="DH158" s="22"/>
      <c r="DI158" s="22"/>
      <c r="DJ158" s="22"/>
      <c r="DK158" s="22"/>
      <c r="DL158" s="22"/>
      <c r="DM158" s="22"/>
      <c r="DN158" s="22"/>
      <c r="DO158" s="22"/>
      <c r="DP158" s="22"/>
      <c r="DQ158" s="22"/>
      <c r="DR158" s="22"/>
      <c r="DS158" s="22"/>
      <c r="DT158" s="22"/>
      <c r="DU158" s="22"/>
      <c r="DV158" s="22"/>
      <c r="DW158" s="22"/>
      <c r="DX158" s="22"/>
      <c r="DY158" s="22"/>
      <c r="DZ158" s="22"/>
      <c r="EA158" s="22"/>
      <c r="EB158" s="22"/>
      <c r="EC158" s="22"/>
      <c r="ED158" s="22"/>
      <c r="EE158" s="22"/>
      <c r="EF158" s="22"/>
      <c r="EG158" s="22"/>
      <c r="EH158" s="22"/>
      <c r="EI158" s="22"/>
      <c r="EJ158" s="22"/>
      <c r="EK158" s="22"/>
      <c r="EL158" s="22"/>
      <c r="EM158" s="22"/>
      <c r="EN158" s="22"/>
      <c r="EO158" s="22"/>
      <c r="EP158" s="22"/>
      <c r="EQ158" s="22"/>
      <c r="ER158" s="22"/>
      <c r="ES158" s="22"/>
      <c r="ET158" s="22"/>
      <c r="EU158" s="22"/>
      <c r="EV158" s="22"/>
      <c r="EW158" s="22"/>
      <c r="EX158" s="22"/>
      <c r="EY158" s="22"/>
      <c r="EZ158" s="22"/>
      <c r="FA158" s="22"/>
      <c r="FB158" s="22"/>
      <c r="FC158" s="22"/>
      <c r="FD158" s="22"/>
      <c r="FE158" s="22"/>
      <c r="FF158" s="22"/>
      <c r="FG158" s="22"/>
      <c r="FH158" s="22"/>
      <c r="FI158" s="22"/>
      <c r="FJ158" s="22"/>
      <c r="FK158" s="22"/>
      <c r="FL158" s="22"/>
      <c r="FM158" s="22"/>
      <c r="FN158" s="22"/>
      <c r="FO158" s="22"/>
      <c r="FP158" s="22"/>
      <c r="FQ158" s="22"/>
      <c r="FR158" s="22"/>
      <c r="FS158" s="22"/>
      <c r="FT158" s="22"/>
      <c r="FU158" s="22"/>
      <c r="FV158" s="22"/>
      <c r="FW158" s="22"/>
      <c r="FX158" s="22"/>
      <c r="FY158" s="22"/>
      <c r="FZ158" s="22"/>
      <c r="GA158" s="22"/>
      <c r="GB158" s="22"/>
      <c r="GC158" s="22"/>
      <c r="GD158" s="22"/>
      <c r="GE158" s="22"/>
      <c r="GF158" s="22"/>
      <c r="GG158" s="22"/>
      <c r="GH158" s="22"/>
      <c r="GI158" s="22"/>
      <c r="GJ158" s="22"/>
      <c r="GK158" s="22"/>
      <c r="GL158" s="22"/>
      <c r="GM158" s="22"/>
      <c r="GN158" s="22"/>
      <c r="GO158" s="22"/>
      <c r="GP158" s="22"/>
      <c r="GQ158" s="22"/>
    </row>
    <row r="159" spans="3:199" s="2" customFormat="1" ht="20.100000000000001" customHeight="1">
      <c r="C159" s="10">
        <v>40030519</v>
      </c>
      <c r="D159" s="15" t="s">
        <v>161</v>
      </c>
      <c r="E159" s="12">
        <v>0</v>
      </c>
      <c r="F159" s="15">
        <v>0</v>
      </c>
      <c r="G159" s="12">
        <v>1</v>
      </c>
      <c r="H159" s="12">
        <v>40</v>
      </c>
      <c r="I159" s="12">
        <v>0.3</v>
      </c>
      <c r="J159" s="16">
        <v>0</v>
      </c>
      <c r="K159" s="16">
        <v>0</v>
      </c>
      <c r="L159" s="15">
        <v>0</v>
      </c>
      <c r="M159" s="15">
        <v>50</v>
      </c>
      <c r="N159" s="15">
        <v>750</v>
      </c>
      <c r="O159" s="17">
        <v>0</v>
      </c>
      <c r="P159" s="17">
        <v>0</v>
      </c>
      <c r="Q159" s="19">
        <v>0</v>
      </c>
      <c r="R159" s="19">
        <v>0</v>
      </c>
      <c r="S159" s="19">
        <v>0</v>
      </c>
      <c r="T159" s="19">
        <v>0</v>
      </c>
      <c r="U159" s="18">
        <v>0</v>
      </c>
      <c r="V159" s="18">
        <v>0</v>
      </c>
      <c r="W159" s="18">
        <v>0</v>
      </c>
      <c r="X159" s="18">
        <v>0</v>
      </c>
      <c r="Y159" s="18">
        <v>0</v>
      </c>
      <c r="Z159" s="18">
        <v>0</v>
      </c>
      <c r="AA159" s="18">
        <v>0</v>
      </c>
      <c r="AB159" s="16">
        <v>0</v>
      </c>
      <c r="AC159" s="16">
        <v>0</v>
      </c>
      <c r="AD159" s="16">
        <v>0</v>
      </c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  <c r="BM159" s="22"/>
      <c r="BN159" s="22"/>
      <c r="BO159" s="22"/>
      <c r="BP159" s="22"/>
      <c r="BQ159" s="22"/>
      <c r="BR159" s="22"/>
      <c r="BS159" s="22"/>
      <c r="BT159" s="22"/>
      <c r="BU159" s="22"/>
      <c r="BV159" s="22"/>
      <c r="BW159" s="22"/>
      <c r="BX159" s="22"/>
      <c r="BY159" s="22"/>
      <c r="BZ159" s="22"/>
      <c r="CA159" s="22"/>
      <c r="CB159" s="22"/>
      <c r="CC159" s="22"/>
      <c r="CD159" s="22"/>
      <c r="CE159" s="22"/>
      <c r="CF159" s="22"/>
      <c r="CG159" s="22"/>
      <c r="CH159" s="22"/>
      <c r="CI159" s="22"/>
      <c r="CJ159" s="22"/>
      <c r="CK159" s="22"/>
      <c r="CL159" s="22"/>
      <c r="CM159" s="22"/>
      <c r="CN159" s="22"/>
      <c r="CO159" s="22"/>
      <c r="CP159" s="22"/>
      <c r="CQ159" s="22"/>
      <c r="CR159" s="22"/>
      <c r="CS159" s="22"/>
      <c r="CT159" s="22"/>
      <c r="CU159" s="22"/>
      <c r="CV159" s="22"/>
      <c r="CW159" s="22"/>
      <c r="CX159" s="22"/>
      <c r="CY159" s="22"/>
      <c r="CZ159" s="22"/>
      <c r="DA159" s="22"/>
      <c r="DB159" s="22"/>
      <c r="DC159" s="22"/>
      <c r="DD159" s="22"/>
      <c r="DE159" s="22"/>
      <c r="DF159" s="22"/>
      <c r="DG159" s="22"/>
      <c r="DH159" s="22"/>
      <c r="DI159" s="22"/>
      <c r="DJ159" s="22"/>
      <c r="DK159" s="22"/>
      <c r="DL159" s="22"/>
      <c r="DM159" s="22"/>
      <c r="DN159" s="22"/>
      <c r="DO159" s="22"/>
      <c r="DP159" s="22"/>
      <c r="DQ159" s="22"/>
      <c r="DR159" s="22"/>
      <c r="DS159" s="22"/>
      <c r="DT159" s="22"/>
      <c r="DU159" s="22"/>
      <c r="DV159" s="22"/>
      <c r="DW159" s="22"/>
      <c r="DX159" s="22"/>
      <c r="DY159" s="22"/>
      <c r="DZ159" s="22"/>
      <c r="EA159" s="22"/>
      <c r="EB159" s="22"/>
      <c r="EC159" s="22"/>
      <c r="ED159" s="22"/>
      <c r="EE159" s="22"/>
      <c r="EF159" s="22"/>
      <c r="EG159" s="22"/>
      <c r="EH159" s="22"/>
      <c r="EI159" s="22"/>
      <c r="EJ159" s="22"/>
      <c r="EK159" s="22"/>
      <c r="EL159" s="22"/>
      <c r="EM159" s="22"/>
      <c r="EN159" s="22"/>
      <c r="EO159" s="22"/>
      <c r="EP159" s="22"/>
      <c r="EQ159" s="22"/>
      <c r="ER159" s="22"/>
      <c r="ES159" s="22"/>
      <c r="ET159" s="22"/>
      <c r="EU159" s="22"/>
      <c r="EV159" s="22"/>
      <c r="EW159" s="22"/>
      <c r="EX159" s="22"/>
      <c r="EY159" s="22"/>
      <c r="EZ159" s="22"/>
      <c r="FA159" s="22"/>
      <c r="FB159" s="22"/>
      <c r="FC159" s="22"/>
      <c r="FD159" s="22"/>
      <c r="FE159" s="22"/>
      <c r="FF159" s="22"/>
      <c r="FG159" s="22"/>
      <c r="FH159" s="22"/>
      <c r="FI159" s="22"/>
      <c r="FJ159" s="22"/>
      <c r="FK159" s="22"/>
      <c r="FL159" s="22"/>
      <c r="FM159" s="22"/>
      <c r="FN159" s="22"/>
      <c r="FO159" s="22"/>
      <c r="FP159" s="22"/>
      <c r="FQ159" s="22"/>
      <c r="FR159" s="22"/>
      <c r="FS159" s="22"/>
      <c r="FT159" s="22"/>
      <c r="FU159" s="22"/>
      <c r="FV159" s="22"/>
      <c r="FW159" s="22"/>
      <c r="FX159" s="22"/>
      <c r="FY159" s="22"/>
      <c r="FZ159" s="22"/>
      <c r="GA159" s="22"/>
      <c r="GB159" s="22"/>
      <c r="GC159" s="22"/>
      <c r="GD159" s="22"/>
      <c r="GE159" s="22"/>
      <c r="GF159" s="22"/>
      <c r="GG159" s="22"/>
      <c r="GH159" s="22"/>
      <c r="GI159" s="22"/>
      <c r="GJ159" s="22"/>
      <c r="GK159" s="22"/>
      <c r="GL159" s="22"/>
      <c r="GM159" s="22"/>
      <c r="GN159" s="22"/>
      <c r="GO159" s="22"/>
      <c r="GP159" s="22"/>
      <c r="GQ159" s="22"/>
    </row>
    <row r="160" spans="3:199" s="2" customFormat="1" ht="20.100000000000001" customHeight="1">
      <c r="C160" s="10">
        <v>40030520</v>
      </c>
      <c r="D160" s="15" t="s">
        <v>193</v>
      </c>
      <c r="E160" s="12">
        <v>0</v>
      </c>
      <c r="F160" s="15">
        <v>1404</v>
      </c>
      <c r="G160" s="12">
        <v>1</v>
      </c>
      <c r="H160" s="12">
        <v>40</v>
      </c>
      <c r="I160" s="12">
        <v>0.3</v>
      </c>
      <c r="J160" s="16">
        <v>0</v>
      </c>
      <c r="K160" s="16">
        <v>0</v>
      </c>
      <c r="L160" s="15">
        <v>1400</v>
      </c>
      <c r="M160" s="15">
        <v>0</v>
      </c>
      <c r="N160" s="15">
        <v>0</v>
      </c>
      <c r="O160" s="17">
        <v>0</v>
      </c>
      <c r="P160" s="17">
        <v>0</v>
      </c>
      <c r="Q160" s="19">
        <v>50</v>
      </c>
      <c r="R160" s="19">
        <v>140</v>
      </c>
      <c r="S160" s="19">
        <v>50</v>
      </c>
      <c r="T160" s="19">
        <v>100</v>
      </c>
      <c r="U160" s="18">
        <v>0</v>
      </c>
      <c r="V160" s="18">
        <v>0</v>
      </c>
      <c r="W160" s="18">
        <v>0</v>
      </c>
      <c r="X160" s="18">
        <v>0</v>
      </c>
      <c r="Y160" s="18">
        <v>0</v>
      </c>
      <c r="Z160" s="18">
        <v>0</v>
      </c>
      <c r="AA160" s="18">
        <v>0</v>
      </c>
      <c r="AB160" s="16">
        <v>0</v>
      </c>
      <c r="AC160" s="16">
        <v>0</v>
      </c>
      <c r="AD160" s="16">
        <v>0</v>
      </c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  <c r="BM160" s="22"/>
      <c r="BN160" s="22"/>
      <c r="BO160" s="22"/>
      <c r="BP160" s="22"/>
      <c r="BQ160" s="22"/>
      <c r="BR160" s="22"/>
      <c r="BS160" s="22"/>
      <c r="BT160" s="22"/>
      <c r="BU160" s="22"/>
      <c r="BV160" s="22"/>
      <c r="BW160" s="22"/>
      <c r="BX160" s="22"/>
      <c r="BY160" s="22"/>
      <c r="BZ160" s="22"/>
      <c r="CA160" s="22"/>
      <c r="CB160" s="22"/>
      <c r="CC160" s="22"/>
      <c r="CD160" s="22"/>
      <c r="CE160" s="22"/>
      <c r="CF160" s="22"/>
      <c r="CG160" s="22"/>
      <c r="CH160" s="22"/>
      <c r="CI160" s="22"/>
      <c r="CJ160" s="22"/>
      <c r="CK160" s="22"/>
      <c r="CL160" s="22"/>
      <c r="CM160" s="22"/>
      <c r="CN160" s="22"/>
      <c r="CO160" s="22"/>
      <c r="CP160" s="22"/>
      <c r="CQ160" s="22"/>
      <c r="CR160" s="22"/>
      <c r="CS160" s="22"/>
      <c r="CT160" s="22"/>
      <c r="CU160" s="22"/>
      <c r="CV160" s="22"/>
      <c r="CW160" s="22"/>
      <c r="CX160" s="22"/>
      <c r="CY160" s="22"/>
      <c r="CZ160" s="22"/>
      <c r="DA160" s="22"/>
      <c r="DB160" s="22"/>
      <c r="DC160" s="22"/>
      <c r="DD160" s="22"/>
      <c r="DE160" s="22"/>
      <c r="DF160" s="22"/>
      <c r="DG160" s="22"/>
      <c r="DH160" s="22"/>
      <c r="DI160" s="22"/>
      <c r="DJ160" s="22"/>
      <c r="DK160" s="22"/>
      <c r="DL160" s="22"/>
      <c r="DM160" s="22"/>
      <c r="DN160" s="22"/>
      <c r="DO160" s="22"/>
      <c r="DP160" s="22"/>
      <c r="DQ160" s="22"/>
      <c r="DR160" s="22"/>
      <c r="DS160" s="22"/>
      <c r="DT160" s="22"/>
      <c r="DU160" s="22"/>
      <c r="DV160" s="22"/>
      <c r="DW160" s="22"/>
      <c r="DX160" s="22"/>
      <c r="DY160" s="22"/>
      <c r="DZ160" s="22"/>
      <c r="EA160" s="22"/>
      <c r="EB160" s="22"/>
      <c r="EC160" s="22"/>
      <c r="ED160" s="22"/>
      <c r="EE160" s="22"/>
      <c r="EF160" s="22"/>
      <c r="EG160" s="22"/>
      <c r="EH160" s="22"/>
      <c r="EI160" s="22"/>
      <c r="EJ160" s="22"/>
      <c r="EK160" s="22"/>
      <c r="EL160" s="22"/>
      <c r="EM160" s="22"/>
      <c r="EN160" s="22"/>
      <c r="EO160" s="22"/>
      <c r="EP160" s="22"/>
      <c r="EQ160" s="22"/>
      <c r="ER160" s="22"/>
      <c r="ES160" s="22"/>
      <c r="ET160" s="22"/>
      <c r="EU160" s="22"/>
      <c r="EV160" s="22"/>
      <c r="EW160" s="22"/>
      <c r="EX160" s="22"/>
      <c r="EY160" s="22"/>
      <c r="EZ160" s="22"/>
      <c r="FA160" s="22"/>
      <c r="FB160" s="22"/>
      <c r="FC160" s="22"/>
      <c r="FD160" s="22"/>
      <c r="FE160" s="22"/>
      <c r="FF160" s="22"/>
      <c r="FG160" s="22"/>
      <c r="FH160" s="22"/>
      <c r="FI160" s="22"/>
      <c r="FJ160" s="22"/>
      <c r="FK160" s="22"/>
      <c r="FL160" s="22"/>
      <c r="FM160" s="22"/>
      <c r="FN160" s="22"/>
      <c r="FO160" s="22"/>
      <c r="FP160" s="22"/>
      <c r="FQ160" s="22"/>
      <c r="FR160" s="22"/>
      <c r="FS160" s="22"/>
      <c r="FT160" s="22"/>
      <c r="FU160" s="22"/>
      <c r="FV160" s="22"/>
      <c r="FW160" s="22"/>
      <c r="FX160" s="22"/>
      <c r="FY160" s="22"/>
      <c r="FZ160" s="22"/>
      <c r="GA160" s="22"/>
      <c r="GB160" s="22"/>
      <c r="GC160" s="22"/>
      <c r="GD160" s="22"/>
      <c r="GE160" s="22"/>
      <c r="GF160" s="22"/>
      <c r="GG160" s="22"/>
      <c r="GH160" s="22"/>
      <c r="GI160" s="22"/>
      <c r="GJ160" s="22"/>
      <c r="GK160" s="22"/>
      <c r="GL160" s="22"/>
      <c r="GM160" s="22"/>
      <c r="GN160" s="22"/>
      <c r="GO160" s="22"/>
      <c r="GP160" s="22"/>
      <c r="GQ160" s="22"/>
    </row>
    <row r="161" spans="3:199" s="2" customFormat="1" ht="20.100000000000001" customHeight="1">
      <c r="C161" s="10">
        <v>40030521</v>
      </c>
      <c r="D161" s="15" t="s">
        <v>163</v>
      </c>
      <c r="E161" s="12">
        <v>0</v>
      </c>
      <c r="F161" s="15">
        <v>0</v>
      </c>
      <c r="G161" s="12">
        <v>1</v>
      </c>
      <c r="H161" s="12">
        <v>40</v>
      </c>
      <c r="I161" s="12">
        <v>0.3</v>
      </c>
      <c r="J161" s="16">
        <v>0</v>
      </c>
      <c r="K161" s="16">
        <v>0</v>
      </c>
      <c r="L161" s="15">
        <v>1100</v>
      </c>
      <c r="M161" s="15">
        <v>0</v>
      </c>
      <c r="N161" s="15">
        <v>0</v>
      </c>
      <c r="O161" s="17">
        <v>0</v>
      </c>
      <c r="P161" s="17">
        <v>0</v>
      </c>
      <c r="Q161" s="19">
        <v>40</v>
      </c>
      <c r="R161" s="19">
        <v>120</v>
      </c>
      <c r="S161" s="19">
        <v>40</v>
      </c>
      <c r="T161" s="19">
        <v>80</v>
      </c>
      <c r="U161" s="18">
        <v>0</v>
      </c>
      <c r="V161" s="18">
        <v>0</v>
      </c>
      <c r="W161" s="18">
        <v>0</v>
      </c>
      <c r="X161" s="18">
        <v>0</v>
      </c>
      <c r="Y161" s="18">
        <v>0</v>
      </c>
      <c r="Z161" s="18">
        <v>0</v>
      </c>
      <c r="AA161" s="18">
        <v>0</v>
      </c>
      <c r="AB161" s="16">
        <v>0</v>
      </c>
      <c r="AC161" s="16">
        <v>0</v>
      </c>
      <c r="AD161" s="16">
        <v>0</v>
      </c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  <c r="BM161" s="22"/>
      <c r="BN161" s="22"/>
      <c r="BO161" s="22"/>
      <c r="BP161" s="22"/>
      <c r="BQ161" s="22"/>
      <c r="BR161" s="22"/>
      <c r="BS161" s="22"/>
      <c r="BT161" s="22"/>
      <c r="BU161" s="22"/>
      <c r="BV161" s="22"/>
      <c r="BW161" s="22"/>
      <c r="BX161" s="22"/>
      <c r="BY161" s="22"/>
      <c r="BZ161" s="22"/>
      <c r="CA161" s="22"/>
      <c r="CB161" s="22"/>
      <c r="CC161" s="22"/>
      <c r="CD161" s="22"/>
      <c r="CE161" s="22"/>
      <c r="CF161" s="22"/>
      <c r="CG161" s="22"/>
      <c r="CH161" s="22"/>
      <c r="CI161" s="22"/>
      <c r="CJ161" s="22"/>
      <c r="CK161" s="22"/>
      <c r="CL161" s="22"/>
      <c r="CM161" s="22"/>
      <c r="CN161" s="22"/>
      <c r="CO161" s="22"/>
      <c r="CP161" s="22"/>
      <c r="CQ161" s="22"/>
      <c r="CR161" s="22"/>
      <c r="CS161" s="22"/>
      <c r="CT161" s="22"/>
      <c r="CU161" s="22"/>
      <c r="CV161" s="22"/>
      <c r="CW161" s="22"/>
      <c r="CX161" s="22"/>
      <c r="CY161" s="22"/>
      <c r="CZ161" s="22"/>
      <c r="DA161" s="22"/>
      <c r="DB161" s="22"/>
      <c r="DC161" s="22"/>
      <c r="DD161" s="22"/>
      <c r="DE161" s="22"/>
      <c r="DF161" s="22"/>
      <c r="DG161" s="22"/>
      <c r="DH161" s="22"/>
      <c r="DI161" s="22"/>
      <c r="DJ161" s="22"/>
      <c r="DK161" s="22"/>
      <c r="DL161" s="22"/>
      <c r="DM161" s="22"/>
      <c r="DN161" s="22"/>
      <c r="DO161" s="22"/>
      <c r="DP161" s="22"/>
      <c r="DQ161" s="22"/>
      <c r="DR161" s="22"/>
      <c r="DS161" s="22"/>
      <c r="DT161" s="22"/>
      <c r="DU161" s="22"/>
      <c r="DV161" s="22"/>
      <c r="DW161" s="22"/>
      <c r="DX161" s="22"/>
      <c r="DY161" s="22"/>
      <c r="DZ161" s="22"/>
      <c r="EA161" s="22"/>
      <c r="EB161" s="22"/>
      <c r="EC161" s="22"/>
      <c r="ED161" s="22"/>
      <c r="EE161" s="22"/>
      <c r="EF161" s="22"/>
      <c r="EG161" s="22"/>
      <c r="EH161" s="22"/>
      <c r="EI161" s="22"/>
      <c r="EJ161" s="22"/>
      <c r="EK161" s="22"/>
      <c r="EL161" s="22"/>
      <c r="EM161" s="22"/>
      <c r="EN161" s="22"/>
      <c r="EO161" s="22"/>
      <c r="EP161" s="22"/>
      <c r="EQ161" s="22"/>
      <c r="ER161" s="22"/>
      <c r="ES161" s="22"/>
      <c r="ET161" s="22"/>
      <c r="EU161" s="22"/>
      <c r="EV161" s="22"/>
      <c r="EW161" s="22"/>
      <c r="EX161" s="22"/>
      <c r="EY161" s="22"/>
      <c r="EZ161" s="22"/>
      <c r="FA161" s="22"/>
      <c r="FB161" s="22"/>
      <c r="FC161" s="22"/>
      <c r="FD161" s="22"/>
      <c r="FE161" s="22"/>
      <c r="FF161" s="22"/>
      <c r="FG161" s="22"/>
      <c r="FH161" s="22"/>
      <c r="FI161" s="22"/>
      <c r="FJ161" s="22"/>
      <c r="FK161" s="22"/>
      <c r="FL161" s="22"/>
      <c r="FM161" s="22"/>
      <c r="FN161" s="22"/>
      <c r="FO161" s="22"/>
      <c r="FP161" s="22"/>
      <c r="FQ161" s="22"/>
      <c r="FR161" s="22"/>
      <c r="FS161" s="22"/>
      <c r="FT161" s="22"/>
      <c r="FU161" s="22"/>
      <c r="FV161" s="22"/>
      <c r="FW161" s="22"/>
      <c r="FX161" s="22"/>
      <c r="FY161" s="22"/>
      <c r="FZ161" s="22"/>
      <c r="GA161" s="22"/>
      <c r="GB161" s="22"/>
      <c r="GC161" s="22"/>
      <c r="GD161" s="22"/>
      <c r="GE161" s="22"/>
      <c r="GF161" s="22"/>
      <c r="GG161" s="22"/>
      <c r="GH161" s="22"/>
      <c r="GI161" s="22"/>
      <c r="GJ161" s="22"/>
      <c r="GK161" s="22"/>
      <c r="GL161" s="22"/>
      <c r="GM161" s="22"/>
      <c r="GN161" s="22"/>
      <c r="GO161" s="22"/>
      <c r="GP161" s="22"/>
      <c r="GQ161" s="22"/>
    </row>
    <row r="162" spans="3:199" s="2" customFormat="1" ht="20.100000000000001" customHeight="1">
      <c r="C162" s="10">
        <v>40030522</v>
      </c>
      <c r="D162" s="15" t="s">
        <v>194</v>
      </c>
      <c r="E162" s="12">
        <v>0</v>
      </c>
      <c r="F162" s="15">
        <v>1401</v>
      </c>
      <c r="G162" s="12">
        <v>1</v>
      </c>
      <c r="H162" s="12">
        <v>40</v>
      </c>
      <c r="I162" s="12">
        <v>0.3</v>
      </c>
      <c r="J162" s="16">
        <v>0</v>
      </c>
      <c r="K162" s="16">
        <v>0</v>
      </c>
      <c r="L162" s="15">
        <v>0</v>
      </c>
      <c r="M162" s="15">
        <v>50</v>
      </c>
      <c r="N162" s="15">
        <v>280</v>
      </c>
      <c r="O162" s="17">
        <v>0</v>
      </c>
      <c r="P162" s="17">
        <v>0</v>
      </c>
      <c r="Q162" s="19">
        <v>20</v>
      </c>
      <c r="R162" s="19">
        <v>40</v>
      </c>
      <c r="S162" s="19">
        <v>0</v>
      </c>
      <c r="T162" s="19">
        <v>0</v>
      </c>
      <c r="U162" s="18">
        <v>0</v>
      </c>
      <c r="V162" s="18">
        <v>0</v>
      </c>
      <c r="W162" s="18">
        <v>0</v>
      </c>
      <c r="X162" s="18">
        <v>0</v>
      </c>
      <c r="Y162" s="18">
        <v>0</v>
      </c>
      <c r="Z162" s="18">
        <v>0</v>
      </c>
      <c r="AA162" s="18">
        <v>0</v>
      </c>
      <c r="AB162" s="16">
        <v>0</v>
      </c>
      <c r="AC162" s="16">
        <v>0</v>
      </c>
      <c r="AD162" s="16">
        <v>0</v>
      </c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  <c r="BM162" s="22"/>
      <c r="BN162" s="22"/>
      <c r="BO162" s="22"/>
      <c r="BP162" s="22"/>
      <c r="BQ162" s="22"/>
      <c r="BR162" s="22"/>
      <c r="BS162" s="22"/>
      <c r="BT162" s="22"/>
      <c r="BU162" s="22"/>
      <c r="BV162" s="22"/>
      <c r="BW162" s="22"/>
      <c r="BX162" s="22"/>
      <c r="BY162" s="22"/>
      <c r="BZ162" s="22"/>
      <c r="CA162" s="22"/>
      <c r="CB162" s="22"/>
      <c r="CC162" s="22"/>
      <c r="CD162" s="22"/>
      <c r="CE162" s="22"/>
      <c r="CF162" s="22"/>
      <c r="CG162" s="22"/>
      <c r="CH162" s="22"/>
      <c r="CI162" s="22"/>
      <c r="CJ162" s="22"/>
      <c r="CK162" s="22"/>
      <c r="CL162" s="22"/>
      <c r="CM162" s="22"/>
      <c r="CN162" s="22"/>
      <c r="CO162" s="22"/>
      <c r="CP162" s="22"/>
      <c r="CQ162" s="22"/>
      <c r="CR162" s="22"/>
      <c r="CS162" s="22"/>
      <c r="CT162" s="22"/>
      <c r="CU162" s="22"/>
      <c r="CV162" s="22"/>
      <c r="CW162" s="22"/>
      <c r="CX162" s="22"/>
      <c r="CY162" s="22"/>
      <c r="CZ162" s="22"/>
      <c r="DA162" s="22"/>
      <c r="DB162" s="22"/>
      <c r="DC162" s="22"/>
      <c r="DD162" s="22"/>
      <c r="DE162" s="22"/>
      <c r="DF162" s="22"/>
      <c r="DG162" s="22"/>
      <c r="DH162" s="22"/>
      <c r="DI162" s="22"/>
      <c r="DJ162" s="22"/>
      <c r="DK162" s="22"/>
      <c r="DL162" s="22"/>
      <c r="DM162" s="22"/>
      <c r="DN162" s="22"/>
      <c r="DO162" s="22"/>
      <c r="DP162" s="22"/>
      <c r="DQ162" s="22"/>
      <c r="DR162" s="22"/>
      <c r="DS162" s="22"/>
      <c r="DT162" s="22"/>
      <c r="DU162" s="22"/>
      <c r="DV162" s="22"/>
      <c r="DW162" s="22"/>
      <c r="DX162" s="22"/>
      <c r="DY162" s="22"/>
      <c r="DZ162" s="22"/>
      <c r="EA162" s="22"/>
      <c r="EB162" s="22"/>
      <c r="EC162" s="22"/>
      <c r="ED162" s="22"/>
      <c r="EE162" s="22"/>
      <c r="EF162" s="22"/>
      <c r="EG162" s="22"/>
      <c r="EH162" s="22"/>
      <c r="EI162" s="22"/>
      <c r="EJ162" s="22"/>
      <c r="EK162" s="22"/>
      <c r="EL162" s="22"/>
      <c r="EM162" s="22"/>
      <c r="EN162" s="22"/>
      <c r="EO162" s="22"/>
      <c r="EP162" s="22"/>
      <c r="EQ162" s="22"/>
      <c r="ER162" s="22"/>
      <c r="ES162" s="22"/>
      <c r="ET162" s="22"/>
      <c r="EU162" s="22"/>
      <c r="EV162" s="22"/>
      <c r="EW162" s="22"/>
      <c r="EX162" s="22"/>
      <c r="EY162" s="22"/>
      <c r="EZ162" s="22"/>
      <c r="FA162" s="22"/>
      <c r="FB162" s="22"/>
      <c r="FC162" s="22"/>
      <c r="FD162" s="22"/>
      <c r="FE162" s="22"/>
      <c r="FF162" s="22"/>
      <c r="FG162" s="22"/>
      <c r="FH162" s="22"/>
      <c r="FI162" s="22"/>
      <c r="FJ162" s="22"/>
      <c r="FK162" s="22"/>
      <c r="FL162" s="22"/>
      <c r="FM162" s="22"/>
      <c r="FN162" s="22"/>
      <c r="FO162" s="22"/>
      <c r="FP162" s="22"/>
      <c r="FQ162" s="22"/>
      <c r="FR162" s="22"/>
      <c r="FS162" s="22"/>
      <c r="FT162" s="22"/>
      <c r="FU162" s="22"/>
      <c r="FV162" s="22"/>
      <c r="FW162" s="22"/>
      <c r="FX162" s="22"/>
      <c r="FY162" s="22"/>
      <c r="FZ162" s="22"/>
      <c r="GA162" s="22"/>
      <c r="GB162" s="22"/>
      <c r="GC162" s="22"/>
      <c r="GD162" s="22"/>
      <c r="GE162" s="22"/>
      <c r="GF162" s="22"/>
      <c r="GG162" s="22"/>
      <c r="GH162" s="22"/>
      <c r="GI162" s="22"/>
      <c r="GJ162" s="22"/>
      <c r="GK162" s="22"/>
      <c r="GL162" s="22"/>
      <c r="GM162" s="22"/>
      <c r="GN162" s="22"/>
      <c r="GO162" s="22"/>
      <c r="GP162" s="22"/>
      <c r="GQ162" s="22"/>
    </row>
    <row r="163" spans="3:199" s="2" customFormat="1" ht="20.100000000000001" customHeight="1">
      <c r="C163" s="10">
        <v>40030523</v>
      </c>
      <c r="D163" s="15" t="s">
        <v>195</v>
      </c>
      <c r="E163" s="12">
        <v>0</v>
      </c>
      <c r="F163" s="15">
        <v>1401</v>
      </c>
      <c r="G163" s="12">
        <v>1</v>
      </c>
      <c r="H163" s="12">
        <v>40</v>
      </c>
      <c r="I163" s="12">
        <v>0.3</v>
      </c>
      <c r="J163" s="16">
        <v>0</v>
      </c>
      <c r="K163" s="16">
        <v>0</v>
      </c>
      <c r="L163" s="15">
        <v>0</v>
      </c>
      <c r="M163" s="15">
        <v>50</v>
      </c>
      <c r="N163" s="15">
        <v>220</v>
      </c>
      <c r="O163" s="17">
        <v>0</v>
      </c>
      <c r="P163" s="17">
        <v>0</v>
      </c>
      <c r="Q163" s="19">
        <v>0</v>
      </c>
      <c r="R163" s="19">
        <v>0</v>
      </c>
      <c r="S163" s="19">
        <v>10</v>
      </c>
      <c r="T163" s="19">
        <v>30</v>
      </c>
      <c r="U163" s="18">
        <v>0</v>
      </c>
      <c r="V163" s="18">
        <v>0</v>
      </c>
      <c r="W163" s="18">
        <v>0</v>
      </c>
      <c r="X163" s="18">
        <v>0</v>
      </c>
      <c r="Y163" s="18">
        <v>0</v>
      </c>
      <c r="Z163" s="18">
        <v>0</v>
      </c>
      <c r="AA163" s="18">
        <v>0</v>
      </c>
      <c r="AB163" s="16">
        <v>0</v>
      </c>
      <c r="AC163" s="16">
        <v>0</v>
      </c>
      <c r="AD163" s="16">
        <v>0</v>
      </c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  <c r="BM163" s="22"/>
      <c r="BN163" s="22"/>
      <c r="BO163" s="22"/>
      <c r="BP163" s="22"/>
      <c r="BQ163" s="22"/>
      <c r="BR163" s="22"/>
      <c r="BS163" s="22"/>
      <c r="BT163" s="22"/>
      <c r="BU163" s="22"/>
      <c r="BV163" s="22"/>
      <c r="BW163" s="22"/>
      <c r="BX163" s="22"/>
      <c r="BY163" s="22"/>
      <c r="BZ163" s="22"/>
      <c r="CA163" s="22"/>
      <c r="CB163" s="22"/>
      <c r="CC163" s="22"/>
      <c r="CD163" s="22"/>
      <c r="CE163" s="22"/>
      <c r="CF163" s="22"/>
      <c r="CG163" s="22"/>
      <c r="CH163" s="22"/>
      <c r="CI163" s="22"/>
      <c r="CJ163" s="22"/>
      <c r="CK163" s="22"/>
      <c r="CL163" s="22"/>
      <c r="CM163" s="22"/>
      <c r="CN163" s="22"/>
      <c r="CO163" s="22"/>
      <c r="CP163" s="22"/>
      <c r="CQ163" s="22"/>
      <c r="CR163" s="22"/>
      <c r="CS163" s="22"/>
      <c r="CT163" s="22"/>
      <c r="CU163" s="22"/>
      <c r="CV163" s="22"/>
      <c r="CW163" s="22"/>
      <c r="CX163" s="22"/>
      <c r="CY163" s="22"/>
      <c r="CZ163" s="22"/>
      <c r="DA163" s="22"/>
      <c r="DB163" s="22"/>
      <c r="DC163" s="22"/>
      <c r="DD163" s="22"/>
      <c r="DE163" s="22"/>
      <c r="DF163" s="22"/>
      <c r="DG163" s="22"/>
      <c r="DH163" s="22"/>
      <c r="DI163" s="22"/>
      <c r="DJ163" s="22"/>
      <c r="DK163" s="22"/>
      <c r="DL163" s="22"/>
      <c r="DM163" s="22"/>
      <c r="DN163" s="22"/>
      <c r="DO163" s="22"/>
      <c r="DP163" s="22"/>
      <c r="DQ163" s="22"/>
      <c r="DR163" s="22"/>
      <c r="DS163" s="22"/>
      <c r="DT163" s="22"/>
      <c r="DU163" s="22"/>
      <c r="DV163" s="22"/>
      <c r="DW163" s="22"/>
      <c r="DX163" s="22"/>
      <c r="DY163" s="22"/>
      <c r="DZ163" s="22"/>
      <c r="EA163" s="22"/>
      <c r="EB163" s="22"/>
      <c r="EC163" s="22"/>
      <c r="ED163" s="22"/>
      <c r="EE163" s="22"/>
      <c r="EF163" s="22"/>
      <c r="EG163" s="22"/>
      <c r="EH163" s="22"/>
      <c r="EI163" s="22"/>
      <c r="EJ163" s="22"/>
      <c r="EK163" s="22"/>
      <c r="EL163" s="22"/>
      <c r="EM163" s="22"/>
      <c r="EN163" s="22"/>
      <c r="EO163" s="22"/>
      <c r="EP163" s="22"/>
      <c r="EQ163" s="22"/>
      <c r="ER163" s="22"/>
      <c r="ES163" s="22"/>
      <c r="ET163" s="22"/>
      <c r="EU163" s="22"/>
      <c r="EV163" s="22"/>
      <c r="EW163" s="22"/>
      <c r="EX163" s="22"/>
      <c r="EY163" s="22"/>
      <c r="EZ163" s="22"/>
      <c r="FA163" s="22"/>
      <c r="FB163" s="22"/>
      <c r="FC163" s="22"/>
      <c r="FD163" s="22"/>
      <c r="FE163" s="22"/>
      <c r="FF163" s="22"/>
      <c r="FG163" s="22"/>
      <c r="FH163" s="22"/>
      <c r="FI163" s="22"/>
      <c r="FJ163" s="22"/>
      <c r="FK163" s="22"/>
      <c r="FL163" s="22"/>
      <c r="FM163" s="22"/>
      <c r="FN163" s="22"/>
      <c r="FO163" s="22"/>
      <c r="FP163" s="22"/>
      <c r="FQ163" s="22"/>
      <c r="FR163" s="22"/>
      <c r="FS163" s="22"/>
      <c r="FT163" s="22"/>
      <c r="FU163" s="22"/>
      <c r="FV163" s="22"/>
      <c r="FW163" s="22"/>
      <c r="FX163" s="22"/>
      <c r="FY163" s="22"/>
      <c r="FZ163" s="22"/>
      <c r="GA163" s="22"/>
      <c r="GB163" s="22"/>
      <c r="GC163" s="22"/>
      <c r="GD163" s="22"/>
      <c r="GE163" s="22"/>
      <c r="GF163" s="22"/>
      <c r="GG163" s="22"/>
      <c r="GH163" s="22"/>
      <c r="GI163" s="22"/>
      <c r="GJ163" s="22"/>
      <c r="GK163" s="22"/>
      <c r="GL163" s="22"/>
      <c r="GM163" s="22"/>
      <c r="GN163" s="22"/>
      <c r="GO163" s="22"/>
      <c r="GP163" s="22"/>
      <c r="GQ163" s="22"/>
    </row>
    <row r="164" spans="3:199" s="2" customFormat="1" ht="20.100000000000001" customHeight="1">
      <c r="C164" s="10">
        <v>40030524</v>
      </c>
      <c r="D164" s="15" t="s">
        <v>196</v>
      </c>
      <c r="E164" s="12">
        <v>0</v>
      </c>
      <c r="F164" s="15">
        <v>1402</v>
      </c>
      <c r="G164" s="12">
        <v>1</v>
      </c>
      <c r="H164" s="12">
        <v>40</v>
      </c>
      <c r="I164" s="12">
        <v>0.3</v>
      </c>
      <c r="J164" s="16">
        <v>0</v>
      </c>
      <c r="K164" s="16">
        <v>0</v>
      </c>
      <c r="L164" s="15">
        <v>1100</v>
      </c>
      <c r="M164" s="15">
        <v>0</v>
      </c>
      <c r="N164" s="15">
        <v>0</v>
      </c>
      <c r="O164" s="17">
        <v>0</v>
      </c>
      <c r="P164" s="17">
        <v>0</v>
      </c>
      <c r="Q164" s="19">
        <v>50</v>
      </c>
      <c r="R164" s="19">
        <v>130</v>
      </c>
      <c r="S164" s="19">
        <v>50</v>
      </c>
      <c r="T164" s="19">
        <v>90</v>
      </c>
      <c r="U164" s="18">
        <v>0</v>
      </c>
      <c r="V164" s="18">
        <v>0</v>
      </c>
      <c r="W164" s="18">
        <v>0</v>
      </c>
      <c r="X164" s="18">
        <v>0</v>
      </c>
      <c r="Y164" s="18">
        <v>0</v>
      </c>
      <c r="Z164" s="18">
        <v>0</v>
      </c>
      <c r="AA164" s="18">
        <v>0</v>
      </c>
      <c r="AB164" s="16">
        <v>0</v>
      </c>
      <c r="AC164" s="16">
        <v>0</v>
      </c>
      <c r="AD164" s="16">
        <v>0</v>
      </c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  <c r="BM164" s="22"/>
      <c r="BN164" s="22"/>
      <c r="BO164" s="22"/>
      <c r="BP164" s="22"/>
      <c r="BQ164" s="22"/>
      <c r="BR164" s="22"/>
      <c r="BS164" s="22"/>
      <c r="BT164" s="22"/>
      <c r="BU164" s="22"/>
      <c r="BV164" s="22"/>
      <c r="BW164" s="22"/>
      <c r="BX164" s="22"/>
      <c r="BY164" s="22"/>
      <c r="BZ164" s="22"/>
      <c r="CA164" s="22"/>
      <c r="CB164" s="22"/>
      <c r="CC164" s="22"/>
      <c r="CD164" s="22"/>
      <c r="CE164" s="22"/>
      <c r="CF164" s="22"/>
      <c r="CG164" s="22"/>
      <c r="CH164" s="22"/>
      <c r="CI164" s="22"/>
      <c r="CJ164" s="22"/>
      <c r="CK164" s="22"/>
      <c r="CL164" s="22"/>
      <c r="CM164" s="22"/>
      <c r="CN164" s="22"/>
      <c r="CO164" s="22"/>
      <c r="CP164" s="22"/>
      <c r="CQ164" s="22"/>
      <c r="CR164" s="22"/>
      <c r="CS164" s="22"/>
      <c r="CT164" s="22"/>
      <c r="CU164" s="22"/>
      <c r="CV164" s="22"/>
      <c r="CW164" s="22"/>
      <c r="CX164" s="22"/>
      <c r="CY164" s="22"/>
      <c r="CZ164" s="22"/>
      <c r="DA164" s="22"/>
      <c r="DB164" s="22"/>
      <c r="DC164" s="22"/>
      <c r="DD164" s="22"/>
      <c r="DE164" s="22"/>
      <c r="DF164" s="22"/>
      <c r="DG164" s="22"/>
      <c r="DH164" s="22"/>
      <c r="DI164" s="22"/>
      <c r="DJ164" s="22"/>
      <c r="DK164" s="22"/>
      <c r="DL164" s="22"/>
      <c r="DM164" s="22"/>
      <c r="DN164" s="22"/>
      <c r="DO164" s="22"/>
      <c r="DP164" s="22"/>
      <c r="DQ164" s="22"/>
      <c r="DR164" s="22"/>
      <c r="DS164" s="22"/>
      <c r="DT164" s="22"/>
      <c r="DU164" s="22"/>
      <c r="DV164" s="22"/>
      <c r="DW164" s="22"/>
      <c r="DX164" s="22"/>
      <c r="DY164" s="22"/>
      <c r="DZ164" s="22"/>
      <c r="EA164" s="22"/>
      <c r="EB164" s="22"/>
      <c r="EC164" s="22"/>
      <c r="ED164" s="22"/>
      <c r="EE164" s="22"/>
      <c r="EF164" s="22"/>
      <c r="EG164" s="22"/>
      <c r="EH164" s="22"/>
      <c r="EI164" s="22"/>
      <c r="EJ164" s="22"/>
      <c r="EK164" s="22"/>
      <c r="EL164" s="22"/>
      <c r="EM164" s="22"/>
      <c r="EN164" s="22"/>
      <c r="EO164" s="22"/>
      <c r="EP164" s="22"/>
      <c r="EQ164" s="22"/>
      <c r="ER164" s="22"/>
      <c r="ES164" s="22"/>
      <c r="ET164" s="22"/>
      <c r="EU164" s="22"/>
      <c r="EV164" s="22"/>
      <c r="EW164" s="22"/>
      <c r="EX164" s="22"/>
      <c r="EY164" s="22"/>
      <c r="EZ164" s="22"/>
      <c r="FA164" s="22"/>
      <c r="FB164" s="22"/>
      <c r="FC164" s="22"/>
      <c r="FD164" s="22"/>
      <c r="FE164" s="22"/>
      <c r="FF164" s="22"/>
      <c r="FG164" s="22"/>
      <c r="FH164" s="22"/>
      <c r="FI164" s="22"/>
      <c r="FJ164" s="22"/>
      <c r="FK164" s="22"/>
      <c r="FL164" s="22"/>
      <c r="FM164" s="22"/>
      <c r="FN164" s="22"/>
      <c r="FO164" s="22"/>
      <c r="FP164" s="22"/>
      <c r="FQ164" s="22"/>
      <c r="FR164" s="22"/>
      <c r="FS164" s="22"/>
      <c r="FT164" s="22"/>
      <c r="FU164" s="22"/>
      <c r="FV164" s="22"/>
      <c r="FW164" s="22"/>
      <c r="FX164" s="22"/>
      <c r="FY164" s="22"/>
      <c r="FZ164" s="22"/>
      <c r="GA164" s="22"/>
      <c r="GB164" s="22"/>
      <c r="GC164" s="22"/>
      <c r="GD164" s="22"/>
      <c r="GE164" s="22"/>
      <c r="GF164" s="22"/>
      <c r="GG164" s="22"/>
      <c r="GH164" s="22"/>
      <c r="GI164" s="22"/>
      <c r="GJ164" s="22"/>
      <c r="GK164" s="22"/>
      <c r="GL164" s="22"/>
      <c r="GM164" s="22"/>
      <c r="GN164" s="22"/>
      <c r="GO164" s="22"/>
      <c r="GP164" s="22"/>
      <c r="GQ164" s="22"/>
    </row>
    <row r="165" spans="3:199" s="2" customFormat="1" ht="20.100000000000001" customHeight="1">
      <c r="C165" s="10">
        <v>40030525</v>
      </c>
      <c r="D165" s="15" t="s">
        <v>197</v>
      </c>
      <c r="E165" s="12">
        <v>0</v>
      </c>
      <c r="F165" s="15">
        <v>1402</v>
      </c>
      <c r="G165" s="12">
        <v>1</v>
      </c>
      <c r="H165" s="12">
        <v>40</v>
      </c>
      <c r="I165" s="12">
        <v>0.3</v>
      </c>
      <c r="J165" s="16">
        <v>0</v>
      </c>
      <c r="K165" s="16">
        <v>0</v>
      </c>
      <c r="L165" s="15">
        <v>0</v>
      </c>
      <c r="M165" s="15">
        <v>30</v>
      </c>
      <c r="N165" s="15">
        <v>80</v>
      </c>
      <c r="O165" s="17">
        <v>0</v>
      </c>
      <c r="P165" s="17">
        <v>0</v>
      </c>
      <c r="Q165" s="19">
        <v>30</v>
      </c>
      <c r="R165" s="19">
        <v>60</v>
      </c>
      <c r="S165" s="19">
        <v>30</v>
      </c>
      <c r="T165" s="19">
        <v>80</v>
      </c>
      <c r="U165" s="18">
        <v>0</v>
      </c>
      <c r="V165" s="18">
        <v>0</v>
      </c>
      <c r="W165" s="18">
        <v>0</v>
      </c>
      <c r="X165" s="18">
        <v>0</v>
      </c>
      <c r="Y165" s="18">
        <v>0</v>
      </c>
      <c r="Z165" s="18">
        <v>0</v>
      </c>
      <c r="AA165" s="18">
        <v>0</v>
      </c>
      <c r="AB165" s="16">
        <v>0</v>
      </c>
      <c r="AC165" s="16">
        <v>0</v>
      </c>
      <c r="AD165" s="16">
        <v>0</v>
      </c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  <c r="BM165" s="22"/>
      <c r="BN165" s="22"/>
      <c r="BO165" s="22"/>
      <c r="BP165" s="22"/>
      <c r="BQ165" s="22"/>
      <c r="BR165" s="22"/>
      <c r="BS165" s="22"/>
      <c r="BT165" s="22"/>
      <c r="BU165" s="22"/>
      <c r="BV165" s="22"/>
      <c r="BW165" s="22"/>
      <c r="BX165" s="22"/>
      <c r="BY165" s="22"/>
      <c r="BZ165" s="22"/>
      <c r="CA165" s="22"/>
      <c r="CB165" s="22"/>
      <c r="CC165" s="22"/>
      <c r="CD165" s="22"/>
      <c r="CE165" s="22"/>
      <c r="CF165" s="22"/>
      <c r="CG165" s="22"/>
      <c r="CH165" s="22"/>
      <c r="CI165" s="22"/>
      <c r="CJ165" s="22"/>
      <c r="CK165" s="22"/>
      <c r="CL165" s="22"/>
      <c r="CM165" s="22"/>
      <c r="CN165" s="22"/>
      <c r="CO165" s="22"/>
      <c r="CP165" s="22"/>
      <c r="CQ165" s="22"/>
      <c r="CR165" s="22"/>
      <c r="CS165" s="22"/>
      <c r="CT165" s="22"/>
      <c r="CU165" s="22"/>
      <c r="CV165" s="22"/>
      <c r="CW165" s="22"/>
      <c r="CX165" s="22"/>
      <c r="CY165" s="22"/>
      <c r="CZ165" s="22"/>
      <c r="DA165" s="22"/>
      <c r="DB165" s="22"/>
      <c r="DC165" s="22"/>
      <c r="DD165" s="22"/>
      <c r="DE165" s="22"/>
      <c r="DF165" s="22"/>
      <c r="DG165" s="22"/>
      <c r="DH165" s="22"/>
      <c r="DI165" s="22"/>
      <c r="DJ165" s="22"/>
      <c r="DK165" s="22"/>
      <c r="DL165" s="22"/>
      <c r="DM165" s="22"/>
      <c r="DN165" s="22"/>
      <c r="DO165" s="22"/>
      <c r="DP165" s="22"/>
      <c r="DQ165" s="22"/>
      <c r="DR165" s="22"/>
      <c r="DS165" s="22"/>
      <c r="DT165" s="22"/>
      <c r="DU165" s="22"/>
      <c r="DV165" s="22"/>
      <c r="DW165" s="22"/>
      <c r="DX165" s="22"/>
      <c r="DY165" s="22"/>
      <c r="DZ165" s="22"/>
      <c r="EA165" s="22"/>
      <c r="EB165" s="22"/>
      <c r="EC165" s="22"/>
      <c r="ED165" s="22"/>
      <c r="EE165" s="22"/>
      <c r="EF165" s="22"/>
      <c r="EG165" s="22"/>
      <c r="EH165" s="22"/>
      <c r="EI165" s="22"/>
      <c r="EJ165" s="22"/>
      <c r="EK165" s="22"/>
      <c r="EL165" s="22"/>
      <c r="EM165" s="22"/>
      <c r="EN165" s="22"/>
      <c r="EO165" s="22"/>
      <c r="EP165" s="22"/>
      <c r="EQ165" s="22"/>
      <c r="ER165" s="22"/>
      <c r="ES165" s="22"/>
      <c r="ET165" s="22"/>
      <c r="EU165" s="22"/>
      <c r="EV165" s="22"/>
      <c r="EW165" s="22"/>
      <c r="EX165" s="22"/>
      <c r="EY165" s="22"/>
      <c r="EZ165" s="22"/>
      <c r="FA165" s="22"/>
      <c r="FB165" s="22"/>
      <c r="FC165" s="22"/>
      <c r="FD165" s="22"/>
      <c r="FE165" s="22"/>
      <c r="FF165" s="22"/>
      <c r="FG165" s="22"/>
      <c r="FH165" s="22"/>
      <c r="FI165" s="22"/>
      <c r="FJ165" s="22"/>
      <c r="FK165" s="22"/>
      <c r="FL165" s="22"/>
      <c r="FM165" s="22"/>
      <c r="FN165" s="22"/>
      <c r="FO165" s="22"/>
      <c r="FP165" s="22"/>
      <c r="FQ165" s="22"/>
      <c r="FR165" s="22"/>
      <c r="FS165" s="22"/>
      <c r="FT165" s="22"/>
      <c r="FU165" s="22"/>
      <c r="FV165" s="22"/>
      <c r="FW165" s="22"/>
      <c r="FX165" s="22"/>
      <c r="FY165" s="22"/>
      <c r="FZ165" s="22"/>
      <c r="GA165" s="22"/>
      <c r="GB165" s="22"/>
      <c r="GC165" s="22"/>
      <c r="GD165" s="22"/>
      <c r="GE165" s="22"/>
      <c r="GF165" s="22"/>
      <c r="GG165" s="22"/>
      <c r="GH165" s="22"/>
      <c r="GI165" s="22"/>
      <c r="GJ165" s="22"/>
      <c r="GK165" s="22"/>
      <c r="GL165" s="22"/>
      <c r="GM165" s="22"/>
      <c r="GN165" s="22"/>
      <c r="GO165" s="22"/>
      <c r="GP165" s="22"/>
      <c r="GQ165" s="22"/>
    </row>
    <row r="166" spans="3:199" s="2" customFormat="1" ht="20.100000000000001" customHeight="1">
      <c r="C166" s="10">
        <v>40030526</v>
      </c>
      <c r="D166" s="15" t="s">
        <v>198</v>
      </c>
      <c r="E166" s="12">
        <v>0</v>
      </c>
      <c r="F166" s="15">
        <v>1402</v>
      </c>
      <c r="G166" s="12">
        <v>1</v>
      </c>
      <c r="H166" s="12">
        <v>40</v>
      </c>
      <c r="I166" s="12">
        <v>0.3</v>
      </c>
      <c r="J166" s="16">
        <v>0</v>
      </c>
      <c r="K166" s="16">
        <v>0</v>
      </c>
      <c r="L166" s="15">
        <v>0</v>
      </c>
      <c r="M166" s="15">
        <v>60</v>
      </c>
      <c r="N166" s="15">
        <v>130</v>
      </c>
      <c r="O166" s="17">
        <v>0</v>
      </c>
      <c r="P166" s="17">
        <v>0</v>
      </c>
      <c r="Q166" s="19">
        <v>20</v>
      </c>
      <c r="R166" s="19">
        <v>30</v>
      </c>
      <c r="S166" s="19">
        <v>20</v>
      </c>
      <c r="T166" s="19">
        <v>30</v>
      </c>
      <c r="U166" s="18">
        <v>0</v>
      </c>
      <c r="V166" s="18">
        <v>0</v>
      </c>
      <c r="W166" s="18">
        <v>0</v>
      </c>
      <c r="X166" s="18">
        <v>0</v>
      </c>
      <c r="Y166" s="18">
        <v>0</v>
      </c>
      <c r="Z166" s="18">
        <v>0</v>
      </c>
      <c r="AA166" s="18">
        <v>0</v>
      </c>
      <c r="AB166" s="16">
        <v>0</v>
      </c>
      <c r="AC166" s="16">
        <v>0</v>
      </c>
      <c r="AD166" s="16">
        <v>0</v>
      </c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  <c r="BM166" s="22"/>
      <c r="BN166" s="22"/>
      <c r="BO166" s="22"/>
      <c r="BP166" s="22"/>
      <c r="BQ166" s="22"/>
      <c r="BR166" s="22"/>
      <c r="BS166" s="22"/>
      <c r="BT166" s="22"/>
      <c r="BU166" s="22"/>
      <c r="BV166" s="22"/>
      <c r="BW166" s="22"/>
      <c r="BX166" s="22"/>
      <c r="BY166" s="22"/>
      <c r="BZ166" s="22"/>
      <c r="CA166" s="22"/>
      <c r="CB166" s="22"/>
      <c r="CC166" s="22"/>
      <c r="CD166" s="22"/>
      <c r="CE166" s="22"/>
      <c r="CF166" s="22"/>
      <c r="CG166" s="22"/>
      <c r="CH166" s="22"/>
      <c r="CI166" s="22"/>
      <c r="CJ166" s="22"/>
      <c r="CK166" s="22"/>
      <c r="CL166" s="22"/>
      <c r="CM166" s="22"/>
      <c r="CN166" s="22"/>
      <c r="CO166" s="22"/>
      <c r="CP166" s="22"/>
      <c r="CQ166" s="22"/>
      <c r="CR166" s="22"/>
      <c r="CS166" s="22"/>
      <c r="CT166" s="22"/>
      <c r="CU166" s="22"/>
      <c r="CV166" s="22"/>
      <c r="CW166" s="22"/>
      <c r="CX166" s="22"/>
      <c r="CY166" s="22"/>
      <c r="CZ166" s="22"/>
      <c r="DA166" s="22"/>
      <c r="DB166" s="22"/>
      <c r="DC166" s="22"/>
      <c r="DD166" s="22"/>
      <c r="DE166" s="22"/>
      <c r="DF166" s="22"/>
      <c r="DG166" s="22"/>
      <c r="DH166" s="22"/>
      <c r="DI166" s="22"/>
      <c r="DJ166" s="22"/>
      <c r="DK166" s="22"/>
      <c r="DL166" s="22"/>
      <c r="DM166" s="22"/>
      <c r="DN166" s="22"/>
      <c r="DO166" s="22"/>
      <c r="DP166" s="22"/>
      <c r="DQ166" s="22"/>
      <c r="DR166" s="22"/>
      <c r="DS166" s="22"/>
      <c r="DT166" s="22"/>
      <c r="DU166" s="22"/>
      <c r="DV166" s="22"/>
      <c r="DW166" s="22"/>
      <c r="DX166" s="22"/>
      <c r="DY166" s="22"/>
      <c r="DZ166" s="22"/>
      <c r="EA166" s="22"/>
      <c r="EB166" s="22"/>
      <c r="EC166" s="22"/>
      <c r="ED166" s="22"/>
      <c r="EE166" s="22"/>
      <c r="EF166" s="22"/>
      <c r="EG166" s="22"/>
      <c r="EH166" s="22"/>
      <c r="EI166" s="22"/>
      <c r="EJ166" s="22"/>
      <c r="EK166" s="22"/>
      <c r="EL166" s="22"/>
      <c r="EM166" s="22"/>
      <c r="EN166" s="22"/>
      <c r="EO166" s="22"/>
      <c r="EP166" s="22"/>
      <c r="EQ166" s="22"/>
      <c r="ER166" s="22"/>
      <c r="ES166" s="22"/>
      <c r="ET166" s="22"/>
      <c r="EU166" s="22"/>
      <c r="EV166" s="22"/>
      <c r="EW166" s="22"/>
      <c r="EX166" s="22"/>
      <c r="EY166" s="22"/>
      <c r="EZ166" s="22"/>
      <c r="FA166" s="22"/>
      <c r="FB166" s="22"/>
      <c r="FC166" s="22"/>
      <c r="FD166" s="22"/>
      <c r="FE166" s="22"/>
      <c r="FF166" s="22"/>
      <c r="FG166" s="22"/>
      <c r="FH166" s="22"/>
      <c r="FI166" s="22"/>
      <c r="FJ166" s="22"/>
      <c r="FK166" s="22"/>
      <c r="FL166" s="22"/>
      <c r="FM166" s="22"/>
      <c r="FN166" s="22"/>
      <c r="FO166" s="22"/>
      <c r="FP166" s="22"/>
      <c r="FQ166" s="22"/>
      <c r="FR166" s="22"/>
      <c r="FS166" s="22"/>
      <c r="FT166" s="22"/>
      <c r="FU166" s="22"/>
      <c r="FV166" s="22"/>
      <c r="FW166" s="22"/>
      <c r="FX166" s="22"/>
      <c r="FY166" s="22"/>
      <c r="FZ166" s="22"/>
      <c r="GA166" s="22"/>
      <c r="GB166" s="22"/>
      <c r="GC166" s="22"/>
      <c r="GD166" s="22"/>
      <c r="GE166" s="22"/>
      <c r="GF166" s="22"/>
      <c r="GG166" s="22"/>
      <c r="GH166" s="22"/>
      <c r="GI166" s="22"/>
      <c r="GJ166" s="22"/>
      <c r="GK166" s="22"/>
      <c r="GL166" s="22"/>
      <c r="GM166" s="22"/>
      <c r="GN166" s="22"/>
      <c r="GO166" s="22"/>
      <c r="GP166" s="22"/>
      <c r="GQ166" s="22"/>
    </row>
    <row r="167" spans="3:199" s="2" customFormat="1" ht="20.100000000000001" customHeight="1">
      <c r="C167" s="10">
        <v>40030527</v>
      </c>
      <c r="D167" s="15" t="s">
        <v>199</v>
      </c>
      <c r="E167" s="12">
        <v>0</v>
      </c>
      <c r="F167" s="15">
        <v>1402</v>
      </c>
      <c r="G167" s="12">
        <v>1</v>
      </c>
      <c r="H167" s="12">
        <v>40</v>
      </c>
      <c r="I167" s="12">
        <v>0.3</v>
      </c>
      <c r="J167" s="16">
        <v>0</v>
      </c>
      <c r="K167" s="16">
        <v>0</v>
      </c>
      <c r="L167" s="15">
        <v>0</v>
      </c>
      <c r="M167" s="15">
        <v>40</v>
      </c>
      <c r="N167" s="15">
        <v>120</v>
      </c>
      <c r="O167" s="17">
        <v>0</v>
      </c>
      <c r="P167" s="17">
        <v>0</v>
      </c>
      <c r="Q167" s="19">
        <v>0</v>
      </c>
      <c r="R167" s="19">
        <v>0</v>
      </c>
      <c r="S167" s="19">
        <v>10</v>
      </c>
      <c r="T167" s="19">
        <v>40</v>
      </c>
      <c r="U167" s="18">
        <v>0</v>
      </c>
      <c r="V167" s="18">
        <v>0</v>
      </c>
      <c r="W167" s="18">
        <v>0</v>
      </c>
      <c r="X167" s="18">
        <v>0</v>
      </c>
      <c r="Y167" s="18">
        <v>0</v>
      </c>
      <c r="Z167" s="18">
        <v>0</v>
      </c>
      <c r="AA167" s="18">
        <v>0</v>
      </c>
      <c r="AB167" s="16">
        <v>0</v>
      </c>
      <c r="AC167" s="16">
        <v>0</v>
      </c>
      <c r="AD167" s="16">
        <v>0</v>
      </c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  <c r="BM167" s="22"/>
      <c r="BN167" s="22"/>
      <c r="BO167" s="22"/>
      <c r="BP167" s="22"/>
      <c r="BQ167" s="22"/>
      <c r="BR167" s="22"/>
      <c r="BS167" s="22"/>
      <c r="BT167" s="22"/>
      <c r="BU167" s="22"/>
      <c r="BV167" s="22"/>
      <c r="BW167" s="22"/>
      <c r="BX167" s="22"/>
      <c r="BY167" s="22"/>
      <c r="BZ167" s="22"/>
      <c r="CA167" s="22"/>
      <c r="CB167" s="22"/>
      <c r="CC167" s="22"/>
      <c r="CD167" s="22"/>
      <c r="CE167" s="22"/>
      <c r="CF167" s="22"/>
      <c r="CG167" s="22"/>
      <c r="CH167" s="22"/>
      <c r="CI167" s="22"/>
      <c r="CJ167" s="22"/>
      <c r="CK167" s="22"/>
      <c r="CL167" s="22"/>
      <c r="CM167" s="22"/>
      <c r="CN167" s="22"/>
      <c r="CO167" s="22"/>
      <c r="CP167" s="22"/>
      <c r="CQ167" s="22"/>
      <c r="CR167" s="22"/>
      <c r="CS167" s="22"/>
      <c r="CT167" s="22"/>
      <c r="CU167" s="22"/>
      <c r="CV167" s="22"/>
      <c r="CW167" s="22"/>
      <c r="CX167" s="22"/>
      <c r="CY167" s="22"/>
      <c r="CZ167" s="22"/>
      <c r="DA167" s="22"/>
      <c r="DB167" s="22"/>
      <c r="DC167" s="22"/>
      <c r="DD167" s="22"/>
      <c r="DE167" s="22"/>
      <c r="DF167" s="22"/>
      <c r="DG167" s="22"/>
      <c r="DH167" s="22"/>
      <c r="DI167" s="22"/>
      <c r="DJ167" s="22"/>
      <c r="DK167" s="22"/>
      <c r="DL167" s="22"/>
      <c r="DM167" s="22"/>
      <c r="DN167" s="22"/>
      <c r="DO167" s="22"/>
      <c r="DP167" s="22"/>
      <c r="DQ167" s="22"/>
      <c r="DR167" s="22"/>
      <c r="DS167" s="22"/>
      <c r="DT167" s="22"/>
      <c r="DU167" s="22"/>
      <c r="DV167" s="22"/>
      <c r="DW167" s="22"/>
      <c r="DX167" s="22"/>
      <c r="DY167" s="22"/>
      <c r="DZ167" s="22"/>
      <c r="EA167" s="22"/>
      <c r="EB167" s="22"/>
      <c r="EC167" s="22"/>
      <c r="ED167" s="22"/>
      <c r="EE167" s="22"/>
      <c r="EF167" s="22"/>
      <c r="EG167" s="22"/>
      <c r="EH167" s="22"/>
      <c r="EI167" s="22"/>
      <c r="EJ167" s="22"/>
      <c r="EK167" s="22"/>
      <c r="EL167" s="22"/>
      <c r="EM167" s="22"/>
      <c r="EN167" s="22"/>
      <c r="EO167" s="22"/>
      <c r="EP167" s="22"/>
      <c r="EQ167" s="22"/>
      <c r="ER167" s="22"/>
      <c r="ES167" s="22"/>
      <c r="ET167" s="22"/>
      <c r="EU167" s="22"/>
      <c r="EV167" s="22"/>
      <c r="EW167" s="22"/>
      <c r="EX167" s="22"/>
      <c r="EY167" s="22"/>
      <c r="EZ167" s="22"/>
      <c r="FA167" s="22"/>
      <c r="FB167" s="22"/>
      <c r="FC167" s="22"/>
      <c r="FD167" s="22"/>
      <c r="FE167" s="22"/>
      <c r="FF167" s="22"/>
      <c r="FG167" s="22"/>
      <c r="FH167" s="22"/>
      <c r="FI167" s="22"/>
      <c r="FJ167" s="22"/>
      <c r="FK167" s="22"/>
      <c r="FL167" s="22"/>
      <c r="FM167" s="22"/>
      <c r="FN167" s="22"/>
      <c r="FO167" s="22"/>
      <c r="FP167" s="22"/>
      <c r="FQ167" s="22"/>
      <c r="FR167" s="22"/>
      <c r="FS167" s="22"/>
      <c r="FT167" s="22"/>
      <c r="FU167" s="22"/>
      <c r="FV167" s="22"/>
      <c r="FW167" s="22"/>
      <c r="FX167" s="22"/>
      <c r="FY167" s="22"/>
      <c r="FZ167" s="22"/>
      <c r="GA167" s="22"/>
      <c r="GB167" s="22"/>
      <c r="GC167" s="22"/>
      <c r="GD167" s="22"/>
      <c r="GE167" s="22"/>
      <c r="GF167" s="22"/>
      <c r="GG167" s="22"/>
      <c r="GH167" s="22"/>
      <c r="GI167" s="22"/>
      <c r="GJ167" s="22"/>
      <c r="GK167" s="22"/>
      <c r="GL167" s="22"/>
      <c r="GM167" s="22"/>
      <c r="GN167" s="22"/>
      <c r="GO167" s="22"/>
      <c r="GP167" s="22"/>
      <c r="GQ167" s="22"/>
    </row>
    <row r="168" spans="3:199" s="2" customFormat="1" ht="20.100000000000001" customHeight="1">
      <c r="C168" s="10">
        <v>40030528</v>
      </c>
      <c r="D168" s="15" t="s">
        <v>200</v>
      </c>
      <c r="E168" s="12">
        <v>0</v>
      </c>
      <c r="F168" s="15">
        <v>1402</v>
      </c>
      <c r="G168" s="12">
        <v>1</v>
      </c>
      <c r="H168" s="12">
        <v>40</v>
      </c>
      <c r="I168" s="12">
        <v>0.3</v>
      </c>
      <c r="J168" s="16">
        <v>0</v>
      </c>
      <c r="K168" s="16">
        <v>0</v>
      </c>
      <c r="L168" s="15">
        <v>0</v>
      </c>
      <c r="M168" s="15">
        <v>30</v>
      </c>
      <c r="N168" s="15">
        <v>60</v>
      </c>
      <c r="O168" s="17">
        <v>0</v>
      </c>
      <c r="P168" s="17">
        <v>0</v>
      </c>
      <c r="Q168" s="19">
        <v>30</v>
      </c>
      <c r="R168" s="19">
        <v>60</v>
      </c>
      <c r="S168" s="19">
        <v>0</v>
      </c>
      <c r="T168" s="19">
        <v>0</v>
      </c>
      <c r="U168" s="18">
        <v>0</v>
      </c>
      <c r="V168" s="18">
        <v>0</v>
      </c>
      <c r="W168" s="18">
        <v>0</v>
      </c>
      <c r="X168" s="18">
        <v>0</v>
      </c>
      <c r="Y168" s="18">
        <v>0</v>
      </c>
      <c r="Z168" s="18">
        <v>0</v>
      </c>
      <c r="AA168" s="18">
        <v>0</v>
      </c>
      <c r="AB168" s="16">
        <v>0</v>
      </c>
      <c r="AC168" s="16">
        <v>0</v>
      </c>
      <c r="AD168" s="16">
        <v>0</v>
      </c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  <c r="BM168" s="22"/>
      <c r="BN168" s="22"/>
      <c r="BO168" s="22"/>
      <c r="BP168" s="22"/>
      <c r="BQ168" s="22"/>
      <c r="BR168" s="22"/>
      <c r="BS168" s="22"/>
      <c r="BT168" s="22"/>
      <c r="BU168" s="22"/>
      <c r="BV168" s="22"/>
      <c r="BW168" s="22"/>
      <c r="BX168" s="22"/>
      <c r="BY168" s="22"/>
      <c r="BZ168" s="22"/>
      <c r="CA168" s="22"/>
      <c r="CB168" s="22"/>
      <c r="CC168" s="22"/>
      <c r="CD168" s="22"/>
      <c r="CE168" s="22"/>
      <c r="CF168" s="22"/>
      <c r="CG168" s="22"/>
      <c r="CH168" s="22"/>
      <c r="CI168" s="22"/>
      <c r="CJ168" s="22"/>
      <c r="CK168" s="22"/>
      <c r="CL168" s="22"/>
      <c r="CM168" s="22"/>
      <c r="CN168" s="22"/>
      <c r="CO168" s="22"/>
      <c r="CP168" s="22"/>
      <c r="CQ168" s="22"/>
      <c r="CR168" s="22"/>
      <c r="CS168" s="22"/>
      <c r="CT168" s="22"/>
      <c r="CU168" s="22"/>
      <c r="CV168" s="22"/>
      <c r="CW168" s="22"/>
      <c r="CX168" s="22"/>
      <c r="CY168" s="22"/>
      <c r="CZ168" s="22"/>
      <c r="DA168" s="22"/>
      <c r="DB168" s="22"/>
      <c r="DC168" s="22"/>
      <c r="DD168" s="22"/>
      <c r="DE168" s="22"/>
      <c r="DF168" s="22"/>
      <c r="DG168" s="22"/>
      <c r="DH168" s="22"/>
      <c r="DI168" s="22"/>
      <c r="DJ168" s="22"/>
      <c r="DK168" s="22"/>
      <c r="DL168" s="22"/>
      <c r="DM168" s="22"/>
      <c r="DN168" s="22"/>
      <c r="DO168" s="22"/>
      <c r="DP168" s="22"/>
      <c r="DQ168" s="22"/>
      <c r="DR168" s="22"/>
      <c r="DS168" s="22"/>
      <c r="DT168" s="22"/>
      <c r="DU168" s="22"/>
      <c r="DV168" s="22"/>
      <c r="DW168" s="22"/>
      <c r="DX168" s="22"/>
      <c r="DY168" s="22"/>
      <c r="DZ168" s="22"/>
      <c r="EA168" s="22"/>
      <c r="EB168" s="22"/>
      <c r="EC168" s="22"/>
      <c r="ED168" s="22"/>
      <c r="EE168" s="22"/>
      <c r="EF168" s="22"/>
      <c r="EG168" s="22"/>
      <c r="EH168" s="22"/>
      <c r="EI168" s="22"/>
      <c r="EJ168" s="22"/>
      <c r="EK168" s="22"/>
      <c r="EL168" s="22"/>
      <c r="EM168" s="22"/>
      <c r="EN168" s="22"/>
      <c r="EO168" s="22"/>
      <c r="EP168" s="22"/>
      <c r="EQ168" s="22"/>
      <c r="ER168" s="22"/>
      <c r="ES168" s="22"/>
      <c r="ET168" s="22"/>
      <c r="EU168" s="22"/>
      <c r="EV168" s="22"/>
      <c r="EW168" s="22"/>
      <c r="EX168" s="22"/>
      <c r="EY168" s="22"/>
      <c r="EZ168" s="22"/>
      <c r="FA168" s="22"/>
      <c r="FB168" s="22"/>
      <c r="FC168" s="22"/>
      <c r="FD168" s="22"/>
      <c r="FE168" s="22"/>
      <c r="FF168" s="22"/>
      <c r="FG168" s="22"/>
      <c r="FH168" s="22"/>
      <c r="FI168" s="22"/>
      <c r="FJ168" s="22"/>
      <c r="FK168" s="22"/>
      <c r="FL168" s="22"/>
      <c r="FM168" s="22"/>
      <c r="FN168" s="22"/>
      <c r="FO168" s="22"/>
      <c r="FP168" s="22"/>
      <c r="FQ168" s="22"/>
      <c r="FR168" s="22"/>
      <c r="FS168" s="22"/>
      <c r="FT168" s="22"/>
      <c r="FU168" s="22"/>
      <c r="FV168" s="22"/>
      <c r="FW168" s="22"/>
      <c r="FX168" s="22"/>
      <c r="FY168" s="22"/>
      <c r="FZ168" s="22"/>
      <c r="GA168" s="22"/>
      <c r="GB168" s="22"/>
      <c r="GC168" s="22"/>
      <c r="GD168" s="22"/>
      <c r="GE168" s="22"/>
      <c r="GF168" s="22"/>
      <c r="GG168" s="22"/>
      <c r="GH168" s="22"/>
      <c r="GI168" s="22"/>
      <c r="GJ168" s="22"/>
      <c r="GK168" s="22"/>
      <c r="GL168" s="22"/>
      <c r="GM168" s="22"/>
      <c r="GN168" s="22"/>
      <c r="GO168" s="22"/>
      <c r="GP168" s="22"/>
      <c r="GQ168" s="22"/>
    </row>
    <row r="169" spans="3:199" s="2" customFormat="1" ht="20.100000000000001" customHeight="1">
      <c r="C169" s="10">
        <v>40030529</v>
      </c>
      <c r="D169" s="15" t="s">
        <v>201</v>
      </c>
      <c r="E169" s="12">
        <v>0</v>
      </c>
      <c r="F169" s="15">
        <v>1402</v>
      </c>
      <c r="G169" s="12">
        <v>1</v>
      </c>
      <c r="H169" s="12">
        <v>40</v>
      </c>
      <c r="I169" s="12">
        <v>0.3</v>
      </c>
      <c r="J169" s="16">
        <v>0</v>
      </c>
      <c r="K169" s="16">
        <v>0</v>
      </c>
      <c r="L169" s="15">
        <v>0</v>
      </c>
      <c r="M169" s="15">
        <v>30</v>
      </c>
      <c r="N169" s="15">
        <v>90</v>
      </c>
      <c r="O169" s="17">
        <v>0</v>
      </c>
      <c r="P169" s="17">
        <v>0</v>
      </c>
      <c r="Q169" s="19">
        <v>0</v>
      </c>
      <c r="R169" s="19">
        <v>0</v>
      </c>
      <c r="S169" s="19">
        <v>20</v>
      </c>
      <c r="T169" s="19">
        <v>40</v>
      </c>
      <c r="U169" s="18">
        <v>0</v>
      </c>
      <c r="V169" s="18">
        <v>0</v>
      </c>
      <c r="W169" s="18">
        <v>0</v>
      </c>
      <c r="X169" s="18">
        <v>0</v>
      </c>
      <c r="Y169" s="18">
        <v>0</v>
      </c>
      <c r="Z169" s="18">
        <v>0</v>
      </c>
      <c r="AA169" s="18">
        <v>0</v>
      </c>
      <c r="AB169" s="16">
        <v>0</v>
      </c>
      <c r="AC169" s="16">
        <v>0</v>
      </c>
      <c r="AD169" s="16">
        <v>0</v>
      </c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  <c r="BM169" s="22"/>
      <c r="BN169" s="22"/>
      <c r="BO169" s="22"/>
      <c r="BP169" s="22"/>
      <c r="BQ169" s="22"/>
      <c r="BR169" s="22"/>
      <c r="BS169" s="22"/>
      <c r="BT169" s="22"/>
      <c r="BU169" s="22"/>
      <c r="BV169" s="22"/>
      <c r="BW169" s="22"/>
      <c r="BX169" s="22"/>
      <c r="BY169" s="22"/>
      <c r="BZ169" s="22"/>
      <c r="CA169" s="22"/>
      <c r="CB169" s="22"/>
      <c r="CC169" s="22"/>
      <c r="CD169" s="22"/>
      <c r="CE169" s="22"/>
      <c r="CF169" s="22"/>
      <c r="CG169" s="22"/>
      <c r="CH169" s="22"/>
      <c r="CI169" s="22"/>
      <c r="CJ169" s="22"/>
      <c r="CK169" s="22"/>
      <c r="CL169" s="22"/>
      <c r="CM169" s="22"/>
      <c r="CN169" s="22"/>
      <c r="CO169" s="22"/>
      <c r="CP169" s="22"/>
      <c r="CQ169" s="22"/>
      <c r="CR169" s="22"/>
      <c r="CS169" s="22"/>
      <c r="CT169" s="22"/>
      <c r="CU169" s="22"/>
      <c r="CV169" s="22"/>
      <c r="CW169" s="22"/>
      <c r="CX169" s="22"/>
      <c r="CY169" s="22"/>
      <c r="CZ169" s="22"/>
      <c r="DA169" s="22"/>
      <c r="DB169" s="22"/>
      <c r="DC169" s="22"/>
      <c r="DD169" s="22"/>
      <c r="DE169" s="22"/>
      <c r="DF169" s="22"/>
      <c r="DG169" s="22"/>
      <c r="DH169" s="22"/>
      <c r="DI169" s="22"/>
      <c r="DJ169" s="22"/>
      <c r="DK169" s="22"/>
      <c r="DL169" s="22"/>
      <c r="DM169" s="22"/>
      <c r="DN169" s="22"/>
      <c r="DO169" s="22"/>
      <c r="DP169" s="22"/>
      <c r="DQ169" s="22"/>
      <c r="DR169" s="22"/>
      <c r="DS169" s="22"/>
      <c r="DT169" s="22"/>
      <c r="DU169" s="22"/>
      <c r="DV169" s="22"/>
      <c r="DW169" s="22"/>
      <c r="DX169" s="22"/>
      <c r="DY169" s="22"/>
      <c r="DZ169" s="22"/>
      <c r="EA169" s="22"/>
      <c r="EB169" s="22"/>
      <c r="EC169" s="22"/>
      <c r="ED169" s="22"/>
      <c r="EE169" s="22"/>
      <c r="EF169" s="22"/>
      <c r="EG169" s="22"/>
      <c r="EH169" s="22"/>
      <c r="EI169" s="22"/>
      <c r="EJ169" s="22"/>
      <c r="EK169" s="22"/>
      <c r="EL169" s="22"/>
      <c r="EM169" s="22"/>
      <c r="EN169" s="22"/>
      <c r="EO169" s="22"/>
      <c r="EP169" s="22"/>
      <c r="EQ169" s="22"/>
      <c r="ER169" s="22"/>
      <c r="ES169" s="22"/>
      <c r="ET169" s="22"/>
      <c r="EU169" s="22"/>
      <c r="EV169" s="22"/>
      <c r="EW169" s="22"/>
      <c r="EX169" s="22"/>
      <c r="EY169" s="22"/>
      <c r="EZ169" s="22"/>
      <c r="FA169" s="22"/>
      <c r="FB169" s="22"/>
      <c r="FC169" s="22"/>
      <c r="FD169" s="22"/>
      <c r="FE169" s="22"/>
      <c r="FF169" s="22"/>
      <c r="FG169" s="22"/>
      <c r="FH169" s="22"/>
      <c r="FI169" s="22"/>
      <c r="FJ169" s="22"/>
      <c r="FK169" s="22"/>
      <c r="FL169" s="22"/>
      <c r="FM169" s="22"/>
      <c r="FN169" s="22"/>
      <c r="FO169" s="22"/>
      <c r="FP169" s="22"/>
      <c r="FQ169" s="22"/>
      <c r="FR169" s="22"/>
      <c r="FS169" s="22"/>
      <c r="FT169" s="22"/>
      <c r="FU169" s="22"/>
      <c r="FV169" s="22"/>
      <c r="FW169" s="22"/>
      <c r="FX169" s="22"/>
      <c r="FY169" s="22"/>
      <c r="FZ169" s="22"/>
      <c r="GA169" s="22"/>
      <c r="GB169" s="22"/>
      <c r="GC169" s="22"/>
      <c r="GD169" s="22"/>
      <c r="GE169" s="22"/>
      <c r="GF169" s="22"/>
      <c r="GG169" s="22"/>
      <c r="GH169" s="22"/>
      <c r="GI169" s="22"/>
      <c r="GJ169" s="22"/>
      <c r="GK169" s="22"/>
      <c r="GL169" s="22"/>
      <c r="GM169" s="22"/>
      <c r="GN169" s="22"/>
      <c r="GO169" s="22"/>
      <c r="GP169" s="22"/>
      <c r="GQ169" s="22"/>
    </row>
    <row r="170" spans="3:199" s="2" customFormat="1" ht="20.100000000000001" customHeight="1">
      <c r="C170" s="13">
        <v>40030530</v>
      </c>
      <c r="D170" s="18" t="s">
        <v>202</v>
      </c>
      <c r="E170" s="12">
        <v>0</v>
      </c>
      <c r="F170" s="15">
        <v>0</v>
      </c>
      <c r="G170" s="12">
        <v>1</v>
      </c>
      <c r="H170" s="12">
        <v>40</v>
      </c>
      <c r="I170" s="12">
        <v>0.3</v>
      </c>
      <c r="J170" s="16">
        <v>0</v>
      </c>
      <c r="K170" s="16">
        <v>0</v>
      </c>
      <c r="L170" s="18">
        <v>0</v>
      </c>
      <c r="M170" s="18">
        <v>0</v>
      </c>
      <c r="N170" s="18">
        <v>0</v>
      </c>
      <c r="O170" s="17">
        <v>0</v>
      </c>
      <c r="P170" s="17">
        <v>0</v>
      </c>
      <c r="Q170" s="12">
        <v>10</v>
      </c>
      <c r="R170" s="12">
        <v>20</v>
      </c>
      <c r="S170" s="12">
        <v>10</v>
      </c>
      <c r="T170" s="12">
        <v>20</v>
      </c>
      <c r="U170" s="18">
        <v>0</v>
      </c>
      <c r="V170" s="18">
        <v>0</v>
      </c>
      <c r="W170" s="18">
        <v>0</v>
      </c>
      <c r="X170" s="18">
        <v>0</v>
      </c>
      <c r="Y170" s="18">
        <v>0</v>
      </c>
      <c r="Z170" s="18">
        <v>0</v>
      </c>
      <c r="AA170" s="18">
        <v>0</v>
      </c>
      <c r="AB170" s="16">
        <v>0</v>
      </c>
      <c r="AC170" s="16">
        <v>0</v>
      </c>
      <c r="AD170" s="16">
        <v>0</v>
      </c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  <c r="BM170" s="22"/>
      <c r="BN170" s="22"/>
      <c r="BO170" s="22"/>
      <c r="BP170" s="22"/>
      <c r="BQ170" s="22"/>
      <c r="BR170" s="22"/>
      <c r="BS170" s="22"/>
      <c r="BT170" s="22"/>
      <c r="BU170" s="22"/>
      <c r="BV170" s="22"/>
      <c r="BW170" s="22"/>
      <c r="BX170" s="22"/>
      <c r="BY170" s="22"/>
      <c r="BZ170" s="22"/>
      <c r="CA170" s="22"/>
      <c r="CB170" s="22"/>
      <c r="CC170" s="22"/>
      <c r="CD170" s="22"/>
      <c r="CE170" s="22"/>
      <c r="CF170" s="22"/>
      <c r="CG170" s="22"/>
      <c r="CH170" s="22"/>
      <c r="CI170" s="22"/>
      <c r="CJ170" s="22"/>
      <c r="CK170" s="22"/>
      <c r="CL170" s="22"/>
      <c r="CM170" s="22"/>
      <c r="CN170" s="22"/>
      <c r="CO170" s="22"/>
      <c r="CP170" s="22"/>
      <c r="CQ170" s="22"/>
      <c r="CR170" s="22"/>
      <c r="CS170" s="22"/>
      <c r="CT170" s="22"/>
      <c r="CU170" s="22"/>
      <c r="CV170" s="22"/>
      <c r="CW170" s="22"/>
      <c r="CX170" s="22"/>
      <c r="CY170" s="22"/>
      <c r="CZ170" s="22"/>
      <c r="DA170" s="22"/>
      <c r="DB170" s="22"/>
      <c r="DC170" s="22"/>
      <c r="DD170" s="22"/>
      <c r="DE170" s="22"/>
      <c r="DF170" s="22"/>
      <c r="DG170" s="22"/>
      <c r="DH170" s="22"/>
      <c r="DI170" s="22"/>
      <c r="DJ170" s="22"/>
      <c r="DK170" s="22"/>
      <c r="DL170" s="22"/>
      <c r="DM170" s="22"/>
      <c r="DN170" s="22"/>
      <c r="DO170" s="22"/>
      <c r="DP170" s="22"/>
      <c r="DQ170" s="22"/>
      <c r="DR170" s="22"/>
      <c r="DS170" s="22"/>
      <c r="DT170" s="22"/>
      <c r="DU170" s="22"/>
      <c r="DV170" s="22"/>
      <c r="DW170" s="22"/>
      <c r="DX170" s="22"/>
      <c r="DY170" s="22"/>
      <c r="DZ170" s="22"/>
      <c r="EA170" s="22"/>
      <c r="EB170" s="22"/>
      <c r="EC170" s="22"/>
      <c r="ED170" s="22"/>
      <c r="EE170" s="22"/>
      <c r="EF170" s="22"/>
      <c r="EG170" s="22"/>
      <c r="EH170" s="22"/>
      <c r="EI170" s="22"/>
      <c r="EJ170" s="22"/>
      <c r="EK170" s="22"/>
      <c r="EL170" s="22"/>
      <c r="EM170" s="22"/>
      <c r="EN170" s="22"/>
      <c r="EO170" s="22"/>
      <c r="EP170" s="22"/>
      <c r="EQ170" s="22"/>
      <c r="ER170" s="22"/>
      <c r="ES170" s="22"/>
      <c r="ET170" s="22"/>
      <c r="EU170" s="22"/>
      <c r="EV170" s="22"/>
      <c r="EW170" s="22"/>
      <c r="EX170" s="22"/>
      <c r="EY170" s="22"/>
      <c r="EZ170" s="22"/>
      <c r="FA170" s="22"/>
      <c r="FB170" s="22"/>
      <c r="FC170" s="22"/>
      <c r="FD170" s="22"/>
      <c r="FE170" s="22"/>
      <c r="FF170" s="22"/>
      <c r="FG170" s="22"/>
      <c r="FH170" s="22"/>
      <c r="FI170" s="22"/>
      <c r="FJ170" s="22"/>
      <c r="FK170" s="22"/>
      <c r="FL170" s="22"/>
      <c r="FM170" s="22"/>
      <c r="FN170" s="22"/>
      <c r="FO170" s="22"/>
      <c r="FP170" s="22"/>
      <c r="FQ170" s="22"/>
      <c r="FR170" s="22"/>
      <c r="FS170" s="22"/>
      <c r="FT170" s="22"/>
      <c r="FU170" s="22"/>
      <c r="FV170" s="22"/>
      <c r="FW170" s="22"/>
      <c r="FX170" s="22"/>
      <c r="FY170" s="22"/>
      <c r="FZ170" s="22"/>
      <c r="GA170" s="22"/>
      <c r="GB170" s="22"/>
      <c r="GC170" s="22"/>
      <c r="GD170" s="22"/>
      <c r="GE170" s="22"/>
      <c r="GF170" s="22"/>
      <c r="GG170" s="22"/>
      <c r="GH170" s="22"/>
      <c r="GI170" s="22"/>
      <c r="GJ170" s="22"/>
      <c r="GK170" s="22"/>
      <c r="GL170" s="22"/>
      <c r="GM170" s="22"/>
      <c r="GN170" s="22"/>
      <c r="GO170" s="22"/>
      <c r="GP170" s="22"/>
      <c r="GQ170" s="22"/>
    </row>
    <row r="171" spans="3:199" s="2" customFormat="1" ht="20.100000000000001" customHeight="1">
      <c r="C171" s="10">
        <v>40030531</v>
      </c>
      <c r="D171" s="15" t="s">
        <v>203</v>
      </c>
      <c r="E171" s="12">
        <v>0</v>
      </c>
      <c r="F171" s="15">
        <v>0</v>
      </c>
      <c r="G171" s="12">
        <v>1</v>
      </c>
      <c r="H171" s="12">
        <v>40</v>
      </c>
      <c r="I171" s="12">
        <v>0.3</v>
      </c>
      <c r="J171" s="16">
        <v>0</v>
      </c>
      <c r="K171" s="16">
        <v>0</v>
      </c>
      <c r="L171" s="15">
        <v>0</v>
      </c>
      <c r="M171" s="15">
        <v>30</v>
      </c>
      <c r="N171" s="15">
        <v>30</v>
      </c>
      <c r="O171" s="17">
        <v>0</v>
      </c>
      <c r="P171" s="17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19">
        <v>0</v>
      </c>
      <c r="AA171" s="19">
        <v>0</v>
      </c>
      <c r="AB171" s="16">
        <v>0</v>
      </c>
      <c r="AC171" s="16">
        <v>0</v>
      </c>
      <c r="AD171" s="16">
        <v>0</v>
      </c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  <c r="BM171" s="22"/>
      <c r="BN171" s="22"/>
      <c r="BO171" s="22"/>
      <c r="BP171" s="22"/>
      <c r="BQ171" s="22"/>
      <c r="BR171" s="22"/>
      <c r="BS171" s="22"/>
      <c r="BT171" s="22"/>
      <c r="BU171" s="22"/>
      <c r="BV171" s="22"/>
      <c r="BW171" s="22"/>
      <c r="BX171" s="22"/>
      <c r="BY171" s="22"/>
      <c r="BZ171" s="22"/>
      <c r="CA171" s="22"/>
      <c r="CB171" s="22"/>
      <c r="CC171" s="22"/>
      <c r="CD171" s="22"/>
      <c r="CE171" s="22"/>
      <c r="CF171" s="22"/>
      <c r="CG171" s="22"/>
      <c r="CH171" s="22"/>
      <c r="CI171" s="22"/>
      <c r="CJ171" s="22"/>
      <c r="CK171" s="22"/>
      <c r="CL171" s="22"/>
      <c r="CM171" s="22"/>
      <c r="CN171" s="22"/>
      <c r="CO171" s="22"/>
      <c r="CP171" s="22"/>
      <c r="CQ171" s="22"/>
      <c r="CR171" s="22"/>
      <c r="CS171" s="22"/>
      <c r="CT171" s="22"/>
      <c r="CU171" s="22"/>
      <c r="CV171" s="22"/>
      <c r="CW171" s="22"/>
      <c r="CX171" s="22"/>
      <c r="CY171" s="22"/>
      <c r="CZ171" s="22"/>
      <c r="DA171" s="22"/>
      <c r="DB171" s="22"/>
      <c r="DC171" s="22"/>
      <c r="DD171" s="22"/>
      <c r="DE171" s="22"/>
      <c r="DF171" s="22"/>
      <c r="DG171" s="22"/>
      <c r="DH171" s="22"/>
      <c r="DI171" s="22"/>
      <c r="DJ171" s="22"/>
      <c r="DK171" s="22"/>
      <c r="DL171" s="22"/>
      <c r="DM171" s="22"/>
      <c r="DN171" s="22"/>
      <c r="DO171" s="22"/>
      <c r="DP171" s="22"/>
      <c r="DQ171" s="22"/>
      <c r="DR171" s="22"/>
      <c r="DS171" s="22"/>
      <c r="DT171" s="22"/>
      <c r="DU171" s="22"/>
      <c r="DV171" s="22"/>
      <c r="DW171" s="22"/>
      <c r="DX171" s="22"/>
      <c r="DY171" s="22"/>
      <c r="DZ171" s="22"/>
      <c r="EA171" s="22"/>
      <c r="EB171" s="22"/>
      <c r="EC171" s="22"/>
      <c r="ED171" s="22"/>
      <c r="EE171" s="22"/>
      <c r="EF171" s="22"/>
      <c r="EG171" s="22"/>
      <c r="EH171" s="22"/>
      <c r="EI171" s="22"/>
      <c r="EJ171" s="22"/>
      <c r="EK171" s="22"/>
      <c r="EL171" s="22"/>
      <c r="EM171" s="22"/>
      <c r="EN171" s="22"/>
      <c r="EO171" s="22"/>
      <c r="EP171" s="22"/>
      <c r="EQ171" s="22"/>
      <c r="ER171" s="22"/>
      <c r="ES171" s="22"/>
      <c r="ET171" s="22"/>
      <c r="EU171" s="22"/>
      <c r="EV171" s="22"/>
      <c r="EW171" s="22"/>
      <c r="EX171" s="22"/>
      <c r="EY171" s="22"/>
      <c r="EZ171" s="22"/>
      <c r="FA171" s="22"/>
      <c r="FB171" s="22"/>
      <c r="FC171" s="22"/>
      <c r="FD171" s="22"/>
      <c r="FE171" s="22"/>
      <c r="FF171" s="22"/>
      <c r="FG171" s="22"/>
      <c r="FH171" s="22"/>
      <c r="FI171" s="22"/>
      <c r="FJ171" s="22"/>
      <c r="FK171" s="22"/>
      <c r="FL171" s="22"/>
      <c r="FM171" s="22"/>
      <c r="FN171" s="22"/>
      <c r="FO171" s="22"/>
      <c r="FP171" s="22"/>
      <c r="FQ171" s="22"/>
      <c r="FR171" s="22"/>
      <c r="FS171" s="22"/>
      <c r="FT171" s="22"/>
      <c r="FU171" s="22"/>
      <c r="FV171" s="22"/>
      <c r="FW171" s="22"/>
      <c r="FX171" s="22"/>
      <c r="FY171" s="22"/>
      <c r="FZ171" s="22"/>
      <c r="GA171" s="22"/>
      <c r="GB171" s="22"/>
      <c r="GC171" s="22"/>
      <c r="GD171" s="22"/>
      <c r="GE171" s="22"/>
      <c r="GF171" s="22"/>
      <c r="GG171" s="22"/>
      <c r="GH171" s="22"/>
      <c r="GI171" s="22"/>
      <c r="GJ171" s="22"/>
      <c r="GK171" s="22"/>
      <c r="GL171" s="22"/>
      <c r="GM171" s="22"/>
      <c r="GN171" s="22"/>
      <c r="GO171" s="22"/>
      <c r="GP171" s="22"/>
      <c r="GQ171" s="22"/>
    </row>
    <row r="172" spans="3:199" s="2" customFormat="1" ht="20.100000000000001" customHeight="1">
      <c r="C172" s="13">
        <v>40030532</v>
      </c>
      <c r="D172" s="15" t="s">
        <v>204</v>
      </c>
      <c r="E172" s="12">
        <v>0</v>
      </c>
      <c r="F172" s="15">
        <v>0</v>
      </c>
      <c r="G172" s="12">
        <v>1</v>
      </c>
      <c r="H172" s="12">
        <v>40</v>
      </c>
      <c r="I172" s="12">
        <v>0.3</v>
      </c>
      <c r="J172" s="16">
        <v>0</v>
      </c>
      <c r="K172" s="16">
        <v>0</v>
      </c>
      <c r="L172" s="15">
        <v>600</v>
      </c>
      <c r="M172" s="15">
        <v>0</v>
      </c>
      <c r="N172" s="15">
        <v>0</v>
      </c>
      <c r="O172" s="17">
        <v>0</v>
      </c>
      <c r="P172" s="17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19">
        <v>0</v>
      </c>
      <c r="AA172" s="19">
        <v>0</v>
      </c>
      <c r="AB172" s="16">
        <v>0</v>
      </c>
      <c r="AC172" s="16">
        <v>0</v>
      </c>
      <c r="AD172" s="16">
        <v>0</v>
      </c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  <c r="BM172" s="22"/>
      <c r="BN172" s="22"/>
      <c r="BO172" s="22"/>
      <c r="BP172" s="22"/>
      <c r="BQ172" s="22"/>
      <c r="BR172" s="22"/>
      <c r="BS172" s="22"/>
      <c r="BT172" s="22"/>
      <c r="BU172" s="22"/>
      <c r="BV172" s="22"/>
      <c r="BW172" s="22"/>
      <c r="BX172" s="22"/>
      <c r="BY172" s="22"/>
      <c r="BZ172" s="22"/>
      <c r="CA172" s="22"/>
      <c r="CB172" s="22"/>
      <c r="CC172" s="22"/>
      <c r="CD172" s="22"/>
      <c r="CE172" s="22"/>
      <c r="CF172" s="22"/>
      <c r="CG172" s="22"/>
      <c r="CH172" s="22"/>
      <c r="CI172" s="22"/>
      <c r="CJ172" s="22"/>
      <c r="CK172" s="22"/>
      <c r="CL172" s="22"/>
      <c r="CM172" s="22"/>
      <c r="CN172" s="22"/>
      <c r="CO172" s="22"/>
      <c r="CP172" s="22"/>
      <c r="CQ172" s="22"/>
      <c r="CR172" s="22"/>
      <c r="CS172" s="22"/>
      <c r="CT172" s="22"/>
      <c r="CU172" s="22"/>
      <c r="CV172" s="22"/>
      <c r="CW172" s="22"/>
      <c r="CX172" s="22"/>
      <c r="CY172" s="22"/>
      <c r="CZ172" s="22"/>
      <c r="DA172" s="22"/>
      <c r="DB172" s="22"/>
      <c r="DC172" s="22"/>
      <c r="DD172" s="22"/>
      <c r="DE172" s="22"/>
      <c r="DF172" s="22"/>
      <c r="DG172" s="22"/>
      <c r="DH172" s="22"/>
      <c r="DI172" s="22"/>
      <c r="DJ172" s="22"/>
      <c r="DK172" s="22"/>
      <c r="DL172" s="22"/>
      <c r="DM172" s="22"/>
      <c r="DN172" s="22"/>
      <c r="DO172" s="22"/>
      <c r="DP172" s="22"/>
      <c r="DQ172" s="22"/>
      <c r="DR172" s="22"/>
      <c r="DS172" s="22"/>
      <c r="DT172" s="22"/>
      <c r="DU172" s="22"/>
      <c r="DV172" s="22"/>
      <c r="DW172" s="22"/>
      <c r="DX172" s="22"/>
      <c r="DY172" s="22"/>
      <c r="DZ172" s="22"/>
      <c r="EA172" s="22"/>
      <c r="EB172" s="22"/>
      <c r="EC172" s="22"/>
      <c r="ED172" s="22"/>
      <c r="EE172" s="22"/>
      <c r="EF172" s="22"/>
      <c r="EG172" s="22"/>
      <c r="EH172" s="22"/>
      <c r="EI172" s="22"/>
      <c r="EJ172" s="22"/>
      <c r="EK172" s="22"/>
      <c r="EL172" s="22"/>
      <c r="EM172" s="22"/>
      <c r="EN172" s="22"/>
      <c r="EO172" s="22"/>
      <c r="EP172" s="22"/>
      <c r="EQ172" s="22"/>
      <c r="ER172" s="22"/>
      <c r="ES172" s="22"/>
      <c r="ET172" s="22"/>
      <c r="EU172" s="22"/>
      <c r="EV172" s="22"/>
      <c r="EW172" s="22"/>
      <c r="EX172" s="22"/>
      <c r="EY172" s="22"/>
      <c r="EZ172" s="22"/>
      <c r="FA172" s="22"/>
      <c r="FB172" s="22"/>
      <c r="FC172" s="22"/>
      <c r="FD172" s="22"/>
      <c r="FE172" s="22"/>
      <c r="FF172" s="22"/>
      <c r="FG172" s="22"/>
      <c r="FH172" s="22"/>
      <c r="FI172" s="22"/>
      <c r="FJ172" s="22"/>
      <c r="FK172" s="22"/>
      <c r="FL172" s="22"/>
      <c r="FM172" s="22"/>
      <c r="FN172" s="22"/>
      <c r="FO172" s="22"/>
      <c r="FP172" s="22"/>
      <c r="FQ172" s="22"/>
      <c r="FR172" s="22"/>
      <c r="FS172" s="22"/>
      <c r="FT172" s="22"/>
      <c r="FU172" s="22"/>
      <c r="FV172" s="22"/>
      <c r="FW172" s="22"/>
      <c r="FX172" s="22"/>
      <c r="FY172" s="22"/>
      <c r="FZ172" s="22"/>
      <c r="GA172" s="22"/>
      <c r="GB172" s="22"/>
      <c r="GC172" s="22"/>
      <c r="GD172" s="22"/>
      <c r="GE172" s="22"/>
      <c r="GF172" s="22"/>
      <c r="GG172" s="22"/>
      <c r="GH172" s="22"/>
      <c r="GI172" s="22"/>
      <c r="GJ172" s="22"/>
      <c r="GK172" s="22"/>
      <c r="GL172" s="22"/>
      <c r="GM172" s="22"/>
      <c r="GN172" s="22"/>
      <c r="GO172" s="22"/>
      <c r="GP172" s="22"/>
      <c r="GQ172" s="22"/>
    </row>
    <row r="173" spans="3:199" s="2" customFormat="1" ht="20.100000000000001" customHeight="1">
      <c r="C173" s="10">
        <v>40030533</v>
      </c>
      <c r="D173" s="15" t="s">
        <v>205</v>
      </c>
      <c r="E173" s="12">
        <v>0</v>
      </c>
      <c r="F173" s="15">
        <v>0</v>
      </c>
      <c r="G173" s="12">
        <v>1</v>
      </c>
      <c r="H173" s="12">
        <v>40</v>
      </c>
      <c r="I173" s="12">
        <v>0.3</v>
      </c>
      <c r="J173" s="16">
        <v>0</v>
      </c>
      <c r="K173" s="16">
        <v>0</v>
      </c>
      <c r="L173" s="15">
        <v>0</v>
      </c>
      <c r="M173" s="15">
        <v>0</v>
      </c>
      <c r="N173" s="15">
        <v>0</v>
      </c>
      <c r="O173" s="17">
        <v>0</v>
      </c>
      <c r="P173" s="17">
        <v>0</v>
      </c>
      <c r="Q173" s="19">
        <v>10</v>
      </c>
      <c r="R173" s="19">
        <v>20</v>
      </c>
      <c r="S173" s="19">
        <v>20</v>
      </c>
      <c r="T173" s="19">
        <v>30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19">
        <v>0</v>
      </c>
      <c r="AA173" s="19">
        <v>0</v>
      </c>
      <c r="AB173" s="16">
        <v>0</v>
      </c>
      <c r="AC173" s="16">
        <v>0</v>
      </c>
      <c r="AD173" s="16">
        <v>0</v>
      </c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  <c r="BM173" s="22"/>
      <c r="BN173" s="22"/>
      <c r="BO173" s="22"/>
      <c r="BP173" s="22"/>
      <c r="BQ173" s="22"/>
      <c r="BR173" s="22"/>
      <c r="BS173" s="22"/>
      <c r="BT173" s="22"/>
      <c r="BU173" s="22"/>
      <c r="BV173" s="22"/>
      <c r="BW173" s="22"/>
      <c r="BX173" s="22"/>
      <c r="BY173" s="22"/>
      <c r="BZ173" s="22"/>
      <c r="CA173" s="22"/>
      <c r="CB173" s="22"/>
      <c r="CC173" s="22"/>
      <c r="CD173" s="22"/>
      <c r="CE173" s="22"/>
      <c r="CF173" s="22"/>
      <c r="CG173" s="22"/>
      <c r="CH173" s="22"/>
      <c r="CI173" s="22"/>
      <c r="CJ173" s="22"/>
      <c r="CK173" s="22"/>
      <c r="CL173" s="22"/>
      <c r="CM173" s="22"/>
      <c r="CN173" s="22"/>
      <c r="CO173" s="22"/>
      <c r="CP173" s="22"/>
      <c r="CQ173" s="22"/>
      <c r="CR173" s="22"/>
      <c r="CS173" s="22"/>
      <c r="CT173" s="22"/>
      <c r="CU173" s="22"/>
      <c r="CV173" s="22"/>
      <c r="CW173" s="22"/>
      <c r="CX173" s="22"/>
      <c r="CY173" s="22"/>
      <c r="CZ173" s="22"/>
      <c r="DA173" s="22"/>
      <c r="DB173" s="22"/>
      <c r="DC173" s="22"/>
      <c r="DD173" s="22"/>
      <c r="DE173" s="22"/>
      <c r="DF173" s="22"/>
      <c r="DG173" s="22"/>
      <c r="DH173" s="22"/>
      <c r="DI173" s="22"/>
      <c r="DJ173" s="22"/>
      <c r="DK173" s="22"/>
      <c r="DL173" s="22"/>
      <c r="DM173" s="22"/>
      <c r="DN173" s="22"/>
      <c r="DO173" s="22"/>
      <c r="DP173" s="22"/>
      <c r="DQ173" s="22"/>
      <c r="DR173" s="22"/>
      <c r="DS173" s="22"/>
      <c r="DT173" s="22"/>
      <c r="DU173" s="22"/>
      <c r="DV173" s="22"/>
      <c r="DW173" s="22"/>
      <c r="DX173" s="22"/>
      <c r="DY173" s="22"/>
      <c r="DZ173" s="22"/>
      <c r="EA173" s="22"/>
      <c r="EB173" s="22"/>
      <c r="EC173" s="22"/>
      <c r="ED173" s="22"/>
      <c r="EE173" s="22"/>
      <c r="EF173" s="22"/>
      <c r="EG173" s="22"/>
      <c r="EH173" s="22"/>
      <c r="EI173" s="22"/>
      <c r="EJ173" s="22"/>
      <c r="EK173" s="22"/>
      <c r="EL173" s="22"/>
      <c r="EM173" s="22"/>
      <c r="EN173" s="22"/>
      <c r="EO173" s="22"/>
      <c r="EP173" s="22"/>
      <c r="EQ173" s="22"/>
      <c r="ER173" s="22"/>
      <c r="ES173" s="22"/>
      <c r="ET173" s="22"/>
      <c r="EU173" s="22"/>
      <c r="EV173" s="22"/>
      <c r="EW173" s="22"/>
      <c r="EX173" s="22"/>
      <c r="EY173" s="22"/>
      <c r="EZ173" s="22"/>
      <c r="FA173" s="22"/>
      <c r="FB173" s="22"/>
      <c r="FC173" s="22"/>
      <c r="FD173" s="22"/>
      <c r="FE173" s="22"/>
      <c r="FF173" s="22"/>
      <c r="FG173" s="22"/>
      <c r="FH173" s="22"/>
      <c r="FI173" s="22"/>
      <c r="FJ173" s="22"/>
      <c r="FK173" s="22"/>
      <c r="FL173" s="22"/>
      <c r="FM173" s="22"/>
      <c r="FN173" s="22"/>
      <c r="FO173" s="22"/>
      <c r="FP173" s="22"/>
      <c r="FQ173" s="22"/>
      <c r="FR173" s="22"/>
      <c r="FS173" s="22"/>
      <c r="FT173" s="22"/>
      <c r="FU173" s="22"/>
      <c r="FV173" s="22"/>
      <c r="FW173" s="22"/>
      <c r="FX173" s="22"/>
      <c r="FY173" s="22"/>
      <c r="FZ173" s="22"/>
      <c r="GA173" s="22"/>
      <c r="GB173" s="22"/>
      <c r="GC173" s="22"/>
      <c r="GD173" s="22"/>
      <c r="GE173" s="22"/>
      <c r="GF173" s="22"/>
      <c r="GG173" s="22"/>
      <c r="GH173" s="22"/>
      <c r="GI173" s="22"/>
      <c r="GJ173" s="22"/>
      <c r="GK173" s="22"/>
      <c r="GL173" s="22"/>
      <c r="GM173" s="22"/>
      <c r="GN173" s="22"/>
      <c r="GO173" s="22"/>
      <c r="GP173" s="22"/>
      <c r="GQ173" s="22"/>
    </row>
    <row r="174" spans="3:199" s="2" customFormat="1" ht="20.100000000000001" customHeight="1">
      <c r="C174" s="13">
        <v>40030534</v>
      </c>
      <c r="D174" s="15" t="s">
        <v>206</v>
      </c>
      <c r="E174" s="12">
        <v>0</v>
      </c>
      <c r="F174" s="15">
        <v>0</v>
      </c>
      <c r="G174" s="12">
        <v>1</v>
      </c>
      <c r="H174" s="12">
        <v>40</v>
      </c>
      <c r="I174" s="12">
        <v>0.3</v>
      </c>
      <c r="J174" s="16">
        <v>0</v>
      </c>
      <c r="K174" s="16">
        <v>0</v>
      </c>
      <c r="L174" s="15">
        <v>0</v>
      </c>
      <c r="M174" s="15">
        <v>0</v>
      </c>
      <c r="N174" s="15">
        <v>0</v>
      </c>
      <c r="O174" s="17">
        <v>0</v>
      </c>
      <c r="P174" s="17">
        <v>0</v>
      </c>
      <c r="Q174" s="19">
        <v>20</v>
      </c>
      <c r="R174" s="19">
        <v>40</v>
      </c>
      <c r="S174" s="19">
        <v>20</v>
      </c>
      <c r="T174" s="19">
        <v>40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19">
        <v>0</v>
      </c>
      <c r="AA174" s="19">
        <v>0</v>
      </c>
      <c r="AB174" s="16">
        <v>0</v>
      </c>
      <c r="AC174" s="16">
        <v>0</v>
      </c>
      <c r="AD174" s="16">
        <v>0</v>
      </c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  <c r="BM174" s="22"/>
      <c r="BN174" s="22"/>
      <c r="BO174" s="22"/>
      <c r="BP174" s="22"/>
      <c r="BQ174" s="22"/>
      <c r="BR174" s="22"/>
      <c r="BS174" s="22"/>
      <c r="BT174" s="22"/>
      <c r="BU174" s="22"/>
      <c r="BV174" s="22"/>
      <c r="BW174" s="22"/>
      <c r="BX174" s="22"/>
      <c r="BY174" s="22"/>
      <c r="BZ174" s="22"/>
      <c r="CA174" s="22"/>
      <c r="CB174" s="22"/>
      <c r="CC174" s="22"/>
      <c r="CD174" s="22"/>
      <c r="CE174" s="22"/>
      <c r="CF174" s="22"/>
      <c r="CG174" s="22"/>
      <c r="CH174" s="22"/>
      <c r="CI174" s="22"/>
      <c r="CJ174" s="22"/>
      <c r="CK174" s="22"/>
      <c r="CL174" s="22"/>
      <c r="CM174" s="22"/>
      <c r="CN174" s="22"/>
      <c r="CO174" s="22"/>
      <c r="CP174" s="22"/>
      <c r="CQ174" s="22"/>
      <c r="CR174" s="22"/>
      <c r="CS174" s="22"/>
      <c r="CT174" s="22"/>
      <c r="CU174" s="22"/>
      <c r="CV174" s="22"/>
      <c r="CW174" s="22"/>
      <c r="CX174" s="22"/>
      <c r="CY174" s="22"/>
      <c r="CZ174" s="22"/>
      <c r="DA174" s="22"/>
      <c r="DB174" s="22"/>
      <c r="DC174" s="22"/>
      <c r="DD174" s="22"/>
      <c r="DE174" s="22"/>
      <c r="DF174" s="22"/>
      <c r="DG174" s="22"/>
      <c r="DH174" s="22"/>
      <c r="DI174" s="22"/>
      <c r="DJ174" s="22"/>
      <c r="DK174" s="22"/>
      <c r="DL174" s="22"/>
      <c r="DM174" s="22"/>
      <c r="DN174" s="22"/>
      <c r="DO174" s="22"/>
      <c r="DP174" s="22"/>
      <c r="DQ174" s="22"/>
      <c r="DR174" s="22"/>
      <c r="DS174" s="22"/>
      <c r="DT174" s="22"/>
      <c r="DU174" s="22"/>
      <c r="DV174" s="22"/>
      <c r="DW174" s="22"/>
      <c r="DX174" s="22"/>
      <c r="DY174" s="22"/>
      <c r="DZ174" s="22"/>
      <c r="EA174" s="22"/>
      <c r="EB174" s="22"/>
      <c r="EC174" s="22"/>
      <c r="ED174" s="22"/>
      <c r="EE174" s="22"/>
      <c r="EF174" s="22"/>
      <c r="EG174" s="22"/>
      <c r="EH174" s="22"/>
      <c r="EI174" s="22"/>
      <c r="EJ174" s="22"/>
      <c r="EK174" s="22"/>
      <c r="EL174" s="22"/>
      <c r="EM174" s="22"/>
      <c r="EN174" s="22"/>
      <c r="EO174" s="22"/>
      <c r="EP174" s="22"/>
      <c r="EQ174" s="22"/>
      <c r="ER174" s="22"/>
      <c r="ES174" s="22"/>
      <c r="ET174" s="22"/>
      <c r="EU174" s="22"/>
      <c r="EV174" s="22"/>
      <c r="EW174" s="22"/>
      <c r="EX174" s="22"/>
      <c r="EY174" s="22"/>
      <c r="EZ174" s="22"/>
      <c r="FA174" s="22"/>
      <c r="FB174" s="22"/>
      <c r="FC174" s="22"/>
      <c r="FD174" s="22"/>
      <c r="FE174" s="22"/>
      <c r="FF174" s="22"/>
      <c r="FG174" s="22"/>
      <c r="FH174" s="22"/>
      <c r="FI174" s="22"/>
      <c r="FJ174" s="22"/>
      <c r="FK174" s="22"/>
      <c r="FL174" s="22"/>
      <c r="FM174" s="22"/>
      <c r="FN174" s="22"/>
      <c r="FO174" s="22"/>
      <c r="FP174" s="22"/>
      <c r="FQ174" s="22"/>
      <c r="FR174" s="22"/>
      <c r="FS174" s="22"/>
      <c r="FT174" s="22"/>
      <c r="FU174" s="22"/>
      <c r="FV174" s="22"/>
      <c r="FW174" s="22"/>
      <c r="FX174" s="22"/>
      <c r="FY174" s="22"/>
      <c r="FZ174" s="22"/>
      <c r="GA174" s="22"/>
      <c r="GB174" s="22"/>
      <c r="GC174" s="22"/>
      <c r="GD174" s="22"/>
      <c r="GE174" s="22"/>
      <c r="GF174" s="22"/>
      <c r="GG174" s="22"/>
      <c r="GH174" s="22"/>
      <c r="GI174" s="22"/>
      <c r="GJ174" s="22"/>
      <c r="GK174" s="22"/>
      <c r="GL174" s="22"/>
      <c r="GM174" s="22"/>
      <c r="GN174" s="22"/>
      <c r="GO174" s="22"/>
      <c r="GP174" s="22"/>
      <c r="GQ174" s="22"/>
    </row>
    <row r="175" spans="3:199" s="2" customFormat="1" ht="20.100000000000001" customHeight="1">
      <c r="C175" s="10">
        <v>40030535</v>
      </c>
      <c r="D175" s="15" t="s">
        <v>207</v>
      </c>
      <c r="E175" s="12">
        <v>0</v>
      </c>
      <c r="F175" s="15">
        <v>1404</v>
      </c>
      <c r="G175" s="12">
        <v>1</v>
      </c>
      <c r="H175" s="12">
        <v>40</v>
      </c>
      <c r="I175" s="12">
        <v>0.3</v>
      </c>
      <c r="J175" s="16">
        <v>0</v>
      </c>
      <c r="K175" s="16">
        <v>0</v>
      </c>
      <c r="L175" s="15">
        <v>0</v>
      </c>
      <c r="M175" s="19">
        <v>200</v>
      </c>
      <c r="N175" s="19">
        <v>1250</v>
      </c>
      <c r="O175" s="17">
        <v>0</v>
      </c>
      <c r="P175" s="17">
        <v>0</v>
      </c>
      <c r="Q175" s="19">
        <v>0</v>
      </c>
      <c r="R175" s="19">
        <v>0</v>
      </c>
      <c r="S175" s="19">
        <v>0</v>
      </c>
      <c r="T175" s="19">
        <v>0</v>
      </c>
      <c r="U175" s="18">
        <v>0</v>
      </c>
      <c r="V175" s="18">
        <v>0</v>
      </c>
      <c r="W175" s="18">
        <v>0</v>
      </c>
      <c r="X175" s="18">
        <v>0.05</v>
      </c>
      <c r="Y175" s="18">
        <v>0</v>
      </c>
      <c r="Z175" s="18">
        <v>0</v>
      </c>
      <c r="AA175" s="18">
        <v>0</v>
      </c>
      <c r="AB175" s="16">
        <v>0</v>
      </c>
      <c r="AC175" s="16">
        <v>0</v>
      </c>
      <c r="AD175" s="16">
        <v>0</v>
      </c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  <c r="BM175" s="22"/>
      <c r="BN175" s="22"/>
      <c r="BO175" s="22"/>
      <c r="BP175" s="22"/>
      <c r="BQ175" s="22"/>
      <c r="BR175" s="22"/>
      <c r="BS175" s="22"/>
      <c r="BT175" s="22"/>
      <c r="BU175" s="22"/>
      <c r="BV175" s="22"/>
      <c r="BW175" s="22"/>
      <c r="BX175" s="22"/>
      <c r="BY175" s="22"/>
      <c r="BZ175" s="22"/>
      <c r="CA175" s="22"/>
      <c r="CB175" s="22"/>
      <c r="CC175" s="22"/>
      <c r="CD175" s="22"/>
      <c r="CE175" s="22"/>
      <c r="CF175" s="22"/>
      <c r="CG175" s="22"/>
      <c r="CH175" s="22"/>
      <c r="CI175" s="22"/>
      <c r="CJ175" s="22"/>
      <c r="CK175" s="22"/>
      <c r="CL175" s="22"/>
      <c r="CM175" s="22"/>
      <c r="CN175" s="22"/>
      <c r="CO175" s="22"/>
      <c r="CP175" s="22"/>
      <c r="CQ175" s="22"/>
      <c r="CR175" s="22"/>
      <c r="CS175" s="22"/>
      <c r="CT175" s="22"/>
      <c r="CU175" s="22"/>
      <c r="CV175" s="22"/>
      <c r="CW175" s="22"/>
      <c r="CX175" s="22"/>
      <c r="CY175" s="22"/>
      <c r="CZ175" s="22"/>
      <c r="DA175" s="22"/>
      <c r="DB175" s="22"/>
      <c r="DC175" s="22"/>
      <c r="DD175" s="22"/>
      <c r="DE175" s="22"/>
      <c r="DF175" s="22"/>
      <c r="DG175" s="22"/>
      <c r="DH175" s="22"/>
      <c r="DI175" s="22"/>
      <c r="DJ175" s="22"/>
      <c r="DK175" s="22"/>
      <c r="DL175" s="22"/>
      <c r="DM175" s="22"/>
      <c r="DN175" s="22"/>
      <c r="DO175" s="22"/>
      <c r="DP175" s="22"/>
      <c r="DQ175" s="22"/>
      <c r="DR175" s="22"/>
      <c r="DS175" s="22"/>
      <c r="DT175" s="22"/>
      <c r="DU175" s="22"/>
      <c r="DV175" s="22"/>
      <c r="DW175" s="22"/>
      <c r="DX175" s="22"/>
      <c r="DY175" s="22"/>
      <c r="DZ175" s="22"/>
      <c r="EA175" s="22"/>
      <c r="EB175" s="22"/>
      <c r="EC175" s="22"/>
      <c r="ED175" s="22"/>
      <c r="EE175" s="22"/>
      <c r="EF175" s="22"/>
      <c r="EG175" s="22"/>
      <c r="EH175" s="22"/>
      <c r="EI175" s="22"/>
      <c r="EJ175" s="22"/>
      <c r="EK175" s="22"/>
      <c r="EL175" s="22"/>
      <c r="EM175" s="22"/>
      <c r="EN175" s="22"/>
      <c r="EO175" s="22"/>
      <c r="EP175" s="22"/>
      <c r="EQ175" s="22"/>
      <c r="ER175" s="22"/>
      <c r="ES175" s="22"/>
      <c r="ET175" s="22"/>
      <c r="EU175" s="22"/>
      <c r="EV175" s="22"/>
      <c r="EW175" s="22"/>
      <c r="EX175" s="22"/>
      <c r="EY175" s="22"/>
      <c r="EZ175" s="22"/>
      <c r="FA175" s="22"/>
      <c r="FB175" s="22"/>
      <c r="FC175" s="22"/>
      <c r="FD175" s="22"/>
      <c r="FE175" s="22"/>
      <c r="FF175" s="22"/>
      <c r="FG175" s="22"/>
      <c r="FH175" s="22"/>
      <c r="FI175" s="22"/>
      <c r="FJ175" s="22"/>
      <c r="FK175" s="22"/>
      <c r="FL175" s="22"/>
      <c r="FM175" s="22"/>
      <c r="FN175" s="22"/>
      <c r="FO175" s="22"/>
      <c r="FP175" s="22"/>
      <c r="FQ175" s="22"/>
      <c r="FR175" s="22"/>
      <c r="FS175" s="22"/>
      <c r="FT175" s="22"/>
      <c r="FU175" s="22"/>
      <c r="FV175" s="22"/>
      <c r="FW175" s="22"/>
      <c r="FX175" s="22"/>
      <c r="FY175" s="22"/>
      <c r="FZ175" s="22"/>
      <c r="GA175" s="22"/>
      <c r="GB175" s="22"/>
      <c r="GC175" s="22"/>
      <c r="GD175" s="22"/>
      <c r="GE175" s="22"/>
      <c r="GF175" s="22"/>
      <c r="GG175" s="22"/>
      <c r="GH175" s="22"/>
      <c r="GI175" s="22"/>
      <c r="GJ175" s="22"/>
      <c r="GK175" s="22"/>
      <c r="GL175" s="22"/>
      <c r="GM175" s="22"/>
      <c r="GN175" s="22"/>
      <c r="GO175" s="22"/>
      <c r="GP175" s="22"/>
      <c r="GQ175" s="22"/>
    </row>
    <row r="176" spans="3:199" s="2" customFormat="1" ht="20.100000000000001" customHeight="1">
      <c r="C176" s="13">
        <v>40030536</v>
      </c>
      <c r="D176" s="15" t="s">
        <v>208</v>
      </c>
      <c r="E176" s="12">
        <v>0</v>
      </c>
      <c r="F176" s="15">
        <v>1406</v>
      </c>
      <c r="G176" s="12">
        <v>1</v>
      </c>
      <c r="H176" s="12">
        <v>40</v>
      </c>
      <c r="I176" s="12">
        <v>0.3</v>
      </c>
      <c r="J176" s="16">
        <v>0</v>
      </c>
      <c r="K176" s="16">
        <v>0</v>
      </c>
      <c r="L176" s="15">
        <v>5000</v>
      </c>
      <c r="M176" s="15">
        <v>0</v>
      </c>
      <c r="N176" s="15">
        <v>0</v>
      </c>
      <c r="O176" s="17">
        <v>0</v>
      </c>
      <c r="P176" s="17">
        <v>0</v>
      </c>
      <c r="Q176" s="19">
        <v>30</v>
      </c>
      <c r="R176" s="19">
        <v>30</v>
      </c>
      <c r="S176" s="19">
        <v>30</v>
      </c>
      <c r="T176" s="19">
        <v>30</v>
      </c>
      <c r="U176" s="18">
        <v>0</v>
      </c>
      <c r="V176" s="18">
        <v>0</v>
      </c>
      <c r="W176" s="18">
        <v>0</v>
      </c>
      <c r="X176" s="18">
        <v>0</v>
      </c>
      <c r="Y176" s="18">
        <v>0</v>
      </c>
      <c r="Z176" s="18">
        <v>0</v>
      </c>
      <c r="AA176" s="18">
        <v>0</v>
      </c>
      <c r="AB176" s="16">
        <v>0</v>
      </c>
      <c r="AC176" s="16">
        <v>0</v>
      </c>
      <c r="AD176" s="16">
        <v>0</v>
      </c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  <c r="BM176" s="22"/>
      <c r="BN176" s="22"/>
      <c r="BO176" s="22"/>
      <c r="BP176" s="22"/>
      <c r="BQ176" s="22"/>
      <c r="BR176" s="22"/>
      <c r="BS176" s="22"/>
      <c r="BT176" s="22"/>
      <c r="BU176" s="22"/>
      <c r="BV176" s="22"/>
      <c r="BW176" s="22"/>
      <c r="BX176" s="22"/>
      <c r="BY176" s="22"/>
      <c r="BZ176" s="22"/>
      <c r="CA176" s="22"/>
      <c r="CB176" s="22"/>
      <c r="CC176" s="22"/>
      <c r="CD176" s="22"/>
      <c r="CE176" s="22"/>
      <c r="CF176" s="22"/>
      <c r="CG176" s="22"/>
      <c r="CH176" s="22"/>
      <c r="CI176" s="22"/>
      <c r="CJ176" s="22"/>
      <c r="CK176" s="22"/>
      <c r="CL176" s="22"/>
      <c r="CM176" s="22"/>
      <c r="CN176" s="22"/>
      <c r="CO176" s="22"/>
      <c r="CP176" s="22"/>
      <c r="CQ176" s="22"/>
      <c r="CR176" s="22"/>
      <c r="CS176" s="22"/>
      <c r="CT176" s="22"/>
      <c r="CU176" s="22"/>
      <c r="CV176" s="22"/>
      <c r="CW176" s="22"/>
      <c r="CX176" s="22"/>
      <c r="CY176" s="22"/>
      <c r="CZ176" s="22"/>
      <c r="DA176" s="22"/>
      <c r="DB176" s="22"/>
      <c r="DC176" s="22"/>
      <c r="DD176" s="22"/>
      <c r="DE176" s="22"/>
      <c r="DF176" s="22"/>
      <c r="DG176" s="22"/>
      <c r="DH176" s="22"/>
      <c r="DI176" s="22"/>
      <c r="DJ176" s="22"/>
      <c r="DK176" s="22"/>
      <c r="DL176" s="22"/>
      <c r="DM176" s="22"/>
      <c r="DN176" s="22"/>
      <c r="DO176" s="22"/>
      <c r="DP176" s="22"/>
      <c r="DQ176" s="22"/>
      <c r="DR176" s="22"/>
      <c r="DS176" s="22"/>
      <c r="DT176" s="22"/>
      <c r="DU176" s="22"/>
      <c r="DV176" s="22"/>
      <c r="DW176" s="22"/>
      <c r="DX176" s="22"/>
      <c r="DY176" s="22"/>
      <c r="DZ176" s="22"/>
      <c r="EA176" s="22"/>
      <c r="EB176" s="22"/>
      <c r="EC176" s="22"/>
      <c r="ED176" s="22"/>
      <c r="EE176" s="22"/>
      <c r="EF176" s="22"/>
      <c r="EG176" s="22"/>
      <c r="EH176" s="22"/>
      <c r="EI176" s="22"/>
      <c r="EJ176" s="22"/>
      <c r="EK176" s="22"/>
      <c r="EL176" s="22"/>
      <c r="EM176" s="22"/>
      <c r="EN176" s="22"/>
      <c r="EO176" s="22"/>
      <c r="EP176" s="22"/>
      <c r="EQ176" s="22"/>
      <c r="ER176" s="22"/>
      <c r="ES176" s="22"/>
      <c r="ET176" s="22"/>
      <c r="EU176" s="22"/>
      <c r="EV176" s="22"/>
      <c r="EW176" s="22"/>
      <c r="EX176" s="22"/>
      <c r="EY176" s="22"/>
      <c r="EZ176" s="22"/>
      <c r="FA176" s="22"/>
      <c r="FB176" s="22"/>
      <c r="FC176" s="22"/>
      <c r="FD176" s="22"/>
      <c r="FE176" s="22"/>
      <c r="FF176" s="22"/>
      <c r="FG176" s="22"/>
      <c r="FH176" s="22"/>
      <c r="FI176" s="22"/>
      <c r="FJ176" s="22"/>
      <c r="FK176" s="22"/>
      <c r="FL176" s="22"/>
      <c r="FM176" s="22"/>
      <c r="FN176" s="22"/>
      <c r="FO176" s="22"/>
      <c r="FP176" s="22"/>
      <c r="FQ176" s="22"/>
      <c r="FR176" s="22"/>
      <c r="FS176" s="22"/>
      <c r="FT176" s="22"/>
      <c r="FU176" s="22"/>
      <c r="FV176" s="22"/>
      <c r="FW176" s="22"/>
      <c r="FX176" s="22"/>
      <c r="FY176" s="22"/>
      <c r="FZ176" s="22"/>
      <c r="GA176" s="22"/>
      <c r="GB176" s="22"/>
      <c r="GC176" s="22"/>
      <c r="GD176" s="22"/>
      <c r="GE176" s="22"/>
      <c r="GF176" s="22"/>
      <c r="GG176" s="22"/>
      <c r="GH176" s="22"/>
      <c r="GI176" s="22"/>
      <c r="GJ176" s="22"/>
      <c r="GK176" s="22"/>
      <c r="GL176" s="22"/>
      <c r="GM176" s="22"/>
      <c r="GN176" s="22"/>
      <c r="GO176" s="22"/>
      <c r="GP176" s="22"/>
      <c r="GQ176" s="22"/>
    </row>
    <row r="177" spans="3:199" s="2" customFormat="1" ht="20.100000000000001" customHeight="1">
      <c r="C177" s="13">
        <v>40030601</v>
      </c>
      <c r="D177" s="15" t="s">
        <v>209</v>
      </c>
      <c r="E177" s="12">
        <v>0</v>
      </c>
      <c r="F177" s="15">
        <v>1503</v>
      </c>
      <c r="G177" s="12">
        <v>1</v>
      </c>
      <c r="H177" s="12">
        <v>50</v>
      </c>
      <c r="I177" s="12">
        <v>0.3</v>
      </c>
      <c r="J177" s="16">
        <v>0</v>
      </c>
      <c r="K177" s="16">
        <v>0</v>
      </c>
      <c r="L177" s="15">
        <v>0</v>
      </c>
      <c r="M177" s="19">
        <v>50</v>
      </c>
      <c r="N177" s="19">
        <v>140</v>
      </c>
      <c r="O177" s="17">
        <v>0</v>
      </c>
      <c r="P177" s="17">
        <v>0</v>
      </c>
      <c r="Q177" s="19">
        <v>40</v>
      </c>
      <c r="R177" s="19">
        <v>110</v>
      </c>
      <c r="S177" s="15">
        <v>40</v>
      </c>
      <c r="T177" s="15">
        <v>110</v>
      </c>
      <c r="U177" s="18">
        <v>0</v>
      </c>
      <c r="V177" s="18">
        <v>0</v>
      </c>
      <c r="W177" s="18">
        <v>0</v>
      </c>
      <c r="X177" s="18">
        <v>0</v>
      </c>
      <c r="Y177" s="18">
        <v>0</v>
      </c>
      <c r="Z177" s="18">
        <v>0</v>
      </c>
      <c r="AA177" s="18">
        <v>0</v>
      </c>
      <c r="AB177" s="16">
        <v>0</v>
      </c>
      <c r="AC177" s="16">
        <v>0</v>
      </c>
      <c r="AD177" s="16">
        <v>0</v>
      </c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  <c r="BM177" s="22"/>
      <c r="BN177" s="22"/>
      <c r="BO177" s="22"/>
      <c r="BP177" s="22"/>
      <c r="BQ177" s="22"/>
      <c r="BR177" s="22"/>
      <c r="BS177" s="22"/>
      <c r="BT177" s="22"/>
      <c r="BU177" s="22"/>
      <c r="BV177" s="22"/>
      <c r="BW177" s="22"/>
      <c r="BX177" s="22"/>
      <c r="BY177" s="22"/>
      <c r="BZ177" s="22"/>
      <c r="CA177" s="22"/>
      <c r="CB177" s="22"/>
      <c r="CC177" s="22"/>
      <c r="CD177" s="22"/>
      <c r="CE177" s="22"/>
      <c r="CF177" s="22"/>
      <c r="CG177" s="22"/>
      <c r="CH177" s="22"/>
      <c r="CI177" s="22"/>
      <c r="CJ177" s="22"/>
      <c r="CK177" s="22"/>
      <c r="CL177" s="22"/>
      <c r="CM177" s="22"/>
      <c r="CN177" s="22"/>
      <c r="CO177" s="22"/>
      <c r="CP177" s="22"/>
      <c r="CQ177" s="22"/>
      <c r="CR177" s="22"/>
      <c r="CS177" s="22"/>
      <c r="CT177" s="22"/>
      <c r="CU177" s="22"/>
      <c r="CV177" s="22"/>
      <c r="CW177" s="22"/>
      <c r="CX177" s="22"/>
      <c r="CY177" s="22"/>
      <c r="CZ177" s="22"/>
      <c r="DA177" s="22"/>
      <c r="DB177" s="22"/>
      <c r="DC177" s="22"/>
      <c r="DD177" s="22"/>
      <c r="DE177" s="22"/>
      <c r="DF177" s="22"/>
      <c r="DG177" s="22"/>
      <c r="DH177" s="22"/>
      <c r="DI177" s="22"/>
      <c r="DJ177" s="22"/>
      <c r="DK177" s="22"/>
      <c r="DL177" s="22"/>
      <c r="DM177" s="22"/>
      <c r="DN177" s="22"/>
      <c r="DO177" s="22"/>
      <c r="DP177" s="22"/>
      <c r="DQ177" s="22"/>
      <c r="DR177" s="22"/>
      <c r="DS177" s="22"/>
      <c r="DT177" s="22"/>
      <c r="DU177" s="22"/>
      <c r="DV177" s="22"/>
      <c r="DW177" s="22"/>
      <c r="DX177" s="22"/>
      <c r="DY177" s="22"/>
      <c r="DZ177" s="22"/>
      <c r="EA177" s="22"/>
      <c r="EB177" s="22"/>
      <c r="EC177" s="22"/>
      <c r="ED177" s="22"/>
      <c r="EE177" s="22"/>
      <c r="EF177" s="22"/>
      <c r="EG177" s="22"/>
      <c r="EH177" s="22"/>
      <c r="EI177" s="22"/>
      <c r="EJ177" s="22"/>
      <c r="EK177" s="22"/>
      <c r="EL177" s="22"/>
      <c r="EM177" s="22"/>
      <c r="EN177" s="22"/>
      <c r="EO177" s="22"/>
      <c r="EP177" s="22"/>
      <c r="EQ177" s="22"/>
      <c r="ER177" s="22"/>
      <c r="ES177" s="22"/>
      <c r="ET177" s="22"/>
      <c r="EU177" s="22"/>
      <c r="EV177" s="22"/>
      <c r="EW177" s="22"/>
      <c r="EX177" s="22"/>
      <c r="EY177" s="22"/>
      <c r="EZ177" s="22"/>
      <c r="FA177" s="22"/>
      <c r="FB177" s="22"/>
      <c r="FC177" s="22"/>
      <c r="FD177" s="22"/>
      <c r="FE177" s="22"/>
      <c r="FF177" s="22"/>
      <c r="FG177" s="22"/>
      <c r="FH177" s="22"/>
      <c r="FI177" s="22"/>
      <c r="FJ177" s="22"/>
      <c r="FK177" s="22"/>
      <c r="FL177" s="22"/>
      <c r="FM177" s="22"/>
      <c r="FN177" s="22"/>
      <c r="FO177" s="22"/>
      <c r="FP177" s="22"/>
      <c r="FQ177" s="22"/>
      <c r="FR177" s="22"/>
      <c r="FS177" s="22"/>
      <c r="FT177" s="22"/>
      <c r="FU177" s="22"/>
      <c r="FV177" s="22"/>
      <c r="FW177" s="22"/>
      <c r="FX177" s="22"/>
      <c r="FY177" s="22"/>
      <c r="FZ177" s="22"/>
      <c r="GA177" s="22"/>
      <c r="GB177" s="22"/>
      <c r="GC177" s="22"/>
      <c r="GD177" s="22"/>
      <c r="GE177" s="22"/>
      <c r="GF177" s="22"/>
      <c r="GG177" s="22"/>
      <c r="GH177" s="22"/>
      <c r="GI177" s="22"/>
      <c r="GJ177" s="22"/>
      <c r="GK177" s="22"/>
      <c r="GL177" s="22"/>
      <c r="GM177" s="22"/>
      <c r="GN177" s="22"/>
      <c r="GO177" s="22"/>
      <c r="GP177" s="22"/>
      <c r="GQ177" s="22"/>
    </row>
    <row r="178" spans="3:199" s="2" customFormat="1" ht="20.100000000000001" customHeight="1">
      <c r="C178" s="13">
        <v>40030602</v>
      </c>
      <c r="D178" s="15" t="s">
        <v>210</v>
      </c>
      <c r="E178" s="12">
        <v>0</v>
      </c>
      <c r="F178" s="15">
        <v>0</v>
      </c>
      <c r="G178" s="12">
        <v>1</v>
      </c>
      <c r="H178" s="12">
        <v>50</v>
      </c>
      <c r="I178" s="12">
        <v>0.3</v>
      </c>
      <c r="J178" s="16">
        <v>0</v>
      </c>
      <c r="K178" s="16">
        <v>0</v>
      </c>
      <c r="L178" s="15">
        <v>0</v>
      </c>
      <c r="M178" s="19">
        <v>30</v>
      </c>
      <c r="N178" s="19">
        <v>120</v>
      </c>
      <c r="O178" s="17">
        <v>0</v>
      </c>
      <c r="P178" s="17">
        <v>0</v>
      </c>
      <c r="Q178" s="19">
        <v>30</v>
      </c>
      <c r="R178" s="19">
        <v>90</v>
      </c>
      <c r="S178" s="15">
        <v>30</v>
      </c>
      <c r="T178" s="15">
        <v>90</v>
      </c>
      <c r="U178" s="18">
        <v>0</v>
      </c>
      <c r="V178" s="18">
        <v>0</v>
      </c>
      <c r="W178" s="18">
        <v>0</v>
      </c>
      <c r="X178" s="18">
        <v>0</v>
      </c>
      <c r="Y178" s="18">
        <v>0</v>
      </c>
      <c r="Z178" s="18">
        <v>0</v>
      </c>
      <c r="AA178" s="18">
        <v>0</v>
      </c>
      <c r="AB178" s="16">
        <v>0</v>
      </c>
      <c r="AC178" s="16">
        <v>0</v>
      </c>
      <c r="AD178" s="16">
        <v>0</v>
      </c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  <c r="BM178" s="22"/>
      <c r="BN178" s="22"/>
      <c r="BO178" s="22"/>
      <c r="BP178" s="22"/>
      <c r="BQ178" s="22"/>
      <c r="BR178" s="22"/>
      <c r="BS178" s="22"/>
      <c r="BT178" s="22"/>
      <c r="BU178" s="22"/>
      <c r="BV178" s="22"/>
      <c r="BW178" s="22"/>
      <c r="BX178" s="22"/>
      <c r="BY178" s="22"/>
      <c r="BZ178" s="22"/>
      <c r="CA178" s="22"/>
      <c r="CB178" s="22"/>
      <c r="CC178" s="22"/>
      <c r="CD178" s="22"/>
      <c r="CE178" s="22"/>
      <c r="CF178" s="22"/>
      <c r="CG178" s="22"/>
      <c r="CH178" s="22"/>
      <c r="CI178" s="22"/>
      <c r="CJ178" s="22"/>
      <c r="CK178" s="22"/>
      <c r="CL178" s="22"/>
      <c r="CM178" s="22"/>
      <c r="CN178" s="22"/>
      <c r="CO178" s="22"/>
      <c r="CP178" s="22"/>
      <c r="CQ178" s="22"/>
      <c r="CR178" s="22"/>
      <c r="CS178" s="22"/>
      <c r="CT178" s="22"/>
      <c r="CU178" s="22"/>
      <c r="CV178" s="22"/>
      <c r="CW178" s="22"/>
      <c r="CX178" s="22"/>
      <c r="CY178" s="22"/>
      <c r="CZ178" s="22"/>
      <c r="DA178" s="22"/>
      <c r="DB178" s="22"/>
      <c r="DC178" s="22"/>
      <c r="DD178" s="22"/>
      <c r="DE178" s="22"/>
      <c r="DF178" s="22"/>
      <c r="DG178" s="22"/>
      <c r="DH178" s="22"/>
      <c r="DI178" s="22"/>
      <c r="DJ178" s="22"/>
      <c r="DK178" s="22"/>
      <c r="DL178" s="22"/>
      <c r="DM178" s="22"/>
      <c r="DN178" s="22"/>
      <c r="DO178" s="22"/>
      <c r="DP178" s="22"/>
      <c r="DQ178" s="22"/>
      <c r="DR178" s="22"/>
      <c r="DS178" s="22"/>
      <c r="DT178" s="22"/>
      <c r="DU178" s="22"/>
      <c r="DV178" s="22"/>
      <c r="DW178" s="22"/>
      <c r="DX178" s="22"/>
      <c r="DY178" s="22"/>
      <c r="DZ178" s="22"/>
      <c r="EA178" s="22"/>
      <c r="EB178" s="22"/>
      <c r="EC178" s="22"/>
      <c r="ED178" s="22"/>
      <c r="EE178" s="22"/>
      <c r="EF178" s="22"/>
      <c r="EG178" s="22"/>
      <c r="EH178" s="22"/>
      <c r="EI178" s="22"/>
      <c r="EJ178" s="22"/>
      <c r="EK178" s="22"/>
      <c r="EL178" s="22"/>
      <c r="EM178" s="22"/>
      <c r="EN178" s="22"/>
      <c r="EO178" s="22"/>
      <c r="EP178" s="22"/>
      <c r="EQ178" s="22"/>
      <c r="ER178" s="22"/>
      <c r="ES178" s="22"/>
      <c r="ET178" s="22"/>
      <c r="EU178" s="22"/>
      <c r="EV178" s="22"/>
      <c r="EW178" s="22"/>
      <c r="EX178" s="22"/>
      <c r="EY178" s="22"/>
      <c r="EZ178" s="22"/>
      <c r="FA178" s="22"/>
      <c r="FB178" s="22"/>
      <c r="FC178" s="22"/>
      <c r="FD178" s="22"/>
      <c r="FE178" s="22"/>
      <c r="FF178" s="22"/>
      <c r="FG178" s="22"/>
      <c r="FH178" s="22"/>
      <c r="FI178" s="22"/>
      <c r="FJ178" s="22"/>
      <c r="FK178" s="22"/>
      <c r="FL178" s="22"/>
      <c r="FM178" s="22"/>
      <c r="FN178" s="22"/>
      <c r="FO178" s="22"/>
      <c r="FP178" s="22"/>
      <c r="FQ178" s="22"/>
      <c r="FR178" s="22"/>
      <c r="FS178" s="22"/>
      <c r="FT178" s="22"/>
      <c r="FU178" s="22"/>
      <c r="FV178" s="22"/>
      <c r="FW178" s="22"/>
      <c r="FX178" s="22"/>
      <c r="FY178" s="22"/>
      <c r="FZ178" s="22"/>
      <c r="GA178" s="22"/>
      <c r="GB178" s="22"/>
      <c r="GC178" s="22"/>
      <c r="GD178" s="22"/>
      <c r="GE178" s="22"/>
      <c r="GF178" s="22"/>
      <c r="GG178" s="22"/>
      <c r="GH178" s="22"/>
      <c r="GI178" s="22"/>
      <c r="GJ178" s="22"/>
      <c r="GK178" s="22"/>
      <c r="GL178" s="22"/>
      <c r="GM178" s="22"/>
      <c r="GN178" s="22"/>
      <c r="GO178" s="22"/>
      <c r="GP178" s="22"/>
      <c r="GQ178" s="22"/>
    </row>
    <row r="179" spans="3:199" s="2" customFormat="1" ht="20.100000000000001" customHeight="1">
      <c r="C179" s="13">
        <v>40030603</v>
      </c>
      <c r="D179" s="15" t="s">
        <v>211</v>
      </c>
      <c r="E179" s="12">
        <v>0</v>
      </c>
      <c r="F179" s="15">
        <v>1503</v>
      </c>
      <c r="G179" s="12">
        <v>1</v>
      </c>
      <c r="H179" s="12">
        <v>50</v>
      </c>
      <c r="I179" s="12">
        <v>0.3</v>
      </c>
      <c r="J179" s="16">
        <v>0</v>
      </c>
      <c r="K179" s="16">
        <v>0</v>
      </c>
      <c r="L179" s="15">
        <v>0</v>
      </c>
      <c r="M179" s="19">
        <v>60</v>
      </c>
      <c r="N179" s="19">
        <v>180</v>
      </c>
      <c r="O179" s="17">
        <v>0</v>
      </c>
      <c r="P179" s="17">
        <v>0</v>
      </c>
      <c r="Q179" s="19">
        <v>0</v>
      </c>
      <c r="R179" s="19">
        <v>0</v>
      </c>
      <c r="S179" s="15">
        <v>30</v>
      </c>
      <c r="T179" s="15">
        <v>60</v>
      </c>
      <c r="U179" s="18">
        <v>0</v>
      </c>
      <c r="V179" s="18">
        <v>0</v>
      </c>
      <c r="W179" s="18">
        <v>0</v>
      </c>
      <c r="X179" s="18">
        <v>0</v>
      </c>
      <c r="Y179" s="18">
        <v>0</v>
      </c>
      <c r="Z179" s="18">
        <v>0</v>
      </c>
      <c r="AA179" s="18">
        <v>0</v>
      </c>
      <c r="AB179" s="16">
        <v>0</v>
      </c>
      <c r="AC179" s="16">
        <v>0</v>
      </c>
      <c r="AD179" s="16">
        <v>0</v>
      </c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  <c r="BM179" s="22"/>
      <c r="BN179" s="22"/>
      <c r="BO179" s="22"/>
      <c r="BP179" s="22"/>
      <c r="BQ179" s="22"/>
      <c r="BR179" s="22"/>
      <c r="BS179" s="22"/>
      <c r="BT179" s="22"/>
      <c r="BU179" s="22"/>
      <c r="BV179" s="22"/>
      <c r="BW179" s="22"/>
      <c r="BX179" s="22"/>
      <c r="BY179" s="22"/>
      <c r="BZ179" s="22"/>
      <c r="CA179" s="22"/>
      <c r="CB179" s="22"/>
      <c r="CC179" s="22"/>
      <c r="CD179" s="22"/>
      <c r="CE179" s="22"/>
      <c r="CF179" s="22"/>
      <c r="CG179" s="22"/>
      <c r="CH179" s="22"/>
      <c r="CI179" s="22"/>
      <c r="CJ179" s="22"/>
      <c r="CK179" s="22"/>
      <c r="CL179" s="22"/>
      <c r="CM179" s="22"/>
      <c r="CN179" s="22"/>
      <c r="CO179" s="22"/>
      <c r="CP179" s="22"/>
      <c r="CQ179" s="22"/>
      <c r="CR179" s="22"/>
      <c r="CS179" s="22"/>
      <c r="CT179" s="22"/>
      <c r="CU179" s="22"/>
      <c r="CV179" s="22"/>
      <c r="CW179" s="22"/>
      <c r="CX179" s="22"/>
      <c r="CY179" s="22"/>
      <c r="CZ179" s="22"/>
      <c r="DA179" s="22"/>
      <c r="DB179" s="22"/>
      <c r="DC179" s="22"/>
      <c r="DD179" s="22"/>
      <c r="DE179" s="22"/>
      <c r="DF179" s="22"/>
      <c r="DG179" s="22"/>
      <c r="DH179" s="22"/>
      <c r="DI179" s="22"/>
      <c r="DJ179" s="22"/>
      <c r="DK179" s="22"/>
      <c r="DL179" s="22"/>
      <c r="DM179" s="22"/>
      <c r="DN179" s="22"/>
      <c r="DO179" s="22"/>
      <c r="DP179" s="22"/>
      <c r="DQ179" s="22"/>
      <c r="DR179" s="22"/>
      <c r="DS179" s="22"/>
      <c r="DT179" s="22"/>
      <c r="DU179" s="22"/>
      <c r="DV179" s="22"/>
      <c r="DW179" s="22"/>
      <c r="DX179" s="22"/>
      <c r="DY179" s="22"/>
      <c r="DZ179" s="22"/>
      <c r="EA179" s="22"/>
      <c r="EB179" s="22"/>
      <c r="EC179" s="22"/>
      <c r="ED179" s="22"/>
      <c r="EE179" s="22"/>
      <c r="EF179" s="22"/>
      <c r="EG179" s="22"/>
      <c r="EH179" s="22"/>
      <c r="EI179" s="22"/>
      <c r="EJ179" s="22"/>
      <c r="EK179" s="22"/>
      <c r="EL179" s="22"/>
      <c r="EM179" s="22"/>
      <c r="EN179" s="22"/>
      <c r="EO179" s="22"/>
      <c r="EP179" s="22"/>
      <c r="EQ179" s="22"/>
      <c r="ER179" s="22"/>
      <c r="ES179" s="22"/>
      <c r="ET179" s="22"/>
      <c r="EU179" s="22"/>
      <c r="EV179" s="22"/>
      <c r="EW179" s="22"/>
      <c r="EX179" s="22"/>
      <c r="EY179" s="22"/>
      <c r="EZ179" s="22"/>
      <c r="FA179" s="22"/>
      <c r="FB179" s="22"/>
      <c r="FC179" s="22"/>
      <c r="FD179" s="22"/>
      <c r="FE179" s="22"/>
      <c r="FF179" s="22"/>
      <c r="FG179" s="22"/>
      <c r="FH179" s="22"/>
      <c r="FI179" s="22"/>
      <c r="FJ179" s="22"/>
      <c r="FK179" s="22"/>
      <c r="FL179" s="22"/>
      <c r="FM179" s="22"/>
      <c r="FN179" s="22"/>
      <c r="FO179" s="22"/>
      <c r="FP179" s="22"/>
      <c r="FQ179" s="22"/>
      <c r="FR179" s="22"/>
      <c r="FS179" s="22"/>
      <c r="FT179" s="22"/>
      <c r="FU179" s="22"/>
      <c r="FV179" s="22"/>
      <c r="FW179" s="22"/>
      <c r="FX179" s="22"/>
      <c r="FY179" s="22"/>
      <c r="FZ179" s="22"/>
      <c r="GA179" s="22"/>
      <c r="GB179" s="22"/>
      <c r="GC179" s="22"/>
      <c r="GD179" s="22"/>
      <c r="GE179" s="22"/>
      <c r="GF179" s="22"/>
      <c r="GG179" s="22"/>
      <c r="GH179" s="22"/>
      <c r="GI179" s="22"/>
      <c r="GJ179" s="22"/>
      <c r="GK179" s="22"/>
      <c r="GL179" s="22"/>
      <c r="GM179" s="22"/>
      <c r="GN179" s="22"/>
      <c r="GO179" s="22"/>
      <c r="GP179" s="22"/>
      <c r="GQ179" s="22"/>
    </row>
    <row r="180" spans="3:199" s="2" customFormat="1" ht="20.100000000000001" customHeight="1">
      <c r="C180" s="13">
        <v>40030604</v>
      </c>
      <c r="D180" s="15" t="s">
        <v>212</v>
      </c>
      <c r="E180" s="12">
        <v>0</v>
      </c>
      <c r="F180" s="15">
        <v>0</v>
      </c>
      <c r="G180" s="12">
        <v>1</v>
      </c>
      <c r="H180" s="12">
        <v>50</v>
      </c>
      <c r="I180" s="12">
        <v>0.3</v>
      </c>
      <c r="J180" s="16">
        <v>0</v>
      </c>
      <c r="K180" s="16">
        <v>0</v>
      </c>
      <c r="L180" s="15">
        <v>0</v>
      </c>
      <c r="M180" s="19">
        <v>50</v>
      </c>
      <c r="N180" s="19">
        <v>150</v>
      </c>
      <c r="O180" s="17">
        <v>0</v>
      </c>
      <c r="P180" s="17">
        <v>0</v>
      </c>
      <c r="Q180" s="19">
        <v>0</v>
      </c>
      <c r="R180" s="19">
        <v>0</v>
      </c>
      <c r="S180" s="15">
        <v>20</v>
      </c>
      <c r="T180" s="15">
        <v>40</v>
      </c>
      <c r="U180" s="18">
        <v>0</v>
      </c>
      <c r="V180" s="18">
        <v>0</v>
      </c>
      <c r="W180" s="18">
        <v>0</v>
      </c>
      <c r="X180" s="18">
        <v>0</v>
      </c>
      <c r="Y180" s="18">
        <v>0</v>
      </c>
      <c r="Z180" s="18">
        <v>0</v>
      </c>
      <c r="AA180" s="18">
        <v>0</v>
      </c>
      <c r="AB180" s="16">
        <v>0</v>
      </c>
      <c r="AC180" s="16">
        <v>0</v>
      </c>
      <c r="AD180" s="16">
        <v>0</v>
      </c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  <c r="BM180" s="22"/>
      <c r="BN180" s="22"/>
      <c r="BO180" s="22"/>
      <c r="BP180" s="22"/>
      <c r="BQ180" s="22"/>
      <c r="BR180" s="22"/>
      <c r="BS180" s="22"/>
      <c r="BT180" s="22"/>
      <c r="BU180" s="22"/>
      <c r="BV180" s="22"/>
      <c r="BW180" s="22"/>
      <c r="BX180" s="22"/>
      <c r="BY180" s="22"/>
      <c r="BZ180" s="22"/>
      <c r="CA180" s="22"/>
      <c r="CB180" s="22"/>
      <c r="CC180" s="22"/>
      <c r="CD180" s="22"/>
      <c r="CE180" s="22"/>
      <c r="CF180" s="22"/>
      <c r="CG180" s="22"/>
      <c r="CH180" s="22"/>
      <c r="CI180" s="22"/>
      <c r="CJ180" s="22"/>
      <c r="CK180" s="22"/>
      <c r="CL180" s="22"/>
      <c r="CM180" s="22"/>
      <c r="CN180" s="22"/>
      <c r="CO180" s="22"/>
      <c r="CP180" s="22"/>
      <c r="CQ180" s="22"/>
      <c r="CR180" s="22"/>
      <c r="CS180" s="22"/>
      <c r="CT180" s="22"/>
      <c r="CU180" s="22"/>
      <c r="CV180" s="22"/>
      <c r="CW180" s="22"/>
      <c r="CX180" s="22"/>
      <c r="CY180" s="22"/>
      <c r="CZ180" s="22"/>
      <c r="DA180" s="22"/>
      <c r="DB180" s="22"/>
      <c r="DC180" s="22"/>
      <c r="DD180" s="22"/>
      <c r="DE180" s="22"/>
      <c r="DF180" s="22"/>
      <c r="DG180" s="22"/>
      <c r="DH180" s="22"/>
      <c r="DI180" s="22"/>
      <c r="DJ180" s="22"/>
      <c r="DK180" s="22"/>
      <c r="DL180" s="22"/>
      <c r="DM180" s="22"/>
      <c r="DN180" s="22"/>
      <c r="DO180" s="22"/>
      <c r="DP180" s="22"/>
      <c r="DQ180" s="22"/>
      <c r="DR180" s="22"/>
      <c r="DS180" s="22"/>
      <c r="DT180" s="22"/>
      <c r="DU180" s="22"/>
      <c r="DV180" s="22"/>
      <c r="DW180" s="22"/>
      <c r="DX180" s="22"/>
      <c r="DY180" s="22"/>
      <c r="DZ180" s="22"/>
      <c r="EA180" s="22"/>
      <c r="EB180" s="22"/>
      <c r="EC180" s="22"/>
      <c r="ED180" s="22"/>
      <c r="EE180" s="22"/>
      <c r="EF180" s="22"/>
      <c r="EG180" s="22"/>
      <c r="EH180" s="22"/>
      <c r="EI180" s="22"/>
      <c r="EJ180" s="22"/>
      <c r="EK180" s="22"/>
      <c r="EL180" s="22"/>
      <c r="EM180" s="22"/>
      <c r="EN180" s="22"/>
      <c r="EO180" s="22"/>
      <c r="EP180" s="22"/>
      <c r="EQ180" s="22"/>
      <c r="ER180" s="22"/>
      <c r="ES180" s="22"/>
      <c r="ET180" s="22"/>
      <c r="EU180" s="22"/>
      <c r="EV180" s="22"/>
      <c r="EW180" s="22"/>
      <c r="EX180" s="22"/>
      <c r="EY180" s="22"/>
      <c r="EZ180" s="22"/>
      <c r="FA180" s="22"/>
      <c r="FB180" s="22"/>
      <c r="FC180" s="22"/>
      <c r="FD180" s="22"/>
      <c r="FE180" s="22"/>
      <c r="FF180" s="22"/>
      <c r="FG180" s="22"/>
      <c r="FH180" s="22"/>
      <c r="FI180" s="22"/>
      <c r="FJ180" s="22"/>
      <c r="FK180" s="22"/>
      <c r="FL180" s="22"/>
      <c r="FM180" s="22"/>
      <c r="FN180" s="22"/>
      <c r="FO180" s="22"/>
      <c r="FP180" s="22"/>
      <c r="FQ180" s="22"/>
      <c r="FR180" s="22"/>
      <c r="FS180" s="22"/>
      <c r="FT180" s="22"/>
      <c r="FU180" s="22"/>
      <c r="FV180" s="22"/>
      <c r="FW180" s="22"/>
      <c r="FX180" s="22"/>
      <c r="FY180" s="22"/>
      <c r="FZ180" s="22"/>
      <c r="GA180" s="22"/>
      <c r="GB180" s="22"/>
      <c r="GC180" s="22"/>
      <c r="GD180" s="22"/>
      <c r="GE180" s="22"/>
      <c r="GF180" s="22"/>
      <c r="GG180" s="22"/>
      <c r="GH180" s="22"/>
      <c r="GI180" s="22"/>
      <c r="GJ180" s="22"/>
      <c r="GK180" s="22"/>
      <c r="GL180" s="22"/>
      <c r="GM180" s="22"/>
      <c r="GN180" s="22"/>
      <c r="GO180" s="22"/>
      <c r="GP180" s="22"/>
      <c r="GQ180" s="22"/>
    </row>
    <row r="181" spans="3:199" s="2" customFormat="1" ht="20.100000000000001" customHeight="1">
      <c r="C181" s="13">
        <v>40030605</v>
      </c>
      <c r="D181" s="15" t="s">
        <v>213</v>
      </c>
      <c r="E181" s="12">
        <v>0</v>
      </c>
      <c r="F181" s="15">
        <v>1505</v>
      </c>
      <c r="G181" s="12">
        <v>1</v>
      </c>
      <c r="H181" s="12">
        <v>50</v>
      </c>
      <c r="I181" s="12">
        <v>0.3</v>
      </c>
      <c r="J181" s="16">
        <v>0</v>
      </c>
      <c r="K181" s="16">
        <v>0</v>
      </c>
      <c r="L181" s="15">
        <v>0</v>
      </c>
      <c r="M181" s="19">
        <v>40</v>
      </c>
      <c r="N181" s="19">
        <v>110</v>
      </c>
      <c r="O181" s="17">
        <v>0</v>
      </c>
      <c r="P181" s="17">
        <v>0</v>
      </c>
      <c r="Q181" s="19">
        <v>40</v>
      </c>
      <c r="R181" s="19">
        <v>110</v>
      </c>
      <c r="S181" s="15">
        <v>0</v>
      </c>
      <c r="T181" s="15">
        <v>0</v>
      </c>
      <c r="U181" s="18">
        <v>0</v>
      </c>
      <c r="V181" s="18">
        <v>0</v>
      </c>
      <c r="W181" s="18">
        <v>0</v>
      </c>
      <c r="X181" s="18">
        <v>0</v>
      </c>
      <c r="Y181" s="18">
        <v>0</v>
      </c>
      <c r="Z181" s="18">
        <v>0</v>
      </c>
      <c r="AA181" s="18">
        <v>0</v>
      </c>
      <c r="AB181" s="16">
        <v>0</v>
      </c>
      <c r="AC181" s="16">
        <v>0</v>
      </c>
      <c r="AD181" s="16">
        <v>0</v>
      </c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  <c r="BM181" s="22"/>
      <c r="BN181" s="22"/>
      <c r="BO181" s="22"/>
      <c r="BP181" s="22"/>
      <c r="BQ181" s="22"/>
      <c r="BR181" s="22"/>
      <c r="BS181" s="22"/>
      <c r="BT181" s="22"/>
      <c r="BU181" s="22"/>
      <c r="BV181" s="22"/>
      <c r="BW181" s="22"/>
      <c r="BX181" s="22"/>
      <c r="BY181" s="22"/>
      <c r="BZ181" s="22"/>
      <c r="CA181" s="22"/>
      <c r="CB181" s="22"/>
      <c r="CC181" s="22"/>
      <c r="CD181" s="22"/>
      <c r="CE181" s="22"/>
      <c r="CF181" s="22"/>
      <c r="CG181" s="22"/>
      <c r="CH181" s="22"/>
      <c r="CI181" s="22"/>
      <c r="CJ181" s="22"/>
      <c r="CK181" s="22"/>
      <c r="CL181" s="22"/>
      <c r="CM181" s="22"/>
      <c r="CN181" s="22"/>
      <c r="CO181" s="22"/>
      <c r="CP181" s="22"/>
      <c r="CQ181" s="22"/>
      <c r="CR181" s="22"/>
      <c r="CS181" s="22"/>
      <c r="CT181" s="22"/>
      <c r="CU181" s="22"/>
      <c r="CV181" s="22"/>
      <c r="CW181" s="22"/>
      <c r="CX181" s="22"/>
      <c r="CY181" s="22"/>
      <c r="CZ181" s="22"/>
      <c r="DA181" s="22"/>
      <c r="DB181" s="22"/>
      <c r="DC181" s="22"/>
      <c r="DD181" s="22"/>
      <c r="DE181" s="22"/>
      <c r="DF181" s="22"/>
      <c r="DG181" s="22"/>
      <c r="DH181" s="22"/>
      <c r="DI181" s="22"/>
      <c r="DJ181" s="22"/>
      <c r="DK181" s="22"/>
      <c r="DL181" s="22"/>
      <c r="DM181" s="22"/>
      <c r="DN181" s="22"/>
      <c r="DO181" s="22"/>
      <c r="DP181" s="22"/>
      <c r="DQ181" s="22"/>
      <c r="DR181" s="22"/>
      <c r="DS181" s="22"/>
      <c r="DT181" s="22"/>
      <c r="DU181" s="22"/>
      <c r="DV181" s="22"/>
      <c r="DW181" s="22"/>
      <c r="DX181" s="22"/>
      <c r="DY181" s="22"/>
      <c r="DZ181" s="22"/>
      <c r="EA181" s="22"/>
      <c r="EB181" s="22"/>
      <c r="EC181" s="22"/>
      <c r="ED181" s="22"/>
      <c r="EE181" s="22"/>
      <c r="EF181" s="22"/>
      <c r="EG181" s="22"/>
      <c r="EH181" s="22"/>
      <c r="EI181" s="22"/>
      <c r="EJ181" s="22"/>
      <c r="EK181" s="22"/>
      <c r="EL181" s="22"/>
      <c r="EM181" s="22"/>
      <c r="EN181" s="22"/>
      <c r="EO181" s="22"/>
      <c r="EP181" s="22"/>
      <c r="EQ181" s="22"/>
      <c r="ER181" s="22"/>
      <c r="ES181" s="22"/>
      <c r="ET181" s="22"/>
      <c r="EU181" s="22"/>
      <c r="EV181" s="22"/>
      <c r="EW181" s="22"/>
      <c r="EX181" s="22"/>
      <c r="EY181" s="22"/>
      <c r="EZ181" s="22"/>
      <c r="FA181" s="22"/>
      <c r="FB181" s="22"/>
      <c r="FC181" s="22"/>
      <c r="FD181" s="22"/>
      <c r="FE181" s="22"/>
      <c r="FF181" s="22"/>
      <c r="FG181" s="22"/>
      <c r="FH181" s="22"/>
      <c r="FI181" s="22"/>
      <c r="FJ181" s="22"/>
      <c r="FK181" s="22"/>
      <c r="FL181" s="22"/>
      <c r="FM181" s="22"/>
      <c r="FN181" s="22"/>
      <c r="FO181" s="22"/>
      <c r="FP181" s="22"/>
      <c r="FQ181" s="22"/>
      <c r="FR181" s="22"/>
      <c r="FS181" s="22"/>
      <c r="FT181" s="22"/>
      <c r="FU181" s="22"/>
      <c r="FV181" s="22"/>
      <c r="FW181" s="22"/>
      <c r="FX181" s="22"/>
      <c r="FY181" s="22"/>
      <c r="FZ181" s="22"/>
      <c r="GA181" s="22"/>
      <c r="GB181" s="22"/>
      <c r="GC181" s="22"/>
      <c r="GD181" s="22"/>
      <c r="GE181" s="22"/>
      <c r="GF181" s="22"/>
      <c r="GG181" s="22"/>
      <c r="GH181" s="22"/>
      <c r="GI181" s="22"/>
      <c r="GJ181" s="22"/>
      <c r="GK181" s="22"/>
      <c r="GL181" s="22"/>
      <c r="GM181" s="22"/>
      <c r="GN181" s="22"/>
      <c r="GO181" s="22"/>
      <c r="GP181" s="22"/>
      <c r="GQ181" s="22"/>
    </row>
    <row r="182" spans="3:199" s="2" customFormat="1" ht="20.100000000000001" customHeight="1">
      <c r="C182" s="13">
        <v>40030606</v>
      </c>
      <c r="D182" s="15" t="s">
        <v>214</v>
      </c>
      <c r="E182" s="12">
        <v>0</v>
      </c>
      <c r="F182" s="15">
        <v>0</v>
      </c>
      <c r="G182" s="12">
        <v>1</v>
      </c>
      <c r="H182" s="12">
        <v>50</v>
      </c>
      <c r="I182" s="12">
        <v>0.3</v>
      </c>
      <c r="J182" s="16">
        <v>0</v>
      </c>
      <c r="K182" s="16">
        <v>0</v>
      </c>
      <c r="L182" s="15">
        <v>0</v>
      </c>
      <c r="M182" s="19">
        <v>30</v>
      </c>
      <c r="N182" s="19">
        <v>90</v>
      </c>
      <c r="O182" s="17">
        <v>0</v>
      </c>
      <c r="P182" s="17">
        <v>0</v>
      </c>
      <c r="Q182" s="19">
        <v>40</v>
      </c>
      <c r="R182" s="19">
        <v>90</v>
      </c>
      <c r="S182" s="15">
        <v>0</v>
      </c>
      <c r="T182" s="15">
        <v>0</v>
      </c>
      <c r="U182" s="18">
        <v>0</v>
      </c>
      <c r="V182" s="18">
        <v>0</v>
      </c>
      <c r="W182" s="18">
        <v>0</v>
      </c>
      <c r="X182" s="18">
        <v>0</v>
      </c>
      <c r="Y182" s="18">
        <v>0</v>
      </c>
      <c r="Z182" s="18">
        <v>0</v>
      </c>
      <c r="AA182" s="18">
        <v>0</v>
      </c>
      <c r="AB182" s="16">
        <v>0</v>
      </c>
      <c r="AC182" s="16">
        <v>0</v>
      </c>
      <c r="AD182" s="16">
        <v>0</v>
      </c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  <c r="BM182" s="22"/>
      <c r="BN182" s="22"/>
      <c r="BO182" s="22"/>
      <c r="BP182" s="22"/>
      <c r="BQ182" s="22"/>
      <c r="BR182" s="22"/>
      <c r="BS182" s="22"/>
      <c r="BT182" s="22"/>
      <c r="BU182" s="22"/>
      <c r="BV182" s="22"/>
      <c r="BW182" s="22"/>
      <c r="BX182" s="22"/>
      <c r="BY182" s="22"/>
      <c r="BZ182" s="22"/>
      <c r="CA182" s="22"/>
      <c r="CB182" s="22"/>
      <c r="CC182" s="22"/>
      <c r="CD182" s="22"/>
      <c r="CE182" s="22"/>
      <c r="CF182" s="22"/>
      <c r="CG182" s="22"/>
      <c r="CH182" s="22"/>
      <c r="CI182" s="22"/>
      <c r="CJ182" s="22"/>
      <c r="CK182" s="22"/>
      <c r="CL182" s="22"/>
      <c r="CM182" s="22"/>
      <c r="CN182" s="22"/>
      <c r="CO182" s="22"/>
      <c r="CP182" s="22"/>
      <c r="CQ182" s="22"/>
      <c r="CR182" s="22"/>
      <c r="CS182" s="22"/>
      <c r="CT182" s="22"/>
      <c r="CU182" s="22"/>
      <c r="CV182" s="22"/>
      <c r="CW182" s="22"/>
      <c r="CX182" s="22"/>
      <c r="CY182" s="22"/>
      <c r="CZ182" s="22"/>
      <c r="DA182" s="22"/>
      <c r="DB182" s="22"/>
      <c r="DC182" s="22"/>
      <c r="DD182" s="22"/>
      <c r="DE182" s="22"/>
      <c r="DF182" s="22"/>
      <c r="DG182" s="22"/>
      <c r="DH182" s="22"/>
      <c r="DI182" s="22"/>
      <c r="DJ182" s="22"/>
      <c r="DK182" s="22"/>
      <c r="DL182" s="22"/>
      <c r="DM182" s="22"/>
      <c r="DN182" s="22"/>
      <c r="DO182" s="22"/>
      <c r="DP182" s="22"/>
      <c r="DQ182" s="22"/>
      <c r="DR182" s="22"/>
      <c r="DS182" s="22"/>
      <c r="DT182" s="22"/>
      <c r="DU182" s="22"/>
      <c r="DV182" s="22"/>
      <c r="DW182" s="22"/>
      <c r="DX182" s="22"/>
      <c r="DY182" s="22"/>
      <c r="DZ182" s="22"/>
      <c r="EA182" s="22"/>
      <c r="EB182" s="22"/>
      <c r="EC182" s="22"/>
      <c r="ED182" s="22"/>
      <c r="EE182" s="22"/>
      <c r="EF182" s="22"/>
      <c r="EG182" s="22"/>
      <c r="EH182" s="22"/>
      <c r="EI182" s="22"/>
      <c r="EJ182" s="22"/>
      <c r="EK182" s="22"/>
      <c r="EL182" s="22"/>
      <c r="EM182" s="22"/>
      <c r="EN182" s="22"/>
      <c r="EO182" s="22"/>
      <c r="EP182" s="22"/>
      <c r="EQ182" s="22"/>
      <c r="ER182" s="22"/>
      <c r="ES182" s="22"/>
      <c r="ET182" s="22"/>
      <c r="EU182" s="22"/>
      <c r="EV182" s="22"/>
      <c r="EW182" s="22"/>
      <c r="EX182" s="22"/>
      <c r="EY182" s="22"/>
      <c r="EZ182" s="22"/>
      <c r="FA182" s="22"/>
      <c r="FB182" s="22"/>
      <c r="FC182" s="22"/>
      <c r="FD182" s="22"/>
      <c r="FE182" s="22"/>
      <c r="FF182" s="22"/>
      <c r="FG182" s="22"/>
      <c r="FH182" s="22"/>
      <c r="FI182" s="22"/>
      <c r="FJ182" s="22"/>
      <c r="FK182" s="22"/>
      <c r="FL182" s="22"/>
      <c r="FM182" s="22"/>
      <c r="FN182" s="22"/>
      <c r="FO182" s="22"/>
      <c r="FP182" s="22"/>
      <c r="FQ182" s="22"/>
      <c r="FR182" s="22"/>
      <c r="FS182" s="22"/>
      <c r="FT182" s="22"/>
      <c r="FU182" s="22"/>
      <c r="FV182" s="22"/>
      <c r="FW182" s="22"/>
      <c r="FX182" s="22"/>
      <c r="FY182" s="22"/>
      <c r="FZ182" s="22"/>
      <c r="GA182" s="22"/>
      <c r="GB182" s="22"/>
      <c r="GC182" s="22"/>
      <c r="GD182" s="22"/>
      <c r="GE182" s="22"/>
      <c r="GF182" s="22"/>
      <c r="GG182" s="22"/>
      <c r="GH182" s="22"/>
      <c r="GI182" s="22"/>
      <c r="GJ182" s="22"/>
      <c r="GK182" s="22"/>
      <c r="GL182" s="22"/>
      <c r="GM182" s="22"/>
      <c r="GN182" s="22"/>
      <c r="GO182" s="22"/>
      <c r="GP182" s="22"/>
      <c r="GQ182" s="22"/>
    </row>
    <row r="183" spans="3:199" s="2" customFormat="1" ht="20.100000000000001" customHeight="1">
      <c r="C183" s="13">
        <v>40030607</v>
      </c>
      <c r="D183" s="15" t="s">
        <v>215</v>
      </c>
      <c r="E183" s="12">
        <v>0</v>
      </c>
      <c r="F183" s="15">
        <v>1505</v>
      </c>
      <c r="G183" s="12">
        <v>1</v>
      </c>
      <c r="H183" s="12">
        <v>50</v>
      </c>
      <c r="I183" s="12">
        <v>0.3</v>
      </c>
      <c r="J183" s="16">
        <v>0</v>
      </c>
      <c r="K183" s="16">
        <v>0</v>
      </c>
      <c r="L183" s="15">
        <v>0</v>
      </c>
      <c r="M183" s="19">
        <v>50</v>
      </c>
      <c r="N183" s="19">
        <v>150</v>
      </c>
      <c r="O183" s="17">
        <v>0</v>
      </c>
      <c r="P183" s="17">
        <v>0</v>
      </c>
      <c r="Q183" s="19">
        <v>0</v>
      </c>
      <c r="R183" s="19">
        <v>0</v>
      </c>
      <c r="S183" s="15">
        <v>40</v>
      </c>
      <c r="T183" s="15">
        <v>110</v>
      </c>
      <c r="U183" s="18">
        <v>0</v>
      </c>
      <c r="V183" s="18">
        <v>0</v>
      </c>
      <c r="W183" s="18">
        <v>0</v>
      </c>
      <c r="X183" s="18">
        <v>0</v>
      </c>
      <c r="Y183" s="18">
        <v>0</v>
      </c>
      <c r="Z183" s="18">
        <v>0</v>
      </c>
      <c r="AA183" s="18">
        <v>0</v>
      </c>
      <c r="AB183" s="16">
        <v>0</v>
      </c>
      <c r="AC183" s="16">
        <v>0</v>
      </c>
      <c r="AD183" s="16">
        <v>0</v>
      </c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  <c r="BM183" s="22"/>
      <c r="BN183" s="22"/>
      <c r="BO183" s="22"/>
      <c r="BP183" s="22"/>
      <c r="BQ183" s="22"/>
      <c r="BR183" s="22"/>
      <c r="BS183" s="22"/>
      <c r="BT183" s="22"/>
      <c r="BU183" s="22"/>
      <c r="BV183" s="22"/>
      <c r="BW183" s="22"/>
      <c r="BX183" s="22"/>
      <c r="BY183" s="22"/>
      <c r="BZ183" s="22"/>
      <c r="CA183" s="22"/>
      <c r="CB183" s="22"/>
      <c r="CC183" s="22"/>
      <c r="CD183" s="22"/>
      <c r="CE183" s="22"/>
      <c r="CF183" s="22"/>
      <c r="CG183" s="22"/>
      <c r="CH183" s="22"/>
      <c r="CI183" s="22"/>
      <c r="CJ183" s="22"/>
      <c r="CK183" s="22"/>
      <c r="CL183" s="22"/>
      <c r="CM183" s="22"/>
      <c r="CN183" s="22"/>
      <c r="CO183" s="22"/>
      <c r="CP183" s="22"/>
      <c r="CQ183" s="22"/>
      <c r="CR183" s="22"/>
      <c r="CS183" s="22"/>
      <c r="CT183" s="22"/>
      <c r="CU183" s="22"/>
      <c r="CV183" s="22"/>
      <c r="CW183" s="22"/>
      <c r="CX183" s="22"/>
      <c r="CY183" s="22"/>
      <c r="CZ183" s="22"/>
      <c r="DA183" s="22"/>
      <c r="DB183" s="22"/>
      <c r="DC183" s="22"/>
      <c r="DD183" s="22"/>
      <c r="DE183" s="22"/>
      <c r="DF183" s="22"/>
      <c r="DG183" s="22"/>
      <c r="DH183" s="22"/>
      <c r="DI183" s="22"/>
      <c r="DJ183" s="22"/>
      <c r="DK183" s="22"/>
      <c r="DL183" s="22"/>
      <c r="DM183" s="22"/>
      <c r="DN183" s="22"/>
      <c r="DO183" s="22"/>
      <c r="DP183" s="22"/>
      <c r="DQ183" s="22"/>
      <c r="DR183" s="22"/>
      <c r="DS183" s="22"/>
      <c r="DT183" s="22"/>
      <c r="DU183" s="22"/>
      <c r="DV183" s="22"/>
      <c r="DW183" s="22"/>
      <c r="DX183" s="22"/>
      <c r="DY183" s="22"/>
      <c r="DZ183" s="22"/>
      <c r="EA183" s="22"/>
      <c r="EB183" s="22"/>
      <c r="EC183" s="22"/>
      <c r="ED183" s="22"/>
      <c r="EE183" s="22"/>
      <c r="EF183" s="22"/>
      <c r="EG183" s="22"/>
      <c r="EH183" s="22"/>
      <c r="EI183" s="22"/>
      <c r="EJ183" s="22"/>
      <c r="EK183" s="22"/>
      <c r="EL183" s="22"/>
      <c r="EM183" s="22"/>
      <c r="EN183" s="22"/>
      <c r="EO183" s="22"/>
      <c r="EP183" s="22"/>
      <c r="EQ183" s="22"/>
      <c r="ER183" s="22"/>
      <c r="ES183" s="22"/>
      <c r="ET183" s="22"/>
      <c r="EU183" s="22"/>
      <c r="EV183" s="22"/>
      <c r="EW183" s="22"/>
      <c r="EX183" s="22"/>
      <c r="EY183" s="22"/>
      <c r="EZ183" s="22"/>
      <c r="FA183" s="22"/>
      <c r="FB183" s="22"/>
      <c r="FC183" s="22"/>
      <c r="FD183" s="22"/>
      <c r="FE183" s="22"/>
      <c r="FF183" s="22"/>
      <c r="FG183" s="22"/>
      <c r="FH183" s="22"/>
      <c r="FI183" s="22"/>
      <c r="FJ183" s="22"/>
      <c r="FK183" s="22"/>
      <c r="FL183" s="22"/>
      <c r="FM183" s="22"/>
      <c r="FN183" s="22"/>
      <c r="FO183" s="22"/>
      <c r="FP183" s="22"/>
      <c r="FQ183" s="22"/>
      <c r="FR183" s="22"/>
      <c r="FS183" s="22"/>
      <c r="FT183" s="22"/>
      <c r="FU183" s="22"/>
      <c r="FV183" s="22"/>
      <c r="FW183" s="22"/>
      <c r="FX183" s="22"/>
      <c r="FY183" s="22"/>
      <c r="FZ183" s="22"/>
      <c r="GA183" s="22"/>
      <c r="GB183" s="22"/>
      <c r="GC183" s="22"/>
      <c r="GD183" s="22"/>
      <c r="GE183" s="22"/>
      <c r="GF183" s="22"/>
      <c r="GG183" s="22"/>
      <c r="GH183" s="22"/>
      <c r="GI183" s="22"/>
      <c r="GJ183" s="22"/>
      <c r="GK183" s="22"/>
      <c r="GL183" s="22"/>
      <c r="GM183" s="22"/>
      <c r="GN183" s="22"/>
      <c r="GO183" s="22"/>
      <c r="GP183" s="22"/>
      <c r="GQ183" s="22"/>
    </row>
    <row r="184" spans="3:199" s="2" customFormat="1" ht="20.100000000000001" customHeight="1">
      <c r="C184" s="13">
        <v>40030608</v>
      </c>
      <c r="D184" s="15" t="s">
        <v>216</v>
      </c>
      <c r="E184" s="12">
        <v>0</v>
      </c>
      <c r="F184" s="15">
        <v>0</v>
      </c>
      <c r="G184" s="12">
        <v>1</v>
      </c>
      <c r="H184" s="12">
        <v>50</v>
      </c>
      <c r="I184" s="12">
        <v>0.3</v>
      </c>
      <c r="J184" s="16">
        <v>0</v>
      </c>
      <c r="K184" s="16">
        <v>0</v>
      </c>
      <c r="L184" s="15">
        <v>0</v>
      </c>
      <c r="M184" s="19">
        <v>40</v>
      </c>
      <c r="N184" s="19">
        <v>130</v>
      </c>
      <c r="O184" s="17">
        <v>0</v>
      </c>
      <c r="P184" s="17">
        <v>0</v>
      </c>
      <c r="Q184" s="19">
        <v>0</v>
      </c>
      <c r="R184" s="19">
        <v>0</v>
      </c>
      <c r="S184" s="15">
        <v>30</v>
      </c>
      <c r="T184" s="15">
        <v>90</v>
      </c>
      <c r="U184" s="18">
        <v>0</v>
      </c>
      <c r="V184" s="18">
        <v>0</v>
      </c>
      <c r="W184" s="18">
        <v>0</v>
      </c>
      <c r="X184" s="18">
        <v>0</v>
      </c>
      <c r="Y184" s="18">
        <v>0</v>
      </c>
      <c r="Z184" s="18">
        <v>0</v>
      </c>
      <c r="AA184" s="18">
        <v>0</v>
      </c>
      <c r="AB184" s="16">
        <v>0</v>
      </c>
      <c r="AC184" s="16">
        <v>0</v>
      </c>
      <c r="AD184" s="16">
        <v>0</v>
      </c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  <c r="BM184" s="22"/>
      <c r="BN184" s="22"/>
      <c r="BO184" s="22"/>
      <c r="BP184" s="22"/>
      <c r="BQ184" s="22"/>
      <c r="BR184" s="22"/>
      <c r="BS184" s="22"/>
      <c r="BT184" s="22"/>
      <c r="BU184" s="22"/>
      <c r="BV184" s="22"/>
      <c r="BW184" s="22"/>
      <c r="BX184" s="22"/>
      <c r="BY184" s="22"/>
      <c r="BZ184" s="22"/>
      <c r="CA184" s="22"/>
      <c r="CB184" s="22"/>
      <c r="CC184" s="22"/>
      <c r="CD184" s="22"/>
      <c r="CE184" s="22"/>
      <c r="CF184" s="22"/>
      <c r="CG184" s="22"/>
      <c r="CH184" s="22"/>
      <c r="CI184" s="22"/>
      <c r="CJ184" s="22"/>
      <c r="CK184" s="22"/>
      <c r="CL184" s="22"/>
      <c r="CM184" s="22"/>
      <c r="CN184" s="22"/>
      <c r="CO184" s="22"/>
      <c r="CP184" s="22"/>
      <c r="CQ184" s="22"/>
      <c r="CR184" s="22"/>
      <c r="CS184" s="22"/>
      <c r="CT184" s="22"/>
      <c r="CU184" s="22"/>
      <c r="CV184" s="22"/>
      <c r="CW184" s="22"/>
      <c r="CX184" s="22"/>
      <c r="CY184" s="22"/>
      <c r="CZ184" s="22"/>
      <c r="DA184" s="22"/>
      <c r="DB184" s="22"/>
      <c r="DC184" s="22"/>
      <c r="DD184" s="22"/>
      <c r="DE184" s="22"/>
      <c r="DF184" s="22"/>
      <c r="DG184" s="22"/>
      <c r="DH184" s="22"/>
      <c r="DI184" s="22"/>
      <c r="DJ184" s="22"/>
      <c r="DK184" s="22"/>
      <c r="DL184" s="22"/>
      <c r="DM184" s="22"/>
      <c r="DN184" s="22"/>
      <c r="DO184" s="22"/>
      <c r="DP184" s="22"/>
      <c r="DQ184" s="22"/>
      <c r="DR184" s="22"/>
      <c r="DS184" s="22"/>
      <c r="DT184" s="22"/>
      <c r="DU184" s="22"/>
      <c r="DV184" s="22"/>
      <c r="DW184" s="22"/>
      <c r="DX184" s="22"/>
      <c r="DY184" s="22"/>
      <c r="DZ184" s="22"/>
      <c r="EA184" s="22"/>
      <c r="EB184" s="22"/>
      <c r="EC184" s="22"/>
      <c r="ED184" s="22"/>
      <c r="EE184" s="22"/>
      <c r="EF184" s="22"/>
      <c r="EG184" s="22"/>
      <c r="EH184" s="22"/>
      <c r="EI184" s="22"/>
      <c r="EJ184" s="22"/>
      <c r="EK184" s="22"/>
      <c r="EL184" s="22"/>
      <c r="EM184" s="22"/>
      <c r="EN184" s="22"/>
      <c r="EO184" s="22"/>
      <c r="EP184" s="22"/>
      <c r="EQ184" s="22"/>
      <c r="ER184" s="22"/>
      <c r="ES184" s="22"/>
      <c r="ET184" s="22"/>
      <c r="EU184" s="22"/>
      <c r="EV184" s="22"/>
      <c r="EW184" s="22"/>
      <c r="EX184" s="22"/>
      <c r="EY184" s="22"/>
      <c r="EZ184" s="22"/>
      <c r="FA184" s="22"/>
      <c r="FB184" s="22"/>
      <c r="FC184" s="22"/>
      <c r="FD184" s="22"/>
      <c r="FE184" s="22"/>
      <c r="FF184" s="22"/>
      <c r="FG184" s="22"/>
      <c r="FH184" s="22"/>
      <c r="FI184" s="22"/>
      <c r="FJ184" s="22"/>
      <c r="FK184" s="22"/>
      <c r="FL184" s="22"/>
      <c r="FM184" s="22"/>
      <c r="FN184" s="22"/>
      <c r="FO184" s="22"/>
      <c r="FP184" s="22"/>
      <c r="FQ184" s="22"/>
      <c r="FR184" s="22"/>
      <c r="FS184" s="22"/>
      <c r="FT184" s="22"/>
      <c r="FU184" s="22"/>
      <c r="FV184" s="22"/>
      <c r="FW184" s="22"/>
      <c r="FX184" s="22"/>
      <c r="FY184" s="22"/>
      <c r="FZ184" s="22"/>
      <c r="GA184" s="22"/>
      <c r="GB184" s="22"/>
      <c r="GC184" s="22"/>
      <c r="GD184" s="22"/>
      <c r="GE184" s="22"/>
      <c r="GF184" s="22"/>
      <c r="GG184" s="22"/>
      <c r="GH184" s="22"/>
      <c r="GI184" s="22"/>
      <c r="GJ184" s="22"/>
      <c r="GK184" s="22"/>
      <c r="GL184" s="22"/>
      <c r="GM184" s="22"/>
      <c r="GN184" s="22"/>
      <c r="GO184" s="22"/>
      <c r="GP184" s="22"/>
      <c r="GQ184" s="22"/>
    </row>
    <row r="185" spans="3:199" s="2" customFormat="1" ht="20.100000000000001" customHeight="1">
      <c r="C185" s="13">
        <v>40030609</v>
      </c>
      <c r="D185" s="15" t="s">
        <v>217</v>
      </c>
      <c r="E185" s="12">
        <v>0</v>
      </c>
      <c r="F185" s="15">
        <v>1504</v>
      </c>
      <c r="G185" s="12">
        <v>1</v>
      </c>
      <c r="H185" s="12">
        <v>50</v>
      </c>
      <c r="I185" s="12">
        <v>0.3</v>
      </c>
      <c r="J185" s="16">
        <v>0</v>
      </c>
      <c r="K185" s="16">
        <v>0</v>
      </c>
      <c r="L185" s="15">
        <v>0</v>
      </c>
      <c r="M185" s="19">
        <v>70</v>
      </c>
      <c r="N185" s="19">
        <v>210</v>
      </c>
      <c r="O185" s="17">
        <v>0</v>
      </c>
      <c r="P185" s="17">
        <v>0</v>
      </c>
      <c r="Q185" s="19">
        <v>30</v>
      </c>
      <c r="R185" s="19">
        <v>60</v>
      </c>
      <c r="S185" s="15">
        <v>30</v>
      </c>
      <c r="T185" s="15">
        <v>60</v>
      </c>
      <c r="U185" s="18">
        <v>0</v>
      </c>
      <c r="V185" s="18">
        <v>0</v>
      </c>
      <c r="W185" s="18">
        <v>0</v>
      </c>
      <c r="X185" s="18">
        <v>0</v>
      </c>
      <c r="Y185" s="18">
        <v>0</v>
      </c>
      <c r="Z185" s="18">
        <v>0</v>
      </c>
      <c r="AA185" s="18">
        <v>0</v>
      </c>
      <c r="AB185" s="16">
        <v>0</v>
      </c>
      <c r="AC185" s="16">
        <v>0</v>
      </c>
      <c r="AD185" s="16">
        <v>0</v>
      </c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  <c r="BM185" s="22"/>
      <c r="BN185" s="22"/>
      <c r="BO185" s="22"/>
      <c r="BP185" s="22"/>
      <c r="BQ185" s="22"/>
      <c r="BR185" s="22"/>
      <c r="BS185" s="22"/>
      <c r="BT185" s="22"/>
      <c r="BU185" s="22"/>
      <c r="BV185" s="22"/>
      <c r="BW185" s="22"/>
      <c r="BX185" s="22"/>
      <c r="BY185" s="22"/>
      <c r="BZ185" s="22"/>
      <c r="CA185" s="22"/>
      <c r="CB185" s="22"/>
      <c r="CC185" s="22"/>
      <c r="CD185" s="22"/>
      <c r="CE185" s="22"/>
      <c r="CF185" s="22"/>
      <c r="CG185" s="22"/>
      <c r="CH185" s="22"/>
      <c r="CI185" s="22"/>
      <c r="CJ185" s="22"/>
      <c r="CK185" s="22"/>
      <c r="CL185" s="22"/>
      <c r="CM185" s="22"/>
      <c r="CN185" s="22"/>
      <c r="CO185" s="22"/>
      <c r="CP185" s="22"/>
      <c r="CQ185" s="22"/>
      <c r="CR185" s="22"/>
      <c r="CS185" s="22"/>
      <c r="CT185" s="22"/>
      <c r="CU185" s="22"/>
      <c r="CV185" s="22"/>
      <c r="CW185" s="22"/>
      <c r="CX185" s="22"/>
      <c r="CY185" s="22"/>
      <c r="CZ185" s="22"/>
      <c r="DA185" s="22"/>
      <c r="DB185" s="22"/>
      <c r="DC185" s="22"/>
      <c r="DD185" s="22"/>
      <c r="DE185" s="22"/>
      <c r="DF185" s="22"/>
      <c r="DG185" s="22"/>
      <c r="DH185" s="22"/>
      <c r="DI185" s="22"/>
      <c r="DJ185" s="22"/>
      <c r="DK185" s="22"/>
      <c r="DL185" s="22"/>
      <c r="DM185" s="22"/>
      <c r="DN185" s="22"/>
      <c r="DO185" s="22"/>
      <c r="DP185" s="22"/>
      <c r="DQ185" s="22"/>
      <c r="DR185" s="22"/>
      <c r="DS185" s="22"/>
      <c r="DT185" s="22"/>
      <c r="DU185" s="22"/>
      <c r="DV185" s="22"/>
      <c r="DW185" s="22"/>
      <c r="DX185" s="22"/>
      <c r="DY185" s="22"/>
      <c r="DZ185" s="22"/>
      <c r="EA185" s="22"/>
      <c r="EB185" s="22"/>
      <c r="EC185" s="22"/>
      <c r="ED185" s="22"/>
      <c r="EE185" s="22"/>
      <c r="EF185" s="22"/>
      <c r="EG185" s="22"/>
      <c r="EH185" s="22"/>
      <c r="EI185" s="22"/>
      <c r="EJ185" s="22"/>
      <c r="EK185" s="22"/>
      <c r="EL185" s="22"/>
      <c r="EM185" s="22"/>
      <c r="EN185" s="22"/>
      <c r="EO185" s="22"/>
      <c r="EP185" s="22"/>
      <c r="EQ185" s="22"/>
      <c r="ER185" s="22"/>
      <c r="ES185" s="22"/>
      <c r="ET185" s="22"/>
      <c r="EU185" s="22"/>
      <c r="EV185" s="22"/>
      <c r="EW185" s="22"/>
      <c r="EX185" s="22"/>
      <c r="EY185" s="22"/>
      <c r="EZ185" s="22"/>
      <c r="FA185" s="22"/>
      <c r="FB185" s="22"/>
      <c r="FC185" s="22"/>
      <c r="FD185" s="22"/>
      <c r="FE185" s="22"/>
      <c r="FF185" s="22"/>
      <c r="FG185" s="22"/>
      <c r="FH185" s="22"/>
      <c r="FI185" s="22"/>
      <c r="FJ185" s="22"/>
      <c r="FK185" s="22"/>
      <c r="FL185" s="22"/>
      <c r="FM185" s="22"/>
      <c r="FN185" s="22"/>
      <c r="FO185" s="22"/>
      <c r="FP185" s="22"/>
      <c r="FQ185" s="22"/>
      <c r="FR185" s="22"/>
      <c r="FS185" s="22"/>
      <c r="FT185" s="22"/>
      <c r="FU185" s="22"/>
      <c r="FV185" s="22"/>
      <c r="FW185" s="22"/>
      <c r="FX185" s="22"/>
      <c r="FY185" s="22"/>
      <c r="FZ185" s="22"/>
      <c r="GA185" s="22"/>
      <c r="GB185" s="22"/>
      <c r="GC185" s="22"/>
      <c r="GD185" s="22"/>
      <c r="GE185" s="22"/>
      <c r="GF185" s="22"/>
      <c r="GG185" s="22"/>
      <c r="GH185" s="22"/>
      <c r="GI185" s="22"/>
      <c r="GJ185" s="22"/>
      <c r="GK185" s="22"/>
      <c r="GL185" s="22"/>
      <c r="GM185" s="22"/>
      <c r="GN185" s="22"/>
      <c r="GO185" s="22"/>
      <c r="GP185" s="22"/>
      <c r="GQ185" s="22"/>
    </row>
    <row r="186" spans="3:199" s="2" customFormat="1" ht="20.100000000000001" customHeight="1">
      <c r="C186" s="13">
        <v>40030610</v>
      </c>
      <c r="D186" s="15" t="s">
        <v>218</v>
      </c>
      <c r="E186" s="12">
        <v>0</v>
      </c>
      <c r="F186" s="15">
        <v>0</v>
      </c>
      <c r="G186" s="12">
        <v>1</v>
      </c>
      <c r="H186" s="12">
        <v>50</v>
      </c>
      <c r="I186" s="12">
        <v>0.3</v>
      </c>
      <c r="J186" s="16">
        <v>0</v>
      </c>
      <c r="K186" s="16">
        <v>0</v>
      </c>
      <c r="L186" s="15">
        <v>0</v>
      </c>
      <c r="M186" s="19">
        <v>50</v>
      </c>
      <c r="N186" s="19">
        <v>180</v>
      </c>
      <c r="O186" s="17">
        <v>0</v>
      </c>
      <c r="P186" s="17">
        <v>0</v>
      </c>
      <c r="Q186" s="19">
        <v>20</v>
      </c>
      <c r="R186" s="19">
        <v>50</v>
      </c>
      <c r="S186" s="15">
        <v>20</v>
      </c>
      <c r="T186" s="15">
        <v>50</v>
      </c>
      <c r="U186" s="18">
        <v>0</v>
      </c>
      <c r="V186" s="18">
        <v>0</v>
      </c>
      <c r="W186" s="18">
        <v>0</v>
      </c>
      <c r="X186" s="18">
        <v>0</v>
      </c>
      <c r="Y186" s="18">
        <v>0</v>
      </c>
      <c r="Z186" s="18">
        <v>0</v>
      </c>
      <c r="AA186" s="18">
        <v>0</v>
      </c>
      <c r="AB186" s="16">
        <v>0</v>
      </c>
      <c r="AC186" s="16">
        <v>0</v>
      </c>
      <c r="AD186" s="16">
        <v>0</v>
      </c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  <c r="BM186" s="22"/>
      <c r="BN186" s="22"/>
      <c r="BO186" s="22"/>
      <c r="BP186" s="22"/>
      <c r="BQ186" s="22"/>
      <c r="BR186" s="22"/>
      <c r="BS186" s="22"/>
      <c r="BT186" s="22"/>
      <c r="BU186" s="22"/>
      <c r="BV186" s="22"/>
      <c r="BW186" s="22"/>
      <c r="BX186" s="22"/>
      <c r="BY186" s="22"/>
      <c r="BZ186" s="22"/>
      <c r="CA186" s="22"/>
      <c r="CB186" s="22"/>
      <c r="CC186" s="22"/>
      <c r="CD186" s="22"/>
      <c r="CE186" s="22"/>
      <c r="CF186" s="22"/>
      <c r="CG186" s="22"/>
      <c r="CH186" s="22"/>
      <c r="CI186" s="22"/>
      <c r="CJ186" s="22"/>
      <c r="CK186" s="22"/>
      <c r="CL186" s="22"/>
      <c r="CM186" s="22"/>
      <c r="CN186" s="22"/>
      <c r="CO186" s="22"/>
      <c r="CP186" s="22"/>
      <c r="CQ186" s="22"/>
      <c r="CR186" s="22"/>
      <c r="CS186" s="22"/>
      <c r="CT186" s="22"/>
      <c r="CU186" s="22"/>
      <c r="CV186" s="22"/>
      <c r="CW186" s="22"/>
      <c r="CX186" s="22"/>
      <c r="CY186" s="22"/>
      <c r="CZ186" s="22"/>
      <c r="DA186" s="22"/>
      <c r="DB186" s="22"/>
      <c r="DC186" s="22"/>
      <c r="DD186" s="22"/>
      <c r="DE186" s="22"/>
      <c r="DF186" s="22"/>
      <c r="DG186" s="22"/>
      <c r="DH186" s="22"/>
      <c r="DI186" s="22"/>
      <c r="DJ186" s="22"/>
      <c r="DK186" s="22"/>
      <c r="DL186" s="22"/>
      <c r="DM186" s="22"/>
      <c r="DN186" s="22"/>
      <c r="DO186" s="22"/>
      <c r="DP186" s="22"/>
      <c r="DQ186" s="22"/>
      <c r="DR186" s="22"/>
      <c r="DS186" s="22"/>
      <c r="DT186" s="22"/>
      <c r="DU186" s="22"/>
      <c r="DV186" s="22"/>
      <c r="DW186" s="22"/>
      <c r="DX186" s="22"/>
      <c r="DY186" s="22"/>
      <c r="DZ186" s="22"/>
      <c r="EA186" s="22"/>
      <c r="EB186" s="22"/>
      <c r="EC186" s="22"/>
      <c r="ED186" s="22"/>
      <c r="EE186" s="22"/>
      <c r="EF186" s="22"/>
      <c r="EG186" s="22"/>
      <c r="EH186" s="22"/>
      <c r="EI186" s="22"/>
      <c r="EJ186" s="22"/>
      <c r="EK186" s="22"/>
      <c r="EL186" s="22"/>
      <c r="EM186" s="22"/>
      <c r="EN186" s="22"/>
      <c r="EO186" s="22"/>
      <c r="EP186" s="22"/>
      <c r="EQ186" s="22"/>
      <c r="ER186" s="22"/>
      <c r="ES186" s="22"/>
      <c r="ET186" s="22"/>
      <c r="EU186" s="22"/>
      <c r="EV186" s="22"/>
      <c r="EW186" s="22"/>
      <c r="EX186" s="22"/>
      <c r="EY186" s="22"/>
      <c r="EZ186" s="22"/>
      <c r="FA186" s="22"/>
      <c r="FB186" s="22"/>
      <c r="FC186" s="22"/>
      <c r="FD186" s="22"/>
      <c r="FE186" s="22"/>
      <c r="FF186" s="22"/>
      <c r="FG186" s="22"/>
      <c r="FH186" s="22"/>
      <c r="FI186" s="22"/>
      <c r="FJ186" s="22"/>
      <c r="FK186" s="22"/>
      <c r="FL186" s="22"/>
      <c r="FM186" s="22"/>
      <c r="FN186" s="22"/>
      <c r="FO186" s="22"/>
      <c r="FP186" s="22"/>
      <c r="FQ186" s="22"/>
      <c r="FR186" s="22"/>
      <c r="FS186" s="22"/>
      <c r="FT186" s="22"/>
      <c r="FU186" s="22"/>
      <c r="FV186" s="22"/>
      <c r="FW186" s="22"/>
      <c r="FX186" s="22"/>
      <c r="FY186" s="22"/>
      <c r="FZ186" s="22"/>
      <c r="GA186" s="22"/>
      <c r="GB186" s="22"/>
      <c r="GC186" s="22"/>
      <c r="GD186" s="22"/>
      <c r="GE186" s="22"/>
      <c r="GF186" s="22"/>
      <c r="GG186" s="22"/>
      <c r="GH186" s="22"/>
      <c r="GI186" s="22"/>
      <c r="GJ186" s="22"/>
      <c r="GK186" s="22"/>
      <c r="GL186" s="22"/>
      <c r="GM186" s="22"/>
      <c r="GN186" s="22"/>
      <c r="GO186" s="22"/>
      <c r="GP186" s="22"/>
      <c r="GQ186" s="22"/>
    </row>
    <row r="187" spans="3:199" s="2" customFormat="1" ht="20.100000000000001" customHeight="1">
      <c r="C187" s="13">
        <v>40030611</v>
      </c>
      <c r="D187" s="15" t="s">
        <v>219</v>
      </c>
      <c r="E187" s="12">
        <v>0</v>
      </c>
      <c r="F187" s="15">
        <v>1504</v>
      </c>
      <c r="G187" s="12">
        <v>1</v>
      </c>
      <c r="H187" s="12">
        <v>50</v>
      </c>
      <c r="I187" s="12">
        <v>0.3</v>
      </c>
      <c r="J187" s="16">
        <v>0</v>
      </c>
      <c r="K187" s="16">
        <v>0</v>
      </c>
      <c r="L187" s="15">
        <v>0</v>
      </c>
      <c r="M187" s="19">
        <v>70</v>
      </c>
      <c r="N187" s="19">
        <v>410</v>
      </c>
      <c r="O187" s="17">
        <v>0</v>
      </c>
      <c r="P187" s="17">
        <v>0</v>
      </c>
      <c r="Q187" s="19">
        <v>30</v>
      </c>
      <c r="R187" s="19">
        <v>80</v>
      </c>
      <c r="S187" s="15">
        <v>0</v>
      </c>
      <c r="T187" s="15">
        <v>0</v>
      </c>
      <c r="U187" s="18">
        <v>0</v>
      </c>
      <c r="V187" s="18">
        <v>0</v>
      </c>
      <c r="W187" s="18">
        <v>0</v>
      </c>
      <c r="X187" s="18">
        <v>0</v>
      </c>
      <c r="Y187" s="18">
        <v>0</v>
      </c>
      <c r="Z187" s="18">
        <v>0</v>
      </c>
      <c r="AA187" s="18">
        <v>0</v>
      </c>
      <c r="AB187" s="16">
        <v>0</v>
      </c>
      <c r="AC187" s="16">
        <v>0</v>
      </c>
      <c r="AD187" s="16">
        <v>0</v>
      </c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  <c r="BM187" s="22"/>
      <c r="BN187" s="22"/>
      <c r="BO187" s="22"/>
      <c r="BP187" s="22"/>
      <c r="BQ187" s="22"/>
      <c r="BR187" s="22"/>
      <c r="BS187" s="22"/>
      <c r="BT187" s="22"/>
      <c r="BU187" s="22"/>
      <c r="BV187" s="22"/>
      <c r="BW187" s="22"/>
      <c r="BX187" s="22"/>
      <c r="BY187" s="22"/>
      <c r="BZ187" s="22"/>
      <c r="CA187" s="22"/>
      <c r="CB187" s="22"/>
      <c r="CC187" s="22"/>
      <c r="CD187" s="22"/>
      <c r="CE187" s="22"/>
      <c r="CF187" s="22"/>
      <c r="CG187" s="22"/>
      <c r="CH187" s="22"/>
      <c r="CI187" s="22"/>
      <c r="CJ187" s="22"/>
      <c r="CK187" s="22"/>
      <c r="CL187" s="22"/>
      <c r="CM187" s="22"/>
      <c r="CN187" s="22"/>
      <c r="CO187" s="22"/>
      <c r="CP187" s="22"/>
      <c r="CQ187" s="22"/>
      <c r="CR187" s="22"/>
      <c r="CS187" s="22"/>
      <c r="CT187" s="22"/>
      <c r="CU187" s="22"/>
      <c r="CV187" s="22"/>
      <c r="CW187" s="22"/>
      <c r="CX187" s="22"/>
      <c r="CY187" s="22"/>
      <c r="CZ187" s="22"/>
      <c r="DA187" s="22"/>
      <c r="DB187" s="22"/>
      <c r="DC187" s="22"/>
      <c r="DD187" s="22"/>
      <c r="DE187" s="22"/>
      <c r="DF187" s="22"/>
      <c r="DG187" s="22"/>
      <c r="DH187" s="22"/>
      <c r="DI187" s="22"/>
      <c r="DJ187" s="22"/>
      <c r="DK187" s="22"/>
      <c r="DL187" s="22"/>
      <c r="DM187" s="22"/>
      <c r="DN187" s="22"/>
      <c r="DO187" s="22"/>
      <c r="DP187" s="22"/>
      <c r="DQ187" s="22"/>
      <c r="DR187" s="22"/>
      <c r="DS187" s="22"/>
      <c r="DT187" s="22"/>
      <c r="DU187" s="22"/>
      <c r="DV187" s="22"/>
      <c r="DW187" s="22"/>
      <c r="DX187" s="22"/>
      <c r="DY187" s="22"/>
      <c r="DZ187" s="22"/>
      <c r="EA187" s="22"/>
      <c r="EB187" s="22"/>
      <c r="EC187" s="22"/>
      <c r="ED187" s="22"/>
      <c r="EE187" s="22"/>
      <c r="EF187" s="22"/>
      <c r="EG187" s="22"/>
      <c r="EH187" s="22"/>
      <c r="EI187" s="22"/>
      <c r="EJ187" s="22"/>
      <c r="EK187" s="22"/>
      <c r="EL187" s="22"/>
      <c r="EM187" s="22"/>
      <c r="EN187" s="22"/>
      <c r="EO187" s="22"/>
      <c r="EP187" s="22"/>
      <c r="EQ187" s="22"/>
      <c r="ER187" s="22"/>
      <c r="ES187" s="22"/>
      <c r="ET187" s="22"/>
      <c r="EU187" s="22"/>
      <c r="EV187" s="22"/>
      <c r="EW187" s="22"/>
      <c r="EX187" s="22"/>
      <c r="EY187" s="22"/>
      <c r="EZ187" s="22"/>
      <c r="FA187" s="22"/>
      <c r="FB187" s="22"/>
      <c r="FC187" s="22"/>
      <c r="FD187" s="22"/>
      <c r="FE187" s="22"/>
      <c r="FF187" s="22"/>
      <c r="FG187" s="22"/>
      <c r="FH187" s="22"/>
      <c r="FI187" s="22"/>
      <c r="FJ187" s="22"/>
      <c r="FK187" s="22"/>
      <c r="FL187" s="22"/>
      <c r="FM187" s="22"/>
      <c r="FN187" s="22"/>
      <c r="FO187" s="22"/>
      <c r="FP187" s="22"/>
      <c r="FQ187" s="22"/>
      <c r="FR187" s="22"/>
      <c r="FS187" s="22"/>
      <c r="FT187" s="22"/>
      <c r="FU187" s="22"/>
      <c r="FV187" s="22"/>
      <c r="FW187" s="22"/>
      <c r="FX187" s="22"/>
      <c r="FY187" s="22"/>
      <c r="FZ187" s="22"/>
      <c r="GA187" s="22"/>
      <c r="GB187" s="22"/>
      <c r="GC187" s="22"/>
      <c r="GD187" s="22"/>
      <c r="GE187" s="22"/>
      <c r="GF187" s="22"/>
      <c r="GG187" s="22"/>
      <c r="GH187" s="22"/>
      <c r="GI187" s="22"/>
      <c r="GJ187" s="22"/>
      <c r="GK187" s="22"/>
      <c r="GL187" s="22"/>
      <c r="GM187" s="22"/>
      <c r="GN187" s="22"/>
      <c r="GO187" s="22"/>
      <c r="GP187" s="22"/>
      <c r="GQ187" s="22"/>
    </row>
    <row r="188" spans="3:199" s="2" customFormat="1" ht="20.100000000000001" customHeight="1">
      <c r="C188" s="13">
        <v>40030612</v>
      </c>
      <c r="D188" s="15" t="s">
        <v>220</v>
      </c>
      <c r="E188" s="12">
        <v>0</v>
      </c>
      <c r="F188" s="15">
        <v>0</v>
      </c>
      <c r="G188" s="12">
        <v>1</v>
      </c>
      <c r="H188" s="12">
        <v>50</v>
      </c>
      <c r="I188" s="12">
        <v>0.3</v>
      </c>
      <c r="J188" s="16">
        <v>0</v>
      </c>
      <c r="K188" s="16">
        <v>0</v>
      </c>
      <c r="L188" s="15">
        <v>0</v>
      </c>
      <c r="M188" s="19">
        <v>50</v>
      </c>
      <c r="N188" s="19">
        <v>350</v>
      </c>
      <c r="O188" s="17">
        <v>0</v>
      </c>
      <c r="P188" s="17">
        <v>0</v>
      </c>
      <c r="Q188" s="19">
        <v>30</v>
      </c>
      <c r="R188" s="19">
        <v>60</v>
      </c>
      <c r="S188" s="15">
        <v>0</v>
      </c>
      <c r="T188" s="15">
        <v>0</v>
      </c>
      <c r="U188" s="18">
        <v>0</v>
      </c>
      <c r="V188" s="18">
        <v>0</v>
      </c>
      <c r="W188" s="18">
        <v>0</v>
      </c>
      <c r="X188" s="18">
        <v>0</v>
      </c>
      <c r="Y188" s="18">
        <v>0</v>
      </c>
      <c r="Z188" s="18">
        <v>0</v>
      </c>
      <c r="AA188" s="18">
        <v>0</v>
      </c>
      <c r="AB188" s="16">
        <v>0</v>
      </c>
      <c r="AC188" s="16">
        <v>0</v>
      </c>
      <c r="AD188" s="16">
        <v>0</v>
      </c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  <c r="BM188" s="22"/>
      <c r="BN188" s="22"/>
      <c r="BO188" s="22"/>
      <c r="BP188" s="22"/>
      <c r="BQ188" s="22"/>
      <c r="BR188" s="22"/>
      <c r="BS188" s="22"/>
      <c r="BT188" s="22"/>
      <c r="BU188" s="22"/>
      <c r="BV188" s="22"/>
      <c r="BW188" s="22"/>
      <c r="BX188" s="22"/>
      <c r="BY188" s="22"/>
      <c r="BZ188" s="22"/>
      <c r="CA188" s="22"/>
      <c r="CB188" s="22"/>
      <c r="CC188" s="22"/>
      <c r="CD188" s="22"/>
      <c r="CE188" s="22"/>
      <c r="CF188" s="22"/>
      <c r="CG188" s="22"/>
      <c r="CH188" s="22"/>
      <c r="CI188" s="22"/>
      <c r="CJ188" s="22"/>
      <c r="CK188" s="22"/>
      <c r="CL188" s="22"/>
      <c r="CM188" s="22"/>
      <c r="CN188" s="22"/>
      <c r="CO188" s="22"/>
      <c r="CP188" s="22"/>
      <c r="CQ188" s="22"/>
      <c r="CR188" s="22"/>
      <c r="CS188" s="22"/>
      <c r="CT188" s="22"/>
      <c r="CU188" s="22"/>
      <c r="CV188" s="22"/>
      <c r="CW188" s="22"/>
      <c r="CX188" s="22"/>
      <c r="CY188" s="22"/>
      <c r="CZ188" s="22"/>
      <c r="DA188" s="22"/>
      <c r="DB188" s="22"/>
      <c r="DC188" s="22"/>
      <c r="DD188" s="22"/>
      <c r="DE188" s="22"/>
      <c r="DF188" s="22"/>
      <c r="DG188" s="22"/>
      <c r="DH188" s="22"/>
      <c r="DI188" s="22"/>
      <c r="DJ188" s="22"/>
      <c r="DK188" s="22"/>
      <c r="DL188" s="22"/>
      <c r="DM188" s="22"/>
      <c r="DN188" s="22"/>
      <c r="DO188" s="22"/>
      <c r="DP188" s="22"/>
      <c r="DQ188" s="22"/>
      <c r="DR188" s="22"/>
      <c r="DS188" s="22"/>
      <c r="DT188" s="22"/>
      <c r="DU188" s="22"/>
      <c r="DV188" s="22"/>
      <c r="DW188" s="22"/>
      <c r="DX188" s="22"/>
      <c r="DY188" s="22"/>
      <c r="DZ188" s="22"/>
      <c r="EA188" s="22"/>
      <c r="EB188" s="22"/>
      <c r="EC188" s="22"/>
      <c r="ED188" s="22"/>
      <c r="EE188" s="22"/>
      <c r="EF188" s="22"/>
      <c r="EG188" s="22"/>
      <c r="EH188" s="22"/>
      <c r="EI188" s="22"/>
      <c r="EJ188" s="22"/>
      <c r="EK188" s="22"/>
      <c r="EL188" s="22"/>
      <c r="EM188" s="22"/>
      <c r="EN188" s="22"/>
      <c r="EO188" s="22"/>
      <c r="EP188" s="22"/>
      <c r="EQ188" s="22"/>
      <c r="ER188" s="22"/>
      <c r="ES188" s="22"/>
      <c r="ET188" s="22"/>
      <c r="EU188" s="22"/>
      <c r="EV188" s="22"/>
      <c r="EW188" s="22"/>
      <c r="EX188" s="22"/>
      <c r="EY188" s="22"/>
      <c r="EZ188" s="22"/>
      <c r="FA188" s="22"/>
      <c r="FB188" s="22"/>
      <c r="FC188" s="22"/>
      <c r="FD188" s="22"/>
      <c r="FE188" s="22"/>
      <c r="FF188" s="22"/>
      <c r="FG188" s="22"/>
      <c r="FH188" s="22"/>
      <c r="FI188" s="22"/>
      <c r="FJ188" s="22"/>
      <c r="FK188" s="22"/>
      <c r="FL188" s="22"/>
      <c r="FM188" s="22"/>
      <c r="FN188" s="22"/>
      <c r="FO188" s="22"/>
      <c r="FP188" s="22"/>
      <c r="FQ188" s="22"/>
      <c r="FR188" s="22"/>
      <c r="FS188" s="22"/>
      <c r="FT188" s="22"/>
      <c r="FU188" s="22"/>
      <c r="FV188" s="22"/>
      <c r="FW188" s="22"/>
      <c r="FX188" s="22"/>
      <c r="FY188" s="22"/>
      <c r="FZ188" s="22"/>
      <c r="GA188" s="22"/>
      <c r="GB188" s="22"/>
      <c r="GC188" s="22"/>
      <c r="GD188" s="22"/>
      <c r="GE188" s="22"/>
      <c r="GF188" s="22"/>
      <c r="GG188" s="22"/>
      <c r="GH188" s="22"/>
      <c r="GI188" s="22"/>
      <c r="GJ188" s="22"/>
      <c r="GK188" s="22"/>
      <c r="GL188" s="22"/>
      <c r="GM188" s="22"/>
      <c r="GN188" s="22"/>
      <c r="GO188" s="22"/>
      <c r="GP188" s="22"/>
      <c r="GQ188" s="22"/>
    </row>
    <row r="189" spans="3:199" s="2" customFormat="1" ht="20.100000000000001" customHeight="1">
      <c r="C189" s="13">
        <v>40030613</v>
      </c>
      <c r="D189" s="15" t="s">
        <v>221</v>
      </c>
      <c r="E189" s="12">
        <v>0</v>
      </c>
      <c r="F189" s="15">
        <v>1506</v>
      </c>
      <c r="G189" s="12">
        <v>1</v>
      </c>
      <c r="H189" s="12">
        <v>50</v>
      </c>
      <c r="I189" s="12">
        <v>0.3</v>
      </c>
      <c r="J189" s="16">
        <v>0</v>
      </c>
      <c r="K189" s="16">
        <v>0</v>
      </c>
      <c r="L189" s="15">
        <v>0</v>
      </c>
      <c r="M189" s="19">
        <v>80</v>
      </c>
      <c r="N189" s="19">
        <v>320</v>
      </c>
      <c r="O189" s="17">
        <v>0</v>
      </c>
      <c r="P189" s="17">
        <v>0</v>
      </c>
      <c r="Q189" s="19">
        <v>0</v>
      </c>
      <c r="R189" s="19">
        <v>0</v>
      </c>
      <c r="S189" s="15">
        <v>20</v>
      </c>
      <c r="T189" s="15">
        <v>50</v>
      </c>
      <c r="U189" s="18">
        <v>0</v>
      </c>
      <c r="V189" s="18">
        <v>0</v>
      </c>
      <c r="W189" s="18">
        <v>0</v>
      </c>
      <c r="X189" s="18">
        <v>0</v>
      </c>
      <c r="Y189" s="18">
        <v>0</v>
      </c>
      <c r="Z189" s="18">
        <v>0</v>
      </c>
      <c r="AA189" s="18">
        <v>0</v>
      </c>
      <c r="AB189" s="16">
        <v>0</v>
      </c>
      <c r="AC189" s="16">
        <v>0</v>
      </c>
      <c r="AD189" s="16">
        <v>0</v>
      </c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  <c r="BM189" s="22"/>
      <c r="BN189" s="22"/>
      <c r="BO189" s="22"/>
      <c r="BP189" s="22"/>
      <c r="BQ189" s="22"/>
      <c r="BR189" s="22"/>
      <c r="BS189" s="22"/>
      <c r="BT189" s="22"/>
      <c r="BU189" s="22"/>
      <c r="BV189" s="22"/>
      <c r="BW189" s="22"/>
      <c r="BX189" s="22"/>
      <c r="BY189" s="22"/>
      <c r="BZ189" s="22"/>
      <c r="CA189" s="22"/>
      <c r="CB189" s="22"/>
      <c r="CC189" s="22"/>
      <c r="CD189" s="22"/>
      <c r="CE189" s="22"/>
      <c r="CF189" s="22"/>
      <c r="CG189" s="22"/>
      <c r="CH189" s="22"/>
      <c r="CI189" s="22"/>
      <c r="CJ189" s="22"/>
      <c r="CK189" s="22"/>
      <c r="CL189" s="22"/>
      <c r="CM189" s="22"/>
      <c r="CN189" s="22"/>
      <c r="CO189" s="22"/>
      <c r="CP189" s="22"/>
      <c r="CQ189" s="22"/>
      <c r="CR189" s="22"/>
      <c r="CS189" s="22"/>
      <c r="CT189" s="22"/>
      <c r="CU189" s="22"/>
      <c r="CV189" s="22"/>
      <c r="CW189" s="22"/>
      <c r="CX189" s="22"/>
      <c r="CY189" s="22"/>
      <c r="CZ189" s="22"/>
      <c r="DA189" s="22"/>
      <c r="DB189" s="22"/>
      <c r="DC189" s="22"/>
      <c r="DD189" s="22"/>
      <c r="DE189" s="22"/>
      <c r="DF189" s="22"/>
      <c r="DG189" s="22"/>
      <c r="DH189" s="22"/>
      <c r="DI189" s="22"/>
      <c r="DJ189" s="22"/>
      <c r="DK189" s="22"/>
      <c r="DL189" s="22"/>
      <c r="DM189" s="22"/>
      <c r="DN189" s="22"/>
      <c r="DO189" s="22"/>
      <c r="DP189" s="22"/>
      <c r="DQ189" s="22"/>
      <c r="DR189" s="22"/>
      <c r="DS189" s="22"/>
      <c r="DT189" s="22"/>
      <c r="DU189" s="22"/>
      <c r="DV189" s="22"/>
      <c r="DW189" s="22"/>
      <c r="DX189" s="22"/>
      <c r="DY189" s="22"/>
      <c r="DZ189" s="22"/>
      <c r="EA189" s="22"/>
      <c r="EB189" s="22"/>
      <c r="EC189" s="22"/>
      <c r="ED189" s="22"/>
      <c r="EE189" s="22"/>
      <c r="EF189" s="22"/>
      <c r="EG189" s="22"/>
      <c r="EH189" s="22"/>
      <c r="EI189" s="22"/>
      <c r="EJ189" s="22"/>
      <c r="EK189" s="22"/>
      <c r="EL189" s="22"/>
      <c r="EM189" s="22"/>
      <c r="EN189" s="22"/>
      <c r="EO189" s="22"/>
      <c r="EP189" s="22"/>
      <c r="EQ189" s="22"/>
      <c r="ER189" s="22"/>
      <c r="ES189" s="22"/>
      <c r="ET189" s="22"/>
      <c r="EU189" s="22"/>
      <c r="EV189" s="22"/>
      <c r="EW189" s="22"/>
      <c r="EX189" s="22"/>
      <c r="EY189" s="22"/>
      <c r="EZ189" s="22"/>
      <c r="FA189" s="22"/>
      <c r="FB189" s="22"/>
      <c r="FC189" s="22"/>
      <c r="FD189" s="22"/>
      <c r="FE189" s="22"/>
      <c r="FF189" s="22"/>
      <c r="FG189" s="22"/>
      <c r="FH189" s="22"/>
      <c r="FI189" s="22"/>
      <c r="FJ189" s="22"/>
      <c r="FK189" s="22"/>
      <c r="FL189" s="22"/>
      <c r="FM189" s="22"/>
      <c r="FN189" s="22"/>
      <c r="FO189" s="22"/>
      <c r="FP189" s="22"/>
      <c r="FQ189" s="22"/>
      <c r="FR189" s="22"/>
      <c r="FS189" s="22"/>
      <c r="FT189" s="22"/>
      <c r="FU189" s="22"/>
      <c r="FV189" s="22"/>
      <c r="FW189" s="22"/>
      <c r="FX189" s="22"/>
      <c r="FY189" s="22"/>
      <c r="FZ189" s="22"/>
      <c r="GA189" s="22"/>
      <c r="GB189" s="22"/>
      <c r="GC189" s="22"/>
      <c r="GD189" s="22"/>
      <c r="GE189" s="22"/>
      <c r="GF189" s="22"/>
      <c r="GG189" s="22"/>
      <c r="GH189" s="22"/>
      <c r="GI189" s="22"/>
      <c r="GJ189" s="22"/>
      <c r="GK189" s="22"/>
      <c r="GL189" s="22"/>
      <c r="GM189" s="22"/>
      <c r="GN189" s="22"/>
      <c r="GO189" s="22"/>
      <c r="GP189" s="22"/>
      <c r="GQ189" s="22"/>
    </row>
    <row r="190" spans="3:199" s="2" customFormat="1" ht="20.100000000000001" customHeight="1">
      <c r="C190" s="13">
        <v>40030614</v>
      </c>
      <c r="D190" s="15" t="s">
        <v>222</v>
      </c>
      <c r="E190" s="12">
        <v>0</v>
      </c>
      <c r="F190" s="15">
        <v>0</v>
      </c>
      <c r="G190" s="12">
        <v>1</v>
      </c>
      <c r="H190" s="12">
        <v>50</v>
      </c>
      <c r="I190" s="12">
        <v>0.3</v>
      </c>
      <c r="J190" s="16">
        <v>0</v>
      </c>
      <c r="K190" s="16">
        <v>0</v>
      </c>
      <c r="L190" s="15">
        <v>0</v>
      </c>
      <c r="M190" s="19">
        <v>70</v>
      </c>
      <c r="N190" s="19">
        <v>280</v>
      </c>
      <c r="O190" s="17">
        <v>0</v>
      </c>
      <c r="P190" s="17">
        <v>0</v>
      </c>
      <c r="Q190" s="19">
        <v>0</v>
      </c>
      <c r="R190" s="19">
        <v>0</v>
      </c>
      <c r="S190" s="15">
        <v>20</v>
      </c>
      <c r="T190" s="15">
        <v>50</v>
      </c>
      <c r="U190" s="18">
        <v>0</v>
      </c>
      <c r="V190" s="18">
        <v>0</v>
      </c>
      <c r="W190" s="18">
        <v>0</v>
      </c>
      <c r="X190" s="18">
        <v>0</v>
      </c>
      <c r="Y190" s="18">
        <v>0</v>
      </c>
      <c r="Z190" s="18">
        <v>0</v>
      </c>
      <c r="AA190" s="18">
        <v>0</v>
      </c>
      <c r="AB190" s="16">
        <v>0</v>
      </c>
      <c r="AC190" s="16">
        <v>0</v>
      </c>
      <c r="AD190" s="16">
        <v>0</v>
      </c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  <c r="BM190" s="22"/>
      <c r="BN190" s="22"/>
      <c r="BO190" s="22"/>
      <c r="BP190" s="22"/>
      <c r="BQ190" s="22"/>
      <c r="BR190" s="22"/>
      <c r="BS190" s="22"/>
      <c r="BT190" s="22"/>
      <c r="BU190" s="22"/>
      <c r="BV190" s="22"/>
      <c r="BW190" s="22"/>
      <c r="BX190" s="22"/>
      <c r="BY190" s="22"/>
      <c r="BZ190" s="22"/>
      <c r="CA190" s="22"/>
      <c r="CB190" s="22"/>
      <c r="CC190" s="22"/>
      <c r="CD190" s="22"/>
      <c r="CE190" s="22"/>
      <c r="CF190" s="22"/>
      <c r="CG190" s="22"/>
      <c r="CH190" s="22"/>
      <c r="CI190" s="22"/>
      <c r="CJ190" s="22"/>
      <c r="CK190" s="22"/>
      <c r="CL190" s="22"/>
      <c r="CM190" s="22"/>
      <c r="CN190" s="22"/>
      <c r="CO190" s="22"/>
      <c r="CP190" s="22"/>
      <c r="CQ190" s="22"/>
      <c r="CR190" s="22"/>
      <c r="CS190" s="22"/>
      <c r="CT190" s="22"/>
      <c r="CU190" s="22"/>
      <c r="CV190" s="22"/>
      <c r="CW190" s="22"/>
      <c r="CX190" s="22"/>
      <c r="CY190" s="22"/>
      <c r="CZ190" s="22"/>
      <c r="DA190" s="22"/>
      <c r="DB190" s="22"/>
      <c r="DC190" s="22"/>
      <c r="DD190" s="22"/>
      <c r="DE190" s="22"/>
      <c r="DF190" s="22"/>
      <c r="DG190" s="22"/>
      <c r="DH190" s="22"/>
      <c r="DI190" s="22"/>
      <c r="DJ190" s="22"/>
      <c r="DK190" s="22"/>
      <c r="DL190" s="22"/>
      <c r="DM190" s="22"/>
      <c r="DN190" s="22"/>
      <c r="DO190" s="22"/>
      <c r="DP190" s="22"/>
      <c r="DQ190" s="22"/>
      <c r="DR190" s="22"/>
      <c r="DS190" s="22"/>
      <c r="DT190" s="22"/>
      <c r="DU190" s="22"/>
      <c r="DV190" s="22"/>
      <c r="DW190" s="22"/>
      <c r="DX190" s="22"/>
      <c r="DY190" s="22"/>
      <c r="DZ190" s="22"/>
      <c r="EA190" s="22"/>
      <c r="EB190" s="22"/>
      <c r="EC190" s="22"/>
      <c r="ED190" s="22"/>
      <c r="EE190" s="22"/>
      <c r="EF190" s="22"/>
      <c r="EG190" s="22"/>
      <c r="EH190" s="22"/>
      <c r="EI190" s="22"/>
      <c r="EJ190" s="22"/>
      <c r="EK190" s="22"/>
      <c r="EL190" s="22"/>
      <c r="EM190" s="22"/>
      <c r="EN190" s="22"/>
      <c r="EO190" s="22"/>
      <c r="EP190" s="22"/>
      <c r="EQ190" s="22"/>
      <c r="ER190" s="22"/>
      <c r="ES190" s="22"/>
      <c r="ET190" s="22"/>
      <c r="EU190" s="22"/>
      <c r="EV190" s="22"/>
      <c r="EW190" s="22"/>
      <c r="EX190" s="22"/>
      <c r="EY190" s="22"/>
      <c r="EZ190" s="22"/>
      <c r="FA190" s="22"/>
      <c r="FB190" s="22"/>
      <c r="FC190" s="22"/>
      <c r="FD190" s="22"/>
      <c r="FE190" s="22"/>
      <c r="FF190" s="22"/>
      <c r="FG190" s="22"/>
      <c r="FH190" s="22"/>
      <c r="FI190" s="22"/>
      <c r="FJ190" s="22"/>
      <c r="FK190" s="22"/>
      <c r="FL190" s="22"/>
      <c r="FM190" s="22"/>
      <c r="FN190" s="22"/>
      <c r="FO190" s="22"/>
      <c r="FP190" s="22"/>
      <c r="FQ190" s="22"/>
      <c r="FR190" s="22"/>
      <c r="FS190" s="22"/>
      <c r="FT190" s="22"/>
      <c r="FU190" s="22"/>
      <c r="FV190" s="22"/>
      <c r="FW190" s="22"/>
      <c r="FX190" s="22"/>
      <c r="FY190" s="22"/>
      <c r="FZ190" s="22"/>
      <c r="GA190" s="22"/>
      <c r="GB190" s="22"/>
      <c r="GC190" s="22"/>
      <c r="GD190" s="22"/>
      <c r="GE190" s="22"/>
      <c r="GF190" s="22"/>
      <c r="GG190" s="22"/>
      <c r="GH190" s="22"/>
      <c r="GI190" s="22"/>
      <c r="GJ190" s="22"/>
      <c r="GK190" s="22"/>
      <c r="GL190" s="22"/>
      <c r="GM190" s="22"/>
      <c r="GN190" s="22"/>
      <c r="GO190" s="22"/>
      <c r="GP190" s="22"/>
      <c r="GQ190" s="22"/>
    </row>
    <row r="191" spans="3:199" s="2" customFormat="1" ht="20.100000000000001" customHeight="1">
      <c r="C191" s="13">
        <v>40030615</v>
      </c>
      <c r="D191" s="15" t="s">
        <v>223</v>
      </c>
      <c r="E191" s="12">
        <v>0</v>
      </c>
      <c r="F191" s="15">
        <v>1506</v>
      </c>
      <c r="G191" s="12">
        <v>1</v>
      </c>
      <c r="H191" s="12">
        <v>50</v>
      </c>
      <c r="I191" s="12">
        <v>0.3</v>
      </c>
      <c r="J191" s="16">
        <v>0</v>
      </c>
      <c r="K191" s="16">
        <v>0</v>
      </c>
      <c r="L191" s="15">
        <v>0</v>
      </c>
      <c r="M191" s="19">
        <v>0</v>
      </c>
      <c r="N191" s="19">
        <v>40</v>
      </c>
      <c r="O191" s="17">
        <v>0</v>
      </c>
      <c r="P191" s="17">
        <v>0</v>
      </c>
      <c r="Q191" s="19">
        <v>0</v>
      </c>
      <c r="R191" s="19">
        <v>40</v>
      </c>
      <c r="S191" s="15">
        <v>0</v>
      </c>
      <c r="T191" s="15">
        <v>40</v>
      </c>
      <c r="U191" s="18">
        <v>0</v>
      </c>
      <c r="V191" s="18">
        <v>0</v>
      </c>
      <c r="W191" s="18">
        <v>0</v>
      </c>
      <c r="X191" s="18">
        <v>0</v>
      </c>
      <c r="Y191" s="18">
        <v>0</v>
      </c>
      <c r="Z191" s="18">
        <v>0</v>
      </c>
      <c r="AA191" s="18">
        <v>0</v>
      </c>
      <c r="AB191" s="16">
        <v>0</v>
      </c>
      <c r="AC191" s="16">
        <v>0</v>
      </c>
      <c r="AD191" s="16">
        <v>0</v>
      </c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  <c r="BM191" s="22"/>
      <c r="BN191" s="22"/>
      <c r="BO191" s="22"/>
      <c r="BP191" s="22"/>
      <c r="BQ191" s="22"/>
      <c r="BR191" s="22"/>
      <c r="BS191" s="22"/>
      <c r="BT191" s="22"/>
      <c r="BU191" s="22"/>
      <c r="BV191" s="22"/>
      <c r="BW191" s="22"/>
      <c r="BX191" s="22"/>
      <c r="BY191" s="22"/>
      <c r="BZ191" s="22"/>
      <c r="CA191" s="22"/>
      <c r="CB191" s="22"/>
      <c r="CC191" s="22"/>
      <c r="CD191" s="22"/>
      <c r="CE191" s="22"/>
      <c r="CF191" s="22"/>
      <c r="CG191" s="22"/>
      <c r="CH191" s="22"/>
      <c r="CI191" s="22"/>
      <c r="CJ191" s="22"/>
      <c r="CK191" s="22"/>
      <c r="CL191" s="22"/>
      <c r="CM191" s="22"/>
      <c r="CN191" s="22"/>
      <c r="CO191" s="22"/>
      <c r="CP191" s="22"/>
      <c r="CQ191" s="22"/>
      <c r="CR191" s="22"/>
      <c r="CS191" s="22"/>
      <c r="CT191" s="22"/>
      <c r="CU191" s="22"/>
      <c r="CV191" s="22"/>
      <c r="CW191" s="22"/>
      <c r="CX191" s="22"/>
      <c r="CY191" s="22"/>
      <c r="CZ191" s="22"/>
      <c r="DA191" s="22"/>
      <c r="DB191" s="22"/>
      <c r="DC191" s="22"/>
      <c r="DD191" s="22"/>
      <c r="DE191" s="22"/>
      <c r="DF191" s="22"/>
      <c r="DG191" s="22"/>
      <c r="DH191" s="22"/>
      <c r="DI191" s="22"/>
      <c r="DJ191" s="22"/>
      <c r="DK191" s="22"/>
      <c r="DL191" s="22"/>
      <c r="DM191" s="22"/>
      <c r="DN191" s="22"/>
      <c r="DO191" s="22"/>
      <c r="DP191" s="22"/>
      <c r="DQ191" s="22"/>
      <c r="DR191" s="22"/>
      <c r="DS191" s="22"/>
      <c r="DT191" s="22"/>
      <c r="DU191" s="22"/>
      <c r="DV191" s="22"/>
      <c r="DW191" s="22"/>
      <c r="DX191" s="22"/>
      <c r="DY191" s="22"/>
      <c r="DZ191" s="22"/>
      <c r="EA191" s="22"/>
      <c r="EB191" s="22"/>
      <c r="EC191" s="22"/>
      <c r="ED191" s="22"/>
      <c r="EE191" s="22"/>
      <c r="EF191" s="22"/>
      <c r="EG191" s="22"/>
      <c r="EH191" s="22"/>
      <c r="EI191" s="22"/>
      <c r="EJ191" s="22"/>
      <c r="EK191" s="22"/>
      <c r="EL191" s="22"/>
      <c r="EM191" s="22"/>
      <c r="EN191" s="22"/>
      <c r="EO191" s="22"/>
      <c r="EP191" s="22"/>
      <c r="EQ191" s="22"/>
      <c r="ER191" s="22"/>
      <c r="ES191" s="22"/>
      <c r="ET191" s="22"/>
      <c r="EU191" s="22"/>
      <c r="EV191" s="22"/>
      <c r="EW191" s="22"/>
      <c r="EX191" s="22"/>
      <c r="EY191" s="22"/>
      <c r="EZ191" s="22"/>
      <c r="FA191" s="22"/>
      <c r="FB191" s="22"/>
      <c r="FC191" s="22"/>
      <c r="FD191" s="22"/>
      <c r="FE191" s="22"/>
      <c r="FF191" s="22"/>
      <c r="FG191" s="22"/>
      <c r="FH191" s="22"/>
      <c r="FI191" s="22"/>
      <c r="FJ191" s="22"/>
      <c r="FK191" s="22"/>
      <c r="FL191" s="22"/>
      <c r="FM191" s="22"/>
      <c r="FN191" s="22"/>
      <c r="FO191" s="22"/>
      <c r="FP191" s="22"/>
      <c r="FQ191" s="22"/>
      <c r="FR191" s="22"/>
      <c r="FS191" s="22"/>
      <c r="FT191" s="22"/>
      <c r="FU191" s="22"/>
      <c r="FV191" s="22"/>
      <c r="FW191" s="22"/>
      <c r="FX191" s="22"/>
      <c r="FY191" s="22"/>
      <c r="FZ191" s="22"/>
      <c r="GA191" s="22"/>
      <c r="GB191" s="22"/>
      <c r="GC191" s="22"/>
      <c r="GD191" s="22"/>
      <c r="GE191" s="22"/>
      <c r="GF191" s="22"/>
      <c r="GG191" s="22"/>
      <c r="GH191" s="22"/>
      <c r="GI191" s="22"/>
      <c r="GJ191" s="22"/>
      <c r="GK191" s="22"/>
      <c r="GL191" s="22"/>
      <c r="GM191" s="22"/>
      <c r="GN191" s="22"/>
      <c r="GO191" s="22"/>
      <c r="GP191" s="22"/>
      <c r="GQ191" s="22"/>
    </row>
    <row r="192" spans="3:199" s="2" customFormat="1" ht="20.100000000000001" customHeight="1">
      <c r="C192" s="13">
        <v>40030616</v>
      </c>
      <c r="D192" s="15" t="s">
        <v>224</v>
      </c>
      <c r="E192" s="12">
        <v>0</v>
      </c>
      <c r="F192" s="15">
        <v>1506</v>
      </c>
      <c r="G192" s="12">
        <v>1</v>
      </c>
      <c r="H192" s="12">
        <v>50</v>
      </c>
      <c r="I192" s="12">
        <v>0.3</v>
      </c>
      <c r="J192" s="16">
        <v>0</v>
      </c>
      <c r="K192" s="16">
        <v>0</v>
      </c>
      <c r="L192" s="15">
        <v>5000</v>
      </c>
      <c r="M192" s="19">
        <v>0</v>
      </c>
      <c r="N192" s="19">
        <v>0</v>
      </c>
      <c r="O192" s="17">
        <v>0</v>
      </c>
      <c r="P192" s="17">
        <v>0</v>
      </c>
      <c r="Q192" s="19">
        <v>0</v>
      </c>
      <c r="R192" s="19">
        <v>0</v>
      </c>
      <c r="S192" s="15">
        <v>0</v>
      </c>
      <c r="T192" s="15">
        <v>0</v>
      </c>
      <c r="U192" s="18">
        <v>0</v>
      </c>
      <c r="V192" s="18">
        <v>0</v>
      </c>
      <c r="W192" s="18">
        <v>0</v>
      </c>
      <c r="X192" s="18">
        <v>0</v>
      </c>
      <c r="Y192" s="18">
        <v>0</v>
      </c>
      <c r="Z192" s="18">
        <v>0</v>
      </c>
      <c r="AA192" s="18">
        <v>0</v>
      </c>
      <c r="AB192" s="16">
        <v>0</v>
      </c>
      <c r="AC192" s="16">
        <v>0</v>
      </c>
      <c r="AD192" s="16">
        <v>0</v>
      </c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22"/>
      <c r="BN192" s="22"/>
      <c r="BO192" s="22"/>
      <c r="BP192" s="22"/>
      <c r="BQ192" s="22"/>
      <c r="BR192" s="22"/>
      <c r="BS192" s="22"/>
      <c r="BT192" s="22"/>
      <c r="BU192" s="22"/>
      <c r="BV192" s="22"/>
      <c r="BW192" s="22"/>
      <c r="BX192" s="22"/>
      <c r="BY192" s="22"/>
      <c r="BZ192" s="22"/>
      <c r="CA192" s="22"/>
      <c r="CB192" s="22"/>
      <c r="CC192" s="22"/>
      <c r="CD192" s="22"/>
      <c r="CE192" s="22"/>
      <c r="CF192" s="22"/>
      <c r="CG192" s="22"/>
      <c r="CH192" s="22"/>
      <c r="CI192" s="22"/>
      <c r="CJ192" s="22"/>
      <c r="CK192" s="22"/>
      <c r="CL192" s="22"/>
      <c r="CM192" s="22"/>
      <c r="CN192" s="22"/>
      <c r="CO192" s="22"/>
      <c r="CP192" s="22"/>
      <c r="CQ192" s="22"/>
      <c r="CR192" s="22"/>
      <c r="CS192" s="22"/>
      <c r="CT192" s="22"/>
      <c r="CU192" s="22"/>
      <c r="CV192" s="22"/>
      <c r="CW192" s="22"/>
      <c r="CX192" s="22"/>
      <c r="CY192" s="22"/>
      <c r="CZ192" s="22"/>
      <c r="DA192" s="22"/>
      <c r="DB192" s="22"/>
      <c r="DC192" s="22"/>
      <c r="DD192" s="22"/>
      <c r="DE192" s="22"/>
      <c r="DF192" s="22"/>
      <c r="DG192" s="22"/>
      <c r="DH192" s="22"/>
      <c r="DI192" s="22"/>
      <c r="DJ192" s="22"/>
      <c r="DK192" s="22"/>
      <c r="DL192" s="22"/>
      <c r="DM192" s="22"/>
      <c r="DN192" s="22"/>
      <c r="DO192" s="22"/>
      <c r="DP192" s="22"/>
      <c r="DQ192" s="22"/>
      <c r="DR192" s="22"/>
      <c r="DS192" s="22"/>
      <c r="DT192" s="22"/>
      <c r="DU192" s="22"/>
      <c r="DV192" s="22"/>
      <c r="DW192" s="22"/>
      <c r="DX192" s="22"/>
      <c r="DY192" s="22"/>
      <c r="DZ192" s="22"/>
      <c r="EA192" s="22"/>
      <c r="EB192" s="22"/>
      <c r="EC192" s="22"/>
      <c r="ED192" s="22"/>
      <c r="EE192" s="22"/>
      <c r="EF192" s="22"/>
      <c r="EG192" s="22"/>
      <c r="EH192" s="22"/>
      <c r="EI192" s="22"/>
      <c r="EJ192" s="22"/>
      <c r="EK192" s="22"/>
      <c r="EL192" s="22"/>
      <c r="EM192" s="22"/>
      <c r="EN192" s="22"/>
      <c r="EO192" s="22"/>
      <c r="EP192" s="22"/>
      <c r="EQ192" s="22"/>
      <c r="ER192" s="22"/>
      <c r="ES192" s="22"/>
      <c r="ET192" s="22"/>
      <c r="EU192" s="22"/>
      <c r="EV192" s="22"/>
      <c r="EW192" s="22"/>
      <c r="EX192" s="22"/>
      <c r="EY192" s="22"/>
      <c r="EZ192" s="22"/>
      <c r="FA192" s="22"/>
      <c r="FB192" s="22"/>
      <c r="FC192" s="22"/>
      <c r="FD192" s="22"/>
      <c r="FE192" s="22"/>
      <c r="FF192" s="22"/>
      <c r="FG192" s="22"/>
      <c r="FH192" s="22"/>
      <c r="FI192" s="22"/>
      <c r="FJ192" s="22"/>
      <c r="FK192" s="22"/>
      <c r="FL192" s="22"/>
      <c r="FM192" s="22"/>
      <c r="FN192" s="22"/>
      <c r="FO192" s="22"/>
      <c r="FP192" s="22"/>
      <c r="FQ192" s="22"/>
      <c r="FR192" s="22"/>
      <c r="FS192" s="22"/>
      <c r="FT192" s="22"/>
      <c r="FU192" s="22"/>
      <c r="FV192" s="22"/>
      <c r="FW192" s="22"/>
      <c r="FX192" s="22"/>
      <c r="FY192" s="22"/>
      <c r="FZ192" s="22"/>
      <c r="GA192" s="22"/>
      <c r="GB192" s="22"/>
      <c r="GC192" s="22"/>
      <c r="GD192" s="22"/>
      <c r="GE192" s="22"/>
      <c r="GF192" s="22"/>
      <c r="GG192" s="22"/>
      <c r="GH192" s="22"/>
      <c r="GI192" s="22"/>
      <c r="GJ192" s="22"/>
      <c r="GK192" s="22"/>
      <c r="GL192" s="22"/>
      <c r="GM192" s="22"/>
      <c r="GN192" s="22"/>
      <c r="GO192" s="22"/>
      <c r="GP192" s="22"/>
      <c r="GQ192" s="22"/>
    </row>
    <row r="193" spans="3:199" s="2" customFormat="1" ht="20.100000000000001" customHeight="1">
      <c r="C193" s="13">
        <v>40030617</v>
      </c>
      <c r="D193" s="15" t="s">
        <v>225</v>
      </c>
      <c r="E193" s="12">
        <v>0</v>
      </c>
      <c r="F193" s="15">
        <v>0</v>
      </c>
      <c r="G193" s="12">
        <v>1</v>
      </c>
      <c r="H193" s="12">
        <v>50</v>
      </c>
      <c r="I193" s="12">
        <v>0.3</v>
      </c>
      <c r="J193" s="16">
        <v>0</v>
      </c>
      <c r="K193" s="16">
        <v>0</v>
      </c>
      <c r="L193" s="15">
        <v>4000</v>
      </c>
      <c r="M193" s="19">
        <v>0</v>
      </c>
      <c r="N193" s="19">
        <v>0</v>
      </c>
      <c r="O193" s="17">
        <v>0</v>
      </c>
      <c r="P193" s="17">
        <v>0</v>
      </c>
      <c r="Q193" s="19">
        <v>0</v>
      </c>
      <c r="R193" s="19">
        <v>0</v>
      </c>
      <c r="S193" s="15">
        <v>0</v>
      </c>
      <c r="T193" s="15">
        <v>0</v>
      </c>
      <c r="U193" s="18">
        <v>0</v>
      </c>
      <c r="V193" s="18">
        <v>0</v>
      </c>
      <c r="W193" s="18">
        <v>0</v>
      </c>
      <c r="X193" s="18">
        <v>0</v>
      </c>
      <c r="Y193" s="18">
        <v>0</v>
      </c>
      <c r="Z193" s="18">
        <v>0</v>
      </c>
      <c r="AA193" s="18">
        <v>0</v>
      </c>
      <c r="AB193" s="16">
        <v>0</v>
      </c>
      <c r="AC193" s="16">
        <v>0</v>
      </c>
      <c r="AD193" s="16">
        <v>0</v>
      </c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  <c r="BM193" s="22"/>
      <c r="BN193" s="22"/>
      <c r="BO193" s="22"/>
      <c r="BP193" s="22"/>
      <c r="BQ193" s="22"/>
      <c r="BR193" s="22"/>
      <c r="BS193" s="22"/>
      <c r="BT193" s="22"/>
      <c r="BU193" s="22"/>
      <c r="BV193" s="22"/>
      <c r="BW193" s="22"/>
      <c r="BX193" s="22"/>
      <c r="BY193" s="22"/>
      <c r="BZ193" s="22"/>
      <c r="CA193" s="22"/>
      <c r="CB193" s="22"/>
      <c r="CC193" s="22"/>
      <c r="CD193" s="22"/>
      <c r="CE193" s="22"/>
      <c r="CF193" s="22"/>
      <c r="CG193" s="22"/>
      <c r="CH193" s="22"/>
      <c r="CI193" s="22"/>
      <c r="CJ193" s="22"/>
      <c r="CK193" s="22"/>
      <c r="CL193" s="22"/>
      <c r="CM193" s="22"/>
      <c r="CN193" s="22"/>
      <c r="CO193" s="22"/>
      <c r="CP193" s="22"/>
      <c r="CQ193" s="22"/>
      <c r="CR193" s="22"/>
      <c r="CS193" s="22"/>
      <c r="CT193" s="22"/>
      <c r="CU193" s="22"/>
      <c r="CV193" s="22"/>
      <c r="CW193" s="22"/>
      <c r="CX193" s="22"/>
      <c r="CY193" s="22"/>
      <c r="CZ193" s="22"/>
      <c r="DA193" s="22"/>
      <c r="DB193" s="22"/>
      <c r="DC193" s="22"/>
      <c r="DD193" s="22"/>
      <c r="DE193" s="22"/>
      <c r="DF193" s="22"/>
      <c r="DG193" s="22"/>
      <c r="DH193" s="22"/>
      <c r="DI193" s="22"/>
      <c r="DJ193" s="22"/>
      <c r="DK193" s="22"/>
      <c r="DL193" s="22"/>
      <c r="DM193" s="22"/>
      <c r="DN193" s="22"/>
      <c r="DO193" s="22"/>
      <c r="DP193" s="22"/>
      <c r="DQ193" s="22"/>
      <c r="DR193" s="22"/>
      <c r="DS193" s="22"/>
      <c r="DT193" s="22"/>
      <c r="DU193" s="22"/>
      <c r="DV193" s="22"/>
      <c r="DW193" s="22"/>
      <c r="DX193" s="22"/>
      <c r="DY193" s="22"/>
      <c r="DZ193" s="22"/>
      <c r="EA193" s="22"/>
      <c r="EB193" s="22"/>
      <c r="EC193" s="22"/>
      <c r="ED193" s="22"/>
      <c r="EE193" s="22"/>
      <c r="EF193" s="22"/>
      <c r="EG193" s="22"/>
      <c r="EH193" s="22"/>
      <c r="EI193" s="22"/>
      <c r="EJ193" s="22"/>
      <c r="EK193" s="22"/>
      <c r="EL193" s="22"/>
      <c r="EM193" s="22"/>
      <c r="EN193" s="22"/>
      <c r="EO193" s="22"/>
      <c r="EP193" s="22"/>
      <c r="EQ193" s="22"/>
      <c r="ER193" s="22"/>
      <c r="ES193" s="22"/>
      <c r="ET193" s="22"/>
      <c r="EU193" s="22"/>
      <c r="EV193" s="22"/>
      <c r="EW193" s="22"/>
      <c r="EX193" s="22"/>
      <c r="EY193" s="22"/>
      <c r="EZ193" s="22"/>
      <c r="FA193" s="22"/>
      <c r="FB193" s="22"/>
      <c r="FC193" s="22"/>
      <c r="FD193" s="22"/>
      <c r="FE193" s="22"/>
      <c r="FF193" s="22"/>
      <c r="FG193" s="22"/>
      <c r="FH193" s="22"/>
      <c r="FI193" s="22"/>
      <c r="FJ193" s="22"/>
      <c r="FK193" s="22"/>
      <c r="FL193" s="22"/>
      <c r="FM193" s="22"/>
      <c r="FN193" s="22"/>
      <c r="FO193" s="22"/>
      <c r="FP193" s="22"/>
      <c r="FQ193" s="22"/>
      <c r="FR193" s="22"/>
      <c r="FS193" s="22"/>
      <c r="FT193" s="22"/>
      <c r="FU193" s="22"/>
      <c r="FV193" s="22"/>
      <c r="FW193" s="22"/>
      <c r="FX193" s="22"/>
      <c r="FY193" s="22"/>
      <c r="FZ193" s="22"/>
      <c r="GA193" s="22"/>
      <c r="GB193" s="22"/>
      <c r="GC193" s="22"/>
      <c r="GD193" s="22"/>
      <c r="GE193" s="22"/>
      <c r="GF193" s="22"/>
      <c r="GG193" s="22"/>
      <c r="GH193" s="22"/>
      <c r="GI193" s="22"/>
      <c r="GJ193" s="22"/>
      <c r="GK193" s="22"/>
      <c r="GL193" s="22"/>
      <c r="GM193" s="22"/>
      <c r="GN193" s="22"/>
      <c r="GO193" s="22"/>
      <c r="GP193" s="22"/>
      <c r="GQ193" s="22"/>
    </row>
    <row r="194" spans="3:199" s="2" customFormat="1" ht="20.100000000000001" customHeight="1">
      <c r="C194" s="13">
        <v>40030618</v>
      </c>
      <c r="D194" s="15" t="s">
        <v>226</v>
      </c>
      <c r="E194" s="12">
        <v>0</v>
      </c>
      <c r="F194" s="15">
        <v>1504</v>
      </c>
      <c r="G194" s="12">
        <v>1</v>
      </c>
      <c r="H194" s="12">
        <v>50</v>
      </c>
      <c r="I194" s="12">
        <v>0.3</v>
      </c>
      <c r="J194" s="16">
        <v>0</v>
      </c>
      <c r="K194" s="16">
        <v>0</v>
      </c>
      <c r="L194" s="15">
        <v>0</v>
      </c>
      <c r="M194" s="19">
        <v>150</v>
      </c>
      <c r="N194" s="19">
        <v>1250</v>
      </c>
      <c r="O194" s="17">
        <v>0</v>
      </c>
      <c r="P194" s="17">
        <v>0</v>
      </c>
      <c r="Q194" s="19">
        <v>0</v>
      </c>
      <c r="R194" s="19">
        <v>0</v>
      </c>
      <c r="S194" s="15">
        <v>0</v>
      </c>
      <c r="T194" s="15">
        <v>0</v>
      </c>
      <c r="U194" s="18">
        <v>0</v>
      </c>
      <c r="V194" s="18">
        <v>0</v>
      </c>
      <c r="W194" s="18">
        <v>0</v>
      </c>
      <c r="X194" s="18">
        <v>0</v>
      </c>
      <c r="Y194" s="18">
        <v>0</v>
      </c>
      <c r="Z194" s="18">
        <v>0</v>
      </c>
      <c r="AA194" s="18">
        <v>0</v>
      </c>
      <c r="AB194" s="16">
        <v>0</v>
      </c>
      <c r="AC194" s="16">
        <v>0</v>
      </c>
      <c r="AD194" s="16">
        <v>0</v>
      </c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  <c r="BM194" s="22"/>
      <c r="BN194" s="22"/>
      <c r="BO194" s="22"/>
      <c r="BP194" s="22"/>
      <c r="BQ194" s="22"/>
      <c r="BR194" s="22"/>
      <c r="BS194" s="22"/>
      <c r="BT194" s="22"/>
      <c r="BU194" s="22"/>
      <c r="BV194" s="22"/>
      <c r="BW194" s="22"/>
      <c r="BX194" s="22"/>
      <c r="BY194" s="22"/>
      <c r="BZ194" s="22"/>
      <c r="CA194" s="22"/>
      <c r="CB194" s="22"/>
      <c r="CC194" s="22"/>
      <c r="CD194" s="22"/>
      <c r="CE194" s="22"/>
      <c r="CF194" s="22"/>
      <c r="CG194" s="22"/>
      <c r="CH194" s="22"/>
      <c r="CI194" s="22"/>
      <c r="CJ194" s="22"/>
      <c r="CK194" s="22"/>
      <c r="CL194" s="22"/>
      <c r="CM194" s="22"/>
      <c r="CN194" s="22"/>
      <c r="CO194" s="22"/>
      <c r="CP194" s="22"/>
      <c r="CQ194" s="22"/>
      <c r="CR194" s="22"/>
      <c r="CS194" s="22"/>
      <c r="CT194" s="22"/>
      <c r="CU194" s="22"/>
      <c r="CV194" s="22"/>
      <c r="CW194" s="22"/>
      <c r="CX194" s="22"/>
      <c r="CY194" s="22"/>
      <c r="CZ194" s="22"/>
      <c r="DA194" s="22"/>
      <c r="DB194" s="22"/>
      <c r="DC194" s="22"/>
      <c r="DD194" s="22"/>
      <c r="DE194" s="22"/>
      <c r="DF194" s="22"/>
      <c r="DG194" s="22"/>
      <c r="DH194" s="22"/>
      <c r="DI194" s="22"/>
      <c r="DJ194" s="22"/>
      <c r="DK194" s="22"/>
      <c r="DL194" s="22"/>
      <c r="DM194" s="22"/>
      <c r="DN194" s="22"/>
      <c r="DO194" s="22"/>
      <c r="DP194" s="22"/>
      <c r="DQ194" s="22"/>
      <c r="DR194" s="22"/>
      <c r="DS194" s="22"/>
      <c r="DT194" s="22"/>
      <c r="DU194" s="22"/>
      <c r="DV194" s="22"/>
      <c r="DW194" s="22"/>
      <c r="DX194" s="22"/>
      <c r="DY194" s="22"/>
      <c r="DZ194" s="22"/>
      <c r="EA194" s="22"/>
      <c r="EB194" s="22"/>
      <c r="EC194" s="22"/>
      <c r="ED194" s="22"/>
      <c r="EE194" s="22"/>
      <c r="EF194" s="22"/>
      <c r="EG194" s="22"/>
      <c r="EH194" s="22"/>
      <c r="EI194" s="22"/>
      <c r="EJ194" s="22"/>
      <c r="EK194" s="22"/>
      <c r="EL194" s="22"/>
      <c r="EM194" s="22"/>
      <c r="EN194" s="22"/>
      <c r="EO194" s="22"/>
      <c r="EP194" s="22"/>
      <c r="EQ194" s="22"/>
      <c r="ER194" s="22"/>
      <c r="ES194" s="22"/>
      <c r="ET194" s="22"/>
      <c r="EU194" s="22"/>
      <c r="EV194" s="22"/>
      <c r="EW194" s="22"/>
      <c r="EX194" s="22"/>
      <c r="EY194" s="22"/>
      <c r="EZ194" s="22"/>
      <c r="FA194" s="22"/>
      <c r="FB194" s="22"/>
      <c r="FC194" s="22"/>
      <c r="FD194" s="22"/>
      <c r="FE194" s="22"/>
      <c r="FF194" s="22"/>
      <c r="FG194" s="22"/>
      <c r="FH194" s="22"/>
      <c r="FI194" s="22"/>
      <c r="FJ194" s="22"/>
      <c r="FK194" s="22"/>
      <c r="FL194" s="22"/>
      <c r="FM194" s="22"/>
      <c r="FN194" s="22"/>
      <c r="FO194" s="22"/>
      <c r="FP194" s="22"/>
      <c r="FQ194" s="22"/>
      <c r="FR194" s="22"/>
      <c r="FS194" s="22"/>
      <c r="FT194" s="22"/>
      <c r="FU194" s="22"/>
      <c r="FV194" s="22"/>
      <c r="FW194" s="22"/>
      <c r="FX194" s="22"/>
      <c r="FY194" s="22"/>
      <c r="FZ194" s="22"/>
      <c r="GA194" s="22"/>
      <c r="GB194" s="22"/>
      <c r="GC194" s="22"/>
      <c r="GD194" s="22"/>
      <c r="GE194" s="22"/>
      <c r="GF194" s="22"/>
      <c r="GG194" s="22"/>
      <c r="GH194" s="22"/>
      <c r="GI194" s="22"/>
      <c r="GJ194" s="22"/>
      <c r="GK194" s="22"/>
      <c r="GL194" s="22"/>
      <c r="GM194" s="22"/>
      <c r="GN194" s="22"/>
      <c r="GO194" s="22"/>
      <c r="GP194" s="22"/>
      <c r="GQ194" s="22"/>
    </row>
    <row r="195" spans="3:199" s="2" customFormat="1" ht="20.100000000000001" customHeight="1">
      <c r="C195" s="13">
        <v>40030619</v>
      </c>
      <c r="D195" s="15" t="s">
        <v>227</v>
      </c>
      <c r="E195" s="12">
        <v>0</v>
      </c>
      <c r="F195" s="15">
        <v>0</v>
      </c>
      <c r="G195" s="12">
        <v>1</v>
      </c>
      <c r="H195" s="12">
        <v>50</v>
      </c>
      <c r="I195" s="12">
        <v>0.3</v>
      </c>
      <c r="J195" s="16">
        <v>0</v>
      </c>
      <c r="K195" s="16">
        <v>0</v>
      </c>
      <c r="L195" s="15">
        <v>0</v>
      </c>
      <c r="M195" s="19">
        <v>100</v>
      </c>
      <c r="N195" s="19">
        <v>1050</v>
      </c>
      <c r="O195" s="17">
        <v>0</v>
      </c>
      <c r="P195" s="17">
        <v>0</v>
      </c>
      <c r="Q195" s="19">
        <v>0</v>
      </c>
      <c r="R195" s="19">
        <v>0</v>
      </c>
      <c r="S195" s="15">
        <v>0</v>
      </c>
      <c r="T195" s="15">
        <v>0</v>
      </c>
      <c r="U195" s="18">
        <v>0</v>
      </c>
      <c r="V195" s="18">
        <v>0</v>
      </c>
      <c r="W195" s="18">
        <v>0</v>
      </c>
      <c r="X195" s="18">
        <v>0</v>
      </c>
      <c r="Y195" s="18">
        <v>0</v>
      </c>
      <c r="Z195" s="18">
        <v>0</v>
      </c>
      <c r="AA195" s="18">
        <v>0</v>
      </c>
      <c r="AB195" s="16">
        <v>0</v>
      </c>
      <c r="AC195" s="16">
        <v>0</v>
      </c>
      <c r="AD195" s="16">
        <v>0</v>
      </c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  <c r="BM195" s="22"/>
      <c r="BN195" s="22"/>
      <c r="BO195" s="22"/>
      <c r="BP195" s="22"/>
      <c r="BQ195" s="22"/>
      <c r="BR195" s="22"/>
      <c r="BS195" s="22"/>
      <c r="BT195" s="22"/>
      <c r="BU195" s="22"/>
      <c r="BV195" s="22"/>
      <c r="BW195" s="22"/>
      <c r="BX195" s="22"/>
      <c r="BY195" s="22"/>
      <c r="BZ195" s="22"/>
      <c r="CA195" s="22"/>
      <c r="CB195" s="22"/>
      <c r="CC195" s="22"/>
      <c r="CD195" s="22"/>
      <c r="CE195" s="22"/>
      <c r="CF195" s="22"/>
      <c r="CG195" s="22"/>
      <c r="CH195" s="22"/>
      <c r="CI195" s="22"/>
      <c r="CJ195" s="22"/>
      <c r="CK195" s="22"/>
      <c r="CL195" s="22"/>
      <c r="CM195" s="22"/>
      <c r="CN195" s="22"/>
      <c r="CO195" s="22"/>
      <c r="CP195" s="22"/>
      <c r="CQ195" s="22"/>
      <c r="CR195" s="22"/>
      <c r="CS195" s="22"/>
      <c r="CT195" s="22"/>
      <c r="CU195" s="22"/>
      <c r="CV195" s="22"/>
      <c r="CW195" s="22"/>
      <c r="CX195" s="22"/>
      <c r="CY195" s="22"/>
      <c r="CZ195" s="22"/>
      <c r="DA195" s="22"/>
      <c r="DB195" s="22"/>
      <c r="DC195" s="22"/>
      <c r="DD195" s="22"/>
      <c r="DE195" s="22"/>
      <c r="DF195" s="22"/>
      <c r="DG195" s="22"/>
      <c r="DH195" s="22"/>
      <c r="DI195" s="22"/>
      <c r="DJ195" s="22"/>
      <c r="DK195" s="22"/>
      <c r="DL195" s="22"/>
      <c r="DM195" s="22"/>
      <c r="DN195" s="22"/>
      <c r="DO195" s="22"/>
      <c r="DP195" s="22"/>
      <c r="DQ195" s="22"/>
      <c r="DR195" s="22"/>
      <c r="DS195" s="22"/>
      <c r="DT195" s="22"/>
      <c r="DU195" s="22"/>
      <c r="DV195" s="22"/>
      <c r="DW195" s="22"/>
      <c r="DX195" s="22"/>
      <c r="DY195" s="22"/>
      <c r="DZ195" s="22"/>
      <c r="EA195" s="22"/>
      <c r="EB195" s="22"/>
      <c r="EC195" s="22"/>
      <c r="ED195" s="22"/>
      <c r="EE195" s="22"/>
      <c r="EF195" s="22"/>
      <c r="EG195" s="22"/>
      <c r="EH195" s="22"/>
      <c r="EI195" s="22"/>
      <c r="EJ195" s="22"/>
      <c r="EK195" s="22"/>
      <c r="EL195" s="22"/>
      <c r="EM195" s="22"/>
      <c r="EN195" s="22"/>
      <c r="EO195" s="22"/>
      <c r="EP195" s="22"/>
      <c r="EQ195" s="22"/>
      <c r="ER195" s="22"/>
      <c r="ES195" s="22"/>
      <c r="ET195" s="22"/>
      <c r="EU195" s="22"/>
      <c r="EV195" s="22"/>
      <c r="EW195" s="22"/>
      <c r="EX195" s="22"/>
      <c r="EY195" s="22"/>
      <c r="EZ195" s="22"/>
      <c r="FA195" s="22"/>
      <c r="FB195" s="22"/>
      <c r="FC195" s="22"/>
      <c r="FD195" s="22"/>
      <c r="FE195" s="22"/>
      <c r="FF195" s="22"/>
      <c r="FG195" s="22"/>
      <c r="FH195" s="22"/>
      <c r="FI195" s="22"/>
      <c r="FJ195" s="22"/>
      <c r="FK195" s="22"/>
      <c r="FL195" s="22"/>
      <c r="FM195" s="22"/>
      <c r="FN195" s="22"/>
      <c r="FO195" s="22"/>
      <c r="FP195" s="22"/>
      <c r="FQ195" s="22"/>
      <c r="FR195" s="22"/>
      <c r="FS195" s="22"/>
      <c r="FT195" s="22"/>
      <c r="FU195" s="22"/>
      <c r="FV195" s="22"/>
      <c r="FW195" s="22"/>
      <c r="FX195" s="22"/>
      <c r="FY195" s="22"/>
      <c r="FZ195" s="22"/>
      <c r="GA195" s="22"/>
      <c r="GB195" s="22"/>
      <c r="GC195" s="22"/>
      <c r="GD195" s="22"/>
      <c r="GE195" s="22"/>
      <c r="GF195" s="22"/>
      <c r="GG195" s="22"/>
      <c r="GH195" s="22"/>
      <c r="GI195" s="22"/>
      <c r="GJ195" s="22"/>
      <c r="GK195" s="22"/>
      <c r="GL195" s="22"/>
      <c r="GM195" s="22"/>
      <c r="GN195" s="22"/>
      <c r="GO195" s="22"/>
      <c r="GP195" s="22"/>
      <c r="GQ195" s="22"/>
    </row>
    <row r="196" spans="3:199" s="2" customFormat="1" ht="20.100000000000001" customHeight="1">
      <c r="C196" s="13">
        <v>40030620</v>
      </c>
      <c r="D196" s="15" t="s">
        <v>228</v>
      </c>
      <c r="E196" s="12">
        <v>0</v>
      </c>
      <c r="F196" s="15">
        <v>1504</v>
      </c>
      <c r="G196" s="12">
        <v>1</v>
      </c>
      <c r="H196" s="12">
        <v>50</v>
      </c>
      <c r="I196" s="12">
        <v>0.3</v>
      </c>
      <c r="J196" s="16">
        <v>0</v>
      </c>
      <c r="K196" s="16">
        <v>0</v>
      </c>
      <c r="L196" s="15">
        <v>2100</v>
      </c>
      <c r="M196" s="19">
        <v>0</v>
      </c>
      <c r="N196" s="19">
        <v>0</v>
      </c>
      <c r="O196" s="17">
        <v>0</v>
      </c>
      <c r="P196" s="17">
        <v>0</v>
      </c>
      <c r="Q196" s="19">
        <v>80</v>
      </c>
      <c r="R196" s="19">
        <v>180</v>
      </c>
      <c r="S196" s="15">
        <v>60</v>
      </c>
      <c r="T196" s="15">
        <v>160</v>
      </c>
      <c r="U196" s="18">
        <v>0</v>
      </c>
      <c r="V196" s="18">
        <v>0</v>
      </c>
      <c r="W196" s="18">
        <v>0</v>
      </c>
      <c r="X196" s="18">
        <v>0</v>
      </c>
      <c r="Y196" s="18">
        <v>0</v>
      </c>
      <c r="Z196" s="18">
        <v>0</v>
      </c>
      <c r="AA196" s="18">
        <v>0</v>
      </c>
      <c r="AB196" s="16">
        <v>0</v>
      </c>
      <c r="AC196" s="16">
        <v>0</v>
      </c>
      <c r="AD196" s="16">
        <v>0</v>
      </c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  <c r="BM196" s="22"/>
      <c r="BN196" s="22"/>
      <c r="BO196" s="22"/>
      <c r="BP196" s="22"/>
      <c r="BQ196" s="22"/>
      <c r="BR196" s="22"/>
      <c r="BS196" s="22"/>
      <c r="BT196" s="22"/>
      <c r="BU196" s="22"/>
      <c r="BV196" s="22"/>
      <c r="BW196" s="22"/>
      <c r="BX196" s="22"/>
      <c r="BY196" s="22"/>
      <c r="BZ196" s="22"/>
      <c r="CA196" s="22"/>
      <c r="CB196" s="22"/>
      <c r="CC196" s="22"/>
      <c r="CD196" s="22"/>
      <c r="CE196" s="22"/>
      <c r="CF196" s="22"/>
      <c r="CG196" s="22"/>
      <c r="CH196" s="22"/>
      <c r="CI196" s="22"/>
      <c r="CJ196" s="22"/>
      <c r="CK196" s="22"/>
      <c r="CL196" s="22"/>
      <c r="CM196" s="22"/>
      <c r="CN196" s="22"/>
      <c r="CO196" s="22"/>
      <c r="CP196" s="22"/>
      <c r="CQ196" s="22"/>
      <c r="CR196" s="22"/>
      <c r="CS196" s="22"/>
      <c r="CT196" s="22"/>
      <c r="CU196" s="22"/>
      <c r="CV196" s="22"/>
      <c r="CW196" s="22"/>
      <c r="CX196" s="22"/>
      <c r="CY196" s="22"/>
      <c r="CZ196" s="22"/>
      <c r="DA196" s="22"/>
      <c r="DB196" s="22"/>
      <c r="DC196" s="22"/>
      <c r="DD196" s="22"/>
      <c r="DE196" s="22"/>
      <c r="DF196" s="22"/>
      <c r="DG196" s="22"/>
      <c r="DH196" s="22"/>
      <c r="DI196" s="22"/>
      <c r="DJ196" s="22"/>
      <c r="DK196" s="22"/>
      <c r="DL196" s="22"/>
      <c r="DM196" s="22"/>
      <c r="DN196" s="22"/>
      <c r="DO196" s="22"/>
      <c r="DP196" s="22"/>
      <c r="DQ196" s="22"/>
      <c r="DR196" s="22"/>
      <c r="DS196" s="22"/>
      <c r="DT196" s="22"/>
      <c r="DU196" s="22"/>
      <c r="DV196" s="22"/>
      <c r="DW196" s="22"/>
      <c r="DX196" s="22"/>
      <c r="DY196" s="22"/>
      <c r="DZ196" s="22"/>
      <c r="EA196" s="22"/>
      <c r="EB196" s="22"/>
      <c r="EC196" s="22"/>
      <c r="ED196" s="22"/>
      <c r="EE196" s="22"/>
      <c r="EF196" s="22"/>
      <c r="EG196" s="22"/>
      <c r="EH196" s="22"/>
      <c r="EI196" s="22"/>
      <c r="EJ196" s="22"/>
      <c r="EK196" s="22"/>
      <c r="EL196" s="22"/>
      <c r="EM196" s="22"/>
      <c r="EN196" s="22"/>
      <c r="EO196" s="22"/>
      <c r="EP196" s="22"/>
      <c r="EQ196" s="22"/>
      <c r="ER196" s="22"/>
      <c r="ES196" s="22"/>
      <c r="ET196" s="22"/>
      <c r="EU196" s="22"/>
      <c r="EV196" s="22"/>
      <c r="EW196" s="22"/>
      <c r="EX196" s="22"/>
      <c r="EY196" s="22"/>
      <c r="EZ196" s="22"/>
      <c r="FA196" s="22"/>
      <c r="FB196" s="22"/>
      <c r="FC196" s="22"/>
      <c r="FD196" s="22"/>
      <c r="FE196" s="22"/>
      <c r="FF196" s="22"/>
      <c r="FG196" s="22"/>
      <c r="FH196" s="22"/>
      <c r="FI196" s="22"/>
      <c r="FJ196" s="22"/>
      <c r="FK196" s="22"/>
      <c r="FL196" s="22"/>
      <c r="FM196" s="22"/>
      <c r="FN196" s="22"/>
      <c r="FO196" s="22"/>
      <c r="FP196" s="22"/>
      <c r="FQ196" s="22"/>
      <c r="FR196" s="22"/>
      <c r="FS196" s="22"/>
      <c r="FT196" s="22"/>
      <c r="FU196" s="22"/>
      <c r="FV196" s="22"/>
      <c r="FW196" s="22"/>
      <c r="FX196" s="22"/>
      <c r="FY196" s="22"/>
      <c r="FZ196" s="22"/>
      <c r="GA196" s="22"/>
      <c r="GB196" s="22"/>
      <c r="GC196" s="22"/>
      <c r="GD196" s="22"/>
      <c r="GE196" s="22"/>
      <c r="GF196" s="22"/>
      <c r="GG196" s="22"/>
      <c r="GH196" s="22"/>
      <c r="GI196" s="22"/>
      <c r="GJ196" s="22"/>
      <c r="GK196" s="22"/>
      <c r="GL196" s="22"/>
      <c r="GM196" s="22"/>
      <c r="GN196" s="22"/>
      <c r="GO196" s="22"/>
      <c r="GP196" s="22"/>
      <c r="GQ196" s="22"/>
    </row>
    <row r="197" spans="3:199" s="2" customFormat="1" ht="20.100000000000001" customHeight="1">
      <c r="C197" s="13">
        <v>40030621</v>
      </c>
      <c r="D197" s="15" t="s">
        <v>229</v>
      </c>
      <c r="E197" s="12">
        <v>0</v>
      </c>
      <c r="F197" s="15">
        <v>0</v>
      </c>
      <c r="G197" s="12">
        <v>1</v>
      </c>
      <c r="H197" s="12">
        <v>50</v>
      </c>
      <c r="I197" s="12">
        <v>0.3</v>
      </c>
      <c r="J197" s="16">
        <v>0</v>
      </c>
      <c r="K197" s="16">
        <v>0</v>
      </c>
      <c r="L197" s="15">
        <v>1750</v>
      </c>
      <c r="M197" s="19">
        <v>0</v>
      </c>
      <c r="N197" s="19">
        <v>0</v>
      </c>
      <c r="O197" s="17">
        <v>0</v>
      </c>
      <c r="P197" s="17">
        <v>0</v>
      </c>
      <c r="Q197" s="19">
        <v>50</v>
      </c>
      <c r="R197" s="19">
        <v>150</v>
      </c>
      <c r="S197" s="15">
        <v>50</v>
      </c>
      <c r="T197" s="15">
        <v>120</v>
      </c>
      <c r="U197" s="18">
        <v>0</v>
      </c>
      <c r="V197" s="18">
        <v>0</v>
      </c>
      <c r="W197" s="18">
        <v>0</v>
      </c>
      <c r="X197" s="18">
        <v>0</v>
      </c>
      <c r="Y197" s="18">
        <v>0</v>
      </c>
      <c r="Z197" s="18">
        <v>0</v>
      </c>
      <c r="AA197" s="18">
        <v>0</v>
      </c>
      <c r="AB197" s="16">
        <v>0</v>
      </c>
      <c r="AC197" s="16">
        <v>0</v>
      </c>
      <c r="AD197" s="16">
        <v>0</v>
      </c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  <c r="BM197" s="22"/>
      <c r="BN197" s="22"/>
      <c r="BO197" s="22"/>
      <c r="BP197" s="22"/>
      <c r="BQ197" s="22"/>
      <c r="BR197" s="22"/>
      <c r="BS197" s="22"/>
      <c r="BT197" s="22"/>
      <c r="BU197" s="22"/>
      <c r="BV197" s="22"/>
      <c r="BW197" s="22"/>
      <c r="BX197" s="22"/>
      <c r="BY197" s="22"/>
      <c r="BZ197" s="22"/>
      <c r="CA197" s="22"/>
      <c r="CB197" s="22"/>
      <c r="CC197" s="22"/>
      <c r="CD197" s="22"/>
      <c r="CE197" s="22"/>
      <c r="CF197" s="22"/>
      <c r="CG197" s="22"/>
      <c r="CH197" s="22"/>
      <c r="CI197" s="22"/>
      <c r="CJ197" s="22"/>
      <c r="CK197" s="22"/>
      <c r="CL197" s="22"/>
      <c r="CM197" s="22"/>
      <c r="CN197" s="22"/>
      <c r="CO197" s="22"/>
      <c r="CP197" s="22"/>
      <c r="CQ197" s="22"/>
      <c r="CR197" s="22"/>
      <c r="CS197" s="22"/>
      <c r="CT197" s="22"/>
      <c r="CU197" s="22"/>
      <c r="CV197" s="22"/>
      <c r="CW197" s="22"/>
      <c r="CX197" s="22"/>
      <c r="CY197" s="22"/>
      <c r="CZ197" s="22"/>
      <c r="DA197" s="22"/>
      <c r="DB197" s="22"/>
      <c r="DC197" s="22"/>
      <c r="DD197" s="22"/>
      <c r="DE197" s="22"/>
      <c r="DF197" s="22"/>
      <c r="DG197" s="22"/>
      <c r="DH197" s="22"/>
      <c r="DI197" s="22"/>
      <c r="DJ197" s="22"/>
      <c r="DK197" s="22"/>
      <c r="DL197" s="22"/>
      <c r="DM197" s="22"/>
      <c r="DN197" s="22"/>
      <c r="DO197" s="22"/>
      <c r="DP197" s="22"/>
      <c r="DQ197" s="22"/>
      <c r="DR197" s="22"/>
      <c r="DS197" s="22"/>
      <c r="DT197" s="22"/>
      <c r="DU197" s="22"/>
      <c r="DV197" s="22"/>
      <c r="DW197" s="22"/>
      <c r="DX197" s="22"/>
      <c r="DY197" s="22"/>
      <c r="DZ197" s="22"/>
      <c r="EA197" s="22"/>
      <c r="EB197" s="22"/>
      <c r="EC197" s="22"/>
      <c r="ED197" s="22"/>
      <c r="EE197" s="22"/>
      <c r="EF197" s="22"/>
      <c r="EG197" s="22"/>
      <c r="EH197" s="22"/>
      <c r="EI197" s="22"/>
      <c r="EJ197" s="22"/>
      <c r="EK197" s="22"/>
      <c r="EL197" s="22"/>
      <c r="EM197" s="22"/>
      <c r="EN197" s="22"/>
      <c r="EO197" s="22"/>
      <c r="EP197" s="22"/>
      <c r="EQ197" s="22"/>
      <c r="ER197" s="22"/>
      <c r="ES197" s="22"/>
      <c r="ET197" s="22"/>
      <c r="EU197" s="22"/>
      <c r="EV197" s="22"/>
      <c r="EW197" s="22"/>
      <c r="EX197" s="22"/>
      <c r="EY197" s="22"/>
      <c r="EZ197" s="22"/>
      <c r="FA197" s="22"/>
      <c r="FB197" s="22"/>
      <c r="FC197" s="22"/>
      <c r="FD197" s="22"/>
      <c r="FE197" s="22"/>
      <c r="FF197" s="22"/>
      <c r="FG197" s="22"/>
      <c r="FH197" s="22"/>
      <c r="FI197" s="22"/>
      <c r="FJ197" s="22"/>
      <c r="FK197" s="22"/>
      <c r="FL197" s="22"/>
      <c r="FM197" s="22"/>
      <c r="FN197" s="22"/>
      <c r="FO197" s="22"/>
      <c r="FP197" s="22"/>
      <c r="FQ197" s="22"/>
      <c r="FR197" s="22"/>
      <c r="FS197" s="22"/>
      <c r="FT197" s="22"/>
      <c r="FU197" s="22"/>
      <c r="FV197" s="22"/>
      <c r="FW197" s="22"/>
      <c r="FX197" s="22"/>
      <c r="FY197" s="22"/>
      <c r="FZ197" s="22"/>
      <c r="GA197" s="22"/>
      <c r="GB197" s="22"/>
      <c r="GC197" s="22"/>
      <c r="GD197" s="22"/>
      <c r="GE197" s="22"/>
      <c r="GF197" s="22"/>
      <c r="GG197" s="22"/>
      <c r="GH197" s="22"/>
      <c r="GI197" s="22"/>
      <c r="GJ197" s="22"/>
      <c r="GK197" s="22"/>
      <c r="GL197" s="22"/>
      <c r="GM197" s="22"/>
      <c r="GN197" s="22"/>
      <c r="GO197" s="22"/>
      <c r="GP197" s="22"/>
      <c r="GQ197" s="22"/>
    </row>
    <row r="198" spans="3:199" s="2" customFormat="1" ht="20.100000000000001" customHeight="1">
      <c r="C198" s="13">
        <v>40030622</v>
      </c>
      <c r="D198" s="15" t="s">
        <v>230</v>
      </c>
      <c r="E198" s="12">
        <v>0</v>
      </c>
      <c r="F198" s="15">
        <v>1501</v>
      </c>
      <c r="G198" s="12">
        <v>1</v>
      </c>
      <c r="H198" s="12">
        <v>50</v>
      </c>
      <c r="I198" s="12">
        <v>0.3</v>
      </c>
      <c r="J198" s="16">
        <v>0</v>
      </c>
      <c r="K198" s="16">
        <v>0</v>
      </c>
      <c r="L198" s="15">
        <v>0</v>
      </c>
      <c r="M198" s="19">
        <v>80</v>
      </c>
      <c r="N198" s="19">
        <v>350</v>
      </c>
      <c r="O198" s="17">
        <v>0</v>
      </c>
      <c r="P198" s="17">
        <v>0</v>
      </c>
      <c r="Q198" s="19">
        <v>20</v>
      </c>
      <c r="R198" s="19">
        <v>60</v>
      </c>
      <c r="S198" s="15">
        <v>0</v>
      </c>
      <c r="T198" s="15">
        <v>0</v>
      </c>
      <c r="U198" s="18">
        <v>0</v>
      </c>
      <c r="V198" s="18">
        <v>0</v>
      </c>
      <c r="W198" s="18">
        <v>0</v>
      </c>
      <c r="X198" s="18">
        <v>0</v>
      </c>
      <c r="Y198" s="18">
        <v>0</v>
      </c>
      <c r="Z198" s="18">
        <v>0</v>
      </c>
      <c r="AA198" s="18">
        <v>0</v>
      </c>
      <c r="AB198" s="16">
        <v>0</v>
      </c>
      <c r="AC198" s="16">
        <v>0</v>
      </c>
      <c r="AD198" s="16">
        <v>0</v>
      </c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  <c r="BM198" s="22"/>
      <c r="BN198" s="22"/>
      <c r="BO198" s="22"/>
      <c r="BP198" s="22"/>
      <c r="BQ198" s="22"/>
      <c r="BR198" s="22"/>
      <c r="BS198" s="22"/>
      <c r="BT198" s="22"/>
      <c r="BU198" s="22"/>
      <c r="BV198" s="22"/>
      <c r="BW198" s="22"/>
      <c r="BX198" s="22"/>
      <c r="BY198" s="22"/>
      <c r="BZ198" s="22"/>
      <c r="CA198" s="22"/>
      <c r="CB198" s="22"/>
      <c r="CC198" s="22"/>
      <c r="CD198" s="22"/>
      <c r="CE198" s="22"/>
      <c r="CF198" s="22"/>
      <c r="CG198" s="22"/>
      <c r="CH198" s="22"/>
      <c r="CI198" s="22"/>
      <c r="CJ198" s="22"/>
      <c r="CK198" s="22"/>
      <c r="CL198" s="22"/>
      <c r="CM198" s="22"/>
      <c r="CN198" s="22"/>
      <c r="CO198" s="22"/>
      <c r="CP198" s="22"/>
      <c r="CQ198" s="22"/>
      <c r="CR198" s="22"/>
      <c r="CS198" s="22"/>
      <c r="CT198" s="22"/>
      <c r="CU198" s="22"/>
      <c r="CV198" s="22"/>
      <c r="CW198" s="22"/>
      <c r="CX198" s="22"/>
      <c r="CY198" s="22"/>
      <c r="CZ198" s="22"/>
      <c r="DA198" s="22"/>
      <c r="DB198" s="22"/>
      <c r="DC198" s="22"/>
      <c r="DD198" s="22"/>
      <c r="DE198" s="22"/>
      <c r="DF198" s="22"/>
      <c r="DG198" s="22"/>
      <c r="DH198" s="22"/>
      <c r="DI198" s="22"/>
      <c r="DJ198" s="22"/>
      <c r="DK198" s="22"/>
      <c r="DL198" s="22"/>
      <c r="DM198" s="22"/>
      <c r="DN198" s="22"/>
      <c r="DO198" s="22"/>
      <c r="DP198" s="22"/>
      <c r="DQ198" s="22"/>
      <c r="DR198" s="22"/>
      <c r="DS198" s="22"/>
      <c r="DT198" s="22"/>
      <c r="DU198" s="22"/>
      <c r="DV198" s="22"/>
      <c r="DW198" s="22"/>
      <c r="DX198" s="22"/>
      <c r="DY198" s="22"/>
      <c r="DZ198" s="22"/>
      <c r="EA198" s="22"/>
      <c r="EB198" s="22"/>
      <c r="EC198" s="22"/>
      <c r="ED198" s="22"/>
      <c r="EE198" s="22"/>
      <c r="EF198" s="22"/>
      <c r="EG198" s="22"/>
      <c r="EH198" s="22"/>
      <c r="EI198" s="22"/>
      <c r="EJ198" s="22"/>
      <c r="EK198" s="22"/>
      <c r="EL198" s="22"/>
      <c r="EM198" s="22"/>
      <c r="EN198" s="22"/>
      <c r="EO198" s="22"/>
      <c r="EP198" s="22"/>
      <c r="EQ198" s="22"/>
      <c r="ER198" s="22"/>
      <c r="ES198" s="22"/>
      <c r="ET198" s="22"/>
      <c r="EU198" s="22"/>
      <c r="EV198" s="22"/>
      <c r="EW198" s="22"/>
      <c r="EX198" s="22"/>
      <c r="EY198" s="22"/>
      <c r="EZ198" s="22"/>
      <c r="FA198" s="22"/>
      <c r="FB198" s="22"/>
      <c r="FC198" s="22"/>
      <c r="FD198" s="22"/>
      <c r="FE198" s="22"/>
      <c r="FF198" s="22"/>
      <c r="FG198" s="22"/>
      <c r="FH198" s="22"/>
      <c r="FI198" s="22"/>
      <c r="FJ198" s="22"/>
      <c r="FK198" s="22"/>
      <c r="FL198" s="22"/>
      <c r="FM198" s="22"/>
      <c r="FN198" s="22"/>
      <c r="FO198" s="22"/>
      <c r="FP198" s="22"/>
      <c r="FQ198" s="22"/>
      <c r="FR198" s="22"/>
      <c r="FS198" s="22"/>
      <c r="FT198" s="22"/>
      <c r="FU198" s="22"/>
      <c r="FV198" s="22"/>
      <c r="FW198" s="22"/>
      <c r="FX198" s="22"/>
      <c r="FY198" s="22"/>
      <c r="FZ198" s="22"/>
      <c r="GA198" s="22"/>
      <c r="GB198" s="22"/>
      <c r="GC198" s="22"/>
      <c r="GD198" s="22"/>
      <c r="GE198" s="22"/>
      <c r="GF198" s="22"/>
      <c r="GG198" s="22"/>
      <c r="GH198" s="22"/>
      <c r="GI198" s="22"/>
      <c r="GJ198" s="22"/>
      <c r="GK198" s="22"/>
      <c r="GL198" s="22"/>
      <c r="GM198" s="22"/>
      <c r="GN198" s="22"/>
      <c r="GO198" s="22"/>
      <c r="GP198" s="22"/>
      <c r="GQ198" s="22"/>
    </row>
    <row r="199" spans="3:199" s="2" customFormat="1" ht="20.100000000000001" customHeight="1">
      <c r="C199" s="13">
        <v>40030623</v>
      </c>
      <c r="D199" s="15" t="s">
        <v>231</v>
      </c>
      <c r="E199" s="12">
        <v>0</v>
      </c>
      <c r="F199" s="15">
        <v>1501</v>
      </c>
      <c r="G199" s="12">
        <v>1</v>
      </c>
      <c r="H199" s="12">
        <v>50</v>
      </c>
      <c r="I199" s="12">
        <v>0.3</v>
      </c>
      <c r="J199" s="16">
        <v>0</v>
      </c>
      <c r="K199" s="16">
        <v>0</v>
      </c>
      <c r="L199" s="15">
        <v>0</v>
      </c>
      <c r="M199" s="19">
        <v>80</v>
      </c>
      <c r="N199" s="19">
        <v>280</v>
      </c>
      <c r="O199" s="17">
        <v>0</v>
      </c>
      <c r="P199" s="17">
        <v>0</v>
      </c>
      <c r="Q199" s="19">
        <v>0</v>
      </c>
      <c r="R199" s="19">
        <v>0</v>
      </c>
      <c r="S199" s="15">
        <v>20</v>
      </c>
      <c r="T199" s="15">
        <v>40</v>
      </c>
      <c r="U199" s="18">
        <v>0</v>
      </c>
      <c r="V199" s="18">
        <v>0</v>
      </c>
      <c r="W199" s="18">
        <v>0</v>
      </c>
      <c r="X199" s="18">
        <v>0</v>
      </c>
      <c r="Y199" s="18">
        <v>0</v>
      </c>
      <c r="Z199" s="18">
        <v>0</v>
      </c>
      <c r="AA199" s="18">
        <v>0</v>
      </c>
      <c r="AB199" s="16">
        <v>0</v>
      </c>
      <c r="AC199" s="16">
        <v>0</v>
      </c>
      <c r="AD199" s="16">
        <v>0</v>
      </c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  <c r="BM199" s="22"/>
      <c r="BN199" s="22"/>
      <c r="BO199" s="22"/>
      <c r="BP199" s="22"/>
      <c r="BQ199" s="22"/>
      <c r="BR199" s="22"/>
      <c r="BS199" s="22"/>
      <c r="BT199" s="22"/>
      <c r="BU199" s="22"/>
      <c r="BV199" s="22"/>
      <c r="BW199" s="22"/>
      <c r="BX199" s="22"/>
      <c r="BY199" s="22"/>
      <c r="BZ199" s="22"/>
      <c r="CA199" s="22"/>
      <c r="CB199" s="22"/>
      <c r="CC199" s="22"/>
      <c r="CD199" s="22"/>
      <c r="CE199" s="22"/>
      <c r="CF199" s="22"/>
      <c r="CG199" s="22"/>
      <c r="CH199" s="22"/>
      <c r="CI199" s="22"/>
      <c r="CJ199" s="22"/>
      <c r="CK199" s="22"/>
      <c r="CL199" s="22"/>
      <c r="CM199" s="22"/>
      <c r="CN199" s="22"/>
      <c r="CO199" s="22"/>
      <c r="CP199" s="22"/>
      <c r="CQ199" s="22"/>
      <c r="CR199" s="22"/>
      <c r="CS199" s="22"/>
      <c r="CT199" s="22"/>
      <c r="CU199" s="22"/>
      <c r="CV199" s="22"/>
      <c r="CW199" s="22"/>
      <c r="CX199" s="22"/>
      <c r="CY199" s="22"/>
      <c r="CZ199" s="22"/>
      <c r="DA199" s="22"/>
      <c r="DB199" s="22"/>
      <c r="DC199" s="22"/>
      <c r="DD199" s="22"/>
      <c r="DE199" s="22"/>
      <c r="DF199" s="22"/>
      <c r="DG199" s="22"/>
      <c r="DH199" s="22"/>
      <c r="DI199" s="22"/>
      <c r="DJ199" s="22"/>
      <c r="DK199" s="22"/>
      <c r="DL199" s="22"/>
      <c r="DM199" s="22"/>
      <c r="DN199" s="22"/>
      <c r="DO199" s="22"/>
      <c r="DP199" s="22"/>
      <c r="DQ199" s="22"/>
      <c r="DR199" s="22"/>
      <c r="DS199" s="22"/>
      <c r="DT199" s="22"/>
      <c r="DU199" s="22"/>
      <c r="DV199" s="22"/>
      <c r="DW199" s="22"/>
      <c r="DX199" s="22"/>
      <c r="DY199" s="22"/>
      <c r="DZ199" s="22"/>
      <c r="EA199" s="22"/>
      <c r="EB199" s="22"/>
      <c r="EC199" s="22"/>
      <c r="ED199" s="22"/>
      <c r="EE199" s="22"/>
      <c r="EF199" s="22"/>
      <c r="EG199" s="22"/>
      <c r="EH199" s="22"/>
      <c r="EI199" s="22"/>
      <c r="EJ199" s="22"/>
      <c r="EK199" s="22"/>
      <c r="EL199" s="22"/>
      <c r="EM199" s="22"/>
      <c r="EN199" s="22"/>
      <c r="EO199" s="22"/>
      <c r="EP199" s="22"/>
      <c r="EQ199" s="22"/>
      <c r="ER199" s="22"/>
      <c r="ES199" s="22"/>
      <c r="ET199" s="22"/>
      <c r="EU199" s="22"/>
      <c r="EV199" s="22"/>
      <c r="EW199" s="22"/>
      <c r="EX199" s="22"/>
      <c r="EY199" s="22"/>
      <c r="EZ199" s="22"/>
      <c r="FA199" s="22"/>
      <c r="FB199" s="22"/>
      <c r="FC199" s="22"/>
      <c r="FD199" s="22"/>
      <c r="FE199" s="22"/>
      <c r="FF199" s="22"/>
      <c r="FG199" s="22"/>
      <c r="FH199" s="22"/>
      <c r="FI199" s="22"/>
      <c r="FJ199" s="22"/>
      <c r="FK199" s="22"/>
      <c r="FL199" s="22"/>
      <c r="FM199" s="22"/>
      <c r="FN199" s="22"/>
      <c r="FO199" s="22"/>
      <c r="FP199" s="22"/>
      <c r="FQ199" s="22"/>
      <c r="FR199" s="22"/>
      <c r="FS199" s="22"/>
      <c r="FT199" s="22"/>
      <c r="FU199" s="22"/>
      <c r="FV199" s="22"/>
      <c r="FW199" s="22"/>
      <c r="FX199" s="22"/>
      <c r="FY199" s="22"/>
      <c r="FZ199" s="22"/>
      <c r="GA199" s="22"/>
      <c r="GB199" s="22"/>
      <c r="GC199" s="22"/>
      <c r="GD199" s="22"/>
      <c r="GE199" s="22"/>
      <c r="GF199" s="22"/>
      <c r="GG199" s="22"/>
      <c r="GH199" s="22"/>
      <c r="GI199" s="22"/>
      <c r="GJ199" s="22"/>
      <c r="GK199" s="22"/>
      <c r="GL199" s="22"/>
      <c r="GM199" s="22"/>
      <c r="GN199" s="22"/>
      <c r="GO199" s="22"/>
      <c r="GP199" s="22"/>
      <c r="GQ199" s="22"/>
    </row>
    <row r="200" spans="3:199" s="2" customFormat="1" ht="20.100000000000001" customHeight="1">
      <c r="C200" s="13">
        <v>40030624</v>
      </c>
      <c r="D200" s="15" t="s">
        <v>232</v>
      </c>
      <c r="E200" s="12">
        <v>0</v>
      </c>
      <c r="F200" s="15">
        <v>1502</v>
      </c>
      <c r="G200" s="12">
        <v>1</v>
      </c>
      <c r="H200" s="12">
        <v>50</v>
      </c>
      <c r="I200" s="12">
        <v>0.3</v>
      </c>
      <c r="J200" s="16">
        <v>0</v>
      </c>
      <c r="K200" s="16">
        <v>0</v>
      </c>
      <c r="L200" s="15">
        <v>1900</v>
      </c>
      <c r="M200" s="19">
        <v>0</v>
      </c>
      <c r="N200" s="19">
        <v>0</v>
      </c>
      <c r="O200" s="17">
        <v>0</v>
      </c>
      <c r="P200" s="17">
        <v>0</v>
      </c>
      <c r="Q200" s="19">
        <v>80</v>
      </c>
      <c r="R200" s="19">
        <v>150</v>
      </c>
      <c r="S200" s="15">
        <v>60</v>
      </c>
      <c r="T200" s="15">
        <v>120</v>
      </c>
      <c r="U200" s="18">
        <v>0</v>
      </c>
      <c r="V200" s="18">
        <v>0</v>
      </c>
      <c r="W200" s="18">
        <v>0</v>
      </c>
      <c r="X200" s="18">
        <v>0</v>
      </c>
      <c r="Y200" s="18">
        <v>0</v>
      </c>
      <c r="Z200" s="18">
        <v>0</v>
      </c>
      <c r="AA200" s="18">
        <v>0</v>
      </c>
      <c r="AB200" s="16">
        <v>0</v>
      </c>
      <c r="AC200" s="16">
        <v>0</v>
      </c>
      <c r="AD200" s="16">
        <v>0</v>
      </c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  <c r="BM200" s="22"/>
      <c r="BN200" s="22"/>
      <c r="BO200" s="22"/>
      <c r="BP200" s="22"/>
      <c r="BQ200" s="22"/>
      <c r="BR200" s="22"/>
      <c r="BS200" s="22"/>
      <c r="BT200" s="22"/>
      <c r="BU200" s="22"/>
      <c r="BV200" s="22"/>
      <c r="BW200" s="22"/>
      <c r="BX200" s="22"/>
      <c r="BY200" s="22"/>
      <c r="BZ200" s="22"/>
      <c r="CA200" s="22"/>
      <c r="CB200" s="22"/>
      <c r="CC200" s="22"/>
      <c r="CD200" s="22"/>
      <c r="CE200" s="22"/>
      <c r="CF200" s="22"/>
      <c r="CG200" s="22"/>
      <c r="CH200" s="22"/>
      <c r="CI200" s="22"/>
      <c r="CJ200" s="22"/>
      <c r="CK200" s="22"/>
      <c r="CL200" s="22"/>
      <c r="CM200" s="22"/>
      <c r="CN200" s="22"/>
      <c r="CO200" s="22"/>
      <c r="CP200" s="22"/>
      <c r="CQ200" s="22"/>
      <c r="CR200" s="22"/>
      <c r="CS200" s="22"/>
      <c r="CT200" s="22"/>
      <c r="CU200" s="22"/>
      <c r="CV200" s="22"/>
      <c r="CW200" s="22"/>
      <c r="CX200" s="22"/>
      <c r="CY200" s="22"/>
      <c r="CZ200" s="22"/>
      <c r="DA200" s="22"/>
      <c r="DB200" s="22"/>
      <c r="DC200" s="22"/>
      <c r="DD200" s="22"/>
      <c r="DE200" s="22"/>
      <c r="DF200" s="22"/>
      <c r="DG200" s="22"/>
      <c r="DH200" s="22"/>
      <c r="DI200" s="22"/>
      <c r="DJ200" s="22"/>
      <c r="DK200" s="22"/>
      <c r="DL200" s="22"/>
      <c r="DM200" s="22"/>
      <c r="DN200" s="22"/>
      <c r="DO200" s="22"/>
      <c r="DP200" s="22"/>
      <c r="DQ200" s="22"/>
      <c r="DR200" s="22"/>
      <c r="DS200" s="22"/>
      <c r="DT200" s="22"/>
      <c r="DU200" s="22"/>
      <c r="DV200" s="22"/>
      <c r="DW200" s="22"/>
      <c r="DX200" s="22"/>
      <c r="DY200" s="22"/>
      <c r="DZ200" s="22"/>
      <c r="EA200" s="22"/>
      <c r="EB200" s="22"/>
      <c r="EC200" s="22"/>
      <c r="ED200" s="22"/>
      <c r="EE200" s="22"/>
      <c r="EF200" s="22"/>
      <c r="EG200" s="22"/>
      <c r="EH200" s="22"/>
      <c r="EI200" s="22"/>
      <c r="EJ200" s="22"/>
      <c r="EK200" s="22"/>
      <c r="EL200" s="22"/>
      <c r="EM200" s="22"/>
      <c r="EN200" s="22"/>
      <c r="EO200" s="22"/>
      <c r="EP200" s="22"/>
      <c r="EQ200" s="22"/>
      <c r="ER200" s="22"/>
      <c r="ES200" s="22"/>
      <c r="ET200" s="22"/>
      <c r="EU200" s="22"/>
      <c r="EV200" s="22"/>
      <c r="EW200" s="22"/>
      <c r="EX200" s="22"/>
      <c r="EY200" s="22"/>
      <c r="EZ200" s="22"/>
      <c r="FA200" s="22"/>
      <c r="FB200" s="22"/>
      <c r="FC200" s="22"/>
      <c r="FD200" s="22"/>
      <c r="FE200" s="22"/>
      <c r="FF200" s="22"/>
      <c r="FG200" s="22"/>
      <c r="FH200" s="22"/>
      <c r="FI200" s="22"/>
      <c r="FJ200" s="22"/>
      <c r="FK200" s="22"/>
      <c r="FL200" s="22"/>
      <c r="FM200" s="22"/>
      <c r="FN200" s="22"/>
      <c r="FO200" s="22"/>
      <c r="FP200" s="22"/>
      <c r="FQ200" s="22"/>
      <c r="FR200" s="22"/>
      <c r="FS200" s="22"/>
      <c r="FT200" s="22"/>
      <c r="FU200" s="22"/>
      <c r="FV200" s="22"/>
      <c r="FW200" s="22"/>
      <c r="FX200" s="22"/>
      <c r="FY200" s="22"/>
      <c r="FZ200" s="22"/>
      <c r="GA200" s="22"/>
      <c r="GB200" s="22"/>
      <c r="GC200" s="22"/>
      <c r="GD200" s="22"/>
      <c r="GE200" s="22"/>
      <c r="GF200" s="22"/>
      <c r="GG200" s="22"/>
      <c r="GH200" s="22"/>
      <c r="GI200" s="22"/>
      <c r="GJ200" s="22"/>
      <c r="GK200" s="22"/>
      <c r="GL200" s="22"/>
      <c r="GM200" s="22"/>
      <c r="GN200" s="22"/>
      <c r="GO200" s="22"/>
      <c r="GP200" s="22"/>
      <c r="GQ200" s="22"/>
    </row>
    <row r="201" spans="3:199" s="2" customFormat="1" ht="20.100000000000001" customHeight="1">
      <c r="C201" s="13">
        <v>40030625</v>
      </c>
      <c r="D201" s="15" t="s">
        <v>233</v>
      </c>
      <c r="E201" s="12">
        <v>0</v>
      </c>
      <c r="F201" s="15">
        <v>1502</v>
      </c>
      <c r="G201" s="12">
        <v>1</v>
      </c>
      <c r="H201" s="12">
        <v>50</v>
      </c>
      <c r="I201" s="12">
        <v>0.3</v>
      </c>
      <c r="J201" s="16">
        <v>0</v>
      </c>
      <c r="K201" s="16">
        <v>0</v>
      </c>
      <c r="L201" s="15">
        <v>0</v>
      </c>
      <c r="M201" s="19">
        <v>50</v>
      </c>
      <c r="N201" s="19">
        <v>120</v>
      </c>
      <c r="O201" s="17">
        <v>0</v>
      </c>
      <c r="P201" s="17">
        <v>0</v>
      </c>
      <c r="Q201" s="19">
        <v>40</v>
      </c>
      <c r="R201" s="19">
        <v>90</v>
      </c>
      <c r="S201" s="15">
        <v>40</v>
      </c>
      <c r="T201" s="15">
        <v>90</v>
      </c>
      <c r="U201" s="18">
        <v>0</v>
      </c>
      <c r="V201" s="18">
        <v>0</v>
      </c>
      <c r="W201" s="18">
        <v>0</v>
      </c>
      <c r="X201" s="18">
        <v>0</v>
      </c>
      <c r="Y201" s="18">
        <v>0</v>
      </c>
      <c r="Z201" s="18">
        <v>0</v>
      </c>
      <c r="AA201" s="18">
        <v>0</v>
      </c>
      <c r="AB201" s="16">
        <v>0</v>
      </c>
      <c r="AC201" s="16">
        <v>0</v>
      </c>
      <c r="AD201" s="16">
        <v>0</v>
      </c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  <c r="BM201" s="22"/>
      <c r="BN201" s="22"/>
      <c r="BO201" s="22"/>
      <c r="BP201" s="22"/>
      <c r="BQ201" s="22"/>
      <c r="BR201" s="22"/>
      <c r="BS201" s="22"/>
      <c r="BT201" s="22"/>
      <c r="BU201" s="22"/>
      <c r="BV201" s="22"/>
      <c r="BW201" s="22"/>
      <c r="BX201" s="22"/>
      <c r="BY201" s="22"/>
      <c r="BZ201" s="22"/>
      <c r="CA201" s="22"/>
      <c r="CB201" s="22"/>
      <c r="CC201" s="22"/>
      <c r="CD201" s="22"/>
      <c r="CE201" s="22"/>
      <c r="CF201" s="22"/>
      <c r="CG201" s="22"/>
      <c r="CH201" s="22"/>
      <c r="CI201" s="22"/>
      <c r="CJ201" s="22"/>
      <c r="CK201" s="22"/>
      <c r="CL201" s="22"/>
      <c r="CM201" s="22"/>
      <c r="CN201" s="22"/>
      <c r="CO201" s="22"/>
      <c r="CP201" s="22"/>
      <c r="CQ201" s="22"/>
      <c r="CR201" s="22"/>
      <c r="CS201" s="22"/>
      <c r="CT201" s="22"/>
      <c r="CU201" s="22"/>
      <c r="CV201" s="22"/>
      <c r="CW201" s="22"/>
      <c r="CX201" s="22"/>
      <c r="CY201" s="22"/>
      <c r="CZ201" s="22"/>
      <c r="DA201" s="22"/>
      <c r="DB201" s="22"/>
      <c r="DC201" s="22"/>
      <c r="DD201" s="22"/>
      <c r="DE201" s="22"/>
      <c r="DF201" s="22"/>
      <c r="DG201" s="22"/>
      <c r="DH201" s="22"/>
      <c r="DI201" s="22"/>
      <c r="DJ201" s="22"/>
      <c r="DK201" s="22"/>
      <c r="DL201" s="22"/>
      <c r="DM201" s="22"/>
      <c r="DN201" s="22"/>
      <c r="DO201" s="22"/>
      <c r="DP201" s="22"/>
      <c r="DQ201" s="22"/>
      <c r="DR201" s="22"/>
      <c r="DS201" s="22"/>
      <c r="DT201" s="22"/>
      <c r="DU201" s="22"/>
      <c r="DV201" s="22"/>
      <c r="DW201" s="22"/>
      <c r="DX201" s="22"/>
      <c r="DY201" s="22"/>
      <c r="DZ201" s="22"/>
      <c r="EA201" s="22"/>
      <c r="EB201" s="22"/>
      <c r="EC201" s="22"/>
      <c r="ED201" s="22"/>
      <c r="EE201" s="22"/>
      <c r="EF201" s="22"/>
      <c r="EG201" s="22"/>
      <c r="EH201" s="22"/>
      <c r="EI201" s="22"/>
      <c r="EJ201" s="22"/>
      <c r="EK201" s="22"/>
      <c r="EL201" s="22"/>
      <c r="EM201" s="22"/>
      <c r="EN201" s="22"/>
      <c r="EO201" s="22"/>
      <c r="EP201" s="22"/>
      <c r="EQ201" s="22"/>
      <c r="ER201" s="22"/>
      <c r="ES201" s="22"/>
      <c r="ET201" s="22"/>
      <c r="EU201" s="22"/>
      <c r="EV201" s="22"/>
      <c r="EW201" s="22"/>
      <c r="EX201" s="22"/>
      <c r="EY201" s="22"/>
      <c r="EZ201" s="22"/>
      <c r="FA201" s="22"/>
      <c r="FB201" s="22"/>
      <c r="FC201" s="22"/>
      <c r="FD201" s="22"/>
      <c r="FE201" s="22"/>
      <c r="FF201" s="22"/>
      <c r="FG201" s="22"/>
      <c r="FH201" s="22"/>
      <c r="FI201" s="22"/>
      <c r="FJ201" s="22"/>
      <c r="FK201" s="22"/>
      <c r="FL201" s="22"/>
      <c r="FM201" s="22"/>
      <c r="FN201" s="22"/>
      <c r="FO201" s="22"/>
      <c r="FP201" s="22"/>
      <c r="FQ201" s="22"/>
      <c r="FR201" s="22"/>
      <c r="FS201" s="22"/>
      <c r="FT201" s="22"/>
      <c r="FU201" s="22"/>
      <c r="FV201" s="22"/>
      <c r="FW201" s="22"/>
      <c r="FX201" s="22"/>
      <c r="FY201" s="22"/>
      <c r="FZ201" s="22"/>
      <c r="GA201" s="22"/>
      <c r="GB201" s="22"/>
      <c r="GC201" s="22"/>
      <c r="GD201" s="22"/>
      <c r="GE201" s="22"/>
      <c r="GF201" s="22"/>
      <c r="GG201" s="22"/>
      <c r="GH201" s="22"/>
      <c r="GI201" s="22"/>
      <c r="GJ201" s="22"/>
      <c r="GK201" s="22"/>
      <c r="GL201" s="22"/>
      <c r="GM201" s="22"/>
      <c r="GN201" s="22"/>
      <c r="GO201" s="22"/>
      <c r="GP201" s="22"/>
      <c r="GQ201" s="22"/>
    </row>
    <row r="202" spans="3:199" s="2" customFormat="1" ht="20.100000000000001" customHeight="1">
      <c r="C202" s="13">
        <v>40030626</v>
      </c>
      <c r="D202" s="15" t="s">
        <v>234</v>
      </c>
      <c r="E202" s="12">
        <v>0</v>
      </c>
      <c r="F202" s="15">
        <v>1502</v>
      </c>
      <c r="G202" s="12">
        <v>1</v>
      </c>
      <c r="H202" s="12">
        <v>50</v>
      </c>
      <c r="I202" s="12">
        <v>0.3</v>
      </c>
      <c r="J202" s="16">
        <v>0</v>
      </c>
      <c r="K202" s="16">
        <v>0</v>
      </c>
      <c r="L202" s="15">
        <v>0</v>
      </c>
      <c r="M202" s="19">
        <v>90</v>
      </c>
      <c r="N202" s="19">
        <v>180</v>
      </c>
      <c r="O202" s="17">
        <v>0</v>
      </c>
      <c r="P202" s="17">
        <v>0</v>
      </c>
      <c r="Q202" s="19">
        <v>30</v>
      </c>
      <c r="R202" s="19">
        <v>50</v>
      </c>
      <c r="S202" s="15">
        <v>30</v>
      </c>
      <c r="T202" s="15">
        <v>50</v>
      </c>
      <c r="U202" s="18">
        <v>0</v>
      </c>
      <c r="V202" s="18">
        <v>0</v>
      </c>
      <c r="W202" s="18">
        <v>0</v>
      </c>
      <c r="X202" s="18">
        <v>0</v>
      </c>
      <c r="Y202" s="18">
        <v>0</v>
      </c>
      <c r="Z202" s="18">
        <v>0</v>
      </c>
      <c r="AA202" s="18">
        <v>0</v>
      </c>
      <c r="AB202" s="16">
        <v>0</v>
      </c>
      <c r="AC202" s="16">
        <v>0</v>
      </c>
      <c r="AD202" s="16">
        <v>0</v>
      </c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  <c r="BM202" s="22"/>
      <c r="BN202" s="22"/>
      <c r="BO202" s="22"/>
      <c r="BP202" s="22"/>
      <c r="BQ202" s="22"/>
      <c r="BR202" s="22"/>
      <c r="BS202" s="22"/>
      <c r="BT202" s="22"/>
      <c r="BU202" s="22"/>
      <c r="BV202" s="22"/>
      <c r="BW202" s="22"/>
      <c r="BX202" s="22"/>
      <c r="BY202" s="22"/>
      <c r="BZ202" s="22"/>
      <c r="CA202" s="22"/>
      <c r="CB202" s="22"/>
      <c r="CC202" s="22"/>
      <c r="CD202" s="22"/>
      <c r="CE202" s="22"/>
      <c r="CF202" s="22"/>
      <c r="CG202" s="22"/>
      <c r="CH202" s="22"/>
      <c r="CI202" s="22"/>
      <c r="CJ202" s="22"/>
      <c r="CK202" s="22"/>
      <c r="CL202" s="22"/>
      <c r="CM202" s="22"/>
      <c r="CN202" s="22"/>
      <c r="CO202" s="22"/>
      <c r="CP202" s="22"/>
      <c r="CQ202" s="22"/>
      <c r="CR202" s="22"/>
      <c r="CS202" s="22"/>
      <c r="CT202" s="22"/>
      <c r="CU202" s="22"/>
      <c r="CV202" s="22"/>
      <c r="CW202" s="22"/>
      <c r="CX202" s="22"/>
      <c r="CY202" s="22"/>
      <c r="CZ202" s="22"/>
      <c r="DA202" s="22"/>
      <c r="DB202" s="22"/>
      <c r="DC202" s="22"/>
      <c r="DD202" s="22"/>
      <c r="DE202" s="22"/>
      <c r="DF202" s="22"/>
      <c r="DG202" s="22"/>
      <c r="DH202" s="22"/>
      <c r="DI202" s="22"/>
      <c r="DJ202" s="22"/>
      <c r="DK202" s="22"/>
      <c r="DL202" s="22"/>
      <c r="DM202" s="22"/>
      <c r="DN202" s="22"/>
      <c r="DO202" s="22"/>
      <c r="DP202" s="22"/>
      <c r="DQ202" s="22"/>
      <c r="DR202" s="22"/>
      <c r="DS202" s="22"/>
      <c r="DT202" s="22"/>
      <c r="DU202" s="22"/>
      <c r="DV202" s="22"/>
      <c r="DW202" s="22"/>
      <c r="DX202" s="22"/>
      <c r="DY202" s="22"/>
      <c r="DZ202" s="22"/>
      <c r="EA202" s="22"/>
      <c r="EB202" s="22"/>
      <c r="EC202" s="22"/>
      <c r="ED202" s="22"/>
      <c r="EE202" s="22"/>
      <c r="EF202" s="22"/>
      <c r="EG202" s="22"/>
      <c r="EH202" s="22"/>
      <c r="EI202" s="22"/>
      <c r="EJ202" s="22"/>
      <c r="EK202" s="22"/>
      <c r="EL202" s="22"/>
      <c r="EM202" s="22"/>
      <c r="EN202" s="22"/>
      <c r="EO202" s="22"/>
      <c r="EP202" s="22"/>
      <c r="EQ202" s="22"/>
      <c r="ER202" s="22"/>
      <c r="ES202" s="22"/>
      <c r="ET202" s="22"/>
      <c r="EU202" s="22"/>
      <c r="EV202" s="22"/>
      <c r="EW202" s="22"/>
      <c r="EX202" s="22"/>
      <c r="EY202" s="22"/>
      <c r="EZ202" s="22"/>
      <c r="FA202" s="22"/>
      <c r="FB202" s="22"/>
      <c r="FC202" s="22"/>
      <c r="FD202" s="22"/>
      <c r="FE202" s="22"/>
      <c r="FF202" s="22"/>
      <c r="FG202" s="22"/>
      <c r="FH202" s="22"/>
      <c r="FI202" s="22"/>
      <c r="FJ202" s="22"/>
      <c r="FK202" s="22"/>
      <c r="FL202" s="22"/>
      <c r="FM202" s="22"/>
      <c r="FN202" s="22"/>
      <c r="FO202" s="22"/>
      <c r="FP202" s="22"/>
      <c r="FQ202" s="22"/>
      <c r="FR202" s="22"/>
      <c r="FS202" s="22"/>
      <c r="FT202" s="22"/>
      <c r="FU202" s="22"/>
      <c r="FV202" s="22"/>
      <c r="FW202" s="22"/>
      <c r="FX202" s="22"/>
      <c r="FY202" s="22"/>
      <c r="FZ202" s="22"/>
      <c r="GA202" s="22"/>
      <c r="GB202" s="22"/>
      <c r="GC202" s="22"/>
      <c r="GD202" s="22"/>
      <c r="GE202" s="22"/>
      <c r="GF202" s="22"/>
      <c r="GG202" s="22"/>
      <c r="GH202" s="22"/>
      <c r="GI202" s="22"/>
      <c r="GJ202" s="22"/>
      <c r="GK202" s="22"/>
      <c r="GL202" s="22"/>
      <c r="GM202" s="22"/>
      <c r="GN202" s="22"/>
      <c r="GO202" s="22"/>
      <c r="GP202" s="22"/>
      <c r="GQ202" s="22"/>
    </row>
    <row r="203" spans="3:199" s="2" customFormat="1" ht="20.100000000000001" customHeight="1">
      <c r="C203" s="13">
        <v>40030627</v>
      </c>
      <c r="D203" s="15" t="s">
        <v>235</v>
      </c>
      <c r="E203" s="12">
        <v>0</v>
      </c>
      <c r="F203" s="15">
        <v>1502</v>
      </c>
      <c r="G203" s="12">
        <v>1</v>
      </c>
      <c r="H203" s="12">
        <v>50</v>
      </c>
      <c r="I203" s="12">
        <v>0.3</v>
      </c>
      <c r="J203" s="16">
        <v>0</v>
      </c>
      <c r="K203" s="16">
        <v>0</v>
      </c>
      <c r="L203" s="15">
        <v>0</v>
      </c>
      <c r="M203" s="19">
        <v>70</v>
      </c>
      <c r="N203" s="19">
        <v>150</v>
      </c>
      <c r="O203" s="17">
        <v>0</v>
      </c>
      <c r="P203" s="17">
        <v>0</v>
      </c>
      <c r="Q203" s="19">
        <v>0</v>
      </c>
      <c r="R203" s="19">
        <v>0</v>
      </c>
      <c r="S203" s="15">
        <v>20</v>
      </c>
      <c r="T203" s="15">
        <v>50</v>
      </c>
      <c r="U203" s="18">
        <v>0</v>
      </c>
      <c r="V203" s="18">
        <v>0</v>
      </c>
      <c r="W203" s="18">
        <v>0</v>
      </c>
      <c r="X203" s="18">
        <v>0</v>
      </c>
      <c r="Y203" s="18">
        <v>0</v>
      </c>
      <c r="Z203" s="18">
        <v>0</v>
      </c>
      <c r="AA203" s="18">
        <v>0</v>
      </c>
      <c r="AB203" s="16">
        <v>0</v>
      </c>
      <c r="AC203" s="16">
        <v>0</v>
      </c>
      <c r="AD203" s="16">
        <v>0</v>
      </c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  <c r="BM203" s="22"/>
      <c r="BN203" s="22"/>
      <c r="BO203" s="22"/>
      <c r="BP203" s="22"/>
      <c r="BQ203" s="22"/>
      <c r="BR203" s="22"/>
      <c r="BS203" s="22"/>
      <c r="BT203" s="22"/>
      <c r="BU203" s="22"/>
      <c r="BV203" s="22"/>
      <c r="BW203" s="22"/>
      <c r="BX203" s="22"/>
      <c r="BY203" s="22"/>
      <c r="BZ203" s="22"/>
      <c r="CA203" s="22"/>
      <c r="CB203" s="22"/>
      <c r="CC203" s="22"/>
      <c r="CD203" s="22"/>
      <c r="CE203" s="22"/>
      <c r="CF203" s="22"/>
      <c r="CG203" s="22"/>
      <c r="CH203" s="22"/>
      <c r="CI203" s="22"/>
      <c r="CJ203" s="22"/>
      <c r="CK203" s="22"/>
      <c r="CL203" s="22"/>
      <c r="CM203" s="22"/>
      <c r="CN203" s="22"/>
      <c r="CO203" s="22"/>
      <c r="CP203" s="22"/>
      <c r="CQ203" s="22"/>
      <c r="CR203" s="22"/>
      <c r="CS203" s="22"/>
      <c r="CT203" s="22"/>
      <c r="CU203" s="22"/>
      <c r="CV203" s="22"/>
      <c r="CW203" s="22"/>
      <c r="CX203" s="22"/>
      <c r="CY203" s="22"/>
      <c r="CZ203" s="22"/>
      <c r="DA203" s="22"/>
      <c r="DB203" s="22"/>
      <c r="DC203" s="22"/>
      <c r="DD203" s="22"/>
      <c r="DE203" s="22"/>
      <c r="DF203" s="22"/>
      <c r="DG203" s="22"/>
      <c r="DH203" s="22"/>
      <c r="DI203" s="22"/>
      <c r="DJ203" s="22"/>
      <c r="DK203" s="22"/>
      <c r="DL203" s="22"/>
      <c r="DM203" s="22"/>
      <c r="DN203" s="22"/>
      <c r="DO203" s="22"/>
      <c r="DP203" s="22"/>
      <c r="DQ203" s="22"/>
      <c r="DR203" s="22"/>
      <c r="DS203" s="22"/>
      <c r="DT203" s="22"/>
      <c r="DU203" s="22"/>
      <c r="DV203" s="22"/>
      <c r="DW203" s="22"/>
      <c r="DX203" s="22"/>
      <c r="DY203" s="22"/>
      <c r="DZ203" s="22"/>
      <c r="EA203" s="22"/>
      <c r="EB203" s="22"/>
      <c r="EC203" s="22"/>
      <c r="ED203" s="22"/>
      <c r="EE203" s="22"/>
      <c r="EF203" s="22"/>
      <c r="EG203" s="22"/>
      <c r="EH203" s="22"/>
      <c r="EI203" s="22"/>
      <c r="EJ203" s="22"/>
      <c r="EK203" s="22"/>
      <c r="EL203" s="22"/>
      <c r="EM203" s="22"/>
      <c r="EN203" s="22"/>
      <c r="EO203" s="22"/>
      <c r="EP203" s="22"/>
      <c r="EQ203" s="22"/>
      <c r="ER203" s="22"/>
      <c r="ES203" s="22"/>
      <c r="ET203" s="22"/>
      <c r="EU203" s="22"/>
      <c r="EV203" s="22"/>
      <c r="EW203" s="22"/>
      <c r="EX203" s="22"/>
      <c r="EY203" s="22"/>
      <c r="EZ203" s="22"/>
      <c r="FA203" s="22"/>
      <c r="FB203" s="22"/>
      <c r="FC203" s="22"/>
      <c r="FD203" s="22"/>
      <c r="FE203" s="22"/>
      <c r="FF203" s="22"/>
      <c r="FG203" s="22"/>
      <c r="FH203" s="22"/>
      <c r="FI203" s="22"/>
      <c r="FJ203" s="22"/>
      <c r="FK203" s="22"/>
      <c r="FL203" s="22"/>
      <c r="FM203" s="22"/>
      <c r="FN203" s="22"/>
      <c r="FO203" s="22"/>
      <c r="FP203" s="22"/>
      <c r="FQ203" s="22"/>
      <c r="FR203" s="22"/>
      <c r="FS203" s="22"/>
      <c r="FT203" s="22"/>
      <c r="FU203" s="22"/>
      <c r="FV203" s="22"/>
      <c r="FW203" s="22"/>
      <c r="FX203" s="22"/>
      <c r="FY203" s="22"/>
      <c r="FZ203" s="22"/>
      <c r="GA203" s="22"/>
      <c r="GB203" s="22"/>
      <c r="GC203" s="22"/>
      <c r="GD203" s="22"/>
      <c r="GE203" s="22"/>
      <c r="GF203" s="22"/>
      <c r="GG203" s="22"/>
      <c r="GH203" s="22"/>
      <c r="GI203" s="22"/>
      <c r="GJ203" s="22"/>
      <c r="GK203" s="22"/>
      <c r="GL203" s="22"/>
      <c r="GM203" s="22"/>
      <c r="GN203" s="22"/>
      <c r="GO203" s="22"/>
      <c r="GP203" s="22"/>
      <c r="GQ203" s="22"/>
    </row>
    <row r="204" spans="3:199" s="2" customFormat="1" ht="20.100000000000001" customHeight="1">
      <c r="C204" s="13">
        <v>40030628</v>
      </c>
      <c r="D204" s="15" t="s">
        <v>236</v>
      </c>
      <c r="E204" s="12">
        <v>0</v>
      </c>
      <c r="F204" s="15">
        <v>1502</v>
      </c>
      <c r="G204" s="12">
        <v>1</v>
      </c>
      <c r="H204" s="12">
        <v>50</v>
      </c>
      <c r="I204" s="12">
        <v>0.3</v>
      </c>
      <c r="J204" s="16">
        <v>0</v>
      </c>
      <c r="K204" s="16">
        <v>0</v>
      </c>
      <c r="L204" s="15">
        <v>0</v>
      </c>
      <c r="M204" s="19">
        <v>40</v>
      </c>
      <c r="N204" s="19">
        <v>90</v>
      </c>
      <c r="O204" s="17">
        <v>0</v>
      </c>
      <c r="P204" s="17">
        <v>0</v>
      </c>
      <c r="Q204" s="19">
        <v>50</v>
      </c>
      <c r="R204" s="19">
        <v>100</v>
      </c>
      <c r="S204" s="15">
        <v>0</v>
      </c>
      <c r="T204" s="15">
        <v>0</v>
      </c>
      <c r="U204" s="18">
        <v>0</v>
      </c>
      <c r="V204" s="18">
        <v>0</v>
      </c>
      <c r="W204" s="18">
        <v>0</v>
      </c>
      <c r="X204" s="18">
        <v>0</v>
      </c>
      <c r="Y204" s="18">
        <v>0</v>
      </c>
      <c r="Z204" s="18">
        <v>0</v>
      </c>
      <c r="AA204" s="18">
        <v>0</v>
      </c>
      <c r="AB204" s="16">
        <v>0</v>
      </c>
      <c r="AC204" s="16">
        <v>0</v>
      </c>
      <c r="AD204" s="16">
        <v>0</v>
      </c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  <c r="BM204" s="22"/>
      <c r="BN204" s="22"/>
      <c r="BO204" s="22"/>
      <c r="BP204" s="22"/>
      <c r="BQ204" s="22"/>
      <c r="BR204" s="22"/>
      <c r="BS204" s="22"/>
      <c r="BT204" s="22"/>
      <c r="BU204" s="22"/>
      <c r="BV204" s="22"/>
      <c r="BW204" s="22"/>
      <c r="BX204" s="22"/>
      <c r="BY204" s="22"/>
      <c r="BZ204" s="22"/>
      <c r="CA204" s="22"/>
      <c r="CB204" s="22"/>
      <c r="CC204" s="22"/>
      <c r="CD204" s="22"/>
      <c r="CE204" s="22"/>
      <c r="CF204" s="22"/>
      <c r="CG204" s="22"/>
      <c r="CH204" s="22"/>
      <c r="CI204" s="22"/>
      <c r="CJ204" s="22"/>
      <c r="CK204" s="22"/>
      <c r="CL204" s="22"/>
      <c r="CM204" s="22"/>
      <c r="CN204" s="22"/>
      <c r="CO204" s="22"/>
      <c r="CP204" s="22"/>
      <c r="CQ204" s="22"/>
      <c r="CR204" s="22"/>
      <c r="CS204" s="22"/>
      <c r="CT204" s="22"/>
      <c r="CU204" s="22"/>
      <c r="CV204" s="22"/>
      <c r="CW204" s="22"/>
      <c r="CX204" s="22"/>
      <c r="CY204" s="22"/>
      <c r="CZ204" s="22"/>
      <c r="DA204" s="22"/>
      <c r="DB204" s="22"/>
      <c r="DC204" s="22"/>
      <c r="DD204" s="22"/>
      <c r="DE204" s="22"/>
      <c r="DF204" s="22"/>
      <c r="DG204" s="22"/>
      <c r="DH204" s="22"/>
      <c r="DI204" s="22"/>
      <c r="DJ204" s="22"/>
      <c r="DK204" s="22"/>
      <c r="DL204" s="22"/>
      <c r="DM204" s="22"/>
      <c r="DN204" s="22"/>
      <c r="DO204" s="22"/>
      <c r="DP204" s="22"/>
      <c r="DQ204" s="22"/>
      <c r="DR204" s="22"/>
      <c r="DS204" s="22"/>
      <c r="DT204" s="22"/>
      <c r="DU204" s="22"/>
      <c r="DV204" s="22"/>
      <c r="DW204" s="22"/>
      <c r="DX204" s="22"/>
      <c r="DY204" s="22"/>
      <c r="DZ204" s="22"/>
      <c r="EA204" s="22"/>
      <c r="EB204" s="22"/>
      <c r="EC204" s="22"/>
      <c r="ED204" s="22"/>
      <c r="EE204" s="22"/>
      <c r="EF204" s="22"/>
      <c r="EG204" s="22"/>
      <c r="EH204" s="22"/>
      <c r="EI204" s="22"/>
      <c r="EJ204" s="22"/>
      <c r="EK204" s="22"/>
      <c r="EL204" s="22"/>
      <c r="EM204" s="22"/>
      <c r="EN204" s="22"/>
      <c r="EO204" s="22"/>
      <c r="EP204" s="22"/>
      <c r="EQ204" s="22"/>
      <c r="ER204" s="22"/>
      <c r="ES204" s="22"/>
      <c r="ET204" s="22"/>
      <c r="EU204" s="22"/>
      <c r="EV204" s="22"/>
      <c r="EW204" s="22"/>
      <c r="EX204" s="22"/>
      <c r="EY204" s="22"/>
      <c r="EZ204" s="22"/>
      <c r="FA204" s="22"/>
      <c r="FB204" s="22"/>
      <c r="FC204" s="22"/>
      <c r="FD204" s="22"/>
      <c r="FE204" s="22"/>
      <c r="FF204" s="22"/>
      <c r="FG204" s="22"/>
      <c r="FH204" s="22"/>
      <c r="FI204" s="22"/>
      <c r="FJ204" s="22"/>
      <c r="FK204" s="22"/>
      <c r="FL204" s="22"/>
      <c r="FM204" s="22"/>
      <c r="FN204" s="22"/>
      <c r="FO204" s="22"/>
      <c r="FP204" s="22"/>
      <c r="FQ204" s="22"/>
      <c r="FR204" s="22"/>
      <c r="FS204" s="22"/>
      <c r="FT204" s="22"/>
      <c r="FU204" s="22"/>
      <c r="FV204" s="22"/>
      <c r="FW204" s="22"/>
      <c r="FX204" s="22"/>
      <c r="FY204" s="22"/>
      <c r="FZ204" s="22"/>
      <c r="GA204" s="22"/>
      <c r="GB204" s="22"/>
      <c r="GC204" s="22"/>
      <c r="GD204" s="22"/>
      <c r="GE204" s="22"/>
      <c r="GF204" s="22"/>
      <c r="GG204" s="22"/>
      <c r="GH204" s="22"/>
      <c r="GI204" s="22"/>
      <c r="GJ204" s="22"/>
      <c r="GK204" s="22"/>
      <c r="GL204" s="22"/>
      <c r="GM204" s="22"/>
      <c r="GN204" s="22"/>
      <c r="GO204" s="22"/>
      <c r="GP204" s="22"/>
      <c r="GQ204" s="22"/>
    </row>
    <row r="205" spans="3:199" s="2" customFormat="1" ht="20.100000000000001" customHeight="1">
      <c r="C205" s="13">
        <v>40030629</v>
      </c>
      <c r="D205" s="18" t="s">
        <v>237</v>
      </c>
      <c r="E205" s="12">
        <v>0</v>
      </c>
      <c r="F205" s="15">
        <v>1502</v>
      </c>
      <c r="G205" s="12">
        <v>1</v>
      </c>
      <c r="H205" s="12">
        <v>50</v>
      </c>
      <c r="I205" s="12">
        <v>0.3</v>
      </c>
      <c r="J205" s="16">
        <v>0</v>
      </c>
      <c r="K205" s="16">
        <v>0</v>
      </c>
      <c r="L205" s="18">
        <v>0</v>
      </c>
      <c r="M205" s="12">
        <v>60</v>
      </c>
      <c r="N205" s="12">
        <v>130</v>
      </c>
      <c r="O205" s="17">
        <v>0</v>
      </c>
      <c r="P205" s="17">
        <v>0</v>
      </c>
      <c r="Q205" s="12">
        <v>0</v>
      </c>
      <c r="R205" s="12">
        <v>0</v>
      </c>
      <c r="S205" s="18">
        <v>40</v>
      </c>
      <c r="T205" s="18">
        <v>100</v>
      </c>
      <c r="U205" s="18">
        <v>0</v>
      </c>
      <c r="V205" s="18">
        <v>0</v>
      </c>
      <c r="W205" s="18">
        <v>0</v>
      </c>
      <c r="X205" s="18">
        <v>0</v>
      </c>
      <c r="Y205" s="18">
        <v>0</v>
      </c>
      <c r="Z205" s="18">
        <v>0</v>
      </c>
      <c r="AA205" s="18">
        <v>0</v>
      </c>
      <c r="AB205" s="16">
        <v>0</v>
      </c>
      <c r="AC205" s="16">
        <v>0</v>
      </c>
      <c r="AD205" s="16">
        <v>0</v>
      </c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  <c r="BM205" s="22"/>
      <c r="BN205" s="22"/>
      <c r="BO205" s="22"/>
      <c r="BP205" s="22"/>
      <c r="BQ205" s="22"/>
      <c r="BR205" s="22"/>
      <c r="BS205" s="22"/>
      <c r="BT205" s="22"/>
      <c r="BU205" s="22"/>
      <c r="BV205" s="22"/>
      <c r="BW205" s="22"/>
      <c r="BX205" s="22"/>
      <c r="BY205" s="22"/>
      <c r="BZ205" s="22"/>
      <c r="CA205" s="22"/>
      <c r="CB205" s="22"/>
      <c r="CC205" s="22"/>
      <c r="CD205" s="22"/>
      <c r="CE205" s="22"/>
      <c r="CF205" s="22"/>
      <c r="CG205" s="22"/>
      <c r="CH205" s="22"/>
      <c r="CI205" s="22"/>
      <c r="CJ205" s="22"/>
      <c r="CK205" s="22"/>
      <c r="CL205" s="22"/>
      <c r="CM205" s="22"/>
      <c r="CN205" s="22"/>
      <c r="CO205" s="22"/>
      <c r="CP205" s="22"/>
      <c r="CQ205" s="22"/>
      <c r="CR205" s="22"/>
      <c r="CS205" s="22"/>
      <c r="CT205" s="22"/>
      <c r="CU205" s="22"/>
      <c r="CV205" s="22"/>
      <c r="CW205" s="22"/>
      <c r="CX205" s="22"/>
      <c r="CY205" s="22"/>
      <c r="CZ205" s="22"/>
      <c r="DA205" s="22"/>
      <c r="DB205" s="22"/>
      <c r="DC205" s="22"/>
      <c r="DD205" s="22"/>
      <c r="DE205" s="22"/>
      <c r="DF205" s="22"/>
      <c r="DG205" s="22"/>
      <c r="DH205" s="22"/>
      <c r="DI205" s="22"/>
      <c r="DJ205" s="22"/>
      <c r="DK205" s="22"/>
      <c r="DL205" s="22"/>
      <c r="DM205" s="22"/>
      <c r="DN205" s="22"/>
      <c r="DO205" s="22"/>
      <c r="DP205" s="22"/>
      <c r="DQ205" s="22"/>
      <c r="DR205" s="22"/>
      <c r="DS205" s="22"/>
      <c r="DT205" s="22"/>
      <c r="DU205" s="22"/>
      <c r="DV205" s="22"/>
      <c r="DW205" s="22"/>
      <c r="DX205" s="22"/>
      <c r="DY205" s="22"/>
      <c r="DZ205" s="22"/>
      <c r="EA205" s="22"/>
      <c r="EB205" s="22"/>
      <c r="EC205" s="22"/>
      <c r="ED205" s="22"/>
      <c r="EE205" s="22"/>
      <c r="EF205" s="22"/>
      <c r="EG205" s="22"/>
      <c r="EH205" s="22"/>
      <c r="EI205" s="22"/>
      <c r="EJ205" s="22"/>
      <c r="EK205" s="22"/>
      <c r="EL205" s="22"/>
      <c r="EM205" s="22"/>
      <c r="EN205" s="22"/>
      <c r="EO205" s="22"/>
      <c r="EP205" s="22"/>
      <c r="EQ205" s="22"/>
      <c r="ER205" s="22"/>
      <c r="ES205" s="22"/>
      <c r="ET205" s="22"/>
      <c r="EU205" s="22"/>
      <c r="EV205" s="22"/>
      <c r="EW205" s="22"/>
      <c r="EX205" s="22"/>
      <c r="EY205" s="22"/>
      <c r="EZ205" s="22"/>
      <c r="FA205" s="22"/>
      <c r="FB205" s="22"/>
      <c r="FC205" s="22"/>
      <c r="FD205" s="22"/>
      <c r="FE205" s="22"/>
      <c r="FF205" s="22"/>
      <c r="FG205" s="22"/>
      <c r="FH205" s="22"/>
      <c r="FI205" s="22"/>
      <c r="FJ205" s="22"/>
      <c r="FK205" s="22"/>
      <c r="FL205" s="22"/>
      <c r="FM205" s="22"/>
      <c r="FN205" s="22"/>
      <c r="FO205" s="22"/>
      <c r="FP205" s="22"/>
      <c r="FQ205" s="22"/>
      <c r="FR205" s="22"/>
      <c r="FS205" s="22"/>
      <c r="FT205" s="22"/>
      <c r="FU205" s="22"/>
      <c r="FV205" s="22"/>
      <c r="FW205" s="22"/>
      <c r="FX205" s="22"/>
      <c r="FY205" s="22"/>
      <c r="FZ205" s="22"/>
      <c r="GA205" s="22"/>
      <c r="GB205" s="22"/>
      <c r="GC205" s="22"/>
      <c r="GD205" s="22"/>
      <c r="GE205" s="22"/>
      <c r="GF205" s="22"/>
      <c r="GG205" s="22"/>
      <c r="GH205" s="22"/>
      <c r="GI205" s="22"/>
      <c r="GJ205" s="22"/>
      <c r="GK205" s="22"/>
      <c r="GL205" s="22"/>
      <c r="GM205" s="22"/>
      <c r="GN205" s="22"/>
      <c r="GO205" s="22"/>
      <c r="GP205" s="22"/>
      <c r="GQ205" s="22"/>
    </row>
    <row r="206" spans="3:199" s="2" customFormat="1" ht="20.100000000000001" customHeight="1">
      <c r="C206" s="10">
        <v>40030630</v>
      </c>
      <c r="D206" s="15" t="s">
        <v>238</v>
      </c>
      <c r="E206" s="12">
        <v>0</v>
      </c>
      <c r="F206" s="15">
        <v>1513</v>
      </c>
      <c r="G206" s="12">
        <v>1</v>
      </c>
      <c r="H206" s="12">
        <v>60</v>
      </c>
      <c r="I206" s="12">
        <v>0.3</v>
      </c>
      <c r="J206" s="16">
        <v>0</v>
      </c>
      <c r="K206" s="16">
        <v>0</v>
      </c>
      <c r="L206" s="15">
        <v>0</v>
      </c>
      <c r="M206" s="19">
        <v>80</v>
      </c>
      <c r="N206" s="19">
        <v>210</v>
      </c>
      <c r="O206" s="17">
        <v>0</v>
      </c>
      <c r="P206" s="17">
        <v>0</v>
      </c>
      <c r="Q206" s="19">
        <v>60</v>
      </c>
      <c r="R206" s="19">
        <v>170</v>
      </c>
      <c r="S206" s="15">
        <v>60</v>
      </c>
      <c r="T206" s="15">
        <v>170</v>
      </c>
      <c r="U206" s="18">
        <v>0</v>
      </c>
      <c r="V206" s="18">
        <v>0</v>
      </c>
      <c r="W206" s="18">
        <v>0</v>
      </c>
      <c r="X206" s="18">
        <v>0</v>
      </c>
      <c r="Y206" s="18">
        <v>0</v>
      </c>
      <c r="Z206" s="18">
        <v>0</v>
      </c>
      <c r="AA206" s="18">
        <v>0</v>
      </c>
      <c r="AB206" s="16">
        <v>0</v>
      </c>
      <c r="AC206" s="16">
        <v>0</v>
      </c>
      <c r="AD206" s="16">
        <v>0</v>
      </c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  <c r="BM206" s="22"/>
      <c r="BN206" s="22"/>
      <c r="BO206" s="22"/>
      <c r="BP206" s="22"/>
      <c r="BQ206" s="22"/>
      <c r="BR206" s="22"/>
      <c r="BS206" s="22"/>
      <c r="BT206" s="22"/>
      <c r="BU206" s="22"/>
      <c r="BV206" s="22"/>
      <c r="BW206" s="22"/>
      <c r="BX206" s="22"/>
      <c r="BY206" s="22"/>
      <c r="BZ206" s="22"/>
      <c r="CA206" s="22"/>
      <c r="CB206" s="22"/>
      <c r="CC206" s="22"/>
      <c r="CD206" s="22"/>
      <c r="CE206" s="22"/>
      <c r="CF206" s="22"/>
      <c r="CG206" s="22"/>
      <c r="CH206" s="22"/>
      <c r="CI206" s="22"/>
      <c r="CJ206" s="22"/>
      <c r="CK206" s="22"/>
      <c r="CL206" s="22"/>
      <c r="CM206" s="22"/>
      <c r="CN206" s="22"/>
      <c r="CO206" s="22"/>
      <c r="CP206" s="22"/>
      <c r="CQ206" s="22"/>
      <c r="CR206" s="22"/>
      <c r="CS206" s="22"/>
      <c r="CT206" s="22"/>
      <c r="CU206" s="22"/>
      <c r="CV206" s="22"/>
      <c r="CW206" s="22"/>
      <c r="CX206" s="22"/>
      <c r="CY206" s="22"/>
      <c r="CZ206" s="22"/>
      <c r="DA206" s="22"/>
      <c r="DB206" s="22"/>
      <c r="DC206" s="22"/>
      <c r="DD206" s="22"/>
      <c r="DE206" s="22"/>
      <c r="DF206" s="22"/>
      <c r="DG206" s="22"/>
      <c r="DH206" s="22"/>
      <c r="DI206" s="22"/>
      <c r="DJ206" s="22"/>
      <c r="DK206" s="22"/>
      <c r="DL206" s="22"/>
      <c r="DM206" s="22"/>
      <c r="DN206" s="22"/>
      <c r="DO206" s="22"/>
      <c r="DP206" s="22"/>
      <c r="DQ206" s="22"/>
      <c r="DR206" s="22"/>
      <c r="DS206" s="22"/>
      <c r="DT206" s="22"/>
      <c r="DU206" s="22"/>
      <c r="DV206" s="22"/>
      <c r="DW206" s="22"/>
      <c r="DX206" s="22"/>
      <c r="DY206" s="22"/>
      <c r="DZ206" s="22"/>
      <c r="EA206" s="22"/>
      <c r="EB206" s="22"/>
      <c r="EC206" s="22"/>
      <c r="ED206" s="22"/>
      <c r="EE206" s="22"/>
      <c r="EF206" s="22"/>
      <c r="EG206" s="22"/>
      <c r="EH206" s="22"/>
      <c r="EI206" s="22"/>
      <c r="EJ206" s="22"/>
      <c r="EK206" s="22"/>
      <c r="EL206" s="22"/>
      <c r="EM206" s="22"/>
      <c r="EN206" s="22"/>
      <c r="EO206" s="22"/>
      <c r="EP206" s="22"/>
      <c r="EQ206" s="22"/>
      <c r="ER206" s="22"/>
      <c r="ES206" s="22"/>
      <c r="ET206" s="22"/>
      <c r="EU206" s="22"/>
      <c r="EV206" s="22"/>
      <c r="EW206" s="22"/>
      <c r="EX206" s="22"/>
      <c r="EY206" s="22"/>
      <c r="EZ206" s="22"/>
      <c r="FA206" s="22"/>
      <c r="FB206" s="22"/>
      <c r="FC206" s="22"/>
      <c r="FD206" s="22"/>
      <c r="FE206" s="22"/>
      <c r="FF206" s="22"/>
      <c r="FG206" s="22"/>
      <c r="FH206" s="22"/>
      <c r="FI206" s="22"/>
      <c r="FJ206" s="22"/>
      <c r="FK206" s="22"/>
      <c r="FL206" s="22"/>
      <c r="FM206" s="22"/>
      <c r="FN206" s="22"/>
      <c r="FO206" s="22"/>
      <c r="FP206" s="22"/>
      <c r="FQ206" s="22"/>
      <c r="FR206" s="22"/>
      <c r="FS206" s="22"/>
      <c r="FT206" s="22"/>
      <c r="FU206" s="22"/>
      <c r="FV206" s="22"/>
      <c r="FW206" s="22"/>
      <c r="FX206" s="22"/>
      <c r="FY206" s="22"/>
      <c r="FZ206" s="22"/>
      <c r="GA206" s="22"/>
      <c r="GB206" s="22"/>
      <c r="GC206" s="22"/>
      <c r="GD206" s="22"/>
      <c r="GE206" s="22"/>
      <c r="GF206" s="22"/>
      <c r="GG206" s="22"/>
      <c r="GH206" s="22"/>
      <c r="GI206" s="22"/>
      <c r="GJ206" s="22"/>
      <c r="GK206" s="22"/>
      <c r="GL206" s="22"/>
      <c r="GM206" s="22"/>
      <c r="GN206" s="22"/>
      <c r="GO206" s="22"/>
      <c r="GP206" s="22"/>
      <c r="GQ206" s="22"/>
    </row>
    <row r="207" spans="3:199" s="2" customFormat="1" ht="20.100000000000001" customHeight="1">
      <c r="C207" s="10">
        <v>40030631</v>
      </c>
      <c r="D207" s="15" t="s">
        <v>239</v>
      </c>
      <c r="E207" s="12">
        <v>0</v>
      </c>
      <c r="F207" s="15">
        <v>1513</v>
      </c>
      <c r="G207" s="12">
        <v>1</v>
      </c>
      <c r="H207" s="12">
        <v>60</v>
      </c>
      <c r="I207" s="12">
        <v>0.3</v>
      </c>
      <c r="J207" s="16">
        <v>0</v>
      </c>
      <c r="K207" s="16">
        <v>0</v>
      </c>
      <c r="L207" s="15">
        <v>0</v>
      </c>
      <c r="M207" s="19">
        <v>90</v>
      </c>
      <c r="N207" s="19">
        <v>270</v>
      </c>
      <c r="O207" s="17">
        <v>0</v>
      </c>
      <c r="P207" s="17">
        <v>0</v>
      </c>
      <c r="Q207" s="19">
        <v>0</v>
      </c>
      <c r="R207" s="19">
        <v>0</v>
      </c>
      <c r="S207" s="15">
        <v>50</v>
      </c>
      <c r="T207" s="15">
        <v>90</v>
      </c>
      <c r="U207" s="18">
        <v>0</v>
      </c>
      <c r="V207" s="18">
        <v>0</v>
      </c>
      <c r="W207" s="18">
        <v>0</v>
      </c>
      <c r="X207" s="18">
        <v>0</v>
      </c>
      <c r="Y207" s="18">
        <v>0</v>
      </c>
      <c r="Z207" s="18">
        <v>0</v>
      </c>
      <c r="AA207" s="18">
        <v>0</v>
      </c>
      <c r="AB207" s="16">
        <v>0</v>
      </c>
      <c r="AC207" s="16">
        <v>0</v>
      </c>
      <c r="AD207" s="16">
        <v>0</v>
      </c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  <c r="BM207" s="22"/>
      <c r="BN207" s="22"/>
      <c r="BO207" s="22"/>
      <c r="BP207" s="22"/>
      <c r="BQ207" s="22"/>
      <c r="BR207" s="22"/>
      <c r="BS207" s="22"/>
      <c r="BT207" s="22"/>
      <c r="BU207" s="22"/>
      <c r="BV207" s="22"/>
      <c r="BW207" s="22"/>
      <c r="BX207" s="22"/>
      <c r="BY207" s="22"/>
      <c r="BZ207" s="22"/>
      <c r="CA207" s="22"/>
      <c r="CB207" s="22"/>
      <c r="CC207" s="22"/>
      <c r="CD207" s="22"/>
      <c r="CE207" s="22"/>
      <c r="CF207" s="22"/>
      <c r="CG207" s="22"/>
      <c r="CH207" s="22"/>
      <c r="CI207" s="22"/>
      <c r="CJ207" s="22"/>
      <c r="CK207" s="22"/>
      <c r="CL207" s="22"/>
      <c r="CM207" s="22"/>
      <c r="CN207" s="22"/>
      <c r="CO207" s="22"/>
      <c r="CP207" s="22"/>
      <c r="CQ207" s="22"/>
      <c r="CR207" s="22"/>
      <c r="CS207" s="22"/>
      <c r="CT207" s="22"/>
      <c r="CU207" s="22"/>
      <c r="CV207" s="22"/>
      <c r="CW207" s="22"/>
      <c r="CX207" s="22"/>
      <c r="CY207" s="22"/>
      <c r="CZ207" s="22"/>
      <c r="DA207" s="22"/>
      <c r="DB207" s="22"/>
      <c r="DC207" s="22"/>
      <c r="DD207" s="22"/>
      <c r="DE207" s="22"/>
      <c r="DF207" s="22"/>
      <c r="DG207" s="22"/>
      <c r="DH207" s="22"/>
      <c r="DI207" s="22"/>
      <c r="DJ207" s="22"/>
      <c r="DK207" s="22"/>
      <c r="DL207" s="22"/>
      <c r="DM207" s="22"/>
      <c r="DN207" s="22"/>
      <c r="DO207" s="22"/>
      <c r="DP207" s="22"/>
      <c r="DQ207" s="22"/>
      <c r="DR207" s="22"/>
      <c r="DS207" s="22"/>
      <c r="DT207" s="22"/>
      <c r="DU207" s="22"/>
      <c r="DV207" s="22"/>
      <c r="DW207" s="22"/>
      <c r="DX207" s="22"/>
      <c r="DY207" s="22"/>
      <c r="DZ207" s="22"/>
      <c r="EA207" s="22"/>
      <c r="EB207" s="22"/>
      <c r="EC207" s="22"/>
      <c r="ED207" s="22"/>
      <c r="EE207" s="22"/>
      <c r="EF207" s="22"/>
      <c r="EG207" s="22"/>
      <c r="EH207" s="22"/>
      <c r="EI207" s="22"/>
      <c r="EJ207" s="22"/>
      <c r="EK207" s="22"/>
      <c r="EL207" s="22"/>
      <c r="EM207" s="22"/>
      <c r="EN207" s="22"/>
      <c r="EO207" s="22"/>
      <c r="EP207" s="22"/>
      <c r="EQ207" s="22"/>
      <c r="ER207" s="22"/>
      <c r="ES207" s="22"/>
      <c r="ET207" s="22"/>
      <c r="EU207" s="22"/>
      <c r="EV207" s="22"/>
      <c r="EW207" s="22"/>
      <c r="EX207" s="22"/>
      <c r="EY207" s="22"/>
      <c r="EZ207" s="22"/>
      <c r="FA207" s="22"/>
      <c r="FB207" s="22"/>
      <c r="FC207" s="22"/>
      <c r="FD207" s="22"/>
      <c r="FE207" s="22"/>
      <c r="FF207" s="22"/>
      <c r="FG207" s="22"/>
      <c r="FH207" s="22"/>
      <c r="FI207" s="22"/>
      <c r="FJ207" s="22"/>
      <c r="FK207" s="22"/>
      <c r="FL207" s="22"/>
      <c r="FM207" s="22"/>
      <c r="FN207" s="22"/>
      <c r="FO207" s="22"/>
      <c r="FP207" s="22"/>
      <c r="FQ207" s="22"/>
      <c r="FR207" s="22"/>
      <c r="FS207" s="22"/>
      <c r="FT207" s="22"/>
      <c r="FU207" s="22"/>
      <c r="FV207" s="22"/>
      <c r="FW207" s="22"/>
      <c r="FX207" s="22"/>
      <c r="FY207" s="22"/>
      <c r="FZ207" s="22"/>
      <c r="GA207" s="22"/>
      <c r="GB207" s="22"/>
      <c r="GC207" s="22"/>
      <c r="GD207" s="22"/>
      <c r="GE207" s="22"/>
      <c r="GF207" s="22"/>
      <c r="GG207" s="22"/>
      <c r="GH207" s="22"/>
      <c r="GI207" s="22"/>
      <c r="GJ207" s="22"/>
      <c r="GK207" s="22"/>
      <c r="GL207" s="22"/>
      <c r="GM207" s="22"/>
      <c r="GN207" s="22"/>
      <c r="GO207" s="22"/>
      <c r="GP207" s="22"/>
      <c r="GQ207" s="22"/>
    </row>
    <row r="208" spans="3:199" s="2" customFormat="1" ht="20.100000000000001" customHeight="1">
      <c r="C208" s="10">
        <v>40030632</v>
      </c>
      <c r="D208" s="15" t="s">
        <v>240</v>
      </c>
      <c r="E208" s="12">
        <v>0</v>
      </c>
      <c r="F208" s="15">
        <v>1515</v>
      </c>
      <c r="G208" s="12">
        <v>1</v>
      </c>
      <c r="H208" s="12">
        <v>60</v>
      </c>
      <c r="I208" s="12">
        <v>0.3</v>
      </c>
      <c r="J208" s="16">
        <v>0</v>
      </c>
      <c r="K208" s="16">
        <v>0</v>
      </c>
      <c r="L208" s="15">
        <v>0</v>
      </c>
      <c r="M208" s="19">
        <v>60</v>
      </c>
      <c r="N208" s="19">
        <v>170</v>
      </c>
      <c r="O208" s="17">
        <v>0</v>
      </c>
      <c r="P208" s="17">
        <v>0</v>
      </c>
      <c r="Q208" s="19">
        <v>60</v>
      </c>
      <c r="R208" s="19">
        <v>170</v>
      </c>
      <c r="S208" s="15">
        <v>0</v>
      </c>
      <c r="T208" s="15">
        <v>0</v>
      </c>
      <c r="U208" s="18">
        <v>0</v>
      </c>
      <c r="V208" s="18">
        <v>0</v>
      </c>
      <c r="W208" s="18">
        <v>0</v>
      </c>
      <c r="X208" s="18">
        <v>0</v>
      </c>
      <c r="Y208" s="18">
        <v>0</v>
      </c>
      <c r="Z208" s="18">
        <v>0</v>
      </c>
      <c r="AA208" s="18">
        <v>0</v>
      </c>
      <c r="AB208" s="16">
        <v>0</v>
      </c>
      <c r="AC208" s="16">
        <v>0</v>
      </c>
      <c r="AD208" s="16">
        <v>0</v>
      </c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  <c r="BM208" s="22"/>
      <c r="BN208" s="22"/>
      <c r="BO208" s="22"/>
      <c r="BP208" s="22"/>
      <c r="BQ208" s="22"/>
      <c r="BR208" s="22"/>
      <c r="BS208" s="22"/>
      <c r="BT208" s="22"/>
      <c r="BU208" s="22"/>
      <c r="BV208" s="22"/>
      <c r="BW208" s="22"/>
      <c r="BX208" s="22"/>
      <c r="BY208" s="22"/>
      <c r="BZ208" s="22"/>
      <c r="CA208" s="22"/>
      <c r="CB208" s="22"/>
      <c r="CC208" s="22"/>
      <c r="CD208" s="22"/>
      <c r="CE208" s="22"/>
      <c r="CF208" s="22"/>
      <c r="CG208" s="22"/>
      <c r="CH208" s="22"/>
      <c r="CI208" s="22"/>
      <c r="CJ208" s="22"/>
      <c r="CK208" s="22"/>
      <c r="CL208" s="22"/>
      <c r="CM208" s="22"/>
      <c r="CN208" s="22"/>
      <c r="CO208" s="22"/>
      <c r="CP208" s="22"/>
      <c r="CQ208" s="22"/>
      <c r="CR208" s="22"/>
      <c r="CS208" s="22"/>
      <c r="CT208" s="22"/>
      <c r="CU208" s="22"/>
      <c r="CV208" s="22"/>
      <c r="CW208" s="22"/>
      <c r="CX208" s="22"/>
      <c r="CY208" s="22"/>
      <c r="CZ208" s="22"/>
      <c r="DA208" s="22"/>
      <c r="DB208" s="22"/>
      <c r="DC208" s="22"/>
      <c r="DD208" s="22"/>
      <c r="DE208" s="22"/>
      <c r="DF208" s="22"/>
      <c r="DG208" s="22"/>
      <c r="DH208" s="22"/>
      <c r="DI208" s="22"/>
      <c r="DJ208" s="22"/>
      <c r="DK208" s="22"/>
      <c r="DL208" s="22"/>
      <c r="DM208" s="22"/>
      <c r="DN208" s="22"/>
      <c r="DO208" s="22"/>
      <c r="DP208" s="22"/>
      <c r="DQ208" s="22"/>
      <c r="DR208" s="22"/>
      <c r="DS208" s="22"/>
      <c r="DT208" s="22"/>
      <c r="DU208" s="22"/>
      <c r="DV208" s="22"/>
      <c r="DW208" s="22"/>
      <c r="DX208" s="22"/>
      <c r="DY208" s="22"/>
      <c r="DZ208" s="22"/>
      <c r="EA208" s="22"/>
      <c r="EB208" s="22"/>
      <c r="EC208" s="22"/>
      <c r="ED208" s="22"/>
      <c r="EE208" s="22"/>
      <c r="EF208" s="22"/>
      <c r="EG208" s="22"/>
      <c r="EH208" s="22"/>
      <c r="EI208" s="22"/>
      <c r="EJ208" s="22"/>
      <c r="EK208" s="22"/>
      <c r="EL208" s="22"/>
      <c r="EM208" s="22"/>
      <c r="EN208" s="22"/>
      <c r="EO208" s="22"/>
      <c r="EP208" s="22"/>
      <c r="EQ208" s="22"/>
      <c r="ER208" s="22"/>
      <c r="ES208" s="22"/>
      <c r="ET208" s="22"/>
      <c r="EU208" s="22"/>
      <c r="EV208" s="22"/>
      <c r="EW208" s="22"/>
      <c r="EX208" s="22"/>
      <c r="EY208" s="22"/>
      <c r="EZ208" s="22"/>
      <c r="FA208" s="22"/>
      <c r="FB208" s="22"/>
      <c r="FC208" s="22"/>
      <c r="FD208" s="22"/>
      <c r="FE208" s="22"/>
      <c r="FF208" s="22"/>
      <c r="FG208" s="22"/>
      <c r="FH208" s="22"/>
      <c r="FI208" s="22"/>
      <c r="FJ208" s="22"/>
      <c r="FK208" s="22"/>
      <c r="FL208" s="22"/>
      <c r="FM208" s="22"/>
      <c r="FN208" s="22"/>
      <c r="FO208" s="22"/>
      <c r="FP208" s="22"/>
      <c r="FQ208" s="22"/>
      <c r="FR208" s="22"/>
      <c r="FS208" s="22"/>
      <c r="FT208" s="22"/>
      <c r="FU208" s="22"/>
      <c r="FV208" s="22"/>
      <c r="FW208" s="22"/>
      <c r="FX208" s="22"/>
      <c r="FY208" s="22"/>
      <c r="FZ208" s="22"/>
      <c r="GA208" s="22"/>
      <c r="GB208" s="22"/>
      <c r="GC208" s="22"/>
      <c r="GD208" s="22"/>
      <c r="GE208" s="22"/>
      <c r="GF208" s="22"/>
      <c r="GG208" s="22"/>
      <c r="GH208" s="22"/>
      <c r="GI208" s="22"/>
      <c r="GJ208" s="22"/>
      <c r="GK208" s="22"/>
      <c r="GL208" s="22"/>
      <c r="GM208" s="22"/>
      <c r="GN208" s="22"/>
      <c r="GO208" s="22"/>
      <c r="GP208" s="22"/>
      <c r="GQ208" s="22"/>
    </row>
    <row r="209" spans="3:224" s="2" customFormat="1" ht="20.100000000000001" customHeight="1">
      <c r="C209" s="10">
        <v>40030633</v>
      </c>
      <c r="D209" s="15" t="s">
        <v>241</v>
      </c>
      <c r="E209" s="12">
        <v>0</v>
      </c>
      <c r="F209" s="15">
        <v>1515</v>
      </c>
      <c r="G209" s="12">
        <v>1</v>
      </c>
      <c r="H209" s="12">
        <v>60</v>
      </c>
      <c r="I209" s="12">
        <v>0.3</v>
      </c>
      <c r="J209" s="16">
        <v>0</v>
      </c>
      <c r="K209" s="16">
        <v>0</v>
      </c>
      <c r="L209" s="15">
        <v>0</v>
      </c>
      <c r="M209" s="19">
        <v>80</v>
      </c>
      <c r="N209" s="19">
        <v>230</v>
      </c>
      <c r="O209" s="17">
        <v>0</v>
      </c>
      <c r="P209" s="17">
        <v>0</v>
      </c>
      <c r="Q209" s="19">
        <v>0</v>
      </c>
      <c r="R209" s="19">
        <v>0</v>
      </c>
      <c r="S209" s="15">
        <v>60</v>
      </c>
      <c r="T209" s="15">
        <v>170</v>
      </c>
      <c r="U209" s="18">
        <v>0</v>
      </c>
      <c r="V209" s="18">
        <v>0</v>
      </c>
      <c r="W209" s="18">
        <v>0</v>
      </c>
      <c r="X209" s="18">
        <v>0</v>
      </c>
      <c r="Y209" s="18">
        <v>0</v>
      </c>
      <c r="Z209" s="18">
        <v>0</v>
      </c>
      <c r="AA209" s="18">
        <v>0</v>
      </c>
      <c r="AB209" s="16">
        <v>0</v>
      </c>
      <c r="AC209" s="16">
        <v>0</v>
      </c>
      <c r="AD209" s="16">
        <v>0</v>
      </c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  <c r="BM209" s="22"/>
      <c r="BN209" s="22"/>
      <c r="BO209" s="22"/>
      <c r="BP209" s="22"/>
      <c r="BQ209" s="22"/>
      <c r="BR209" s="22"/>
      <c r="BS209" s="22"/>
      <c r="BT209" s="22"/>
      <c r="BU209" s="22"/>
      <c r="BV209" s="22"/>
      <c r="BW209" s="22"/>
      <c r="BX209" s="22"/>
      <c r="BY209" s="22"/>
      <c r="BZ209" s="22"/>
      <c r="CA209" s="22"/>
      <c r="CB209" s="22"/>
      <c r="CC209" s="22"/>
      <c r="CD209" s="22"/>
      <c r="CE209" s="22"/>
      <c r="CF209" s="22"/>
      <c r="CG209" s="22"/>
      <c r="CH209" s="22"/>
      <c r="CI209" s="22"/>
      <c r="CJ209" s="22"/>
      <c r="CK209" s="22"/>
      <c r="CL209" s="22"/>
      <c r="CM209" s="22"/>
      <c r="CN209" s="22"/>
      <c r="CO209" s="22"/>
      <c r="CP209" s="22"/>
      <c r="CQ209" s="22"/>
      <c r="CR209" s="22"/>
      <c r="CS209" s="22"/>
      <c r="CT209" s="22"/>
      <c r="CU209" s="22"/>
      <c r="CV209" s="22"/>
      <c r="CW209" s="22"/>
      <c r="CX209" s="22"/>
      <c r="CY209" s="22"/>
      <c r="CZ209" s="22"/>
      <c r="DA209" s="22"/>
      <c r="DB209" s="22"/>
      <c r="DC209" s="22"/>
      <c r="DD209" s="22"/>
      <c r="DE209" s="22"/>
      <c r="DF209" s="22"/>
      <c r="DG209" s="22"/>
      <c r="DH209" s="22"/>
      <c r="DI209" s="22"/>
      <c r="DJ209" s="22"/>
      <c r="DK209" s="22"/>
      <c r="DL209" s="22"/>
      <c r="DM209" s="22"/>
      <c r="DN209" s="22"/>
      <c r="DO209" s="22"/>
      <c r="DP209" s="22"/>
      <c r="DQ209" s="22"/>
      <c r="DR209" s="22"/>
      <c r="DS209" s="22"/>
      <c r="DT209" s="22"/>
      <c r="DU209" s="22"/>
      <c r="DV209" s="22"/>
      <c r="DW209" s="22"/>
      <c r="DX209" s="22"/>
      <c r="DY209" s="22"/>
      <c r="DZ209" s="22"/>
      <c r="EA209" s="22"/>
      <c r="EB209" s="22"/>
      <c r="EC209" s="22"/>
      <c r="ED209" s="22"/>
      <c r="EE209" s="22"/>
      <c r="EF209" s="22"/>
      <c r="EG209" s="22"/>
      <c r="EH209" s="22"/>
      <c r="EI209" s="22"/>
      <c r="EJ209" s="22"/>
      <c r="EK209" s="22"/>
      <c r="EL209" s="22"/>
      <c r="EM209" s="22"/>
      <c r="EN209" s="22"/>
      <c r="EO209" s="22"/>
      <c r="EP209" s="22"/>
      <c r="EQ209" s="22"/>
      <c r="ER209" s="22"/>
      <c r="ES209" s="22"/>
      <c r="ET209" s="22"/>
      <c r="EU209" s="22"/>
      <c r="EV209" s="22"/>
      <c r="EW209" s="22"/>
      <c r="EX209" s="22"/>
      <c r="EY209" s="22"/>
      <c r="EZ209" s="22"/>
      <c r="FA209" s="22"/>
      <c r="FB209" s="22"/>
      <c r="FC209" s="22"/>
      <c r="FD209" s="22"/>
      <c r="FE209" s="22"/>
      <c r="FF209" s="22"/>
      <c r="FG209" s="22"/>
      <c r="FH209" s="22"/>
      <c r="FI209" s="22"/>
      <c r="FJ209" s="22"/>
      <c r="FK209" s="22"/>
      <c r="FL209" s="22"/>
      <c r="FM209" s="22"/>
      <c r="FN209" s="22"/>
      <c r="FO209" s="22"/>
      <c r="FP209" s="22"/>
      <c r="FQ209" s="22"/>
      <c r="FR209" s="22"/>
      <c r="FS209" s="22"/>
      <c r="FT209" s="22"/>
      <c r="FU209" s="22"/>
      <c r="FV209" s="22"/>
      <c r="FW209" s="22"/>
      <c r="FX209" s="22"/>
      <c r="FY209" s="22"/>
      <c r="FZ209" s="22"/>
      <c r="GA209" s="22"/>
      <c r="GB209" s="22"/>
      <c r="GC209" s="22"/>
      <c r="GD209" s="22"/>
      <c r="GE209" s="22"/>
      <c r="GF209" s="22"/>
      <c r="GG209" s="22"/>
      <c r="GH209" s="22"/>
      <c r="GI209" s="22"/>
      <c r="GJ209" s="22"/>
      <c r="GK209" s="22"/>
      <c r="GL209" s="22"/>
      <c r="GM209" s="22"/>
      <c r="GN209" s="22"/>
      <c r="GO209" s="22"/>
      <c r="GP209" s="22"/>
      <c r="GQ209" s="22"/>
    </row>
    <row r="210" spans="3:224" s="2" customFormat="1" ht="20.100000000000001" customHeight="1">
      <c r="C210" s="10">
        <v>40030634</v>
      </c>
      <c r="D210" s="15" t="s">
        <v>242</v>
      </c>
      <c r="E210" s="12">
        <v>0</v>
      </c>
      <c r="F210" s="15">
        <v>1514</v>
      </c>
      <c r="G210" s="12">
        <v>1</v>
      </c>
      <c r="H210" s="12">
        <v>60</v>
      </c>
      <c r="I210" s="12">
        <v>0.3</v>
      </c>
      <c r="J210" s="16">
        <v>0</v>
      </c>
      <c r="K210" s="16">
        <v>0</v>
      </c>
      <c r="L210" s="15">
        <v>0</v>
      </c>
      <c r="M210" s="19">
        <v>110</v>
      </c>
      <c r="N210" s="19">
        <v>320</v>
      </c>
      <c r="O210" s="17">
        <v>0</v>
      </c>
      <c r="P210" s="17">
        <v>0</v>
      </c>
      <c r="Q210" s="19">
        <v>50</v>
      </c>
      <c r="R210" s="19">
        <v>90</v>
      </c>
      <c r="S210" s="15">
        <v>50</v>
      </c>
      <c r="T210" s="15">
        <v>90</v>
      </c>
      <c r="U210" s="18">
        <v>0</v>
      </c>
      <c r="V210" s="18">
        <v>0</v>
      </c>
      <c r="W210" s="18">
        <v>0</v>
      </c>
      <c r="X210" s="18">
        <v>0</v>
      </c>
      <c r="Y210" s="18">
        <v>0</v>
      </c>
      <c r="Z210" s="18">
        <v>0</v>
      </c>
      <c r="AA210" s="18">
        <v>0</v>
      </c>
      <c r="AB210" s="16">
        <v>0</v>
      </c>
      <c r="AC210" s="16">
        <v>0</v>
      </c>
      <c r="AD210" s="16">
        <v>0</v>
      </c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  <c r="BM210" s="22"/>
      <c r="BN210" s="22"/>
      <c r="BO210" s="22"/>
      <c r="BP210" s="22"/>
      <c r="BQ210" s="22"/>
      <c r="BR210" s="22"/>
      <c r="BS210" s="22"/>
      <c r="BT210" s="22"/>
      <c r="BU210" s="22"/>
      <c r="BV210" s="22"/>
      <c r="BW210" s="22"/>
      <c r="BX210" s="22"/>
      <c r="BY210" s="22"/>
      <c r="BZ210" s="22"/>
      <c r="CA210" s="22"/>
      <c r="CB210" s="22"/>
      <c r="CC210" s="22"/>
      <c r="CD210" s="22"/>
      <c r="CE210" s="22"/>
      <c r="CF210" s="22"/>
      <c r="CG210" s="22"/>
      <c r="CH210" s="22"/>
      <c r="CI210" s="22"/>
      <c r="CJ210" s="22"/>
      <c r="CK210" s="22"/>
      <c r="CL210" s="22"/>
      <c r="CM210" s="22"/>
      <c r="CN210" s="22"/>
      <c r="CO210" s="22"/>
      <c r="CP210" s="22"/>
      <c r="CQ210" s="22"/>
      <c r="CR210" s="22"/>
      <c r="CS210" s="22"/>
      <c r="CT210" s="22"/>
      <c r="CU210" s="22"/>
      <c r="CV210" s="22"/>
      <c r="CW210" s="22"/>
      <c r="CX210" s="22"/>
      <c r="CY210" s="22"/>
      <c r="CZ210" s="22"/>
      <c r="DA210" s="22"/>
      <c r="DB210" s="22"/>
      <c r="DC210" s="22"/>
      <c r="DD210" s="22"/>
      <c r="DE210" s="22"/>
      <c r="DF210" s="22"/>
      <c r="DG210" s="22"/>
      <c r="DH210" s="22"/>
      <c r="DI210" s="22"/>
      <c r="DJ210" s="22"/>
      <c r="DK210" s="22"/>
      <c r="DL210" s="22"/>
      <c r="DM210" s="22"/>
      <c r="DN210" s="22"/>
      <c r="DO210" s="22"/>
      <c r="DP210" s="22"/>
      <c r="DQ210" s="22"/>
      <c r="DR210" s="22"/>
      <c r="DS210" s="22"/>
      <c r="DT210" s="22"/>
      <c r="DU210" s="22"/>
      <c r="DV210" s="22"/>
      <c r="DW210" s="22"/>
      <c r="DX210" s="22"/>
      <c r="DY210" s="22"/>
      <c r="DZ210" s="22"/>
      <c r="EA210" s="22"/>
      <c r="EB210" s="22"/>
      <c r="EC210" s="22"/>
      <c r="ED210" s="22"/>
      <c r="EE210" s="22"/>
      <c r="EF210" s="22"/>
      <c r="EG210" s="22"/>
      <c r="EH210" s="22"/>
      <c r="EI210" s="22"/>
      <c r="EJ210" s="22"/>
      <c r="EK210" s="22"/>
      <c r="EL210" s="22"/>
      <c r="EM210" s="22"/>
      <c r="EN210" s="22"/>
      <c r="EO210" s="22"/>
      <c r="EP210" s="22"/>
      <c r="EQ210" s="22"/>
      <c r="ER210" s="22"/>
      <c r="ES210" s="22"/>
      <c r="ET210" s="22"/>
      <c r="EU210" s="22"/>
      <c r="EV210" s="22"/>
      <c r="EW210" s="22"/>
      <c r="EX210" s="22"/>
      <c r="EY210" s="22"/>
      <c r="EZ210" s="22"/>
      <c r="FA210" s="22"/>
      <c r="FB210" s="22"/>
      <c r="FC210" s="22"/>
      <c r="FD210" s="22"/>
      <c r="FE210" s="22"/>
      <c r="FF210" s="22"/>
      <c r="FG210" s="22"/>
      <c r="FH210" s="22"/>
      <c r="FI210" s="22"/>
      <c r="FJ210" s="22"/>
      <c r="FK210" s="22"/>
      <c r="FL210" s="22"/>
      <c r="FM210" s="22"/>
      <c r="FN210" s="22"/>
      <c r="FO210" s="22"/>
      <c r="FP210" s="22"/>
      <c r="FQ210" s="22"/>
      <c r="FR210" s="22"/>
      <c r="FS210" s="22"/>
      <c r="FT210" s="22"/>
      <c r="FU210" s="22"/>
      <c r="FV210" s="22"/>
      <c r="FW210" s="22"/>
      <c r="FX210" s="22"/>
      <c r="FY210" s="22"/>
      <c r="FZ210" s="22"/>
      <c r="GA210" s="22"/>
      <c r="GB210" s="22"/>
      <c r="GC210" s="22"/>
      <c r="GD210" s="22"/>
      <c r="GE210" s="22"/>
      <c r="GF210" s="22"/>
      <c r="GG210" s="22"/>
      <c r="GH210" s="22"/>
      <c r="GI210" s="22"/>
      <c r="GJ210" s="22"/>
      <c r="GK210" s="22"/>
      <c r="GL210" s="22"/>
      <c r="GM210" s="22"/>
      <c r="GN210" s="22"/>
      <c r="GO210" s="22"/>
      <c r="GP210" s="22"/>
      <c r="GQ210" s="22"/>
    </row>
    <row r="211" spans="3:224" s="2" customFormat="1" ht="20.100000000000001" customHeight="1">
      <c r="C211" s="10">
        <v>40030635</v>
      </c>
      <c r="D211" s="15" t="s">
        <v>243</v>
      </c>
      <c r="E211" s="12">
        <v>0</v>
      </c>
      <c r="F211" s="15">
        <v>1514</v>
      </c>
      <c r="G211" s="12">
        <v>1</v>
      </c>
      <c r="H211" s="12">
        <v>60</v>
      </c>
      <c r="I211" s="12">
        <v>0.3</v>
      </c>
      <c r="J211" s="16">
        <v>0</v>
      </c>
      <c r="K211" s="16">
        <v>0</v>
      </c>
      <c r="L211" s="15">
        <v>0</v>
      </c>
      <c r="M211" s="19">
        <v>110</v>
      </c>
      <c r="N211" s="19">
        <v>620</v>
      </c>
      <c r="O211" s="17">
        <v>0</v>
      </c>
      <c r="P211" s="17">
        <v>0</v>
      </c>
      <c r="Q211" s="19">
        <v>50</v>
      </c>
      <c r="R211" s="19">
        <v>120</v>
      </c>
      <c r="S211" s="15">
        <v>0</v>
      </c>
      <c r="T211" s="15">
        <v>0</v>
      </c>
      <c r="U211" s="18">
        <v>0</v>
      </c>
      <c r="V211" s="18">
        <v>0</v>
      </c>
      <c r="W211" s="18">
        <v>0</v>
      </c>
      <c r="X211" s="18">
        <v>0</v>
      </c>
      <c r="Y211" s="18">
        <v>0</v>
      </c>
      <c r="Z211" s="18">
        <v>0</v>
      </c>
      <c r="AA211" s="18">
        <v>0</v>
      </c>
      <c r="AB211" s="16">
        <v>0</v>
      </c>
      <c r="AC211" s="16">
        <v>0</v>
      </c>
      <c r="AD211" s="16">
        <v>0</v>
      </c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  <c r="BM211" s="22"/>
      <c r="BN211" s="22"/>
      <c r="BO211" s="22"/>
      <c r="BP211" s="22"/>
      <c r="BQ211" s="22"/>
      <c r="BR211" s="22"/>
      <c r="BS211" s="22"/>
      <c r="BT211" s="22"/>
      <c r="BU211" s="22"/>
      <c r="BV211" s="22"/>
      <c r="BW211" s="22"/>
      <c r="BX211" s="22"/>
      <c r="BY211" s="22"/>
      <c r="BZ211" s="22"/>
      <c r="CA211" s="22"/>
      <c r="CB211" s="22"/>
      <c r="CC211" s="22"/>
      <c r="CD211" s="22"/>
      <c r="CE211" s="22"/>
      <c r="CF211" s="22"/>
      <c r="CG211" s="22"/>
      <c r="CH211" s="22"/>
      <c r="CI211" s="22"/>
      <c r="CJ211" s="22"/>
      <c r="CK211" s="22"/>
      <c r="CL211" s="22"/>
      <c r="CM211" s="22"/>
      <c r="CN211" s="22"/>
      <c r="CO211" s="22"/>
      <c r="CP211" s="22"/>
      <c r="CQ211" s="22"/>
      <c r="CR211" s="22"/>
      <c r="CS211" s="22"/>
      <c r="CT211" s="22"/>
      <c r="CU211" s="22"/>
      <c r="CV211" s="22"/>
      <c r="CW211" s="22"/>
      <c r="CX211" s="22"/>
      <c r="CY211" s="22"/>
      <c r="CZ211" s="22"/>
      <c r="DA211" s="22"/>
      <c r="DB211" s="22"/>
      <c r="DC211" s="22"/>
      <c r="DD211" s="22"/>
      <c r="DE211" s="22"/>
      <c r="DF211" s="22"/>
      <c r="DG211" s="22"/>
      <c r="DH211" s="22"/>
      <c r="DI211" s="22"/>
      <c r="DJ211" s="22"/>
      <c r="DK211" s="22"/>
      <c r="DL211" s="22"/>
      <c r="DM211" s="22"/>
      <c r="DN211" s="22"/>
      <c r="DO211" s="22"/>
      <c r="DP211" s="22"/>
      <c r="DQ211" s="22"/>
      <c r="DR211" s="22"/>
      <c r="DS211" s="22"/>
      <c r="DT211" s="22"/>
      <c r="DU211" s="22"/>
      <c r="DV211" s="22"/>
      <c r="DW211" s="22"/>
      <c r="DX211" s="22"/>
      <c r="DY211" s="22"/>
      <c r="DZ211" s="22"/>
      <c r="EA211" s="22"/>
      <c r="EB211" s="22"/>
      <c r="EC211" s="22"/>
      <c r="ED211" s="22"/>
      <c r="EE211" s="22"/>
      <c r="EF211" s="22"/>
      <c r="EG211" s="22"/>
      <c r="EH211" s="22"/>
      <c r="EI211" s="22"/>
      <c r="EJ211" s="22"/>
      <c r="EK211" s="22"/>
      <c r="EL211" s="22"/>
      <c r="EM211" s="22"/>
      <c r="EN211" s="22"/>
      <c r="EO211" s="22"/>
      <c r="EP211" s="22"/>
      <c r="EQ211" s="22"/>
      <c r="ER211" s="22"/>
      <c r="ES211" s="22"/>
      <c r="ET211" s="22"/>
      <c r="EU211" s="22"/>
      <c r="EV211" s="22"/>
      <c r="EW211" s="22"/>
      <c r="EX211" s="22"/>
      <c r="EY211" s="22"/>
      <c r="EZ211" s="22"/>
      <c r="FA211" s="22"/>
      <c r="FB211" s="22"/>
      <c r="FC211" s="22"/>
      <c r="FD211" s="22"/>
      <c r="FE211" s="22"/>
      <c r="FF211" s="22"/>
      <c r="FG211" s="22"/>
      <c r="FH211" s="22"/>
      <c r="FI211" s="22"/>
      <c r="FJ211" s="22"/>
      <c r="FK211" s="22"/>
      <c r="FL211" s="22"/>
      <c r="FM211" s="22"/>
      <c r="FN211" s="22"/>
      <c r="FO211" s="22"/>
      <c r="FP211" s="22"/>
      <c r="FQ211" s="22"/>
      <c r="FR211" s="22"/>
      <c r="FS211" s="22"/>
      <c r="FT211" s="22"/>
      <c r="FU211" s="22"/>
      <c r="FV211" s="22"/>
      <c r="FW211" s="22"/>
      <c r="FX211" s="22"/>
      <c r="FY211" s="22"/>
      <c r="FZ211" s="22"/>
      <c r="GA211" s="22"/>
      <c r="GB211" s="22"/>
      <c r="GC211" s="22"/>
      <c r="GD211" s="22"/>
      <c r="GE211" s="22"/>
      <c r="GF211" s="22"/>
      <c r="GG211" s="22"/>
      <c r="GH211" s="22"/>
      <c r="GI211" s="22"/>
      <c r="GJ211" s="22"/>
      <c r="GK211" s="22"/>
      <c r="GL211" s="22"/>
      <c r="GM211" s="22"/>
      <c r="GN211" s="22"/>
      <c r="GO211" s="22"/>
      <c r="GP211" s="22"/>
      <c r="GQ211" s="22"/>
    </row>
    <row r="212" spans="3:224" s="2" customFormat="1" ht="20.100000000000001" customHeight="1">
      <c r="C212" s="10">
        <v>40030636</v>
      </c>
      <c r="D212" s="15" t="s">
        <v>244</v>
      </c>
      <c r="E212" s="12">
        <v>0</v>
      </c>
      <c r="F212" s="15">
        <v>1516</v>
      </c>
      <c r="G212" s="12">
        <v>1</v>
      </c>
      <c r="H212" s="12">
        <v>60</v>
      </c>
      <c r="I212" s="12">
        <v>0.3</v>
      </c>
      <c r="J212" s="16">
        <v>0</v>
      </c>
      <c r="K212" s="16">
        <v>0</v>
      </c>
      <c r="L212" s="15">
        <v>0</v>
      </c>
      <c r="M212" s="19">
        <v>120</v>
      </c>
      <c r="N212" s="19">
        <v>480</v>
      </c>
      <c r="O212" s="17">
        <v>0</v>
      </c>
      <c r="P212" s="17">
        <v>0</v>
      </c>
      <c r="Q212" s="19">
        <v>0</v>
      </c>
      <c r="R212" s="19">
        <v>0</v>
      </c>
      <c r="S212" s="15">
        <v>30</v>
      </c>
      <c r="T212" s="15">
        <v>80</v>
      </c>
      <c r="U212" s="18">
        <v>0</v>
      </c>
      <c r="V212" s="18">
        <v>0</v>
      </c>
      <c r="W212" s="18">
        <v>0</v>
      </c>
      <c r="X212" s="18">
        <v>0</v>
      </c>
      <c r="Y212" s="18">
        <v>0</v>
      </c>
      <c r="Z212" s="18">
        <v>0</v>
      </c>
      <c r="AA212" s="18">
        <v>0</v>
      </c>
      <c r="AB212" s="16">
        <v>0</v>
      </c>
      <c r="AC212" s="16">
        <v>0</v>
      </c>
      <c r="AD212" s="16">
        <v>0</v>
      </c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  <c r="BM212" s="22"/>
      <c r="BN212" s="22"/>
      <c r="BO212" s="22"/>
      <c r="BP212" s="22"/>
      <c r="BQ212" s="22"/>
      <c r="BR212" s="22"/>
      <c r="BS212" s="22"/>
      <c r="BT212" s="22"/>
      <c r="BU212" s="22"/>
      <c r="BV212" s="22"/>
      <c r="BW212" s="22"/>
      <c r="BX212" s="22"/>
      <c r="BY212" s="22"/>
      <c r="BZ212" s="22"/>
      <c r="CA212" s="22"/>
      <c r="CB212" s="22"/>
      <c r="CC212" s="22"/>
      <c r="CD212" s="22"/>
      <c r="CE212" s="22"/>
      <c r="CF212" s="22"/>
      <c r="CG212" s="22"/>
      <c r="CH212" s="22"/>
      <c r="CI212" s="22"/>
      <c r="CJ212" s="22"/>
      <c r="CK212" s="22"/>
      <c r="CL212" s="22"/>
      <c r="CM212" s="22"/>
      <c r="CN212" s="22"/>
      <c r="CO212" s="22"/>
      <c r="CP212" s="22"/>
      <c r="CQ212" s="22"/>
      <c r="CR212" s="22"/>
      <c r="CS212" s="22"/>
      <c r="CT212" s="22"/>
      <c r="CU212" s="22"/>
      <c r="CV212" s="22"/>
      <c r="CW212" s="22"/>
      <c r="CX212" s="22"/>
      <c r="CY212" s="22"/>
      <c r="CZ212" s="22"/>
      <c r="DA212" s="22"/>
      <c r="DB212" s="22"/>
      <c r="DC212" s="22"/>
      <c r="DD212" s="22"/>
      <c r="DE212" s="22"/>
      <c r="DF212" s="22"/>
      <c r="DG212" s="22"/>
      <c r="DH212" s="22"/>
      <c r="DI212" s="22"/>
      <c r="DJ212" s="22"/>
      <c r="DK212" s="22"/>
      <c r="DL212" s="22"/>
      <c r="DM212" s="22"/>
      <c r="DN212" s="22"/>
      <c r="DO212" s="22"/>
      <c r="DP212" s="22"/>
      <c r="DQ212" s="22"/>
      <c r="DR212" s="22"/>
      <c r="DS212" s="22"/>
      <c r="DT212" s="22"/>
      <c r="DU212" s="22"/>
      <c r="DV212" s="22"/>
      <c r="DW212" s="22"/>
      <c r="DX212" s="22"/>
      <c r="DY212" s="22"/>
      <c r="DZ212" s="22"/>
      <c r="EA212" s="22"/>
      <c r="EB212" s="22"/>
      <c r="EC212" s="22"/>
      <c r="ED212" s="22"/>
      <c r="EE212" s="22"/>
      <c r="EF212" s="22"/>
      <c r="EG212" s="22"/>
      <c r="EH212" s="22"/>
      <c r="EI212" s="22"/>
      <c r="EJ212" s="22"/>
      <c r="EK212" s="22"/>
      <c r="EL212" s="22"/>
      <c r="EM212" s="22"/>
      <c r="EN212" s="22"/>
      <c r="EO212" s="22"/>
      <c r="EP212" s="22"/>
      <c r="EQ212" s="22"/>
      <c r="ER212" s="22"/>
      <c r="ES212" s="22"/>
      <c r="ET212" s="22"/>
      <c r="EU212" s="22"/>
      <c r="EV212" s="22"/>
      <c r="EW212" s="22"/>
      <c r="EX212" s="22"/>
      <c r="EY212" s="22"/>
      <c r="EZ212" s="22"/>
      <c r="FA212" s="22"/>
      <c r="FB212" s="22"/>
      <c r="FC212" s="22"/>
      <c r="FD212" s="22"/>
      <c r="FE212" s="22"/>
      <c r="FF212" s="22"/>
      <c r="FG212" s="22"/>
      <c r="FH212" s="22"/>
      <c r="FI212" s="22"/>
      <c r="FJ212" s="22"/>
      <c r="FK212" s="22"/>
      <c r="FL212" s="22"/>
      <c r="FM212" s="22"/>
      <c r="FN212" s="22"/>
      <c r="FO212" s="22"/>
      <c r="FP212" s="22"/>
      <c r="FQ212" s="22"/>
      <c r="FR212" s="22"/>
      <c r="FS212" s="22"/>
      <c r="FT212" s="22"/>
      <c r="FU212" s="22"/>
      <c r="FV212" s="22"/>
      <c r="FW212" s="22"/>
      <c r="FX212" s="22"/>
      <c r="FY212" s="22"/>
      <c r="FZ212" s="22"/>
      <c r="GA212" s="22"/>
      <c r="GB212" s="22"/>
      <c r="GC212" s="22"/>
      <c r="GD212" s="22"/>
      <c r="GE212" s="22"/>
      <c r="GF212" s="22"/>
      <c r="GG212" s="22"/>
      <c r="GH212" s="22"/>
      <c r="GI212" s="22"/>
      <c r="GJ212" s="22"/>
      <c r="GK212" s="22"/>
      <c r="GL212" s="22"/>
      <c r="GM212" s="22"/>
      <c r="GN212" s="22"/>
      <c r="GO212" s="22"/>
      <c r="GP212" s="22"/>
      <c r="GQ212" s="22"/>
    </row>
    <row r="213" spans="3:224" s="2" customFormat="1" ht="20.100000000000001" customHeight="1">
      <c r="C213" s="10">
        <v>40030637</v>
      </c>
      <c r="D213" s="15" t="s">
        <v>245</v>
      </c>
      <c r="E213" s="12">
        <v>0</v>
      </c>
      <c r="F213" s="15">
        <v>1516</v>
      </c>
      <c r="G213" s="12">
        <v>1</v>
      </c>
      <c r="H213" s="12">
        <v>60</v>
      </c>
      <c r="I213" s="12">
        <v>0.3</v>
      </c>
      <c r="J213" s="16">
        <v>0</v>
      </c>
      <c r="K213" s="16">
        <v>0</v>
      </c>
      <c r="L213" s="15">
        <v>0</v>
      </c>
      <c r="M213" s="19">
        <v>0</v>
      </c>
      <c r="N213" s="19">
        <v>60</v>
      </c>
      <c r="O213" s="17">
        <v>0</v>
      </c>
      <c r="P213" s="17">
        <v>0</v>
      </c>
      <c r="Q213" s="19">
        <v>0</v>
      </c>
      <c r="R213" s="19">
        <v>60</v>
      </c>
      <c r="S213" s="15">
        <v>0</v>
      </c>
      <c r="T213" s="15">
        <v>60</v>
      </c>
      <c r="U213" s="18">
        <v>0</v>
      </c>
      <c r="V213" s="18">
        <v>0</v>
      </c>
      <c r="W213" s="18">
        <v>0</v>
      </c>
      <c r="X213" s="18">
        <v>0</v>
      </c>
      <c r="Y213" s="18">
        <v>0</v>
      </c>
      <c r="Z213" s="18">
        <v>0</v>
      </c>
      <c r="AA213" s="18">
        <v>0</v>
      </c>
      <c r="AB213" s="16">
        <v>0</v>
      </c>
      <c r="AC213" s="16">
        <v>0</v>
      </c>
      <c r="AD213" s="16">
        <v>0</v>
      </c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  <c r="BM213" s="22"/>
      <c r="BN213" s="22"/>
      <c r="BO213" s="22"/>
      <c r="BP213" s="22"/>
      <c r="BQ213" s="22"/>
      <c r="BR213" s="22"/>
      <c r="BS213" s="22"/>
      <c r="BT213" s="22"/>
      <c r="BU213" s="22"/>
      <c r="BV213" s="22"/>
      <c r="BW213" s="22"/>
      <c r="BX213" s="22"/>
      <c r="BY213" s="22"/>
      <c r="BZ213" s="22"/>
      <c r="CA213" s="22"/>
      <c r="CB213" s="22"/>
      <c r="CC213" s="22"/>
      <c r="CD213" s="22"/>
      <c r="CE213" s="22"/>
      <c r="CF213" s="22"/>
      <c r="CG213" s="22"/>
      <c r="CH213" s="22"/>
      <c r="CI213" s="22"/>
      <c r="CJ213" s="22"/>
      <c r="CK213" s="22"/>
      <c r="CL213" s="22"/>
      <c r="CM213" s="22"/>
      <c r="CN213" s="22"/>
      <c r="CO213" s="22"/>
      <c r="CP213" s="22"/>
      <c r="CQ213" s="22"/>
      <c r="CR213" s="22"/>
      <c r="CS213" s="22"/>
      <c r="CT213" s="22"/>
      <c r="CU213" s="22"/>
      <c r="CV213" s="22"/>
      <c r="CW213" s="22"/>
      <c r="CX213" s="22"/>
      <c r="CY213" s="22"/>
      <c r="CZ213" s="22"/>
      <c r="DA213" s="22"/>
      <c r="DB213" s="22"/>
      <c r="DC213" s="22"/>
      <c r="DD213" s="22"/>
      <c r="DE213" s="22"/>
      <c r="DF213" s="22"/>
      <c r="DG213" s="22"/>
      <c r="DH213" s="22"/>
      <c r="DI213" s="22"/>
      <c r="DJ213" s="22"/>
      <c r="DK213" s="22"/>
      <c r="DL213" s="22"/>
      <c r="DM213" s="22"/>
      <c r="DN213" s="22"/>
      <c r="DO213" s="22"/>
      <c r="DP213" s="22"/>
      <c r="DQ213" s="22"/>
      <c r="DR213" s="22"/>
      <c r="DS213" s="22"/>
      <c r="DT213" s="22"/>
      <c r="DU213" s="22"/>
      <c r="DV213" s="22"/>
      <c r="DW213" s="22"/>
      <c r="DX213" s="22"/>
      <c r="DY213" s="22"/>
      <c r="DZ213" s="22"/>
      <c r="EA213" s="22"/>
      <c r="EB213" s="22"/>
      <c r="EC213" s="22"/>
      <c r="ED213" s="22"/>
      <c r="EE213" s="22"/>
      <c r="EF213" s="22"/>
      <c r="EG213" s="22"/>
      <c r="EH213" s="22"/>
      <c r="EI213" s="22"/>
      <c r="EJ213" s="22"/>
      <c r="EK213" s="22"/>
      <c r="EL213" s="22"/>
      <c r="EM213" s="22"/>
      <c r="EN213" s="22"/>
      <c r="EO213" s="22"/>
      <c r="EP213" s="22"/>
      <c r="EQ213" s="22"/>
      <c r="ER213" s="22"/>
      <c r="ES213" s="22"/>
      <c r="ET213" s="22"/>
      <c r="EU213" s="22"/>
      <c r="EV213" s="22"/>
      <c r="EW213" s="22"/>
      <c r="EX213" s="22"/>
      <c r="EY213" s="22"/>
      <c r="EZ213" s="22"/>
      <c r="FA213" s="22"/>
      <c r="FB213" s="22"/>
      <c r="FC213" s="22"/>
      <c r="FD213" s="22"/>
      <c r="FE213" s="22"/>
      <c r="FF213" s="22"/>
      <c r="FG213" s="22"/>
      <c r="FH213" s="22"/>
      <c r="FI213" s="22"/>
      <c r="FJ213" s="22"/>
      <c r="FK213" s="22"/>
      <c r="FL213" s="22"/>
      <c r="FM213" s="22"/>
      <c r="FN213" s="22"/>
      <c r="FO213" s="22"/>
      <c r="FP213" s="22"/>
      <c r="FQ213" s="22"/>
      <c r="FR213" s="22"/>
      <c r="FS213" s="22"/>
      <c r="FT213" s="22"/>
      <c r="FU213" s="22"/>
      <c r="FV213" s="22"/>
      <c r="FW213" s="22"/>
      <c r="FX213" s="22"/>
      <c r="FY213" s="22"/>
      <c r="FZ213" s="22"/>
      <c r="GA213" s="22"/>
      <c r="GB213" s="22"/>
      <c r="GC213" s="22"/>
      <c r="GD213" s="22"/>
      <c r="GE213" s="22"/>
      <c r="GF213" s="22"/>
      <c r="GG213" s="22"/>
      <c r="GH213" s="22"/>
      <c r="GI213" s="22"/>
      <c r="GJ213" s="22"/>
      <c r="GK213" s="22"/>
      <c r="GL213" s="22"/>
      <c r="GM213" s="22"/>
      <c r="GN213" s="22"/>
      <c r="GO213" s="22"/>
      <c r="GP213" s="22"/>
      <c r="GQ213" s="22"/>
    </row>
    <row r="214" spans="3:224" s="2" customFormat="1" ht="20.100000000000001" customHeight="1">
      <c r="C214" s="10">
        <v>40030638</v>
      </c>
      <c r="D214" s="15" t="s">
        <v>246</v>
      </c>
      <c r="E214" s="12">
        <v>0</v>
      </c>
      <c r="F214" s="15">
        <v>1516</v>
      </c>
      <c r="G214" s="12">
        <v>1</v>
      </c>
      <c r="H214" s="12">
        <v>60</v>
      </c>
      <c r="I214" s="12">
        <v>0.3</v>
      </c>
      <c r="J214" s="16">
        <v>0</v>
      </c>
      <c r="K214" s="16">
        <v>0</v>
      </c>
      <c r="L214" s="15">
        <v>5000</v>
      </c>
      <c r="M214" s="19">
        <v>0</v>
      </c>
      <c r="N214" s="19">
        <v>0</v>
      </c>
      <c r="O214" s="17">
        <v>0</v>
      </c>
      <c r="P214" s="17">
        <v>0</v>
      </c>
      <c r="Q214" s="19">
        <v>0</v>
      </c>
      <c r="R214" s="19">
        <v>0</v>
      </c>
      <c r="S214" s="15">
        <v>0</v>
      </c>
      <c r="T214" s="15">
        <v>0</v>
      </c>
      <c r="U214" s="18">
        <v>0</v>
      </c>
      <c r="V214" s="18">
        <v>0</v>
      </c>
      <c r="W214" s="18">
        <v>0</v>
      </c>
      <c r="X214" s="18">
        <v>0</v>
      </c>
      <c r="Y214" s="18">
        <v>0</v>
      </c>
      <c r="Z214" s="18">
        <v>0</v>
      </c>
      <c r="AA214" s="18">
        <v>0</v>
      </c>
      <c r="AB214" s="16">
        <v>0</v>
      </c>
      <c r="AC214" s="16">
        <v>0</v>
      </c>
      <c r="AD214" s="16">
        <v>0</v>
      </c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  <c r="BM214" s="22"/>
      <c r="BN214" s="22"/>
      <c r="BO214" s="22"/>
      <c r="BP214" s="22"/>
      <c r="BQ214" s="22"/>
      <c r="BR214" s="22"/>
      <c r="BS214" s="22"/>
      <c r="BT214" s="22"/>
      <c r="BU214" s="22"/>
      <c r="BV214" s="22"/>
      <c r="BW214" s="22"/>
      <c r="BX214" s="22"/>
      <c r="BY214" s="22"/>
      <c r="BZ214" s="22"/>
      <c r="CA214" s="22"/>
      <c r="CB214" s="22"/>
      <c r="CC214" s="22"/>
      <c r="CD214" s="22"/>
      <c r="CE214" s="22"/>
      <c r="CF214" s="22"/>
      <c r="CG214" s="22"/>
      <c r="CH214" s="22"/>
      <c r="CI214" s="22"/>
      <c r="CJ214" s="22"/>
      <c r="CK214" s="22"/>
      <c r="CL214" s="22"/>
      <c r="CM214" s="22"/>
      <c r="CN214" s="22"/>
      <c r="CO214" s="22"/>
      <c r="CP214" s="22"/>
      <c r="CQ214" s="22"/>
      <c r="CR214" s="22"/>
      <c r="CS214" s="22"/>
      <c r="CT214" s="22"/>
      <c r="CU214" s="22"/>
      <c r="CV214" s="22"/>
      <c r="CW214" s="22"/>
      <c r="CX214" s="22"/>
      <c r="CY214" s="22"/>
      <c r="CZ214" s="22"/>
      <c r="DA214" s="22"/>
      <c r="DB214" s="22"/>
      <c r="DC214" s="22"/>
      <c r="DD214" s="22"/>
      <c r="DE214" s="22"/>
      <c r="DF214" s="22"/>
      <c r="DG214" s="22"/>
      <c r="DH214" s="22"/>
      <c r="DI214" s="22"/>
      <c r="DJ214" s="22"/>
      <c r="DK214" s="22"/>
      <c r="DL214" s="22"/>
      <c r="DM214" s="22"/>
      <c r="DN214" s="22"/>
      <c r="DO214" s="22"/>
      <c r="DP214" s="22"/>
      <c r="DQ214" s="22"/>
      <c r="DR214" s="22"/>
      <c r="DS214" s="22"/>
      <c r="DT214" s="22"/>
      <c r="DU214" s="22"/>
      <c r="DV214" s="22"/>
      <c r="DW214" s="22"/>
      <c r="DX214" s="22"/>
      <c r="DY214" s="22"/>
      <c r="DZ214" s="22"/>
      <c r="EA214" s="22"/>
      <c r="EB214" s="22"/>
      <c r="EC214" s="22"/>
      <c r="ED214" s="22"/>
      <c r="EE214" s="22"/>
      <c r="EF214" s="22"/>
      <c r="EG214" s="22"/>
      <c r="EH214" s="22"/>
      <c r="EI214" s="22"/>
      <c r="EJ214" s="22"/>
      <c r="EK214" s="22"/>
      <c r="EL214" s="22"/>
      <c r="EM214" s="22"/>
      <c r="EN214" s="22"/>
      <c r="EO214" s="22"/>
      <c r="EP214" s="22"/>
      <c r="EQ214" s="22"/>
      <c r="ER214" s="22"/>
      <c r="ES214" s="22"/>
      <c r="ET214" s="22"/>
      <c r="EU214" s="22"/>
      <c r="EV214" s="22"/>
      <c r="EW214" s="22"/>
      <c r="EX214" s="22"/>
      <c r="EY214" s="22"/>
      <c r="EZ214" s="22"/>
      <c r="FA214" s="22"/>
      <c r="FB214" s="22"/>
      <c r="FC214" s="22"/>
      <c r="FD214" s="22"/>
      <c r="FE214" s="22"/>
      <c r="FF214" s="22"/>
      <c r="FG214" s="22"/>
      <c r="FH214" s="22"/>
      <c r="FI214" s="22"/>
      <c r="FJ214" s="22"/>
      <c r="FK214" s="22"/>
      <c r="FL214" s="22"/>
      <c r="FM214" s="22"/>
      <c r="FN214" s="22"/>
      <c r="FO214" s="22"/>
      <c r="FP214" s="22"/>
      <c r="FQ214" s="22"/>
      <c r="FR214" s="22"/>
      <c r="FS214" s="22"/>
      <c r="FT214" s="22"/>
      <c r="FU214" s="22"/>
      <c r="FV214" s="22"/>
      <c r="FW214" s="22"/>
      <c r="FX214" s="22"/>
      <c r="FY214" s="22"/>
      <c r="FZ214" s="22"/>
      <c r="GA214" s="22"/>
      <c r="GB214" s="22"/>
      <c r="GC214" s="22"/>
      <c r="GD214" s="22"/>
      <c r="GE214" s="22"/>
      <c r="GF214" s="22"/>
      <c r="GG214" s="22"/>
      <c r="GH214" s="22"/>
      <c r="GI214" s="22"/>
      <c r="GJ214" s="22"/>
      <c r="GK214" s="22"/>
      <c r="GL214" s="22"/>
      <c r="GM214" s="22"/>
      <c r="GN214" s="22"/>
      <c r="GO214" s="22"/>
      <c r="GP214" s="22"/>
      <c r="GQ214" s="22"/>
    </row>
    <row r="215" spans="3:224" s="2" customFormat="1" ht="20.100000000000001" customHeight="1">
      <c r="C215" s="10">
        <v>40030639</v>
      </c>
      <c r="D215" s="15" t="s">
        <v>247</v>
      </c>
      <c r="E215" s="12">
        <v>0</v>
      </c>
      <c r="F215" s="15">
        <v>1514</v>
      </c>
      <c r="G215" s="12">
        <v>1</v>
      </c>
      <c r="H215" s="12">
        <v>60</v>
      </c>
      <c r="I215" s="12">
        <v>0.3</v>
      </c>
      <c r="J215" s="16">
        <v>0</v>
      </c>
      <c r="K215" s="16">
        <v>0</v>
      </c>
      <c r="L215" s="15">
        <v>0</v>
      </c>
      <c r="M215" s="19">
        <v>230</v>
      </c>
      <c r="N215" s="19">
        <v>1880</v>
      </c>
      <c r="O215" s="17">
        <v>0</v>
      </c>
      <c r="P215" s="17">
        <v>0</v>
      </c>
      <c r="Q215" s="19">
        <v>0</v>
      </c>
      <c r="R215" s="19">
        <v>0</v>
      </c>
      <c r="S215" s="15">
        <v>0</v>
      </c>
      <c r="T215" s="15">
        <v>0</v>
      </c>
      <c r="U215" s="18">
        <v>0</v>
      </c>
      <c r="V215" s="18">
        <v>0</v>
      </c>
      <c r="W215" s="18">
        <v>0</v>
      </c>
      <c r="X215" s="18">
        <v>0</v>
      </c>
      <c r="Y215" s="18">
        <v>0</v>
      </c>
      <c r="Z215" s="18">
        <v>0</v>
      </c>
      <c r="AA215" s="18">
        <v>0</v>
      </c>
      <c r="AB215" s="16">
        <v>0</v>
      </c>
      <c r="AC215" s="16">
        <v>0</v>
      </c>
      <c r="AD215" s="16">
        <v>0</v>
      </c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  <c r="BM215" s="22"/>
      <c r="BN215" s="22"/>
      <c r="BO215" s="22"/>
      <c r="BP215" s="22"/>
      <c r="BQ215" s="22"/>
      <c r="BR215" s="22"/>
      <c r="BS215" s="22"/>
      <c r="BT215" s="22"/>
      <c r="BU215" s="22"/>
      <c r="BV215" s="22"/>
      <c r="BW215" s="22"/>
      <c r="BX215" s="22"/>
      <c r="BY215" s="22"/>
      <c r="BZ215" s="22"/>
      <c r="CA215" s="22"/>
      <c r="CB215" s="22"/>
      <c r="CC215" s="22"/>
      <c r="CD215" s="22"/>
      <c r="CE215" s="22"/>
      <c r="CF215" s="22"/>
      <c r="CG215" s="22"/>
      <c r="CH215" s="22"/>
      <c r="CI215" s="22"/>
      <c r="CJ215" s="22"/>
      <c r="CK215" s="22"/>
      <c r="CL215" s="22"/>
      <c r="CM215" s="22"/>
      <c r="CN215" s="22"/>
      <c r="CO215" s="22"/>
      <c r="CP215" s="22"/>
      <c r="CQ215" s="22"/>
      <c r="CR215" s="22"/>
      <c r="CS215" s="22"/>
      <c r="CT215" s="22"/>
      <c r="CU215" s="22"/>
      <c r="CV215" s="22"/>
      <c r="CW215" s="22"/>
      <c r="CX215" s="22"/>
      <c r="CY215" s="22"/>
      <c r="CZ215" s="22"/>
      <c r="DA215" s="22"/>
      <c r="DB215" s="22"/>
      <c r="DC215" s="22"/>
      <c r="DD215" s="22"/>
      <c r="DE215" s="22"/>
      <c r="DF215" s="22"/>
      <c r="DG215" s="22"/>
      <c r="DH215" s="22"/>
      <c r="DI215" s="22"/>
      <c r="DJ215" s="22"/>
      <c r="DK215" s="22"/>
      <c r="DL215" s="22"/>
      <c r="DM215" s="22"/>
      <c r="DN215" s="22"/>
      <c r="DO215" s="22"/>
      <c r="DP215" s="22"/>
      <c r="DQ215" s="22"/>
      <c r="DR215" s="22"/>
      <c r="DS215" s="22"/>
      <c r="DT215" s="22"/>
      <c r="DU215" s="22"/>
      <c r="DV215" s="22"/>
      <c r="DW215" s="22"/>
      <c r="DX215" s="22"/>
      <c r="DY215" s="22"/>
      <c r="DZ215" s="22"/>
      <c r="EA215" s="22"/>
      <c r="EB215" s="22"/>
      <c r="EC215" s="22"/>
      <c r="ED215" s="22"/>
      <c r="EE215" s="22"/>
      <c r="EF215" s="22"/>
      <c r="EG215" s="22"/>
      <c r="EH215" s="22"/>
      <c r="EI215" s="22"/>
      <c r="EJ215" s="22"/>
      <c r="EK215" s="22"/>
      <c r="EL215" s="22"/>
      <c r="EM215" s="22"/>
      <c r="EN215" s="22"/>
      <c r="EO215" s="22"/>
      <c r="EP215" s="22"/>
      <c r="EQ215" s="22"/>
      <c r="ER215" s="22"/>
      <c r="ES215" s="22"/>
      <c r="ET215" s="22"/>
      <c r="EU215" s="22"/>
      <c r="EV215" s="22"/>
      <c r="EW215" s="22"/>
      <c r="EX215" s="22"/>
      <c r="EY215" s="22"/>
      <c r="EZ215" s="22"/>
      <c r="FA215" s="22"/>
      <c r="FB215" s="22"/>
      <c r="FC215" s="22"/>
      <c r="FD215" s="22"/>
      <c r="FE215" s="22"/>
      <c r="FF215" s="22"/>
      <c r="FG215" s="22"/>
      <c r="FH215" s="22"/>
      <c r="FI215" s="22"/>
      <c r="FJ215" s="22"/>
      <c r="FK215" s="22"/>
      <c r="FL215" s="22"/>
      <c r="FM215" s="22"/>
      <c r="FN215" s="22"/>
      <c r="FO215" s="22"/>
      <c r="FP215" s="22"/>
      <c r="FQ215" s="22"/>
      <c r="FR215" s="22"/>
      <c r="FS215" s="22"/>
      <c r="FT215" s="22"/>
      <c r="FU215" s="22"/>
      <c r="FV215" s="22"/>
      <c r="FW215" s="22"/>
      <c r="FX215" s="22"/>
      <c r="FY215" s="22"/>
      <c r="FZ215" s="22"/>
      <c r="GA215" s="22"/>
      <c r="GB215" s="22"/>
      <c r="GC215" s="22"/>
      <c r="GD215" s="22"/>
      <c r="GE215" s="22"/>
      <c r="GF215" s="22"/>
      <c r="GG215" s="22"/>
      <c r="GH215" s="22"/>
      <c r="GI215" s="22"/>
      <c r="GJ215" s="22"/>
      <c r="GK215" s="22"/>
      <c r="GL215" s="22"/>
      <c r="GM215" s="22"/>
      <c r="GN215" s="22"/>
      <c r="GO215" s="22"/>
      <c r="GP215" s="22"/>
      <c r="GQ215" s="22"/>
    </row>
    <row r="216" spans="3:224" s="2" customFormat="1" ht="20.100000000000001" customHeight="1">
      <c r="C216" s="10">
        <v>40030640</v>
      </c>
      <c r="D216" s="15" t="s">
        <v>248</v>
      </c>
      <c r="E216" s="12">
        <v>0</v>
      </c>
      <c r="F216" s="15">
        <v>1514</v>
      </c>
      <c r="G216" s="12">
        <v>1</v>
      </c>
      <c r="H216" s="12">
        <v>60</v>
      </c>
      <c r="I216" s="12">
        <v>0.3</v>
      </c>
      <c r="J216" s="16">
        <v>0</v>
      </c>
      <c r="K216" s="16">
        <v>0</v>
      </c>
      <c r="L216" s="15">
        <v>2100</v>
      </c>
      <c r="M216" s="19">
        <v>0</v>
      </c>
      <c r="N216" s="19">
        <v>0</v>
      </c>
      <c r="O216" s="17">
        <v>0</v>
      </c>
      <c r="P216" s="17">
        <v>0</v>
      </c>
      <c r="Q216" s="19">
        <v>120</v>
      </c>
      <c r="R216" s="19">
        <v>270</v>
      </c>
      <c r="S216" s="15">
        <v>90</v>
      </c>
      <c r="T216" s="15">
        <v>240</v>
      </c>
      <c r="U216" s="18">
        <v>0</v>
      </c>
      <c r="V216" s="18">
        <v>0</v>
      </c>
      <c r="W216" s="18">
        <v>0</v>
      </c>
      <c r="X216" s="18">
        <v>0</v>
      </c>
      <c r="Y216" s="18">
        <v>0</v>
      </c>
      <c r="Z216" s="18">
        <v>0</v>
      </c>
      <c r="AA216" s="18">
        <v>0</v>
      </c>
      <c r="AB216" s="16">
        <v>0</v>
      </c>
      <c r="AC216" s="16">
        <v>0</v>
      </c>
      <c r="AD216" s="16">
        <v>0</v>
      </c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  <c r="BM216" s="22"/>
      <c r="BN216" s="22"/>
      <c r="BO216" s="22"/>
      <c r="BP216" s="22"/>
      <c r="BQ216" s="22"/>
      <c r="BR216" s="22"/>
      <c r="BS216" s="22"/>
      <c r="BT216" s="22"/>
      <c r="BU216" s="22"/>
      <c r="BV216" s="22"/>
      <c r="BW216" s="22"/>
      <c r="BX216" s="22"/>
      <c r="BY216" s="22"/>
      <c r="BZ216" s="22"/>
      <c r="CA216" s="22"/>
      <c r="CB216" s="22"/>
      <c r="CC216" s="22"/>
      <c r="CD216" s="22"/>
      <c r="CE216" s="22"/>
      <c r="CF216" s="22"/>
      <c r="CG216" s="22"/>
      <c r="CH216" s="22"/>
      <c r="CI216" s="22"/>
      <c r="CJ216" s="22"/>
      <c r="CK216" s="22"/>
      <c r="CL216" s="22"/>
      <c r="CM216" s="22"/>
      <c r="CN216" s="22"/>
      <c r="CO216" s="22"/>
      <c r="CP216" s="22"/>
      <c r="CQ216" s="22"/>
      <c r="CR216" s="22"/>
      <c r="CS216" s="22"/>
      <c r="CT216" s="22"/>
      <c r="CU216" s="22"/>
      <c r="CV216" s="22"/>
      <c r="CW216" s="22"/>
      <c r="CX216" s="22"/>
      <c r="CY216" s="22"/>
      <c r="CZ216" s="22"/>
      <c r="DA216" s="22"/>
      <c r="DB216" s="22"/>
      <c r="DC216" s="22"/>
      <c r="DD216" s="22"/>
      <c r="DE216" s="22"/>
      <c r="DF216" s="22"/>
      <c r="DG216" s="22"/>
      <c r="DH216" s="22"/>
      <c r="DI216" s="22"/>
      <c r="DJ216" s="22"/>
      <c r="DK216" s="22"/>
      <c r="DL216" s="22"/>
      <c r="DM216" s="22"/>
      <c r="DN216" s="22"/>
      <c r="DO216" s="22"/>
      <c r="DP216" s="22"/>
      <c r="DQ216" s="22"/>
      <c r="DR216" s="22"/>
      <c r="DS216" s="22"/>
      <c r="DT216" s="22"/>
      <c r="DU216" s="22"/>
      <c r="DV216" s="22"/>
      <c r="DW216" s="22"/>
      <c r="DX216" s="22"/>
      <c r="DY216" s="22"/>
      <c r="DZ216" s="22"/>
      <c r="EA216" s="22"/>
      <c r="EB216" s="22"/>
      <c r="EC216" s="22"/>
      <c r="ED216" s="22"/>
      <c r="EE216" s="22"/>
      <c r="EF216" s="22"/>
      <c r="EG216" s="22"/>
      <c r="EH216" s="22"/>
      <c r="EI216" s="22"/>
      <c r="EJ216" s="22"/>
      <c r="EK216" s="22"/>
      <c r="EL216" s="22"/>
      <c r="EM216" s="22"/>
      <c r="EN216" s="22"/>
      <c r="EO216" s="22"/>
      <c r="EP216" s="22"/>
      <c r="EQ216" s="22"/>
      <c r="ER216" s="22"/>
      <c r="ES216" s="22"/>
      <c r="ET216" s="22"/>
      <c r="EU216" s="22"/>
      <c r="EV216" s="22"/>
      <c r="EW216" s="22"/>
      <c r="EX216" s="22"/>
      <c r="EY216" s="22"/>
      <c r="EZ216" s="22"/>
      <c r="FA216" s="22"/>
      <c r="FB216" s="22"/>
      <c r="FC216" s="22"/>
      <c r="FD216" s="22"/>
      <c r="FE216" s="22"/>
      <c r="FF216" s="22"/>
      <c r="FG216" s="22"/>
      <c r="FH216" s="22"/>
      <c r="FI216" s="22"/>
      <c r="FJ216" s="22"/>
      <c r="FK216" s="22"/>
      <c r="FL216" s="22"/>
      <c r="FM216" s="22"/>
      <c r="FN216" s="22"/>
      <c r="FO216" s="22"/>
      <c r="FP216" s="22"/>
      <c r="FQ216" s="22"/>
      <c r="FR216" s="22"/>
      <c r="FS216" s="22"/>
      <c r="FT216" s="22"/>
      <c r="FU216" s="22"/>
      <c r="FV216" s="22"/>
      <c r="FW216" s="22"/>
      <c r="FX216" s="22"/>
      <c r="FY216" s="22"/>
      <c r="FZ216" s="22"/>
      <c r="GA216" s="22"/>
      <c r="GB216" s="22"/>
      <c r="GC216" s="22"/>
      <c r="GD216" s="22"/>
      <c r="GE216" s="22"/>
      <c r="GF216" s="22"/>
      <c r="GG216" s="22"/>
      <c r="GH216" s="22"/>
      <c r="GI216" s="22"/>
      <c r="GJ216" s="22"/>
      <c r="GK216" s="22"/>
      <c r="GL216" s="22"/>
      <c r="GM216" s="22"/>
      <c r="GN216" s="22"/>
      <c r="GO216" s="22"/>
      <c r="GP216" s="22"/>
      <c r="GQ216" s="22"/>
    </row>
    <row r="217" spans="3:224" ht="20.100000000000001" customHeight="1">
      <c r="C217" s="24">
        <v>10090101</v>
      </c>
      <c r="D217" s="24" t="s">
        <v>249</v>
      </c>
      <c r="E217" s="25">
        <v>11200003</v>
      </c>
      <c r="F217" s="25">
        <v>0</v>
      </c>
      <c r="G217" s="25">
        <v>1</v>
      </c>
      <c r="H217" s="25">
        <v>20</v>
      </c>
      <c r="I217" s="29">
        <v>0.2</v>
      </c>
      <c r="J217" s="30">
        <v>5</v>
      </c>
      <c r="K217" s="25">
        <v>0</v>
      </c>
      <c r="L217" s="25">
        <v>0</v>
      </c>
      <c r="M217" s="25">
        <v>0</v>
      </c>
      <c r="N217" s="25">
        <v>0</v>
      </c>
      <c r="O217" s="25">
        <v>0</v>
      </c>
      <c r="P217" s="25">
        <v>0</v>
      </c>
      <c r="Q217" s="25">
        <v>0</v>
      </c>
      <c r="R217" s="25">
        <v>0</v>
      </c>
      <c r="S217" s="25">
        <v>0</v>
      </c>
      <c r="T217" s="25">
        <v>0</v>
      </c>
      <c r="U217" s="29">
        <v>0</v>
      </c>
      <c r="V217" s="25">
        <v>0</v>
      </c>
      <c r="W217" s="25">
        <v>0</v>
      </c>
      <c r="X217" s="25">
        <v>0</v>
      </c>
      <c r="Y217" s="29">
        <v>0</v>
      </c>
      <c r="Z217" s="29">
        <v>0</v>
      </c>
      <c r="AA217" s="29">
        <v>0</v>
      </c>
      <c r="AB217" s="50" t="s">
        <v>250</v>
      </c>
      <c r="AC217" s="29" t="s">
        <v>251</v>
      </c>
      <c r="AD217" s="29" t="s">
        <v>252</v>
      </c>
      <c r="GR217" s="5"/>
      <c r="GS217" s="5"/>
      <c r="GT217" s="5"/>
      <c r="GU217" s="5"/>
      <c r="GV217" s="5"/>
      <c r="GW217" s="5"/>
      <c r="GX217" s="5"/>
      <c r="GY217" s="5"/>
      <c r="GZ217" s="5"/>
      <c r="HA217" s="5"/>
      <c r="HB217" s="5"/>
      <c r="HC217" s="5"/>
      <c r="HD217" s="5"/>
      <c r="HE217" s="5"/>
      <c r="HF217" s="5"/>
      <c r="HG217" s="5"/>
      <c r="HH217" s="5"/>
      <c r="HI217" s="5"/>
      <c r="HJ217" s="5"/>
      <c r="HK217" s="5"/>
      <c r="HL217" s="5"/>
      <c r="HM217" s="5"/>
      <c r="HN217" s="5"/>
      <c r="HO217" s="5"/>
      <c r="HP217" s="5"/>
    </row>
    <row r="218" spans="3:224" ht="20.100000000000001" customHeight="1">
      <c r="C218" s="24">
        <v>10090102</v>
      </c>
      <c r="D218" s="24" t="s">
        <v>253</v>
      </c>
      <c r="E218" s="25">
        <v>11200003</v>
      </c>
      <c r="F218" s="25">
        <v>0</v>
      </c>
      <c r="G218" s="25">
        <v>1</v>
      </c>
      <c r="H218" s="25">
        <v>20</v>
      </c>
      <c r="I218" s="29">
        <v>0.2</v>
      </c>
      <c r="J218" s="30">
        <v>5</v>
      </c>
      <c r="K218" s="25">
        <v>0</v>
      </c>
      <c r="L218" s="25">
        <v>0</v>
      </c>
      <c r="M218" s="25">
        <v>0</v>
      </c>
      <c r="N218" s="25">
        <v>0</v>
      </c>
      <c r="O218" s="25">
        <v>0</v>
      </c>
      <c r="P218" s="25">
        <v>0</v>
      </c>
      <c r="Q218" s="25">
        <v>0</v>
      </c>
      <c r="R218" s="25">
        <v>0</v>
      </c>
      <c r="S218" s="25">
        <v>0</v>
      </c>
      <c r="T218" s="25">
        <v>0</v>
      </c>
      <c r="U218" s="29">
        <v>0</v>
      </c>
      <c r="V218" s="25">
        <v>0</v>
      </c>
      <c r="W218" s="25">
        <v>0</v>
      </c>
      <c r="X218" s="25">
        <v>0</v>
      </c>
      <c r="Y218" s="29">
        <v>0</v>
      </c>
      <c r="Z218" s="29">
        <v>0</v>
      </c>
      <c r="AA218" s="29">
        <v>0</v>
      </c>
      <c r="AB218" s="50" t="s">
        <v>254</v>
      </c>
      <c r="AC218" s="29" t="s">
        <v>251</v>
      </c>
      <c r="AD218" s="29" t="s">
        <v>252</v>
      </c>
      <c r="GR218" s="5"/>
      <c r="GS218" s="5"/>
      <c r="GT218" s="5"/>
      <c r="GU218" s="5"/>
      <c r="GV218" s="5"/>
      <c r="GW218" s="5"/>
      <c r="GX218" s="5"/>
      <c r="GY218" s="5"/>
      <c r="GZ218" s="5"/>
      <c r="HA218" s="5"/>
      <c r="HB218" s="5"/>
      <c r="HC218" s="5"/>
      <c r="HD218" s="5"/>
      <c r="HE218" s="5"/>
      <c r="HF218" s="5"/>
      <c r="HG218" s="5"/>
      <c r="HH218" s="5"/>
      <c r="HI218" s="5"/>
      <c r="HJ218" s="5"/>
      <c r="HK218" s="5"/>
      <c r="HL218" s="5"/>
      <c r="HM218" s="5"/>
      <c r="HN218" s="5"/>
      <c r="HO218" s="5"/>
      <c r="HP218" s="5"/>
    </row>
    <row r="219" spans="3:224" ht="20.100000000000001" customHeight="1">
      <c r="C219" s="24">
        <v>10090201</v>
      </c>
      <c r="D219" s="24" t="s">
        <v>255</v>
      </c>
      <c r="E219" s="25">
        <v>11200003</v>
      </c>
      <c r="F219" s="25">
        <v>0</v>
      </c>
      <c r="G219" s="25">
        <v>1</v>
      </c>
      <c r="H219" s="25">
        <v>20</v>
      </c>
      <c r="I219" s="29">
        <v>0.2</v>
      </c>
      <c r="J219" s="30">
        <v>5</v>
      </c>
      <c r="K219" s="25">
        <v>0</v>
      </c>
      <c r="L219" s="25">
        <v>0</v>
      </c>
      <c r="M219" s="25">
        <v>0</v>
      </c>
      <c r="N219" s="25">
        <v>0</v>
      </c>
      <c r="O219" s="25">
        <v>0</v>
      </c>
      <c r="P219" s="25">
        <v>0</v>
      </c>
      <c r="Q219" s="25">
        <v>0</v>
      </c>
      <c r="R219" s="25">
        <v>0</v>
      </c>
      <c r="S219" s="25">
        <v>0</v>
      </c>
      <c r="T219" s="25">
        <v>0</v>
      </c>
      <c r="U219" s="29">
        <v>0</v>
      </c>
      <c r="V219" s="25">
        <v>0</v>
      </c>
      <c r="W219" s="25">
        <v>0</v>
      </c>
      <c r="X219" s="25">
        <v>0</v>
      </c>
      <c r="Y219" s="29">
        <v>0</v>
      </c>
      <c r="Z219" s="29">
        <v>0</v>
      </c>
      <c r="AA219" s="29">
        <v>0</v>
      </c>
      <c r="AB219" s="50" t="s">
        <v>250</v>
      </c>
      <c r="AC219" s="29" t="s">
        <v>256</v>
      </c>
      <c r="AD219" s="29" t="s">
        <v>252</v>
      </c>
      <c r="GR219" s="5"/>
      <c r="GS219" s="5"/>
      <c r="GT219" s="5"/>
      <c r="GU219" s="5"/>
      <c r="GV219" s="5"/>
      <c r="GW219" s="5"/>
      <c r="GX219" s="5"/>
      <c r="GY219" s="5"/>
      <c r="GZ219" s="5"/>
      <c r="HA219" s="5"/>
      <c r="HB219" s="5"/>
      <c r="HC219" s="5"/>
      <c r="HD219" s="5"/>
      <c r="HE219" s="5"/>
      <c r="HF219" s="5"/>
      <c r="HG219" s="5"/>
      <c r="HH219" s="5"/>
      <c r="HI219" s="5"/>
      <c r="HJ219" s="5"/>
      <c r="HK219" s="5"/>
      <c r="HL219" s="5"/>
      <c r="HM219" s="5"/>
      <c r="HN219" s="5"/>
      <c r="HO219" s="5"/>
      <c r="HP219" s="5"/>
    </row>
    <row r="220" spans="3:224" ht="20.100000000000001" customHeight="1">
      <c r="C220" s="24">
        <v>10090202</v>
      </c>
      <c r="D220" s="24" t="s">
        <v>257</v>
      </c>
      <c r="E220" s="25">
        <v>11200003</v>
      </c>
      <c r="F220" s="25">
        <v>0</v>
      </c>
      <c r="G220" s="25">
        <v>1</v>
      </c>
      <c r="H220" s="25">
        <v>20</v>
      </c>
      <c r="I220" s="29">
        <v>0.2</v>
      </c>
      <c r="J220" s="30">
        <v>5</v>
      </c>
      <c r="K220" s="25">
        <v>0</v>
      </c>
      <c r="L220" s="25">
        <v>0</v>
      </c>
      <c r="M220" s="25">
        <v>0</v>
      </c>
      <c r="N220" s="25">
        <v>0</v>
      </c>
      <c r="O220" s="25">
        <v>0</v>
      </c>
      <c r="P220" s="25">
        <v>0</v>
      </c>
      <c r="Q220" s="25">
        <v>0</v>
      </c>
      <c r="R220" s="25">
        <v>0</v>
      </c>
      <c r="S220" s="25">
        <v>0</v>
      </c>
      <c r="T220" s="25">
        <v>0</v>
      </c>
      <c r="U220" s="29">
        <v>0</v>
      </c>
      <c r="V220" s="25">
        <v>0</v>
      </c>
      <c r="W220" s="25">
        <v>0</v>
      </c>
      <c r="X220" s="25">
        <v>0</v>
      </c>
      <c r="Y220" s="29">
        <v>0</v>
      </c>
      <c r="Z220" s="29">
        <v>0</v>
      </c>
      <c r="AA220" s="29">
        <v>0</v>
      </c>
      <c r="AB220" s="50" t="s">
        <v>254</v>
      </c>
      <c r="AC220" s="29" t="s">
        <v>256</v>
      </c>
      <c r="AD220" s="29" t="s">
        <v>252</v>
      </c>
      <c r="GR220" s="5"/>
      <c r="GS220" s="5"/>
      <c r="GT220" s="5"/>
      <c r="GU220" s="5"/>
      <c r="GV220" s="5"/>
      <c r="GW220" s="5"/>
      <c r="GX220" s="5"/>
      <c r="GY220" s="5"/>
      <c r="GZ220" s="5"/>
      <c r="HA220" s="5"/>
      <c r="HB220" s="5"/>
      <c r="HC220" s="5"/>
      <c r="HD220" s="5"/>
      <c r="HE220" s="5"/>
      <c r="HF220" s="5"/>
      <c r="HG220" s="5"/>
      <c r="HH220" s="5"/>
      <c r="HI220" s="5"/>
      <c r="HJ220" s="5"/>
      <c r="HK220" s="5"/>
      <c r="HL220" s="5"/>
      <c r="HM220" s="5"/>
      <c r="HN220" s="5"/>
      <c r="HO220" s="5"/>
      <c r="HP220" s="5"/>
    </row>
    <row r="221" spans="3:224" ht="20.100000000000001" customHeight="1">
      <c r="C221" s="24">
        <v>10090301</v>
      </c>
      <c r="D221" s="24" t="s">
        <v>258</v>
      </c>
      <c r="E221" s="25">
        <v>11200003</v>
      </c>
      <c r="F221" s="25">
        <v>0</v>
      </c>
      <c r="G221" s="25">
        <v>1</v>
      </c>
      <c r="H221" s="25">
        <v>20</v>
      </c>
      <c r="I221" s="29">
        <v>0.2</v>
      </c>
      <c r="J221" s="30">
        <v>5</v>
      </c>
      <c r="K221" s="25">
        <v>0</v>
      </c>
      <c r="L221" s="25">
        <v>0</v>
      </c>
      <c r="M221" s="25">
        <v>0</v>
      </c>
      <c r="N221" s="25">
        <v>0</v>
      </c>
      <c r="O221" s="25">
        <v>0</v>
      </c>
      <c r="P221" s="25">
        <v>0</v>
      </c>
      <c r="Q221" s="25">
        <v>0</v>
      </c>
      <c r="R221" s="25">
        <v>0</v>
      </c>
      <c r="S221" s="25">
        <v>0</v>
      </c>
      <c r="T221" s="25">
        <v>0</v>
      </c>
      <c r="U221" s="29">
        <v>0</v>
      </c>
      <c r="V221" s="25">
        <v>0</v>
      </c>
      <c r="W221" s="25">
        <v>0</v>
      </c>
      <c r="X221" s="25">
        <v>0</v>
      </c>
      <c r="Y221" s="29">
        <v>0</v>
      </c>
      <c r="Z221" s="29">
        <v>0</v>
      </c>
      <c r="AA221" s="29">
        <v>0</v>
      </c>
      <c r="AB221" s="50" t="s">
        <v>250</v>
      </c>
      <c r="AC221" s="29" t="s">
        <v>259</v>
      </c>
      <c r="AD221" s="29" t="s">
        <v>252</v>
      </c>
      <c r="GR221" s="5"/>
      <c r="GS221" s="5"/>
      <c r="GT221" s="5"/>
      <c r="GU221" s="5"/>
      <c r="GV221" s="5"/>
      <c r="GW221" s="5"/>
      <c r="GX221" s="5"/>
      <c r="GY221" s="5"/>
      <c r="GZ221" s="5"/>
      <c r="HA221" s="5"/>
      <c r="HB221" s="5"/>
      <c r="HC221" s="5"/>
      <c r="HD221" s="5"/>
      <c r="HE221" s="5"/>
      <c r="HF221" s="5"/>
      <c r="HG221" s="5"/>
      <c r="HH221" s="5"/>
      <c r="HI221" s="5"/>
      <c r="HJ221" s="5"/>
      <c r="HK221" s="5"/>
      <c r="HL221" s="5"/>
      <c r="HM221" s="5"/>
      <c r="HN221" s="5"/>
      <c r="HO221" s="5"/>
      <c r="HP221" s="5"/>
    </row>
    <row r="222" spans="3:224" ht="20.100000000000001" customHeight="1">
      <c r="C222" s="24">
        <v>10090302</v>
      </c>
      <c r="D222" s="24" t="s">
        <v>260</v>
      </c>
      <c r="E222" s="25">
        <v>11200003</v>
      </c>
      <c r="F222" s="25">
        <v>0</v>
      </c>
      <c r="G222" s="25">
        <v>1</v>
      </c>
      <c r="H222" s="25">
        <v>20</v>
      </c>
      <c r="I222" s="29">
        <v>0.2</v>
      </c>
      <c r="J222" s="30">
        <v>5</v>
      </c>
      <c r="K222" s="25">
        <v>0</v>
      </c>
      <c r="L222" s="25">
        <v>0</v>
      </c>
      <c r="M222" s="25">
        <v>0</v>
      </c>
      <c r="N222" s="25">
        <v>0</v>
      </c>
      <c r="O222" s="25">
        <v>0</v>
      </c>
      <c r="P222" s="25">
        <v>0</v>
      </c>
      <c r="Q222" s="25">
        <v>0</v>
      </c>
      <c r="R222" s="25">
        <v>0</v>
      </c>
      <c r="S222" s="25">
        <v>0</v>
      </c>
      <c r="T222" s="25">
        <v>0</v>
      </c>
      <c r="U222" s="29">
        <v>0</v>
      </c>
      <c r="V222" s="25">
        <v>0</v>
      </c>
      <c r="W222" s="25">
        <v>0</v>
      </c>
      <c r="X222" s="25">
        <v>0</v>
      </c>
      <c r="Y222" s="29">
        <v>0</v>
      </c>
      <c r="Z222" s="29">
        <v>0</v>
      </c>
      <c r="AA222" s="29">
        <v>0</v>
      </c>
      <c r="AB222" s="50" t="s">
        <v>254</v>
      </c>
      <c r="AC222" s="29" t="s">
        <v>259</v>
      </c>
      <c r="AD222" s="29" t="s">
        <v>252</v>
      </c>
      <c r="GR222" s="5"/>
      <c r="GS222" s="5"/>
      <c r="GT222" s="5"/>
      <c r="GU222" s="5"/>
      <c r="GV222" s="5"/>
      <c r="GW222" s="5"/>
      <c r="GX222" s="5"/>
      <c r="GY222" s="5"/>
      <c r="GZ222" s="5"/>
      <c r="HA222" s="5"/>
      <c r="HB222" s="5"/>
      <c r="HC222" s="5"/>
      <c r="HD222" s="5"/>
      <c r="HE222" s="5"/>
      <c r="HF222" s="5"/>
      <c r="HG222" s="5"/>
      <c r="HH222" s="5"/>
      <c r="HI222" s="5"/>
      <c r="HJ222" s="5"/>
      <c r="HK222" s="5"/>
      <c r="HL222" s="5"/>
      <c r="HM222" s="5"/>
      <c r="HN222" s="5"/>
      <c r="HO222" s="5"/>
      <c r="HP222" s="5"/>
    </row>
    <row r="223" spans="3:224" s="67" customFormat="1" ht="20.100000000000001" customHeight="1">
      <c r="C223" s="61">
        <v>14000001</v>
      </c>
      <c r="D223" s="69" t="s">
        <v>666</v>
      </c>
      <c r="E223" s="62">
        <v>11200001</v>
      </c>
      <c r="F223" s="62">
        <v>0</v>
      </c>
      <c r="G223" s="62">
        <v>1</v>
      </c>
      <c r="H223" s="62">
        <v>60</v>
      </c>
      <c r="I223" s="63">
        <v>0.2</v>
      </c>
      <c r="J223" s="64">
        <v>25</v>
      </c>
      <c r="K223" s="62">
        <v>0</v>
      </c>
      <c r="L223" s="62">
        <v>0</v>
      </c>
      <c r="M223" s="62">
        <v>520</v>
      </c>
      <c r="N223" s="62">
        <v>1050</v>
      </c>
      <c r="O223" s="62">
        <v>0</v>
      </c>
      <c r="P223" s="62">
        <v>0</v>
      </c>
      <c r="Q223" s="62">
        <f t="shared" ref="Q223:Q227" si="14">ROUND(R223/2,0)</f>
        <v>0</v>
      </c>
      <c r="R223" s="62">
        <v>0</v>
      </c>
      <c r="S223" s="62">
        <f t="shared" ref="S223:S227" si="15">ROUND(T223/2,0)</f>
        <v>0</v>
      </c>
      <c r="T223" s="62">
        <v>0</v>
      </c>
      <c r="U223" s="63">
        <v>0</v>
      </c>
      <c r="V223" s="62">
        <v>0</v>
      </c>
      <c r="W223" s="62">
        <v>0</v>
      </c>
      <c r="X223" s="62">
        <v>0</v>
      </c>
      <c r="Y223" s="63">
        <v>0</v>
      </c>
      <c r="Z223" s="63">
        <v>0</v>
      </c>
      <c r="AA223" s="63">
        <v>0</v>
      </c>
      <c r="AB223" s="63">
        <v>0</v>
      </c>
      <c r="AC223" s="63">
        <v>0</v>
      </c>
      <c r="AD223" s="63">
        <v>0</v>
      </c>
      <c r="AE223" s="65">
        <v>100009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66"/>
      <c r="BJ223" s="66"/>
      <c r="BK223" s="66"/>
      <c r="BL223" s="66"/>
      <c r="BM223" s="66"/>
      <c r="BN223" s="66"/>
      <c r="BO223" s="66"/>
      <c r="BP223" s="66"/>
      <c r="BQ223" s="66"/>
      <c r="BR223" s="66"/>
      <c r="BS223" s="66"/>
      <c r="BT223" s="66"/>
      <c r="BU223" s="66"/>
      <c r="BV223" s="66"/>
      <c r="BW223" s="66"/>
      <c r="BX223" s="66"/>
      <c r="BY223" s="66"/>
      <c r="BZ223" s="66"/>
      <c r="CA223" s="66"/>
      <c r="CB223" s="66"/>
      <c r="CC223" s="66"/>
      <c r="CD223" s="66"/>
      <c r="CE223" s="66"/>
      <c r="CF223" s="66"/>
      <c r="CG223" s="66"/>
      <c r="CH223" s="66"/>
      <c r="CI223" s="66"/>
      <c r="CJ223" s="66"/>
      <c r="CK223" s="66"/>
      <c r="CL223" s="66"/>
      <c r="CM223" s="66"/>
      <c r="CN223" s="66"/>
      <c r="CO223" s="66"/>
      <c r="CP223" s="66"/>
      <c r="CQ223" s="66"/>
      <c r="CR223" s="66"/>
      <c r="CS223" s="66"/>
      <c r="CT223" s="66"/>
      <c r="CU223" s="66"/>
      <c r="CV223" s="66"/>
      <c r="CW223" s="66"/>
      <c r="CX223" s="66"/>
      <c r="CY223" s="66"/>
      <c r="CZ223" s="66"/>
      <c r="DA223" s="66"/>
      <c r="DB223" s="66"/>
      <c r="DC223" s="66"/>
      <c r="DD223" s="66"/>
      <c r="DE223" s="66"/>
      <c r="DF223" s="66"/>
      <c r="DG223" s="66"/>
      <c r="DH223" s="66"/>
      <c r="DI223" s="66"/>
      <c r="DJ223" s="66"/>
      <c r="DK223" s="66"/>
      <c r="DL223" s="66"/>
      <c r="DM223" s="66"/>
      <c r="DN223" s="66"/>
      <c r="DO223" s="66"/>
      <c r="DP223" s="66"/>
      <c r="DQ223" s="66"/>
      <c r="DR223" s="66"/>
      <c r="DS223" s="66"/>
      <c r="DT223" s="66"/>
      <c r="DU223" s="66"/>
      <c r="DV223" s="66"/>
      <c r="DW223" s="66"/>
      <c r="DX223" s="66"/>
      <c r="DY223" s="66"/>
      <c r="DZ223" s="66"/>
      <c r="EA223" s="66"/>
      <c r="EB223" s="66"/>
      <c r="EC223" s="66"/>
      <c r="ED223" s="66"/>
      <c r="EE223" s="66"/>
      <c r="EF223" s="66"/>
      <c r="EG223" s="66"/>
      <c r="EH223" s="66"/>
      <c r="EI223" s="66"/>
      <c r="EJ223" s="66"/>
      <c r="EK223" s="66"/>
      <c r="EL223" s="66"/>
      <c r="EM223" s="66"/>
      <c r="EN223" s="66"/>
      <c r="EO223" s="66"/>
      <c r="EP223" s="66"/>
      <c r="EQ223" s="66"/>
      <c r="ER223" s="66"/>
      <c r="ES223" s="66"/>
      <c r="ET223" s="66"/>
      <c r="EU223" s="66"/>
      <c r="EV223" s="66"/>
      <c r="EW223" s="66"/>
      <c r="EX223" s="66"/>
      <c r="EY223" s="66"/>
      <c r="EZ223" s="66"/>
      <c r="FA223" s="66"/>
      <c r="FB223" s="66"/>
      <c r="FC223" s="66"/>
      <c r="FD223" s="66"/>
      <c r="FE223" s="66"/>
      <c r="FF223" s="66"/>
      <c r="FG223" s="66"/>
      <c r="FH223" s="66"/>
      <c r="FI223" s="66"/>
      <c r="FJ223" s="66"/>
      <c r="FK223" s="66"/>
      <c r="FL223" s="66"/>
      <c r="FM223" s="66"/>
      <c r="FN223" s="66"/>
      <c r="FO223" s="66"/>
      <c r="FP223" s="66"/>
      <c r="FQ223" s="66"/>
      <c r="FR223" s="66"/>
      <c r="FS223" s="66"/>
      <c r="FT223" s="66"/>
      <c r="FU223" s="66"/>
      <c r="FV223" s="66"/>
      <c r="FW223" s="66"/>
      <c r="FX223" s="66"/>
      <c r="FY223" s="66"/>
      <c r="FZ223" s="66"/>
      <c r="GA223" s="66"/>
      <c r="GB223" s="66"/>
      <c r="GC223" s="66"/>
      <c r="GD223" s="66"/>
      <c r="GE223" s="66"/>
      <c r="GF223" s="66"/>
      <c r="GG223" s="66"/>
      <c r="GH223" s="66"/>
      <c r="GI223" s="66"/>
      <c r="GJ223" s="66"/>
      <c r="GK223" s="66"/>
      <c r="GL223" s="66"/>
      <c r="GM223" s="66"/>
      <c r="GN223" s="66"/>
      <c r="GO223" s="66"/>
      <c r="GP223" s="66"/>
      <c r="GQ223" s="66"/>
      <c r="GR223" s="66"/>
      <c r="GS223" s="66"/>
      <c r="GT223" s="66"/>
      <c r="GU223" s="66"/>
      <c r="GV223" s="66"/>
      <c r="GW223" s="66"/>
      <c r="GX223" s="66"/>
      <c r="GY223" s="66"/>
      <c r="GZ223" s="66"/>
      <c r="HA223" s="66"/>
      <c r="HB223" s="66"/>
      <c r="HC223" s="66"/>
      <c r="HD223" s="66"/>
      <c r="HE223" s="66"/>
      <c r="HF223" s="66"/>
      <c r="HG223" s="66"/>
      <c r="HH223" s="66"/>
      <c r="HI223" s="66"/>
      <c r="HJ223" s="66"/>
      <c r="HK223" s="66"/>
      <c r="HL223" s="66"/>
      <c r="HM223" s="66"/>
      <c r="HN223" s="66"/>
      <c r="HO223" s="66"/>
      <c r="HP223" s="66"/>
    </row>
    <row r="224" spans="3:224" s="67" customFormat="1" ht="20.100000000000001" customHeight="1">
      <c r="C224" s="61">
        <v>14000002</v>
      </c>
      <c r="D224" s="69" t="s">
        <v>667</v>
      </c>
      <c r="E224" s="62">
        <v>11200001</v>
      </c>
      <c r="F224" s="62">
        <v>0</v>
      </c>
      <c r="G224" s="62">
        <v>1</v>
      </c>
      <c r="H224" s="62">
        <v>60</v>
      </c>
      <c r="I224" s="63">
        <v>0.2</v>
      </c>
      <c r="J224" s="64">
        <v>25</v>
      </c>
      <c r="K224" s="62">
        <v>0</v>
      </c>
      <c r="L224" s="62">
        <v>0</v>
      </c>
      <c r="M224" s="62">
        <v>520</v>
      </c>
      <c r="N224" s="62">
        <v>1050</v>
      </c>
      <c r="O224" s="62">
        <v>0</v>
      </c>
      <c r="P224" s="62">
        <v>0</v>
      </c>
      <c r="Q224" s="62">
        <f t="shared" si="14"/>
        <v>0</v>
      </c>
      <c r="R224" s="62">
        <v>0</v>
      </c>
      <c r="S224" s="62">
        <f t="shared" si="15"/>
        <v>0</v>
      </c>
      <c r="T224" s="62">
        <v>0</v>
      </c>
      <c r="U224" s="63">
        <v>0</v>
      </c>
      <c r="V224" s="62">
        <v>0</v>
      </c>
      <c r="W224" s="62">
        <v>0</v>
      </c>
      <c r="X224" s="62">
        <v>0</v>
      </c>
      <c r="Y224" s="63">
        <v>0</v>
      </c>
      <c r="Z224" s="63">
        <v>0</v>
      </c>
      <c r="AA224" s="63">
        <v>0</v>
      </c>
      <c r="AB224" s="63">
        <v>0</v>
      </c>
      <c r="AC224" s="63">
        <v>0</v>
      </c>
      <c r="AD224" s="63">
        <v>0</v>
      </c>
      <c r="AE224" s="68">
        <v>100008</v>
      </c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66"/>
      <c r="BJ224" s="66"/>
      <c r="BK224" s="66"/>
      <c r="BL224" s="66"/>
      <c r="BM224" s="66"/>
      <c r="BN224" s="66"/>
      <c r="BO224" s="66"/>
      <c r="BP224" s="66"/>
      <c r="BQ224" s="66"/>
      <c r="BR224" s="66"/>
      <c r="BS224" s="66"/>
      <c r="BT224" s="66"/>
      <c r="BU224" s="66"/>
      <c r="BV224" s="66"/>
      <c r="BW224" s="66"/>
      <c r="BX224" s="66"/>
      <c r="BY224" s="66"/>
      <c r="BZ224" s="66"/>
      <c r="CA224" s="66"/>
      <c r="CB224" s="66"/>
      <c r="CC224" s="66"/>
      <c r="CD224" s="66"/>
      <c r="CE224" s="66"/>
      <c r="CF224" s="66"/>
      <c r="CG224" s="66"/>
      <c r="CH224" s="66"/>
      <c r="CI224" s="66"/>
      <c r="CJ224" s="66"/>
      <c r="CK224" s="66"/>
      <c r="CL224" s="66"/>
      <c r="CM224" s="66"/>
      <c r="CN224" s="66"/>
      <c r="CO224" s="66"/>
      <c r="CP224" s="66"/>
      <c r="CQ224" s="66"/>
      <c r="CR224" s="66"/>
      <c r="CS224" s="66"/>
      <c r="CT224" s="66"/>
      <c r="CU224" s="66"/>
      <c r="CV224" s="66"/>
      <c r="CW224" s="66"/>
      <c r="CX224" s="66"/>
      <c r="CY224" s="66"/>
      <c r="CZ224" s="66"/>
      <c r="DA224" s="66"/>
      <c r="DB224" s="66"/>
      <c r="DC224" s="66"/>
      <c r="DD224" s="66"/>
      <c r="DE224" s="66"/>
      <c r="DF224" s="66"/>
      <c r="DG224" s="66"/>
      <c r="DH224" s="66"/>
      <c r="DI224" s="66"/>
      <c r="DJ224" s="66"/>
      <c r="DK224" s="66"/>
      <c r="DL224" s="66"/>
      <c r="DM224" s="66"/>
      <c r="DN224" s="66"/>
      <c r="DO224" s="66"/>
      <c r="DP224" s="66"/>
      <c r="DQ224" s="66"/>
      <c r="DR224" s="66"/>
      <c r="DS224" s="66"/>
      <c r="DT224" s="66"/>
      <c r="DU224" s="66"/>
      <c r="DV224" s="66"/>
      <c r="DW224" s="66"/>
      <c r="DX224" s="66"/>
      <c r="DY224" s="66"/>
      <c r="DZ224" s="66"/>
      <c r="EA224" s="66"/>
      <c r="EB224" s="66"/>
      <c r="EC224" s="66"/>
      <c r="ED224" s="66"/>
      <c r="EE224" s="66"/>
      <c r="EF224" s="66"/>
      <c r="EG224" s="66"/>
      <c r="EH224" s="66"/>
      <c r="EI224" s="66"/>
      <c r="EJ224" s="66"/>
      <c r="EK224" s="66"/>
      <c r="EL224" s="66"/>
      <c r="EM224" s="66"/>
      <c r="EN224" s="66"/>
      <c r="EO224" s="66"/>
      <c r="EP224" s="66"/>
      <c r="EQ224" s="66"/>
      <c r="ER224" s="66"/>
      <c r="ES224" s="66"/>
      <c r="ET224" s="66"/>
      <c r="EU224" s="66"/>
      <c r="EV224" s="66"/>
      <c r="EW224" s="66"/>
      <c r="EX224" s="66"/>
      <c r="EY224" s="66"/>
      <c r="EZ224" s="66"/>
      <c r="FA224" s="66"/>
      <c r="FB224" s="66"/>
      <c r="FC224" s="66"/>
      <c r="FD224" s="66"/>
      <c r="FE224" s="66"/>
      <c r="FF224" s="66"/>
      <c r="FG224" s="66"/>
      <c r="FH224" s="66"/>
      <c r="FI224" s="66"/>
      <c r="FJ224" s="66"/>
      <c r="FK224" s="66"/>
      <c r="FL224" s="66"/>
      <c r="FM224" s="66"/>
      <c r="FN224" s="66"/>
      <c r="FO224" s="66"/>
      <c r="FP224" s="66"/>
      <c r="FQ224" s="66"/>
      <c r="FR224" s="66"/>
      <c r="FS224" s="66"/>
      <c r="FT224" s="66"/>
      <c r="FU224" s="66"/>
      <c r="FV224" s="66"/>
      <c r="FW224" s="66"/>
      <c r="FX224" s="66"/>
      <c r="FY224" s="66"/>
      <c r="FZ224" s="66"/>
      <c r="GA224" s="66"/>
      <c r="GB224" s="66"/>
      <c r="GC224" s="66"/>
      <c r="GD224" s="66"/>
      <c r="GE224" s="66"/>
      <c r="GF224" s="66"/>
      <c r="GG224" s="66"/>
      <c r="GH224" s="66"/>
      <c r="GI224" s="66"/>
      <c r="GJ224" s="66"/>
      <c r="GK224" s="66"/>
      <c r="GL224" s="66"/>
      <c r="GM224" s="66"/>
      <c r="GN224" s="66"/>
      <c r="GO224" s="66"/>
      <c r="GP224" s="66"/>
      <c r="GQ224" s="66"/>
      <c r="GR224" s="66"/>
      <c r="GS224" s="66"/>
      <c r="GT224" s="66"/>
      <c r="GU224" s="66"/>
      <c r="GV224" s="66"/>
      <c r="GW224" s="66"/>
      <c r="GX224" s="66"/>
      <c r="GY224" s="66"/>
      <c r="GZ224" s="66"/>
      <c r="HA224" s="66"/>
      <c r="HB224" s="66"/>
      <c r="HC224" s="66"/>
      <c r="HD224" s="66"/>
      <c r="HE224" s="66"/>
      <c r="HF224" s="66"/>
      <c r="HG224" s="66"/>
      <c r="HH224" s="66"/>
      <c r="HI224" s="66"/>
      <c r="HJ224" s="66"/>
      <c r="HK224" s="66"/>
      <c r="HL224" s="66"/>
      <c r="HM224" s="66"/>
      <c r="HN224" s="66"/>
      <c r="HO224" s="66"/>
      <c r="HP224" s="66"/>
    </row>
    <row r="225" spans="3:224" s="67" customFormat="1" ht="20.100000000000001" customHeight="1">
      <c r="C225" s="61">
        <v>14000003</v>
      </c>
      <c r="D225" s="69" t="s">
        <v>668</v>
      </c>
      <c r="E225" s="62">
        <v>11200001</v>
      </c>
      <c r="F225" s="62">
        <v>0</v>
      </c>
      <c r="G225" s="62">
        <v>1</v>
      </c>
      <c r="H225" s="62">
        <v>60</v>
      </c>
      <c r="I225" s="63">
        <v>0.2</v>
      </c>
      <c r="J225" s="64">
        <v>25</v>
      </c>
      <c r="K225" s="62">
        <v>0</v>
      </c>
      <c r="L225" s="62">
        <v>0</v>
      </c>
      <c r="M225" s="62">
        <v>520</v>
      </c>
      <c r="N225" s="62">
        <v>1050</v>
      </c>
      <c r="O225" s="62">
        <v>0</v>
      </c>
      <c r="P225" s="62">
        <v>0</v>
      </c>
      <c r="Q225" s="62">
        <f t="shared" si="14"/>
        <v>0</v>
      </c>
      <c r="R225" s="62">
        <v>0</v>
      </c>
      <c r="S225" s="62">
        <f t="shared" si="15"/>
        <v>0</v>
      </c>
      <c r="T225" s="62">
        <v>0</v>
      </c>
      <c r="U225" s="63">
        <v>0</v>
      </c>
      <c r="V225" s="62">
        <v>0</v>
      </c>
      <c r="W225" s="62">
        <v>0</v>
      </c>
      <c r="X225" s="62">
        <v>0</v>
      </c>
      <c r="Y225" s="63">
        <v>0</v>
      </c>
      <c r="Z225" s="63">
        <v>0</v>
      </c>
      <c r="AA225" s="63">
        <v>0</v>
      </c>
      <c r="AB225" s="63">
        <v>0</v>
      </c>
      <c r="AC225" s="63">
        <v>0</v>
      </c>
      <c r="AD225" s="63">
        <v>0</v>
      </c>
      <c r="AE225" s="68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66"/>
      <c r="BJ225" s="66"/>
      <c r="BK225" s="66"/>
      <c r="BL225" s="66"/>
      <c r="BM225" s="66"/>
      <c r="BN225" s="66"/>
      <c r="BO225" s="66"/>
      <c r="BP225" s="66"/>
      <c r="BQ225" s="66"/>
      <c r="BR225" s="66"/>
      <c r="BS225" s="66"/>
      <c r="BT225" s="66"/>
      <c r="BU225" s="66"/>
      <c r="BV225" s="66"/>
      <c r="BW225" s="66"/>
      <c r="BX225" s="66"/>
      <c r="BY225" s="66"/>
      <c r="BZ225" s="66"/>
      <c r="CA225" s="66"/>
      <c r="CB225" s="66"/>
      <c r="CC225" s="66"/>
      <c r="CD225" s="66"/>
      <c r="CE225" s="66"/>
      <c r="CF225" s="66"/>
      <c r="CG225" s="66"/>
      <c r="CH225" s="66"/>
      <c r="CI225" s="66"/>
      <c r="CJ225" s="66"/>
      <c r="CK225" s="66"/>
      <c r="CL225" s="66"/>
      <c r="CM225" s="66"/>
      <c r="CN225" s="66"/>
      <c r="CO225" s="66"/>
      <c r="CP225" s="66"/>
      <c r="CQ225" s="66"/>
      <c r="CR225" s="66"/>
      <c r="CS225" s="66"/>
      <c r="CT225" s="66"/>
      <c r="CU225" s="66"/>
      <c r="CV225" s="66"/>
      <c r="CW225" s="66"/>
      <c r="CX225" s="66"/>
      <c r="CY225" s="66"/>
      <c r="CZ225" s="66"/>
      <c r="DA225" s="66"/>
      <c r="DB225" s="66"/>
      <c r="DC225" s="66"/>
      <c r="DD225" s="66"/>
      <c r="DE225" s="66"/>
      <c r="DF225" s="66"/>
      <c r="DG225" s="66"/>
      <c r="DH225" s="66"/>
      <c r="DI225" s="66"/>
      <c r="DJ225" s="66"/>
      <c r="DK225" s="66"/>
      <c r="DL225" s="66"/>
      <c r="DM225" s="66"/>
      <c r="DN225" s="66"/>
      <c r="DO225" s="66"/>
      <c r="DP225" s="66"/>
      <c r="DQ225" s="66"/>
      <c r="DR225" s="66"/>
      <c r="DS225" s="66"/>
      <c r="DT225" s="66"/>
      <c r="DU225" s="66"/>
      <c r="DV225" s="66"/>
      <c r="DW225" s="66"/>
      <c r="DX225" s="66"/>
      <c r="DY225" s="66"/>
      <c r="DZ225" s="66"/>
      <c r="EA225" s="66"/>
      <c r="EB225" s="66"/>
      <c r="EC225" s="66"/>
      <c r="ED225" s="66"/>
      <c r="EE225" s="66"/>
      <c r="EF225" s="66"/>
      <c r="EG225" s="66"/>
      <c r="EH225" s="66"/>
      <c r="EI225" s="66"/>
      <c r="EJ225" s="66"/>
      <c r="EK225" s="66"/>
      <c r="EL225" s="66"/>
      <c r="EM225" s="66"/>
      <c r="EN225" s="66"/>
      <c r="EO225" s="66"/>
      <c r="EP225" s="66"/>
      <c r="EQ225" s="66"/>
      <c r="ER225" s="66"/>
      <c r="ES225" s="66"/>
      <c r="ET225" s="66"/>
      <c r="EU225" s="66"/>
      <c r="EV225" s="66"/>
      <c r="EW225" s="66"/>
      <c r="EX225" s="66"/>
      <c r="EY225" s="66"/>
      <c r="EZ225" s="66"/>
      <c r="FA225" s="66"/>
      <c r="FB225" s="66"/>
      <c r="FC225" s="66"/>
      <c r="FD225" s="66"/>
      <c r="FE225" s="66"/>
      <c r="FF225" s="66"/>
      <c r="FG225" s="66"/>
      <c r="FH225" s="66"/>
      <c r="FI225" s="66"/>
      <c r="FJ225" s="66"/>
      <c r="FK225" s="66"/>
      <c r="FL225" s="66"/>
      <c r="FM225" s="66"/>
      <c r="FN225" s="66"/>
      <c r="FO225" s="66"/>
      <c r="FP225" s="66"/>
      <c r="FQ225" s="66"/>
      <c r="FR225" s="66"/>
      <c r="FS225" s="66"/>
      <c r="FT225" s="66"/>
      <c r="FU225" s="66"/>
      <c r="FV225" s="66"/>
      <c r="FW225" s="66"/>
      <c r="FX225" s="66"/>
      <c r="FY225" s="66"/>
      <c r="FZ225" s="66"/>
      <c r="GA225" s="66"/>
      <c r="GB225" s="66"/>
      <c r="GC225" s="66"/>
      <c r="GD225" s="66"/>
      <c r="GE225" s="66"/>
      <c r="GF225" s="66"/>
      <c r="GG225" s="66"/>
      <c r="GH225" s="66"/>
      <c r="GI225" s="66"/>
      <c r="GJ225" s="66"/>
      <c r="GK225" s="66"/>
      <c r="GL225" s="66"/>
      <c r="GM225" s="66"/>
      <c r="GN225" s="66"/>
      <c r="GO225" s="66"/>
      <c r="GP225" s="66"/>
      <c r="GQ225" s="66"/>
      <c r="GR225" s="66"/>
      <c r="GS225" s="66"/>
      <c r="GT225" s="66"/>
      <c r="GU225" s="66"/>
      <c r="GV225" s="66"/>
      <c r="GW225" s="66"/>
      <c r="GX225" s="66"/>
      <c r="GY225" s="66"/>
      <c r="GZ225" s="66"/>
      <c r="HA225" s="66"/>
      <c r="HB225" s="66"/>
      <c r="HC225" s="66"/>
      <c r="HD225" s="66"/>
      <c r="HE225" s="66"/>
      <c r="HF225" s="66"/>
      <c r="HG225" s="66"/>
      <c r="HH225" s="66"/>
      <c r="HI225" s="66"/>
      <c r="HJ225" s="66"/>
      <c r="HK225" s="66"/>
      <c r="HL225" s="66"/>
      <c r="HM225" s="66"/>
      <c r="HN225" s="66"/>
      <c r="HO225" s="66"/>
      <c r="HP225" s="66"/>
    </row>
    <row r="226" spans="3:224" s="67" customFormat="1" ht="20.100000000000001" customHeight="1">
      <c r="C226" s="61">
        <v>14000004</v>
      </c>
      <c r="D226" s="69" t="s">
        <v>669</v>
      </c>
      <c r="E226" s="62">
        <v>11200001</v>
      </c>
      <c r="F226" s="62">
        <v>0</v>
      </c>
      <c r="G226" s="62">
        <v>1</v>
      </c>
      <c r="H226" s="62">
        <v>60</v>
      </c>
      <c r="I226" s="63">
        <v>0.2</v>
      </c>
      <c r="J226" s="64">
        <v>25</v>
      </c>
      <c r="K226" s="62">
        <v>0</v>
      </c>
      <c r="L226" s="62">
        <v>0</v>
      </c>
      <c r="M226" s="62">
        <v>520</v>
      </c>
      <c r="N226" s="62">
        <v>1050</v>
      </c>
      <c r="O226" s="62">
        <v>0</v>
      </c>
      <c r="P226" s="62">
        <v>0</v>
      </c>
      <c r="Q226" s="62">
        <f t="shared" si="14"/>
        <v>0</v>
      </c>
      <c r="R226" s="62">
        <v>0</v>
      </c>
      <c r="S226" s="62">
        <f t="shared" si="15"/>
        <v>0</v>
      </c>
      <c r="T226" s="62">
        <v>0</v>
      </c>
      <c r="U226" s="63">
        <v>0</v>
      </c>
      <c r="V226" s="62">
        <v>0</v>
      </c>
      <c r="W226" s="62">
        <v>0</v>
      </c>
      <c r="X226" s="62">
        <v>0</v>
      </c>
      <c r="Y226" s="63">
        <v>0</v>
      </c>
      <c r="Z226" s="63">
        <v>0</v>
      </c>
      <c r="AA226" s="63">
        <v>0</v>
      </c>
      <c r="AB226" s="63">
        <v>0</v>
      </c>
      <c r="AC226" s="63">
        <v>0</v>
      </c>
      <c r="AD226" s="63">
        <v>0</v>
      </c>
      <c r="AE226" s="68">
        <v>100010</v>
      </c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66"/>
      <c r="BJ226" s="66"/>
      <c r="BK226" s="66"/>
      <c r="BL226" s="66"/>
      <c r="BM226" s="66"/>
      <c r="BN226" s="66"/>
      <c r="BO226" s="66"/>
      <c r="BP226" s="66"/>
      <c r="BQ226" s="66"/>
      <c r="BR226" s="66"/>
      <c r="BS226" s="66"/>
      <c r="BT226" s="66"/>
      <c r="BU226" s="66"/>
      <c r="BV226" s="66"/>
      <c r="BW226" s="66"/>
      <c r="BX226" s="66"/>
      <c r="BY226" s="66"/>
      <c r="BZ226" s="66"/>
      <c r="CA226" s="66"/>
      <c r="CB226" s="66"/>
      <c r="CC226" s="66"/>
      <c r="CD226" s="66"/>
      <c r="CE226" s="66"/>
      <c r="CF226" s="66"/>
      <c r="CG226" s="66"/>
      <c r="CH226" s="66"/>
      <c r="CI226" s="66"/>
      <c r="CJ226" s="66"/>
      <c r="CK226" s="66"/>
      <c r="CL226" s="66"/>
      <c r="CM226" s="66"/>
      <c r="CN226" s="66"/>
      <c r="CO226" s="66"/>
      <c r="CP226" s="66"/>
      <c r="CQ226" s="66"/>
      <c r="CR226" s="66"/>
      <c r="CS226" s="66"/>
      <c r="CT226" s="66"/>
      <c r="CU226" s="66"/>
      <c r="CV226" s="66"/>
      <c r="CW226" s="66"/>
      <c r="CX226" s="66"/>
      <c r="CY226" s="66"/>
      <c r="CZ226" s="66"/>
      <c r="DA226" s="66"/>
      <c r="DB226" s="66"/>
      <c r="DC226" s="66"/>
      <c r="DD226" s="66"/>
      <c r="DE226" s="66"/>
      <c r="DF226" s="66"/>
      <c r="DG226" s="66"/>
      <c r="DH226" s="66"/>
      <c r="DI226" s="66"/>
      <c r="DJ226" s="66"/>
      <c r="DK226" s="66"/>
      <c r="DL226" s="66"/>
      <c r="DM226" s="66"/>
      <c r="DN226" s="66"/>
      <c r="DO226" s="66"/>
      <c r="DP226" s="66"/>
      <c r="DQ226" s="66"/>
      <c r="DR226" s="66"/>
      <c r="DS226" s="66"/>
      <c r="DT226" s="66"/>
      <c r="DU226" s="66"/>
      <c r="DV226" s="66"/>
      <c r="DW226" s="66"/>
      <c r="DX226" s="66"/>
      <c r="DY226" s="66"/>
      <c r="DZ226" s="66"/>
      <c r="EA226" s="66"/>
      <c r="EB226" s="66"/>
      <c r="EC226" s="66"/>
      <c r="ED226" s="66"/>
      <c r="EE226" s="66"/>
      <c r="EF226" s="66"/>
      <c r="EG226" s="66"/>
      <c r="EH226" s="66"/>
      <c r="EI226" s="66"/>
      <c r="EJ226" s="66"/>
      <c r="EK226" s="66"/>
      <c r="EL226" s="66"/>
      <c r="EM226" s="66"/>
      <c r="EN226" s="66"/>
      <c r="EO226" s="66"/>
      <c r="EP226" s="66"/>
      <c r="EQ226" s="66"/>
      <c r="ER226" s="66"/>
      <c r="ES226" s="66"/>
      <c r="ET226" s="66"/>
      <c r="EU226" s="66"/>
      <c r="EV226" s="66"/>
      <c r="EW226" s="66"/>
      <c r="EX226" s="66"/>
      <c r="EY226" s="66"/>
      <c r="EZ226" s="66"/>
      <c r="FA226" s="66"/>
      <c r="FB226" s="66"/>
      <c r="FC226" s="66"/>
      <c r="FD226" s="66"/>
      <c r="FE226" s="66"/>
      <c r="FF226" s="66"/>
      <c r="FG226" s="66"/>
      <c r="FH226" s="66"/>
      <c r="FI226" s="66"/>
      <c r="FJ226" s="66"/>
      <c r="FK226" s="66"/>
      <c r="FL226" s="66"/>
      <c r="FM226" s="66"/>
      <c r="FN226" s="66"/>
      <c r="FO226" s="66"/>
      <c r="FP226" s="66"/>
      <c r="FQ226" s="66"/>
      <c r="FR226" s="66"/>
      <c r="FS226" s="66"/>
      <c r="FT226" s="66"/>
      <c r="FU226" s="66"/>
      <c r="FV226" s="66"/>
      <c r="FW226" s="66"/>
      <c r="FX226" s="66"/>
      <c r="FY226" s="66"/>
      <c r="FZ226" s="66"/>
      <c r="GA226" s="66"/>
      <c r="GB226" s="66"/>
      <c r="GC226" s="66"/>
      <c r="GD226" s="66"/>
      <c r="GE226" s="66"/>
      <c r="GF226" s="66"/>
      <c r="GG226" s="66"/>
      <c r="GH226" s="66"/>
      <c r="GI226" s="66"/>
      <c r="GJ226" s="66"/>
      <c r="GK226" s="66"/>
      <c r="GL226" s="66"/>
      <c r="GM226" s="66"/>
      <c r="GN226" s="66"/>
      <c r="GO226" s="66"/>
      <c r="GP226" s="66"/>
      <c r="GQ226" s="66"/>
      <c r="GR226" s="66"/>
      <c r="GS226" s="66"/>
      <c r="GT226" s="66"/>
      <c r="GU226" s="66"/>
      <c r="GV226" s="66"/>
      <c r="GW226" s="66"/>
      <c r="GX226" s="66"/>
      <c r="GY226" s="66"/>
      <c r="GZ226" s="66"/>
      <c r="HA226" s="66"/>
      <c r="HB226" s="66"/>
      <c r="HC226" s="66"/>
      <c r="HD226" s="66"/>
      <c r="HE226" s="66"/>
      <c r="HF226" s="66"/>
      <c r="HG226" s="66"/>
      <c r="HH226" s="66"/>
      <c r="HI226" s="66"/>
      <c r="HJ226" s="66"/>
      <c r="HK226" s="66"/>
      <c r="HL226" s="66"/>
      <c r="HM226" s="66"/>
      <c r="HN226" s="66"/>
      <c r="HO226" s="66"/>
      <c r="HP226" s="66"/>
    </row>
    <row r="227" spans="3:224" s="67" customFormat="1" ht="20.100000000000001" customHeight="1">
      <c r="C227" s="61">
        <v>14000005</v>
      </c>
      <c r="D227" s="69" t="s">
        <v>670</v>
      </c>
      <c r="E227" s="62">
        <v>11200001</v>
      </c>
      <c r="F227" s="62">
        <v>0</v>
      </c>
      <c r="G227" s="62">
        <v>1</v>
      </c>
      <c r="H227" s="62">
        <v>60</v>
      </c>
      <c r="I227" s="63">
        <v>0.2</v>
      </c>
      <c r="J227" s="64">
        <v>25</v>
      </c>
      <c r="K227" s="62">
        <v>0</v>
      </c>
      <c r="L227" s="62">
        <v>0</v>
      </c>
      <c r="M227" s="62">
        <v>520</v>
      </c>
      <c r="N227" s="62">
        <v>1050</v>
      </c>
      <c r="O227" s="62">
        <v>0</v>
      </c>
      <c r="P227" s="62">
        <v>0</v>
      </c>
      <c r="Q227" s="62">
        <f t="shared" si="14"/>
        <v>0</v>
      </c>
      <c r="R227" s="62">
        <v>0</v>
      </c>
      <c r="S227" s="62">
        <f t="shared" si="15"/>
        <v>0</v>
      </c>
      <c r="T227" s="62">
        <v>0</v>
      </c>
      <c r="U227" s="63">
        <v>0</v>
      </c>
      <c r="V227" s="62">
        <v>0</v>
      </c>
      <c r="W227" s="62">
        <v>0</v>
      </c>
      <c r="X227" s="62">
        <v>0</v>
      </c>
      <c r="Y227" s="63">
        <v>0</v>
      </c>
      <c r="Z227" s="63">
        <v>0</v>
      </c>
      <c r="AA227" s="63">
        <v>0</v>
      </c>
      <c r="AB227" s="63">
        <v>200103</v>
      </c>
      <c r="AC227" s="63">
        <v>500</v>
      </c>
      <c r="AD227" s="63">
        <v>1</v>
      </c>
      <c r="AE227" s="65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66"/>
      <c r="BJ227" s="66"/>
      <c r="BK227" s="66"/>
      <c r="BL227" s="66"/>
      <c r="BM227" s="66"/>
      <c r="BN227" s="66"/>
      <c r="BO227" s="66"/>
      <c r="BP227" s="66"/>
      <c r="BQ227" s="66"/>
      <c r="BR227" s="66"/>
      <c r="BS227" s="66"/>
      <c r="BT227" s="66"/>
      <c r="BU227" s="66"/>
      <c r="BV227" s="66"/>
      <c r="BW227" s="66"/>
      <c r="BX227" s="66"/>
      <c r="BY227" s="66"/>
      <c r="BZ227" s="66"/>
      <c r="CA227" s="66"/>
      <c r="CB227" s="66"/>
      <c r="CC227" s="66"/>
      <c r="CD227" s="66"/>
      <c r="CE227" s="66"/>
      <c r="CF227" s="66"/>
      <c r="CG227" s="66"/>
      <c r="CH227" s="66"/>
      <c r="CI227" s="66"/>
      <c r="CJ227" s="66"/>
      <c r="CK227" s="66"/>
      <c r="CL227" s="66"/>
      <c r="CM227" s="66"/>
      <c r="CN227" s="66"/>
      <c r="CO227" s="66"/>
      <c r="CP227" s="66"/>
      <c r="CQ227" s="66"/>
      <c r="CR227" s="66"/>
      <c r="CS227" s="66"/>
      <c r="CT227" s="66"/>
      <c r="CU227" s="66"/>
      <c r="CV227" s="66"/>
      <c r="CW227" s="66"/>
      <c r="CX227" s="66"/>
      <c r="CY227" s="66"/>
      <c r="CZ227" s="66"/>
      <c r="DA227" s="66"/>
      <c r="DB227" s="66"/>
      <c r="DC227" s="66"/>
      <c r="DD227" s="66"/>
      <c r="DE227" s="66"/>
      <c r="DF227" s="66"/>
      <c r="DG227" s="66"/>
      <c r="DH227" s="66"/>
      <c r="DI227" s="66"/>
      <c r="DJ227" s="66"/>
      <c r="DK227" s="66"/>
      <c r="DL227" s="66"/>
      <c r="DM227" s="66"/>
      <c r="DN227" s="66"/>
      <c r="DO227" s="66"/>
      <c r="DP227" s="66"/>
      <c r="DQ227" s="66"/>
      <c r="DR227" s="66"/>
      <c r="DS227" s="66"/>
      <c r="DT227" s="66"/>
      <c r="DU227" s="66"/>
      <c r="DV227" s="66"/>
      <c r="DW227" s="66"/>
      <c r="DX227" s="66"/>
      <c r="DY227" s="66"/>
      <c r="DZ227" s="66"/>
      <c r="EA227" s="66"/>
      <c r="EB227" s="66"/>
      <c r="EC227" s="66"/>
      <c r="ED227" s="66"/>
      <c r="EE227" s="66"/>
      <c r="EF227" s="66"/>
      <c r="EG227" s="66"/>
      <c r="EH227" s="66"/>
      <c r="EI227" s="66"/>
      <c r="EJ227" s="66"/>
      <c r="EK227" s="66"/>
      <c r="EL227" s="66"/>
      <c r="EM227" s="66"/>
      <c r="EN227" s="66"/>
      <c r="EO227" s="66"/>
      <c r="EP227" s="66"/>
      <c r="EQ227" s="66"/>
      <c r="ER227" s="66"/>
      <c r="ES227" s="66"/>
      <c r="ET227" s="66"/>
      <c r="EU227" s="66"/>
      <c r="EV227" s="66"/>
      <c r="EW227" s="66"/>
      <c r="EX227" s="66"/>
      <c r="EY227" s="66"/>
      <c r="EZ227" s="66"/>
      <c r="FA227" s="66"/>
      <c r="FB227" s="66"/>
      <c r="FC227" s="66"/>
      <c r="FD227" s="66"/>
      <c r="FE227" s="66"/>
      <c r="FF227" s="66"/>
      <c r="FG227" s="66"/>
      <c r="FH227" s="66"/>
      <c r="FI227" s="66"/>
      <c r="FJ227" s="66"/>
      <c r="FK227" s="66"/>
      <c r="FL227" s="66"/>
      <c r="FM227" s="66"/>
      <c r="FN227" s="66"/>
      <c r="FO227" s="66"/>
      <c r="FP227" s="66"/>
      <c r="FQ227" s="66"/>
      <c r="FR227" s="66"/>
      <c r="FS227" s="66"/>
      <c r="FT227" s="66"/>
      <c r="FU227" s="66"/>
      <c r="FV227" s="66"/>
      <c r="FW227" s="66"/>
      <c r="FX227" s="66"/>
      <c r="FY227" s="66"/>
      <c r="FZ227" s="66"/>
      <c r="GA227" s="66"/>
      <c r="GB227" s="66"/>
      <c r="GC227" s="66"/>
      <c r="GD227" s="66"/>
      <c r="GE227" s="66"/>
      <c r="GF227" s="66"/>
      <c r="GG227" s="66"/>
      <c r="GH227" s="66"/>
      <c r="GI227" s="66"/>
      <c r="GJ227" s="66"/>
      <c r="GK227" s="66"/>
      <c r="GL227" s="66"/>
      <c r="GM227" s="66"/>
      <c r="GN227" s="66"/>
      <c r="GO227" s="66"/>
      <c r="GP227" s="66"/>
      <c r="GQ227" s="66"/>
      <c r="GR227" s="66"/>
      <c r="GS227" s="66"/>
      <c r="GT227" s="66"/>
      <c r="GU227" s="66"/>
      <c r="GV227" s="66"/>
      <c r="GW227" s="66"/>
      <c r="GX227" s="66"/>
      <c r="GY227" s="66"/>
      <c r="GZ227" s="66"/>
      <c r="HA227" s="66"/>
      <c r="HB227" s="66"/>
      <c r="HC227" s="66"/>
      <c r="HD227" s="66"/>
      <c r="HE227" s="66"/>
      <c r="HF227" s="66"/>
      <c r="HG227" s="66"/>
      <c r="HH227" s="66"/>
      <c r="HI227" s="66"/>
      <c r="HJ227" s="66"/>
      <c r="HK227" s="66"/>
      <c r="HL227" s="66"/>
      <c r="HM227" s="66"/>
      <c r="HN227" s="66"/>
      <c r="HO227" s="66"/>
      <c r="HP227" s="66"/>
    </row>
    <row r="228" spans="3:224" ht="20.100000000000001" customHeight="1">
      <c r="C228" s="24">
        <v>14010001</v>
      </c>
      <c r="D228" s="24" t="s">
        <v>261</v>
      </c>
      <c r="E228" s="25">
        <v>11200003</v>
      </c>
      <c r="F228" s="25">
        <v>0</v>
      </c>
      <c r="G228" s="25">
        <v>1</v>
      </c>
      <c r="H228" s="25">
        <v>20</v>
      </c>
      <c r="I228" s="29">
        <v>0.2</v>
      </c>
      <c r="J228" s="30">
        <v>5</v>
      </c>
      <c r="K228" s="25">
        <v>0</v>
      </c>
      <c r="L228" s="25">
        <v>0</v>
      </c>
      <c r="M228" s="25">
        <f>ROUND(N228/2,0)</f>
        <v>5</v>
      </c>
      <c r="N228" s="25">
        <v>10</v>
      </c>
      <c r="O228" s="25">
        <v>0</v>
      </c>
      <c r="P228" s="25">
        <v>0</v>
      </c>
      <c r="Q228" s="25">
        <f>ROUND(R228/2,0)</f>
        <v>3</v>
      </c>
      <c r="R228" s="25">
        <v>6</v>
      </c>
      <c r="S228" s="25">
        <f>ROUND(T228/2,0)</f>
        <v>3</v>
      </c>
      <c r="T228" s="25">
        <v>6</v>
      </c>
      <c r="U228" s="29">
        <v>0</v>
      </c>
      <c r="V228" s="25">
        <v>0</v>
      </c>
      <c r="W228" s="25">
        <v>0</v>
      </c>
      <c r="X228" s="25">
        <v>0</v>
      </c>
      <c r="Y228" s="29">
        <v>0</v>
      </c>
      <c r="Z228" s="29">
        <v>0</v>
      </c>
      <c r="AA228" s="29">
        <v>0</v>
      </c>
      <c r="AB228" s="29">
        <v>0</v>
      </c>
      <c r="AC228" s="29">
        <v>0</v>
      </c>
      <c r="AD228" s="29">
        <v>0</v>
      </c>
      <c r="GR228" s="5"/>
      <c r="GS228" s="5"/>
      <c r="GT228" s="5"/>
      <c r="GU228" s="5"/>
      <c r="GV228" s="5"/>
      <c r="GW228" s="5"/>
      <c r="GX228" s="5"/>
      <c r="GY228" s="5"/>
      <c r="GZ228" s="5"/>
      <c r="HA228" s="5"/>
      <c r="HB228" s="5"/>
      <c r="HC228" s="5"/>
      <c r="HD228" s="5"/>
      <c r="HE228" s="5"/>
      <c r="HF228" s="5"/>
      <c r="HG228" s="5"/>
      <c r="HH228" s="5"/>
      <c r="HI228" s="5"/>
      <c r="HJ228" s="5"/>
      <c r="HK228" s="5"/>
      <c r="HL228" s="5"/>
      <c r="HM228" s="5"/>
      <c r="HN228" s="5"/>
      <c r="HO228" s="5"/>
      <c r="HP228" s="5"/>
    </row>
    <row r="229" spans="3:224" ht="20.100000000000001" customHeight="1">
      <c r="C229" s="24">
        <v>14010002</v>
      </c>
      <c r="D229" s="24" t="s">
        <v>262</v>
      </c>
      <c r="E229" s="25">
        <v>11200003</v>
      </c>
      <c r="F229" s="25">
        <v>0</v>
      </c>
      <c r="G229" s="25">
        <v>1</v>
      </c>
      <c r="H229" s="25">
        <v>20</v>
      </c>
      <c r="I229" s="29">
        <v>0.2</v>
      </c>
      <c r="J229" s="30">
        <v>5</v>
      </c>
      <c r="K229" s="25">
        <v>0</v>
      </c>
      <c r="L229" s="25">
        <v>0</v>
      </c>
      <c r="M229" s="25">
        <f t="shared" ref="M229:M296" si="16">ROUND(N229/2,0)</f>
        <v>9</v>
      </c>
      <c r="N229" s="25">
        <v>18</v>
      </c>
      <c r="O229" s="25">
        <v>0</v>
      </c>
      <c r="P229" s="25">
        <v>0</v>
      </c>
      <c r="Q229" s="25">
        <f t="shared" ref="Q229:Q296" si="17">ROUND(R229/2,0)</f>
        <v>5</v>
      </c>
      <c r="R229" s="25">
        <v>10</v>
      </c>
      <c r="S229" s="25">
        <f t="shared" ref="S229:S296" si="18">ROUND(T229/2,0)</f>
        <v>5</v>
      </c>
      <c r="T229" s="25">
        <v>10</v>
      </c>
      <c r="U229" s="29">
        <v>0</v>
      </c>
      <c r="V229" s="25">
        <v>0</v>
      </c>
      <c r="W229" s="25">
        <v>0</v>
      </c>
      <c r="X229" s="25">
        <v>0</v>
      </c>
      <c r="Y229" s="29">
        <v>0</v>
      </c>
      <c r="Z229" s="29">
        <v>0</v>
      </c>
      <c r="AA229" s="29">
        <v>0</v>
      </c>
      <c r="AB229" s="29">
        <v>0</v>
      </c>
      <c r="AC229" s="29">
        <v>0</v>
      </c>
      <c r="AD229" s="29">
        <v>0</v>
      </c>
      <c r="GR229" s="5"/>
      <c r="GS229" s="5"/>
      <c r="GT229" s="5"/>
      <c r="GU229" s="5"/>
      <c r="GV229" s="5"/>
      <c r="GW229" s="5"/>
      <c r="GX229" s="5"/>
      <c r="GY229" s="5"/>
      <c r="GZ229" s="5"/>
      <c r="HA229" s="5"/>
      <c r="HB229" s="5"/>
      <c r="HC229" s="5"/>
      <c r="HD229" s="5"/>
      <c r="HE229" s="5"/>
      <c r="HF229" s="5"/>
      <c r="HG229" s="5"/>
      <c r="HH229" s="5"/>
      <c r="HI229" s="5"/>
      <c r="HJ229" s="5"/>
      <c r="HK229" s="5"/>
      <c r="HL229" s="5"/>
      <c r="HM229" s="5"/>
      <c r="HN229" s="5"/>
      <c r="HO229" s="5"/>
      <c r="HP229" s="5"/>
    </row>
    <row r="230" spans="3:224" ht="20.100000000000001" customHeight="1">
      <c r="C230" s="24">
        <v>14010003</v>
      </c>
      <c r="D230" s="24" t="s">
        <v>263</v>
      </c>
      <c r="E230" s="25">
        <v>11200003</v>
      </c>
      <c r="F230" s="25">
        <v>11011</v>
      </c>
      <c r="G230" s="25">
        <v>1</v>
      </c>
      <c r="H230" s="25">
        <v>20</v>
      </c>
      <c r="I230" s="29">
        <v>0.2</v>
      </c>
      <c r="J230" s="30">
        <v>5</v>
      </c>
      <c r="K230" s="25">
        <v>0</v>
      </c>
      <c r="L230" s="25">
        <v>0</v>
      </c>
      <c r="M230" s="25">
        <f t="shared" si="16"/>
        <v>10</v>
      </c>
      <c r="N230" s="25">
        <v>20</v>
      </c>
      <c r="O230" s="25">
        <v>0</v>
      </c>
      <c r="P230" s="25">
        <v>0</v>
      </c>
      <c r="Q230" s="25">
        <f t="shared" si="17"/>
        <v>6</v>
      </c>
      <c r="R230" s="25">
        <v>12</v>
      </c>
      <c r="S230" s="25">
        <f t="shared" si="18"/>
        <v>6</v>
      </c>
      <c r="T230" s="25">
        <v>12</v>
      </c>
      <c r="U230" s="29">
        <v>0</v>
      </c>
      <c r="V230" s="25">
        <v>0</v>
      </c>
      <c r="W230" s="25">
        <v>0</v>
      </c>
      <c r="X230" s="25">
        <v>0</v>
      </c>
      <c r="Y230" s="29">
        <v>0</v>
      </c>
      <c r="Z230" s="29">
        <v>0</v>
      </c>
      <c r="AA230" s="29">
        <v>0</v>
      </c>
      <c r="AB230" s="29">
        <v>0</v>
      </c>
      <c r="AC230" s="29">
        <v>0</v>
      </c>
      <c r="AD230" s="29">
        <v>0</v>
      </c>
      <c r="GR230" s="5"/>
      <c r="GS230" s="5"/>
      <c r="GT230" s="5"/>
      <c r="GU230" s="5"/>
      <c r="GV230" s="5"/>
      <c r="GW230" s="5"/>
      <c r="GX230" s="5"/>
      <c r="GY230" s="5"/>
      <c r="GZ230" s="5"/>
      <c r="HA230" s="5"/>
      <c r="HB230" s="5"/>
      <c r="HC230" s="5"/>
      <c r="HD230" s="5"/>
      <c r="HE230" s="5"/>
      <c r="HF230" s="5"/>
      <c r="HG230" s="5"/>
      <c r="HH230" s="5"/>
      <c r="HI230" s="5"/>
      <c r="HJ230" s="5"/>
      <c r="HK230" s="5"/>
      <c r="HL230" s="5"/>
      <c r="HM230" s="5"/>
      <c r="HN230" s="5"/>
      <c r="HO230" s="5"/>
      <c r="HP230" s="5"/>
    </row>
    <row r="231" spans="3:224" ht="20.100000000000001" customHeight="1">
      <c r="C231" s="24">
        <v>14010004</v>
      </c>
      <c r="D231" s="24" t="s">
        <v>264</v>
      </c>
      <c r="E231" s="25">
        <v>11200003</v>
      </c>
      <c r="F231" s="25">
        <v>11041</v>
      </c>
      <c r="G231" s="25">
        <v>1</v>
      </c>
      <c r="H231" s="25">
        <v>20</v>
      </c>
      <c r="I231" s="29">
        <v>0.2</v>
      </c>
      <c r="J231" s="30">
        <v>10</v>
      </c>
      <c r="K231" s="25">
        <v>0</v>
      </c>
      <c r="L231" s="25">
        <v>0</v>
      </c>
      <c r="M231" s="25">
        <f t="shared" si="16"/>
        <v>13</v>
      </c>
      <c r="N231" s="25">
        <v>25</v>
      </c>
      <c r="O231" s="25">
        <v>0</v>
      </c>
      <c r="P231" s="25">
        <v>0</v>
      </c>
      <c r="Q231" s="25">
        <f t="shared" si="17"/>
        <v>8</v>
      </c>
      <c r="R231" s="25">
        <v>15</v>
      </c>
      <c r="S231" s="25">
        <f t="shared" si="18"/>
        <v>8</v>
      </c>
      <c r="T231" s="25">
        <v>15</v>
      </c>
      <c r="U231" s="29">
        <v>0</v>
      </c>
      <c r="V231" s="25">
        <v>0</v>
      </c>
      <c r="W231" s="25">
        <v>0</v>
      </c>
      <c r="X231" s="25">
        <v>0</v>
      </c>
      <c r="Y231" s="29">
        <v>0</v>
      </c>
      <c r="Z231" s="29">
        <v>0</v>
      </c>
      <c r="AA231" s="29">
        <v>0</v>
      </c>
      <c r="AB231" s="29">
        <v>0</v>
      </c>
      <c r="AC231" s="29">
        <v>0</v>
      </c>
      <c r="AD231" s="29">
        <v>0</v>
      </c>
      <c r="GR231" s="5"/>
      <c r="GS231" s="5"/>
      <c r="GT231" s="5"/>
      <c r="GU231" s="5"/>
      <c r="GV231" s="5"/>
      <c r="GW231" s="5"/>
      <c r="GX231" s="5"/>
      <c r="GY231" s="5"/>
      <c r="GZ231" s="5"/>
      <c r="HA231" s="5"/>
      <c r="HB231" s="5"/>
      <c r="HC231" s="5"/>
      <c r="HD231" s="5"/>
      <c r="HE231" s="5"/>
      <c r="HF231" s="5"/>
      <c r="HG231" s="5"/>
      <c r="HH231" s="5"/>
      <c r="HI231" s="5"/>
      <c r="HJ231" s="5"/>
      <c r="HK231" s="5"/>
      <c r="HL231" s="5"/>
      <c r="HM231" s="5"/>
      <c r="HN231" s="5"/>
      <c r="HO231" s="5"/>
      <c r="HP231" s="5"/>
    </row>
    <row r="232" spans="3:224" ht="20.100000000000001" customHeight="1">
      <c r="C232" s="24">
        <v>14010005</v>
      </c>
      <c r="D232" s="24" t="s">
        <v>265</v>
      </c>
      <c r="E232" s="25">
        <v>11200003</v>
      </c>
      <c r="F232" s="25">
        <v>0</v>
      </c>
      <c r="G232" s="25">
        <v>1</v>
      </c>
      <c r="H232" s="25">
        <v>20</v>
      </c>
      <c r="I232" s="29">
        <v>0.2</v>
      </c>
      <c r="J232" s="30">
        <v>5</v>
      </c>
      <c r="K232" s="25">
        <v>0</v>
      </c>
      <c r="L232" s="25">
        <v>0</v>
      </c>
      <c r="M232" s="25">
        <f t="shared" si="16"/>
        <v>7</v>
      </c>
      <c r="N232" s="25">
        <v>14</v>
      </c>
      <c r="O232" s="25">
        <v>0</v>
      </c>
      <c r="P232" s="25">
        <v>0</v>
      </c>
      <c r="Q232" s="25">
        <f t="shared" si="17"/>
        <v>3</v>
      </c>
      <c r="R232" s="25">
        <v>5</v>
      </c>
      <c r="S232" s="25">
        <f t="shared" si="18"/>
        <v>3</v>
      </c>
      <c r="T232" s="25">
        <v>5</v>
      </c>
      <c r="U232" s="29">
        <v>0</v>
      </c>
      <c r="V232" s="25">
        <v>0</v>
      </c>
      <c r="W232" s="25">
        <v>0</v>
      </c>
      <c r="X232" s="25">
        <v>0</v>
      </c>
      <c r="Y232" s="29">
        <v>0</v>
      </c>
      <c r="Z232" s="29">
        <v>0</v>
      </c>
      <c r="AA232" s="29">
        <v>0</v>
      </c>
      <c r="AB232" s="29">
        <v>0</v>
      </c>
      <c r="AC232" s="29">
        <v>0</v>
      </c>
      <c r="AD232" s="29">
        <v>0</v>
      </c>
      <c r="GR232" s="5"/>
      <c r="GS232" s="5"/>
      <c r="GT232" s="5"/>
      <c r="GU232" s="5"/>
      <c r="GV232" s="5"/>
      <c r="GW232" s="5"/>
      <c r="GX232" s="5"/>
      <c r="GY232" s="5"/>
      <c r="GZ232" s="5"/>
      <c r="HA232" s="5"/>
      <c r="HB232" s="5"/>
      <c r="HC232" s="5"/>
      <c r="HD232" s="5"/>
      <c r="HE232" s="5"/>
      <c r="HF232" s="5"/>
      <c r="HG232" s="5"/>
      <c r="HH232" s="5"/>
      <c r="HI232" s="5"/>
      <c r="HJ232" s="5"/>
      <c r="HK232" s="5"/>
      <c r="HL232" s="5"/>
      <c r="HM232" s="5"/>
      <c r="HN232" s="5"/>
      <c r="HO232" s="5"/>
      <c r="HP232" s="5"/>
    </row>
    <row r="233" spans="3:224" ht="20.100000000000001" customHeight="1">
      <c r="C233" s="24">
        <v>14010006</v>
      </c>
      <c r="D233" s="24" t="s">
        <v>266</v>
      </c>
      <c r="E233" s="25">
        <v>11200003</v>
      </c>
      <c r="F233" s="25">
        <v>0</v>
      </c>
      <c r="G233" s="25">
        <v>1</v>
      </c>
      <c r="H233" s="25">
        <v>20</v>
      </c>
      <c r="I233" s="29">
        <v>0.2</v>
      </c>
      <c r="J233" s="30">
        <v>5</v>
      </c>
      <c r="K233" s="25">
        <v>0</v>
      </c>
      <c r="L233" s="25">
        <v>0</v>
      </c>
      <c r="M233" s="25">
        <f t="shared" si="16"/>
        <v>12</v>
      </c>
      <c r="N233" s="25">
        <v>24</v>
      </c>
      <c r="O233" s="25">
        <v>0</v>
      </c>
      <c r="P233" s="25">
        <v>0</v>
      </c>
      <c r="Q233" s="25">
        <f t="shared" si="17"/>
        <v>4</v>
      </c>
      <c r="R233" s="25">
        <v>8</v>
      </c>
      <c r="S233" s="25">
        <f t="shared" si="18"/>
        <v>4</v>
      </c>
      <c r="T233" s="25">
        <v>8</v>
      </c>
      <c r="U233" s="29">
        <v>0</v>
      </c>
      <c r="V233" s="25">
        <v>0</v>
      </c>
      <c r="W233" s="25">
        <v>0</v>
      </c>
      <c r="X233" s="25">
        <v>0</v>
      </c>
      <c r="Y233" s="29">
        <v>0</v>
      </c>
      <c r="Z233" s="29">
        <v>0</v>
      </c>
      <c r="AA233" s="29">
        <v>0</v>
      </c>
      <c r="AB233" s="29">
        <v>0</v>
      </c>
      <c r="AC233" s="29">
        <v>0</v>
      </c>
      <c r="AD233" s="29">
        <v>0</v>
      </c>
      <c r="GR233" s="5"/>
      <c r="GS233" s="5"/>
      <c r="GT233" s="5"/>
      <c r="GU233" s="5"/>
      <c r="GV233" s="5"/>
      <c r="GW233" s="5"/>
      <c r="GX233" s="5"/>
      <c r="GY233" s="5"/>
      <c r="GZ233" s="5"/>
      <c r="HA233" s="5"/>
      <c r="HB233" s="5"/>
      <c r="HC233" s="5"/>
      <c r="HD233" s="5"/>
      <c r="HE233" s="5"/>
      <c r="HF233" s="5"/>
      <c r="HG233" s="5"/>
      <c r="HH233" s="5"/>
      <c r="HI233" s="5"/>
      <c r="HJ233" s="5"/>
      <c r="HK233" s="5"/>
      <c r="HL233" s="5"/>
      <c r="HM233" s="5"/>
      <c r="HN233" s="5"/>
      <c r="HO233" s="5"/>
      <c r="HP233" s="5"/>
    </row>
    <row r="234" spans="3:224" ht="20.100000000000001" customHeight="1">
      <c r="C234" s="24">
        <v>14010007</v>
      </c>
      <c r="D234" s="24" t="s">
        <v>267</v>
      </c>
      <c r="E234" s="25">
        <v>11200003</v>
      </c>
      <c r="F234" s="25">
        <v>11021</v>
      </c>
      <c r="G234" s="25">
        <v>1</v>
      </c>
      <c r="H234" s="25">
        <v>20</v>
      </c>
      <c r="I234" s="29">
        <v>0.2</v>
      </c>
      <c r="J234" s="30">
        <v>5</v>
      </c>
      <c r="K234" s="25">
        <v>0</v>
      </c>
      <c r="L234" s="25">
        <v>0</v>
      </c>
      <c r="M234" s="25">
        <f t="shared" si="16"/>
        <v>14</v>
      </c>
      <c r="N234" s="25">
        <v>27</v>
      </c>
      <c r="O234" s="25">
        <v>0</v>
      </c>
      <c r="P234" s="25">
        <v>0</v>
      </c>
      <c r="Q234" s="25">
        <f t="shared" si="17"/>
        <v>5</v>
      </c>
      <c r="R234" s="25">
        <v>9</v>
      </c>
      <c r="S234" s="25">
        <f t="shared" si="18"/>
        <v>5</v>
      </c>
      <c r="T234" s="25">
        <v>9</v>
      </c>
      <c r="U234" s="29">
        <v>0</v>
      </c>
      <c r="V234" s="25">
        <v>0</v>
      </c>
      <c r="W234" s="25">
        <v>0</v>
      </c>
      <c r="X234" s="25">
        <v>0</v>
      </c>
      <c r="Y234" s="29">
        <v>0</v>
      </c>
      <c r="Z234" s="29">
        <v>0</v>
      </c>
      <c r="AA234" s="29">
        <v>0</v>
      </c>
      <c r="AB234" s="29">
        <v>0</v>
      </c>
      <c r="AC234" s="29">
        <v>0</v>
      </c>
      <c r="AD234" s="29">
        <v>0</v>
      </c>
      <c r="GR234" s="5"/>
      <c r="GS234" s="5"/>
      <c r="GT234" s="5"/>
      <c r="GU234" s="5"/>
      <c r="GV234" s="5"/>
      <c r="GW234" s="5"/>
      <c r="GX234" s="5"/>
      <c r="GY234" s="5"/>
      <c r="GZ234" s="5"/>
      <c r="HA234" s="5"/>
      <c r="HB234" s="5"/>
      <c r="HC234" s="5"/>
      <c r="HD234" s="5"/>
      <c r="HE234" s="5"/>
      <c r="HF234" s="5"/>
      <c r="HG234" s="5"/>
      <c r="HH234" s="5"/>
      <c r="HI234" s="5"/>
      <c r="HJ234" s="5"/>
      <c r="HK234" s="5"/>
      <c r="HL234" s="5"/>
      <c r="HM234" s="5"/>
      <c r="HN234" s="5"/>
      <c r="HO234" s="5"/>
      <c r="HP234" s="5"/>
    </row>
    <row r="235" spans="3:224" ht="20.100000000000001" customHeight="1">
      <c r="C235" s="24">
        <v>14010008</v>
      </c>
      <c r="D235" s="24" t="s">
        <v>268</v>
      </c>
      <c r="E235" s="25">
        <v>11200003</v>
      </c>
      <c r="F235" s="25">
        <v>11042</v>
      </c>
      <c r="G235" s="25">
        <v>1</v>
      </c>
      <c r="H235" s="25">
        <v>20</v>
      </c>
      <c r="I235" s="29">
        <v>0.2</v>
      </c>
      <c r="J235" s="30">
        <v>10</v>
      </c>
      <c r="K235" s="25">
        <v>0</v>
      </c>
      <c r="L235" s="25">
        <v>0</v>
      </c>
      <c r="M235" s="25">
        <f t="shared" si="16"/>
        <v>17</v>
      </c>
      <c r="N235" s="25">
        <v>34</v>
      </c>
      <c r="O235" s="25">
        <v>0</v>
      </c>
      <c r="P235" s="25">
        <v>0</v>
      </c>
      <c r="Q235" s="25">
        <f t="shared" si="17"/>
        <v>6</v>
      </c>
      <c r="R235" s="25">
        <v>11</v>
      </c>
      <c r="S235" s="25">
        <f t="shared" si="18"/>
        <v>6</v>
      </c>
      <c r="T235" s="25">
        <v>11</v>
      </c>
      <c r="U235" s="29">
        <v>0</v>
      </c>
      <c r="V235" s="25">
        <v>0</v>
      </c>
      <c r="W235" s="25">
        <v>0</v>
      </c>
      <c r="X235" s="25">
        <v>0</v>
      </c>
      <c r="Y235" s="29">
        <v>0</v>
      </c>
      <c r="Z235" s="29">
        <v>0</v>
      </c>
      <c r="AA235" s="29">
        <v>0</v>
      </c>
      <c r="AB235" s="29">
        <v>0</v>
      </c>
      <c r="AC235" s="29">
        <v>0</v>
      </c>
      <c r="AD235" s="29">
        <v>0</v>
      </c>
      <c r="GR235" s="5"/>
      <c r="GS235" s="5"/>
      <c r="GT235" s="5"/>
      <c r="GU235" s="5"/>
      <c r="GV235" s="5"/>
      <c r="GW235" s="5"/>
      <c r="GX235" s="5"/>
      <c r="GY235" s="5"/>
      <c r="GZ235" s="5"/>
      <c r="HA235" s="5"/>
      <c r="HB235" s="5"/>
      <c r="HC235" s="5"/>
      <c r="HD235" s="5"/>
      <c r="HE235" s="5"/>
      <c r="HF235" s="5"/>
      <c r="HG235" s="5"/>
      <c r="HH235" s="5"/>
      <c r="HI235" s="5"/>
      <c r="HJ235" s="5"/>
      <c r="HK235" s="5"/>
      <c r="HL235" s="5"/>
      <c r="HM235" s="5"/>
      <c r="HN235" s="5"/>
      <c r="HO235" s="5"/>
      <c r="HP235" s="5"/>
    </row>
    <row r="236" spans="3:224" ht="20.100000000000001" customHeight="1">
      <c r="C236" s="24">
        <v>14010009</v>
      </c>
      <c r="D236" s="24" t="s">
        <v>61</v>
      </c>
      <c r="E236" s="25">
        <v>11200003</v>
      </c>
      <c r="F236" s="25">
        <v>0</v>
      </c>
      <c r="G236" s="25">
        <v>1</v>
      </c>
      <c r="H236" s="25">
        <v>20</v>
      </c>
      <c r="I236" s="29">
        <v>0.2</v>
      </c>
      <c r="J236" s="30">
        <v>5</v>
      </c>
      <c r="K236" s="25">
        <v>0</v>
      </c>
      <c r="L236" s="25">
        <v>0</v>
      </c>
      <c r="M236" s="25">
        <f t="shared" si="16"/>
        <v>4</v>
      </c>
      <c r="N236" s="25">
        <v>8</v>
      </c>
      <c r="O236" s="25">
        <v>0</v>
      </c>
      <c r="P236" s="25">
        <v>0</v>
      </c>
      <c r="Q236" s="25">
        <f t="shared" si="17"/>
        <v>4</v>
      </c>
      <c r="R236" s="25">
        <v>8</v>
      </c>
      <c r="S236" s="25">
        <f t="shared" si="18"/>
        <v>4</v>
      </c>
      <c r="T236" s="25">
        <v>8</v>
      </c>
      <c r="U236" s="29">
        <v>0</v>
      </c>
      <c r="V236" s="25">
        <v>0</v>
      </c>
      <c r="W236" s="25">
        <v>0</v>
      </c>
      <c r="X236" s="25">
        <v>0</v>
      </c>
      <c r="Y236" s="29">
        <v>0</v>
      </c>
      <c r="Z236" s="29">
        <v>0</v>
      </c>
      <c r="AA236" s="29">
        <v>0</v>
      </c>
      <c r="AB236" s="29">
        <v>0</v>
      </c>
      <c r="AC236" s="29">
        <v>0</v>
      </c>
      <c r="AD236" s="29">
        <v>0</v>
      </c>
      <c r="GR236" s="5"/>
      <c r="GS236" s="5"/>
      <c r="GT236" s="5"/>
      <c r="GU236" s="5"/>
      <c r="GV236" s="5"/>
      <c r="GW236" s="5"/>
      <c r="GX236" s="5"/>
      <c r="GY236" s="5"/>
      <c r="GZ236" s="5"/>
      <c r="HA236" s="5"/>
      <c r="HB236" s="5"/>
      <c r="HC236" s="5"/>
      <c r="HD236" s="5"/>
      <c r="HE236" s="5"/>
      <c r="HF236" s="5"/>
      <c r="HG236" s="5"/>
      <c r="HH236" s="5"/>
      <c r="HI236" s="5"/>
      <c r="HJ236" s="5"/>
      <c r="HK236" s="5"/>
      <c r="HL236" s="5"/>
      <c r="HM236" s="5"/>
      <c r="HN236" s="5"/>
      <c r="HO236" s="5"/>
      <c r="HP236" s="5"/>
    </row>
    <row r="237" spans="3:224" ht="20.100000000000001" customHeight="1">
      <c r="C237" s="24">
        <v>14010010</v>
      </c>
      <c r="D237" s="24" t="s">
        <v>144</v>
      </c>
      <c r="E237" s="25">
        <v>11200003</v>
      </c>
      <c r="F237" s="25">
        <v>0</v>
      </c>
      <c r="G237" s="25">
        <v>1</v>
      </c>
      <c r="H237" s="25">
        <v>20</v>
      </c>
      <c r="I237" s="29">
        <v>0.2</v>
      </c>
      <c r="J237" s="30">
        <v>5</v>
      </c>
      <c r="K237" s="25">
        <v>0</v>
      </c>
      <c r="L237" s="25">
        <v>0</v>
      </c>
      <c r="M237" s="25">
        <f t="shared" si="16"/>
        <v>7</v>
      </c>
      <c r="N237" s="25">
        <v>14</v>
      </c>
      <c r="O237" s="25">
        <v>0</v>
      </c>
      <c r="P237" s="25">
        <v>0</v>
      </c>
      <c r="Q237" s="25">
        <f t="shared" si="17"/>
        <v>7</v>
      </c>
      <c r="R237" s="25">
        <v>13</v>
      </c>
      <c r="S237" s="25">
        <f t="shared" si="18"/>
        <v>7</v>
      </c>
      <c r="T237" s="25">
        <v>13</v>
      </c>
      <c r="U237" s="29">
        <v>0</v>
      </c>
      <c r="V237" s="25">
        <v>0</v>
      </c>
      <c r="W237" s="25">
        <v>0</v>
      </c>
      <c r="X237" s="25">
        <v>0</v>
      </c>
      <c r="Y237" s="29">
        <v>0</v>
      </c>
      <c r="Z237" s="29">
        <v>0</v>
      </c>
      <c r="AA237" s="29">
        <v>0</v>
      </c>
      <c r="AB237" s="29">
        <v>0</v>
      </c>
      <c r="AC237" s="29">
        <v>0</v>
      </c>
      <c r="AD237" s="29">
        <v>0</v>
      </c>
      <c r="GR237" s="5"/>
      <c r="GS237" s="5"/>
      <c r="GT237" s="5"/>
      <c r="GU237" s="5"/>
      <c r="GV237" s="5"/>
      <c r="GW237" s="5"/>
      <c r="GX237" s="5"/>
      <c r="GY237" s="5"/>
      <c r="GZ237" s="5"/>
      <c r="HA237" s="5"/>
      <c r="HB237" s="5"/>
      <c r="HC237" s="5"/>
      <c r="HD237" s="5"/>
      <c r="HE237" s="5"/>
      <c r="HF237" s="5"/>
      <c r="HG237" s="5"/>
      <c r="HH237" s="5"/>
      <c r="HI237" s="5"/>
      <c r="HJ237" s="5"/>
      <c r="HK237" s="5"/>
      <c r="HL237" s="5"/>
      <c r="HM237" s="5"/>
      <c r="HN237" s="5"/>
      <c r="HO237" s="5"/>
      <c r="HP237" s="5"/>
    </row>
    <row r="238" spans="3:224" ht="20.100000000000001" customHeight="1">
      <c r="C238" s="24">
        <v>14010011</v>
      </c>
      <c r="D238" s="24" t="s">
        <v>269</v>
      </c>
      <c r="E238" s="25">
        <v>11200003</v>
      </c>
      <c r="F238" s="25">
        <v>11031</v>
      </c>
      <c r="G238" s="25">
        <v>1</v>
      </c>
      <c r="H238" s="25">
        <v>20</v>
      </c>
      <c r="I238" s="29">
        <v>0.2</v>
      </c>
      <c r="J238" s="30">
        <v>5</v>
      </c>
      <c r="K238" s="25">
        <v>0</v>
      </c>
      <c r="L238" s="25">
        <v>0</v>
      </c>
      <c r="M238" s="25">
        <f t="shared" si="16"/>
        <v>8</v>
      </c>
      <c r="N238" s="25">
        <v>15</v>
      </c>
      <c r="O238" s="25">
        <v>0</v>
      </c>
      <c r="P238" s="25">
        <v>0</v>
      </c>
      <c r="Q238" s="25">
        <f t="shared" si="17"/>
        <v>8</v>
      </c>
      <c r="R238" s="25">
        <v>15</v>
      </c>
      <c r="S238" s="25">
        <f t="shared" si="18"/>
        <v>8</v>
      </c>
      <c r="T238" s="25">
        <v>15</v>
      </c>
      <c r="U238" s="29">
        <v>0</v>
      </c>
      <c r="V238" s="25">
        <v>0</v>
      </c>
      <c r="W238" s="25">
        <v>0</v>
      </c>
      <c r="X238" s="25">
        <v>0</v>
      </c>
      <c r="Y238" s="29">
        <v>0</v>
      </c>
      <c r="Z238" s="29">
        <v>0</v>
      </c>
      <c r="AA238" s="29">
        <v>0</v>
      </c>
      <c r="AB238" s="29">
        <v>0</v>
      </c>
      <c r="AC238" s="29">
        <v>0</v>
      </c>
      <c r="AD238" s="29">
        <v>0</v>
      </c>
      <c r="GR238" s="5"/>
      <c r="GS238" s="5"/>
      <c r="GT238" s="5"/>
      <c r="GU238" s="5"/>
      <c r="GV238" s="5"/>
      <c r="GW238" s="5"/>
      <c r="GX238" s="5"/>
      <c r="GY238" s="5"/>
      <c r="GZ238" s="5"/>
      <c r="HA238" s="5"/>
      <c r="HB238" s="5"/>
      <c r="HC238" s="5"/>
      <c r="HD238" s="5"/>
      <c r="HE238" s="5"/>
      <c r="HF238" s="5"/>
      <c r="HG238" s="5"/>
      <c r="HH238" s="5"/>
      <c r="HI238" s="5"/>
      <c r="HJ238" s="5"/>
      <c r="HK238" s="5"/>
      <c r="HL238" s="5"/>
      <c r="HM238" s="5"/>
      <c r="HN238" s="5"/>
      <c r="HO238" s="5"/>
      <c r="HP238" s="5"/>
    </row>
    <row r="239" spans="3:224" ht="20.100000000000001" customHeight="1">
      <c r="C239" s="24">
        <v>14010012</v>
      </c>
      <c r="D239" s="24" t="s">
        <v>270</v>
      </c>
      <c r="E239" s="25">
        <v>11200003</v>
      </c>
      <c r="F239" s="25">
        <v>11043</v>
      </c>
      <c r="G239" s="25">
        <v>1</v>
      </c>
      <c r="H239" s="25">
        <v>20</v>
      </c>
      <c r="I239" s="29">
        <v>0.2</v>
      </c>
      <c r="J239" s="30">
        <v>10</v>
      </c>
      <c r="K239" s="25">
        <v>0</v>
      </c>
      <c r="L239" s="25">
        <v>0</v>
      </c>
      <c r="M239" s="25">
        <f t="shared" si="16"/>
        <v>10</v>
      </c>
      <c r="N239" s="25">
        <v>19</v>
      </c>
      <c r="O239" s="25">
        <v>0</v>
      </c>
      <c r="P239" s="25">
        <v>0</v>
      </c>
      <c r="Q239" s="25">
        <f t="shared" si="17"/>
        <v>10</v>
      </c>
      <c r="R239" s="25">
        <v>19</v>
      </c>
      <c r="S239" s="25">
        <f t="shared" si="18"/>
        <v>10</v>
      </c>
      <c r="T239" s="25">
        <v>19</v>
      </c>
      <c r="U239" s="29">
        <v>0</v>
      </c>
      <c r="V239" s="25">
        <v>0</v>
      </c>
      <c r="W239" s="25">
        <v>0</v>
      </c>
      <c r="X239" s="25">
        <v>0</v>
      </c>
      <c r="Y239" s="29">
        <v>0</v>
      </c>
      <c r="Z239" s="29">
        <v>0</v>
      </c>
      <c r="AA239" s="29">
        <v>0</v>
      </c>
      <c r="AB239" s="29">
        <v>0</v>
      </c>
      <c r="AC239" s="29">
        <v>0</v>
      </c>
      <c r="AD239" s="29">
        <v>0</v>
      </c>
      <c r="GR239" s="5"/>
      <c r="GS239" s="5"/>
      <c r="GT239" s="5"/>
      <c r="GU239" s="5"/>
      <c r="GV239" s="5"/>
      <c r="GW239" s="5"/>
      <c r="GX239" s="5"/>
      <c r="GY239" s="5"/>
      <c r="GZ239" s="5"/>
      <c r="HA239" s="5"/>
      <c r="HB239" s="5"/>
      <c r="HC239" s="5"/>
      <c r="HD239" s="5"/>
      <c r="HE239" s="5"/>
      <c r="HF239" s="5"/>
      <c r="HG239" s="5"/>
      <c r="HH239" s="5"/>
      <c r="HI239" s="5"/>
      <c r="HJ239" s="5"/>
      <c r="HK239" s="5"/>
      <c r="HL239" s="5"/>
      <c r="HM239" s="5"/>
      <c r="HN239" s="5"/>
      <c r="HO239" s="5"/>
      <c r="HP239" s="5"/>
    </row>
    <row r="240" spans="3:224" ht="20.100000000000001" customHeight="1">
      <c r="C240" s="24">
        <v>14020001</v>
      </c>
      <c r="D240" s="24" t="s">
        <v>271</v>
      </c>
      <c r="E240" s="25">
        <v>11200003</v>
      </c>
      <c r="F240" s="25">
        <v>0</v>
      </c>
      <c r="G240" s="25">
        <v>1</v>
      </c>
      <c r="H240" s="25">
        <v>20</v>
      </c>
      <c r="I240" s="29">
        <v>0.2</v>
      </c>
      <c r="J240" s="30">
        <v>5</v>
      </c>
      <c r="K240" s="25">
        <v>0</v>
      </c>
      <c r="L240" s="25">
        <v>0</v>
      </c>
      <c r="M240" s="25">
        <f t="shared" si="16"/>
        <v>6</v>
      </c>
      <c r="N240" s="25">
        <v>12</v>
      </c>
      <c r="O240" s="25">
        <v>0</v>
      </c>
      <c r="P240" s="25">
        <v>0</v>
      </c>
      <c r="Q240" s="25">
        <f t="shared" si="17"/>
        <v>0</v>
      </c>
      <c r="R240" s="25">
        <v>0</v>
      </c>
      <c r="S240" s="25">
        <f t="shared" si="18"/>
        <v>10</v>
      </c>
      <c r="T240" s="25">
        <v>20</v>
      </c>
      <c r="U240" s="29">
        <v>0</v>
      </c>
      <c r="V240" s="25">
        <v>0</v>
      </c>
      <c r="W240" s="25">
        <v>0</v>
      </c>
      <c r="X240" s="25">
        <v>0</v>
      </c>
      <c r="Y240" s="29">
        <v>0</v>
      </c>
      <c r="Z240" s="29">
        <v>0</v>
      </c>
      <c r="AA240" s="29">
        <v>0</v>
      </c>
      <c r="AB240" s="29">
        <v>0</v>
      </c>
      <c r="AC240" s="29">
        <v>0</v>
      </c>
      <c r="AD240" s="29">
        <v>0</v>
      </c>
      <c r="GR240" s="5"/>
      <c r="GS240" s="5"/>
      <c r="GT240" s="5"/>
      <c r="GU240" s="5"/>
      <c r="GV240" s="5"/>
      <c r="GW240" s="5"/>
      <c r="GX240" s="5"/>
      <c r="GY240" s="5"/>
      <c r="GZ240" s="5"/>
      <c r="HA240" s="5"/>
      <c r="HB240" s="5"/>
      <c r="HC240" s="5"/>
      <c r="HD240" s="5"/>
      <c r="HE240" s="5"/>
      <c r="HF240" s="5"/>
      <c r="HG240" s="5"/>
      <c r="HH240" s="5"/>
      <c r="HI240" s="5"/>
      <c r="HJ240" s="5"/>
      <c r="HK240" s="5"/>
      <c r="HL240" s="5"/>
      <c r="HM240" s="5"/>
      <c r="HN240" s="5"/>
      <c r="HO240" s="5"/>
      <c r="HP240" s="5"/>
    </row>
    <row r="241" spans="3:224" ht="20.100000000000001" customHeight="1">
      <c r="C241" s="24">
        <v>14020002</v>
      </c>
      <c r="D241" s="24" t="s">
        <v>272</v>
      </c>
      <c r="E241" s="25">
        <v>11200003</v>
      </c>
      <c r="F241" s="25">
        <v>0</v>
      </c>
      <c r="G241" s="25">
        <v>1</v>
      </c>
      <c r="H241" s="25">
        <v>20</v>
      </c>
      <c r="I241" s="29">
        <v>0.2</v>
      </c>
      <c r="J241" s="30">
        <v>5</v>
      </c>
      <c r="K241" s="25">
        <v>0</v>
      </c>
      <c r="L241" s="25">
        <v>0</v>
      </c>
      <c r="M241" s="25">
        <f t="shared" si="16"/>
        <v>12</v>
      </c>
      <c r="N241" s="25">
        <v>24</v>
      </c>
      <c r="O241" s="25">
        <v>0</v>
      </c>
      <c r="P241" s="25">
        <v>0</v>
      </c>
      <c r="Q241" s="25">
        <f t="shared" si="17"/>
        <v>0</v>
      </c>
      <c r="R241" s="25">
        <v>0</v>
      </c>
      <c r="S241" s="25">
        <f t="shared" si="18"/>
        <v>15</v>
      </c>
      <c r="T241" s="25">
        <v>30</v>
      </c>
      <c r="U241" s="29">
        <v>0</v>
      </c>
      <c r="V241" s="25">
        <v>0</v>
      </c>
      <c r="W241" s="25">
        <v>0</v>
      </c>
      <c r="X241" s="25">
        <v>0</v>
      </c>
      <c r="Y241" s="29">
        <v>0</v>
      </c>
      <c r="Z241" s="29">
        <v>0</v>
      </c>
      <c r="AA241" s="29">
        <v>0</v>
      </c>
      <c r="AB241" s="29">
        <v>0</v>
      </c>
      <c r="AC241" s="29">
        <v>0</v>
      </c>
      <c r="AD241" s="29">
        <v>0</v>
      </c>
      <c r="GR241" s="5"/>
      <c r="GS241" s="5"/>
      <c r="GT241" s="5"/>
      <c r="GU241" s="5"/>
      <c r="GV241" s="5"/>
      <c r="GW241" s="5"/>
      <c r="GX241" s="5"/>
      <c r="GY241" s="5"/>
      <c r="GZ241" s="5"/>
      <c r="HA241" s="5"/>
      <c r="HB241" s="5"/>
      <c r="HC241" s="5"/>
      <c r="HD241" s="5"/>
      <c r="HE241" s="5"/>
      <c r="HF241" s="5"/>
      <c r="HG241" s="5"/>
      <c r="HH241" s="5"/>
      <c r="HI241" s="5"/>
      <c r="HJ241" s="5"/>
      <c r="HK241" s="5"/>
      <c r="HL241" s="5"/>
      <c r="HM241" s="5"/>
      <c r="HN241" s="5"/>
      <c r="HO241" s="5"/>
      <c r="HP241" s="5"/>
    </row>
    <row r="242" spans="3:224" ht="20.100000000000001" customHeight="1">
      <c r="C242" s="24">
        <v>14020003</v>
      </c>
      <c r="D242" s="24" t="s">
        <v>273</v>
      </c>
      <c r="E242" s="25">
        <v>11200003</v>
      </c>
      <c r="F242" s="25">
        <v>11011</v>
      </c>
      <c r="G242" s="25">
        <v>1</v>
      </c>
      <c r="H242" s="25">
        <v>20</v>
      </c>
      <c r="I242" s="29">
        <v>0.2</v>
      </c>
      <c r="J242" s="30">
        <v>5</v>
      </c>
      <c r="K242" s="25">
        <v>0</v>
      </c>
      <c r="L242" s="25">
        <v>0</v>
      </c>
      <c r="M242" s="25">
        <f t="shared" si="16"/>
        <v>14</v>
      </c>
      <c r="N242" s="25">
        <v>27</v>
      </c>
      <c r="O242" s="25">
        <v>0</v>
      </c>
      <c r="P242" s="25">
        <v>0</v>
      </c>
      <c r="Q242" s="25">
        <f t="shared" si="17"/>
        <v>0</v>
      </c>
      <c r="R242" s="25">
        <v>0</v>
      </c>
      <c r="S242" s="25">
        <f t="shared" si="18"/>
        <v>18</v>
      </c>
      <c r="T242" s="25">
        <v>35</v>
      </c>
      <c r="U242" s="29">
        <v>0</v>
      </c>
      <c r="V242" s="25">
        <v>0</v>
      </c>
      <c r="W242" s="25">
        <v>0</v>
      </c>
      <c r="X242" s="25">
        <v>0</v>
      </c>
      <c r="Y242" s="29">
        <v>0</v>
      </c>
      <c r="Z242" s="29">
        <v>0</v>
      </c>
      <c r="AA242" s="29">
        <v>0</v>
      </c>
      <c r="AB242" s="29">
        <v>0</v>
      </c>
      <c r="AC242" s="29">
        <v>0</v>
      </c>
      <c r="AD242" s="29">
        <v>0</v>
      </c>
      <c r="GR242" s="5"/>
      <c r="GS242" s="5"/>
      <c r="GT242" s="5"/>
      <c r="GU242" s="5"/>
      <c r="GV242" s="5"/>
      <c r="GW242" s="5"/>
      <c r="GX242" s="5"/>
      <c r="GY242" s="5"/>
      <c r="GZ242" s="5"/>
      <c r="HA242" s="5"/>
      <c r="HB242" s="5"/>
      <c r="HC242" s="5"/>
      <c r="HD242" s="5"/>
      <c r="HE242" s="5"/>
      <c r="HF242" s="5"/>
      <c r="HG242" s="5"/>
      <c r="HH242" s="5"/>
      <c r="HI242" s="5"/>
      <c r="HJ242" s="5"/>
      <c r="HK242" s="5"/>
      <c r="HL242" s="5"/>
      <c r="HM242" s="5"/>
      <c r="HN242" s="5"/>
      <c r="HO242" s="5"/>
      <c r="HP242" s="5"/>
    </row>
    <row r="243" spans="3:224" ht="20.100000000000001" customHeight="1">
      <c r="C243" s="24">
        <v>14020004</v>
      </c>
      <c r="D243" s="24" t="s">
        <v>274</v>
      </c>
      <c r="E243" s="25">
        <v>11200003</v>
      </c>
      <c r="F243" s="25">
        <v>11041</v>
      </c>
      <c r="G243" s="25">
        <v>1</v>
      </c>
      <c r="H243" s="25">
        <v>20</v>
      </c>
      <c r="I243" s="29">
        <v>0.2</v>
      </c>
      <c r="J243" s="30">
        <v>10</v>
      </c>
      <c r="K243" s="25">
        <v>0</v>
      </c>
      <c r="L243" s="25">
        <v>0</v>
      </c>
      <c r="M243" s="25">
        <f t="shared" si="16"/>
        <v>17</v>
      </c>
      <c r="N243" s="25">
        <v>33</v>
      </c>
      <c r="O243" s="25">
        <v>0</v>
      </c>
      <c r="P243" s="25">
        <v>0</v>
      </c>
      <c r="Q243" s="25">
        <f t="shared" si="17"/>
        <v>0</v>
      </c>
      <c r="R243" s="25">
        <v>0</v>
      </c>
      <c r="S243" s="25">
        <f t="shared" si="18"/>
        <v>23</v>
      </c>
      <c r="T243" s="25">
        <v>45</v>
      </c>
      <c r="U243" s="29">
        <v>0</v>
      </c>
      <c r="V243" s="25">
        <v>0</v>
      </c>
      <c r="W243" s="25">
        <v>0</v>
      </c>
      <c r="X243" s="25">
        <v>0</v>
      </c>
      <c r="Y243" s="29">
        <v>0</v>
      </c>
      <c r="Z243" s="29">
        <v>0</v>
      </c>
      <c r="AA243" s="29">
        <v>0</v>
      </c>
      <c r="AB243" s="29">
        <v>0</v>
      </c>
      <c r="AC243" s="29">
        <v>0</v>
      </c>
      <c r="AD243" s="29">
        <v>0</v>
      </c>
      <c r="GR243" s="5"/>
      <c r="GS243" s="5"/>
      <c r="GT243" s="5"/>
      <c r="GU243" s="5"/>
      <c r="GV243" s="5"/>
      <c r="GW243" s="5"/>
      <c r="GX243" s="5"/>
      <c r="GY243" s="5"/>
      <c r="GZ243" s="5"/>
      <c r="HA243" s="5"/>
      <c r="HB243" s="5"/>
      <c r="HC243" s="5"/>
      <c r="HD243" s="5"/>
      <c r="HE243" s="5"/>
      <c r="HF243" s="5"/>
      <c r="HG243" s="5"/>
      <c r="HH243" s="5"/>
      <c r="HI243" s="5"/>
      <c r="HJ243" s="5"/>
      <c r="HK243" s="5"/>
      <c r="HL243" s="5"/>
      <c r="HM243" s="5"/>
      <c r="HN243" s="5"/>
      <c r="HO243" s="5"/>
      <c r="HP243" s="5"/>
    </row>
    <row r="244" spans="3:224" ht="20.100000000000001" customHeight="1">
      <c r="C244" s="24">
        <v>14020005</v>
      </c>
      <c r="D244" s="24" t="s">
        <v>275</v>
      </c>
      <c r="E244" s="25">
        <v>11200003</v>
      </c>
      <c r="F244" s="25">
        <v>0</v>
      </c>
      <c r="G244" s="25">
        <v>1</v>
      </c>
      <c r="H244" s="25">
        <v>20</v>
      </c>
      <c r="I244" s="29">
        <v>0.2</v>
      </c>
      <c r="J244" s="30">
        <v>5</v>
      </c>
      <c r="K244" s="25">
        <v>0</v>
      </c>
      <c r="L244" s="25">
        <v>0</v>
      </c>
      <c r="M244" s="25">
        <f t="shared" si="16"/>
        <v>8</v>
      </c>
      <c r="N244" s="25">
        <v>16</v>
      </c>
      <c r="O244" s="25">
        <v>0</v>
      </c>
      <c r="P244" s="25">
        <v>0</v>
      </c>
      <c r="Q244" s="25">
        <f t="shared" si="17"/>
        <v>0</v>
      </c>
      <c r="R244" s="25">
        <v>0</v>
      </c>
      <c r="S244" s="25">
        <f t="shared" si="18"/>
        <v>8</v>
      </c>
      <c r="T244" s="25">
        <v>15</v>
      </c>
      <c r="U244" s="29">
        <v>0</v>
      </c>
      <c r="V244" s="25">
        <v>0</v>
      </c>
      <c r="W244" s="25">
        <v>0</v>
      </c>
      <c r="X244" s="25">
        <v>0</v>
      </c>
      <c r="Y244" s="29">
        <v>0</v>
      </c>
      <c r="Z244" s="29">
        <v>0</v>
      </c>
      <c r="AA244" s="29">
        <v>0</v>
      </c>
      <c r="AB244" s="29">
        <v>0</v>
      </c>
      <c r="AC244" s="29">
        <v>0</v>
      </c>
      <c r="AD244" s="29">
        <v>0</v>
      </c>
      <c r="GR244" s="5"/>
      <c r="GS244" s="5"/>
      <c r="GT244" s="5"/>
      <c r="GU244" s="5"/>
      <c r="GV244" s="5"/>
      <c r="GW244" s="5"/>
      <c r="GX244" s="5"/>
      <c r="GY244" s="5"/>
      <c r="GZ244" s="5"/>
      <c r="HA244" s="5"/>
      <c r="HB244" s="5"/>
      <c r="HC244" s="5"/>
      <c r="HD244" s="5"/>
      <c r="HE244" s="5"/>
      <c r="HF244" s="5"/>
      <c r="HG244" s="5"/>
      <c r="HH244" s="5"/>
      <c r="HI244" s="5"/>
      <c r="HJ244" s="5"/>
      <c r="HK244" s="5"/>
      <c r="HL244" s="5"/>
      <c r="HM244" s="5"/>
      <c r="HN244" s="5"/>
      <c r="HO244" s="5"/>
      <c r="HP244" s="5"/>
    </row>
    <row r="245" spans="3:224" ht="20.100000000000001" customHeight="1">
      <c r="C245" s="24">
        <v>14020006</v>
      </c>
      <c r="D245" s="24" t="s">
        <v>276</v>
      </c>
      <c r="E245" s="25">
        <v>11200003</v>
      </c>
      <c r="F245" s="25">
        <v>0</v>
      </c>
      <c r="G245" s="25">
        <v>1</v>
      </c>
      <c r="H245" s="25">
        <v>20</v>
      </c>
      <c r="I245" s="29">
        <v>0.2</v>
      </c>
      <c r="J245" s="30">
        <v>5</v>
      </c>
      <c r="K245" s="25">
        <v>0</v>
      </c>
      <c r="L245" s="25">
        <v>0</v>
      </c>
      <c r="M245" s="25">
        <f t="shared" si="16"/>
        <v>16</v>
      </c>
      <c r="N245" s="25">
        <v>32</v>
      </c>
      <c r="O245" s="25">
        <v>0</v>
      </c>
      <c r="P245" s="25">
        <v>0</v>
      </c>
      <c r="Q245" s="25">
        <f t="shared" si="17"/>
        <v>0</v>
      </c>
      <c r="R245" s="25">
        <v>0</v>
      </c>
      <c r="S245" s="25">
        <f t="shared" si="18"/>
        <v>12</v>
      </c>
      <c r="T245" s="25">
        <v>23</v>
      </c>
      <c r="U245" s="29">
        <v>0</v>
      </c>
      <c r="V245" s="25">
        <v>0</v>
      </c>
      <c r="W245" s="25">
        <v>0</v>
      </c>
      <c r="X245" s="25">
        <v>0</v>
      </c>
      <c r="Y245" s="29">
        <v>0</v>
      </c>
      <c r="Z245" s="29">
        <v>0</v>
      </c>
      <c r="AA245" s="29">
        <v>0</v>
      </c>
      <c r="AB245" s="29">
        <v>0</v>
      </c>
      <c r="AC245" s="29">
        <v>0</v>
      </c>
      <c r="AD245" s="29">
        <v>0</v>
      </c>
      <c r="GR245" s="5"/>
      <c r="GS245" s="5"/>
      <c r="GT245" s="5"/>
      <c r="GU245" s="5"/>
      <c r="GV245" s="5"/>
      <c r="GW245" s="5"/>
      <c r="GX245" s="5"/>
      <c r="GY245" s="5"/>
      <c r="GZ245" s="5"/>
      <c r="HA245" s="5"/>
      <c r="HB245" s="5"/>
      <c r="HC245" s="5"/>
      <c r="HD245" s="5"/>
      <c r="HE245" s="5"/>
      <c r="HF245" s="5"/>
      <c r="HG245" s="5"/>
      <c r="HH245" s="5"/>
      <c r="HI245" s="5"/>
      <c r="HJ245" s="5"/>
      <c r="HK245" s="5"/>
      <c r="HL245" s="5"/>
      <c r="HM245" s="5"/>
      <c r="HN245" s="5"/>
      <c r="HO245" s="5"/>
      <c r="HP245" s="5"/>
    </row>
    <row r="246" spans="3:224" ht="20.100000000000001" customHeight="1">
      <c r="C246" s="24">
        <v>14020007</v>
      </c>
      <c r="D246" s="24" t="s">
        <v>277</v>
      </c>
      <c r="E246" s="25">
        <v>11200003</v>
      </c>
      <c r="F246" s="25">
        <v>11021</v>
      </c>
      <c r="G246" s="25">
        <v>1</v>
      </c>
      <c r="H246" s="25">
        <v>20</v>
      </c>
      <c r="I246" s="29">
        <v>0.2</v>
      </c>
      <c r="J246" s="30">
        <v>5</v>
      </c>
      <c r="K246" s="25">
        <v>0</v>
      </c>
      <c r="L246" s="25">
        <v>0</v>
      </c>
      <c r="M246" s="25">
        <f t="shared" si="16"/>
        <v>18</v>
      </c>
      <c r="N246" s="25">
        <v>36</v>
      </c>
      <c r="O246" s="25">
        <v>0</v>
      </c>
      <c r="P246" s="25">
        <v>0</v>
      </c>
      <c r="Q246" s="25">
        <f t="shared" si="17"/>
        <v>0</v>
      </c>
      <c r="R246" s="25">
        <v>0</v>
      </c>
      <c r="S246" s="25">
        <f t="shared" si="18"/>
        <v>13</v>
      </c>
      <c r="T246" s="25">
        <v>26</v>
      </c>
      <c r="U246" s="29">
        <v>0</v>
      </c>
      <c r="V246" s="25">
        <v>0</v>
      </c>
      <c r="W246" s="25">
        <v>0</v>
      </c>
      <c r="X246" s="25">
        <v>0</v>
      </c>
      <c r="Y246" s="29">
        <v>0</v>
      </c>
      <c r="Z246" s="29">
        <v>0</v>
      </c>
      <c r="AA246" s="29">
        <v>0</v>
      </c>
      <c r="AB246" s="29">
        <v>0</v>
      </c>
      <c r="AC246" s="29">
        <v>0</v>
      </c>
      <c r="AD246" s="29">
        <v>0</v>
      </c>
      <c r="GR246" s="5"/>
      <c r="GS246" s="5"/>
      <c r="GT246" s="5"/>
      <c r="GU246" s="5"/>
      <c r="GV246" s="5"/>
      <c r="GW246" s="5"/>
      <c r="GX246" s="5"/>
      <c r="GY246" s="5"/>
      <c r="GZ246" s="5"/>
      <c r="HA246" s="5"/>
      <c r="HB246" s="5"/>
      <c r="HC246" s="5"/>
      <c r="HD246" s="5"/>
      <c r="HE246" s="5"/>
      <c r="HF246" s="5"/>
      <c r="HG246" s="5"/>
      <c r="HH246" s="5"/>
      <c r="HI246" s="5"/>
      <c r="HJ246" s="5"/>
      <c r="HK246" s="5"/>
      <c r="HL246" s="5"/>
      <c r="HM246" s="5"/>
      <c r="HN246" s="5"/>
      <c r="HO246" s="5"/>
      <c r="HP246" s="5"/>
    </row>
    <row r="247" spans="3:224" ht="20.100000000000001" customHeight="1">
      <c r="C247" s="24">
        <v>14020008</v>
      </c>
      <c r="D247" s="24" t="s">
        <v>278</v>
      </c>
      <c r="E247" s="25">
        <v>11200003</v>
      </c>
      <c r="F247" s="25">
        <v>11042</v>
      </c>
      <c r="G247" s="25">
        <v>1</v>
      </c>
      <c r="H247" s="25">
        <v>20</v>
      </c>
      <c r="I247" s="29">
        <v>0.2</v>
      </c>
      <c r="J247" s="30">
        <v>10</v>
      </c>
      <c r="K247" s="25">
        <v>0</v>
      </c>
      <c r="L247" s="25">
        <v>0</v>
      </c>
      <c r="M247" s="25">
        <f t="shared" si="16"/>
        <v>23</v>
      </c>
      <c r="N247" s="25">
        <v>45</v>
      </c>
      <c r="O247" s="25">
        <v>0</v>
      </c>
      <c r="P247" s="25">
        <v>0</v>
      </c>
      <c r="Q247" s="25">
        <f t="shared" si="17"/>
        <v>0</v>
      </c>
      <c r="R247" s="25">
        <v>0</v>
      </c>
      <c r="S247" s="25">
        <f t="shared" si="18"/>
        <v>17</v>
      </c>
      <c r="T247" s="25">
        <v>34</v>
      </c>
      <c r="U247" s="29">
        <v>0</v>
      </c>
      <c r="V247" s="25">
        <v>0</v>
      </c>
      <c r="W247" s="25">
        <v>0</v>
      </c>
      <c r="X247" s="25">
        <v>0</v>
      </c>
      <c r="Y247" s="29">
        <v>0</v>
      </c>
      <c r="Z247" s="29">
        <v>0</v>
      </c>
      <c r="AA247" s="29">
        <v>0</v>
      </c>
      <c r="AB247" s="29">
        <v>0</v>
      </c>
      <c r="AC247" s="29">
        <v>0</v>
      </c>
      <c r="AD247" s="29">
        <v>0</v>
      </c>
      <c r="GR247" s="5"/>
      <c r="GS247" s="5"/>
      <c r="GT247" s="5"/>
      <c r="GU247" s="5"/>
      <c r="GV247" s="5"/>
      <c r="GW247" s="5"/>
      <c r="GX247" s="5"/>
      <c r="GY247" s="5"/>
      <c r="GZ247" s="5"/>
      <c r="HA247" s="5"/>
      <c r="HB247" s="5"/>
      <c r="HC247" s="5"/>
      <c r="HD247" s="5"/>
      <c r="HE247" s="5"/>
      <c r="HF247" s="5"/>
      <c r="HG247" s="5"/>
      <c r="HH247" s="5"/>
      <c r="HI247" s="5"/>
      <c r="HJ247" s="5"/>
      <c r="HK247" s="5"/>
      <c r="HL247" s="5"/>
      <c r="HM247" s="5"/>
      <c r="HN247" s="5"/>
      <c r="HO247" s="5"/>
      <c r="HP247" s="5"/>
    </row>
    <row r="248" spans="3:224" ht="20.100000000000001" customHeight="1">
      <c r="C248" s="24">
        <v>14020009</v>
      </c>
      <c r="D248" s="24" t="s">
        <v>64</v>
      </c>
      <c r="E248" s="25">
        <v>11200003</v>
      </c>
      <c r="F248" s="25">
        <v>0</v>
      </c>
      <c r="G248" s="25">
        <v>1</v>
      </c>
      <c r="H248" s="25">
        <v>20</v>
      </c>
      <c r="I248" s="29">
        <v>0.2</v>
      </c>
      <c r="J248" s="30">
        <v>5</v>
      </c>
      <c r="K248" s="25">
        <v>0</v>
      </c>
      <c r="L248" s="25">
        <v>0</v>
      </c>
      <c r="M248" s="25">
        <f t="shared" si="16"/>
        <v>5</v>
      </c>
      <c r="N248" s="25">
        <v>9</v>
      </c>
      <c r="O248" s="25">
        <v>0</v>
      </c>
      <c r="P248" s="25">
        <v>0</v>
      </c>
      <c r="Q248" s="25">
        <f t="shared" si="17"/>
        <v>0</v>
      </c>
      <c r="R248" s="25">
        <v>0</v>
      </c>
      <c r="S248" s="25">
        <f t="shared" si="18"/>
        <v>13</v>
      </c>
      <c r="T248" s="25">
        <v>25</v>
      </c>
      <c r="U248" s="29">
        <v>0</v>
      </c>
      <c r="V248" s="25">
        <v>0</v>
      </c>
      <c r="W248" s="25">
        <v>0</v>
      </c>
      <c r="X248" s="25">
        <v>0</v>
      </c>
      <c r="Y248" s="29">
        <v>0</v>
      </c>
      <c r="Z248" s="29">
        <v>0</v>
      </c>
      <c r="AA248" s="29">
        <v>0</v>
      </c>
      <c r="AB248" s="29">
        <v>0</v>
      </c>
      <c r="AC248" s="29">
        <v>0</v>
      </c>
      <c r="AD248" s="29">
        <v>0</v>
      </c>
      <c r="GR248" s="5"/>
      <c r="GS248" s="5"/>
      <c r="GT248" s="5"/>
      <c r="GU248" s="5"/>
      <c r="GV248" s="5"/>
      <c r="GW248" s="5"/>
      <c r="GX248" s="5"/>
      <c r="GY248" s="5"/>
      <c r="GZ248" s="5"/>
      <c r="HA248" s="5"/>
      <c r="HB248" s="5"/>
      <c r="HC248" s="5"/>
      <c r="HD248" s="5"/>
      <c r="HE248" s="5"/>
      <c r="HF248" s="5"/>
      <c r="HG248" s="5"/>
      <c r="HH248" s="5"/>
      <c r="HI248" s="5"/>
      <c r="HJ248" s="5"/>
      <c r="HK248" s="5"/>
      <c r="HL248" s="5"/>
      <c r="HM248" s="5"/>
      <c r="HN248" s="5"/>
      <c r="HO248" s="5"/>
      <c r="HP248" s="5"/>
    </row>
    <row r="249" spans="3:224" ht="20.100000000000001" customHeight="1">
      <c r="C249" s="24">
        <v>14020010</v>
      </c>
      <c r="D249" s="24" t="s">
        <v>279</v>
      </c>
      <c r="E249" s="25">
        <v>11200003</v>
      </c>
      <c r="F249" s="25">
        <v>0</v>
      </c>
      <c r="G249" s="25">
        <v>1</v>
      </c>
      <c r="H249" s="25">
        <v>20</v>
      </c>
      <c r="I249" s="29">
        <v>0.2</v>
      </c>
      <c r="J249" s="30">
        <v>5</v>
      </c>
      <c r="K249" s="25">
        <v>0</v>
      </c>
      <c r="L249" s="25">
        <v>0</v>
      </c>
      <c r="M249" s="25">
        <f t="shared" si="16"/>
        <v>9</v>
      </c>
      <c r="N249" s="25">
        <v>18</v>
      </c>
      <c r="O249" s="25">
        <v>0</v>
      </c>
      <c r="P249" s="25">
        <v>0</v>
      </c>
      <c r="Q249" s="25">
        <f t="shared" si="17"/>
        <v>0</v>
      </c>
      <c r="R249" s="25">
        <v>0</v>
      </c>
      <c r="S249" s="25">
        <f t="shared" si="18"/>
        <v>19</v>
      </c>
      <c r="T249" s="25">
        <v>38</v>
      </c>
      <c r="U249" s="29">
        <v>0</v>
      </c>
      <c r="V249" s="25">
        <v>0</v>
      </c>
      <c r="W249" s="25">
        <v>0</v>
      </c>
      <c r="X249" s="25">
        <v>0</v>
      </c>
      <c r="Y249" s="29">
        <v>0</v>
      </c>
      <c r="Z249" s="29">
        <v>0</v>
      </c>
      <c r="AA249" s="29">
        <v>0</v>
      </c>
      <c r="AB249" s="29">
        <v>0</v>
      </c>
      <c r="AC249" s="29">
        <v>0</v>
      </c>
      <c r="AD249" s="29">
        <v>0</v>
      </c>
      <c r="GR249" s="5"/>
      <c r="GS249" s="5"/>
      <c r="GT249" s="5"/>
      <c r="GU249" s="5"/>
      <c r="GV249" s="5"/>
      <c r="GW249" s="5"/>
      <c r="GX249" s="5"/>
      <c r="GY249" s="5"/>
      <c r="GZ249" s="5"/>
      <c r="HA249" s="5"/>
      <c r="HB249" s="5"/>
      <c r="HC249" s="5"/>
      <c r="HD249" s="5"/>
      <c r="HE249" s="5"/>
      <c r="HF249" s="5"/>
      <c r="HG249" s="5"/>
      <c r="HH249" s="5"/>
      <c r="HI249" s="5"/>
      <c r="HJ249" s="5"/>
      <c r="HK249" s="5"/>
      <c r="HL249" s="5"/>
      <c r="HM249" s="5"/>
      <c r="HN249" s="5"/>
      <c r="HO249" s="5"/>
      <c r="HP249" s="5"/>
    </row>
    <row r="250" spans="3:224" ht="20.100000000000001" customHeight="1">
      <c r="C250" s="24">
        <v>14020011</v>
      </c>
      <c r="D250" s="24" t="s">
        <v>280</v>
      </c>
      <c r="E250" s="25">
        <v>11200003</v>
      </c>
      <c r="F250" s="25">
        <v>11031</v>
      </c>
      <c r="G250" s="25">
        <v>1</v>
      </c>
      <c r="H250" s="25">
        <v>20</v>
      </c>
      <c r="I250" s="29">
        <v>0.2</v>
      </c>
      <c r="J250" s="30">
        <v>5</v>
      </c>
      <c r="K250" s="25">
        <v>0</v>
      </c>
      <c r="L250" s="25">
        <v>0</v>
      </c>
      <c r="M250" s="25">
        <f t="shared" si="16"/>
        <v>10</v>
      </c>
      <c r="N250" s="25">
        <v>20</v>
      </c>
      <c r="O250" s="25">
        <v>0</v>
      </c>
      <c r="P250" s="25">
        <v>0</v>
      </c>
      <c r="Q250" s="25">
        <f t="shared" si="17"/>
        <v>0</v>
      </c>
      <c r="R250" s="25">
        <v>0</v>
      </c>
      <c r="S250" s="25">
        <f t="shared" si="18"/>
        <v>22</v>
      </c>
      <c r="T250" s="25">
        <v>44</v>
      </c>
      <c r="U250" s="29">
        <v>0</v>
      </c>
      <c r="V250" s="25">
        <v>0</v>
      </c>
      <c r="W250" s="25">
        <v>0</v>
      </c>
      <c r="X250" s="25">
        <v>0</v>
      </c>
      <c r="Y250" s="29">
        <v>0</v>
      </c>
      <c r="Z250" s="29">
        <v>0</v>
      </c>
      <c r="AA250" s="29">
        <v>0</v>
      </c>
      <c r="AB250" s="29">
        <v>0</v>
      </c>
      <c r="AC250" s="29">
        <v>0</v>
      </c>
      <c r="AD250" s="29">
        <v>0</v>
      </c>
      <c r="GR250" s="5"/>
      <c r="GS250" s="5"/>
      <c r="GT250" s="5"/>
      <c r="GU250" s="5"/>
      <c r="GV250" s="5"/>
      <c r="GW250" s="5"/>
      <c r="GX250" s="5"/>
      <c r="GY250" s="5"/>
      <c r="GZ250" s="5"/>
      <c r="HA250" s="5"/>
      <c r="HB250" s="5"/>
      <c r="HC250" s="5"/>
      <c r="HD250" s="5"/>
      <c r="HE250" s="5"/>
      <c r="HF250" s="5"/>
      <c r="HG250" s="5"/>
      <c r="HH250" s="5"/>
      <c r="HI250" s="5"/>
      <c r="HJ250" s="5"/>
      <c r="HK250" s="5"/>
      <c r="HL250" s="5"/>
      <c r="HM250" s="5"/>
      <c r="HN250" s="5"/>
      <c r="HO250" s="5"/>
      <c r="HP250" s="5"/>
    </row>
    <row r="251" spans="3:224" ht="20.100000000000001" customHeight="1">
      <c r="C251" s="24">
        <v>14020012</v>
      </c>
      <c r="D251" s="24" t="s">
        <v>281</v>
      </c>
      <c r="E251" s="25">
        <v>11200003</v>
      </c>
      <c r="F251" s="25">
        <v>11043</v>
      </c>
      <c r="G251" s="25">
        <v>1</v>
      </c>
      <c r="H251" s="25">
        <v>20</v>
      </c>
      <c r="I251" s="29">
        <v>0.2</v>
      </c>
      <c r="J251" s="30">
        <v>10</v>
      </c>
      <c r="K251" s="25">
        <v>0</v>
      </c>
      <c r="L251" s="25">
        <v>0</v>
      </c>
      <c r="M251" s="25">
        <f t="shared" si="16"/>
        <v>13</v>
      </c>
      <c r="N251" s="25">
        <v>25</v>
      </c>
      <c r="O251" s="25">
        <v>0</v>
      </c>
      <c r="P251" s="25">
        <v>0</v>
      </c>
      <c r="Q251" s="25">
        <f t="shared" si="17"/>
        <v>0</v>
      </c>
      <c r="R251" s="25">
        <v>0</v>
      </c>
      <c r="S251" s="25">
        <f t="shared" si="18"/>
        <v>28</v>
      </c>
      <c r="T251" s="25">
        <v>56</v>
      </c>
      <c r="U251" s="29">
        <v>0</v>
      </c>
      <c r="V251" s="25">
        <v>0</v>
      </c>
      <c r="W251" s="25">
        <v>0</v>
      </c>
      <c r="X251" s="25">
        <v>0</v>
      </c>
      <c r="Y251" s="29">
        <v>0</v>
      </c>
      <c r="Z251" s="29">
        <v>0</v>
      </c>
      <c r="AA251" s="29">
        <v>0</v>
      </c>
      <c r="AB251" s="29">
        <v>0</v>
      </c>
      <c r="AC251" s="29">
        <v>0</v>
      </c>
      <c r="AD251" s="29">
        <v>0</v>
      </c>
      <c r="GR251" s="5"/>
      <c r="GS251" s="5"/>
      <c r="GT251" s="5"/>
      <c r="GU251" s="5"/>
      <c r="GV251" s="5"/>
      <c r="GW251" s="5"/>
      <c r="GX251" s="5"/>
      <c r="GY251" s="5"/>
      <c r="GZ251" s="5"/>
      <c r="HA251" s="5"/>
      <c r="HB251" s="5"/>
      <c r="HC251" s="5"/>
      <c r="HD251" s="5"/>
      <c r="HE251" s="5"/>
      <c r="HF251" s="5"/>
      <c r="HG251" s="5"/>
      <c r="HH251" s="5"/>
      <c r="HI251" s="5"/>
      <c r="HJ251" s="5"/>
      <c r="HK251" s="5"/>
      <c r="HL251" s="5"/>
      <c r="HM251" s="5"/>
      <c r="HN251" s="5"/>
      <c r="HO251" s="5"/>
      <c r="HP251" s="5"/>
    </row>
    <row r="252" spans="3:224" s="3" customFormat="1" ht="20.100000000000001" customHeight="1">
      <c r="C252" s="26">
        <v>14020013</v>
      </c>
      <c r="D252" s="27" t="s">
        <v>282</v>
      </c>
      <c r="E252" s="28">
        <v>11200003</v>
      </c>
      <c r="F252" s="28">
        <v>0</v>
      </c>
      <c r="G252" s="28">
        <v>1</v>
      </c>
      <c r="H252" s="28">
        <v>20</v>
      </c>
      <c r="I252" s="31">
        <v>0.2</v>
      </c>
      <c r="J252" s="32">
        <v>10</v>
      </c>
      <c r="K252" s="28">
        <v>0</v>
      </c>
      <c r="L252" s="28">
        <v>0</v>
      </c>
      <c r="M252" s="28">
        <f t="shared" ref="M252" si="19">ROUND(N252/2,0)</f>
        <v>15</v>
      </c>
      <c r="N252" s="28">
        <v>30</v>
      </c>
      <c r="O252" s="28">
        <v>0</v>
      </c>
      <c r="P252" s="28">
        <v>0</v>
      </c>
      <c r="Q252" s="28">
        <f t="shared" ref="Q252" si="20">ROUND(R252/2,0)</f>
        <v>0</v>
      </c>
      <c r="R252" s="28">
        <v>0</v>
      </c>
      <c r="S252" s="28">
        <f t="shared" ref="S252" si="21">ROUND(T252/2,0)</f>
        <v>33</v>
      </c>
      <c r="T252" s="28">
        <v>65</v>
      </c>
      <c r="U252" s="31">
        <v>0</v>
      </c>
      <c r="V252" s="28">
        <v>0</v>
      </c>
      <c r="W252" s="28">
        <v>0</v>
      </c>
      <c r="X252" s="28">
        <v>0</v>
      </c>
      <c r="Y252" s="31">
        <v>0</v>
      </c>
      <c r="Z252" s="31">
        <v>0</v>
      </c>
      <c r="AA252" s="31">
        <v>0</v>
      </c>
      <c r="AB252" s="31">
        <v>120101</v>
      </c>
      <c r="AC252" s="31">
        <v>1</v>
      </c>
      <c r="AD252" s="31">
        <v>1</v>
      </c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Y252" s="33"/>
      <c r="AZ252" s="33"/>
      <c r="BA252" s="33"/>
      <c r="BB252" s="33"/>
      <c r="BC252" s="33"/>
      <c r="BD252" s="33"/>
      <c r="BE252" s="33"/>
      <c r="BF252" s="33"/>
      <c r="BG252" s="33"/>
      <c r="BH252" s="33"/>
      <c r="BI252" s="33"/>
      <c r="BJ252" s="33"/>
      <c r="BK252" s="33"/>
      <c r="BL252" s="33"/>
      <c r="BM252" s="33"/>
      <c r="BN252" s="33"/>
      <c r="BO252" s="33"/>
      <c r="BP252" s="33"/>
      <c r="BQ252" s="33"/>
      <c r="BR252" s="33"/>
      <c r="BS252" s="33"/>
      <c r="BT252" s="33"/>
      <c r="BU252" s="33"/>
      <c r="BV252" s="33"/>
      <c r="BW252" s="33"/>
      <c r="BX252" s="33"/>
      <c r="BY252" s="33"/>
      <c r="BZ252" s="33"/>
      <c r="CA252" s="33"/>
      <c r="CB252" s="33"/>
      <c r="CC252" s="33"/>
      <c r="CD252" s="33"/>
      <c r="CE252" s="33"/>
      <c r="CF252" s="33"/>
      <c r="CG252" s="33"/>
      <c r="CH252" s="33"/>
      <c r="CI252" s="33"/>
      <c r="CJ252" s="33"/>
      <c r="CK252" s="33"/>
      <c r="CL252" s="33"/>
      <c r="CM252" s="33"/>
      <c r="CN252" s="33"/>
      <c r="CO252" s="33"/>
      <c r="CP252" s="33"/>
      <c r="CQ252" s="33"/>
      <c r="CR252" s="33"/>
      <c r="CS252" s="33"/>
      <c r="CT252" s="33"/>
      <c r="CU252" s="33"/>
      <c r="CV252" s="33"/>
      <c r="CW252" s="33"/>
      <c r="CX252" s="33"/>
      <c r="CY252" s="33"/>
      <c r="CZ252" s="33"/>
      <c r="DA252" s="33"/>
      <c r="DB252" s="33"/>
      <c r="DC252" s="33"/>
      <c r="DD252" s="33"/>
      <c r="DE252" s="33"/>
      <c r="DF252" s="33"/>
      <c r="DG252" s="33"/>
      <c r="DH252" s="33"/>
      <c r="DI252" s="33"/>
      <c r="DJ252" s="33"/>
      <c r="DK252" s="33"/>
      <c r="DL252" s="33"/>
      <c r="DM252" s="33"/>
      <c r="DN252" s="33"/>
      <c r="DO252" s="33"/>
      <c r="DP252" s="33"/>
      <c r="DQ252" s="33"/>
      <c r="DR252" s="33"/>
      <c r="DS252" s="33"/>
      <c r="DT252" s="33"/>
      <c r="DU252" s="33"/>
      <c r="DV252" s="33"/>
      <c r="DW252" s="33"/>
      <c r="DX252" s="33"/>
      <c r="DY252" s="33"/>
      <c r="DZ252" s="33"/>
      <c r="EA252" s="33"/>
      <c r="EB252" s="33"/>
      <c r="EC252" s="33"/>
      <c r="ED252" s="33"/>
      <c r="EE252" s="33"/>
      <c r="EF252" s="33"/>
      <c r="EG252" s="33"/>
      <c r="EH252" s="33"/>
      <c r="EI252" s="33"/>
      <c r="EJ252" s="33"/>
      <c r="EK252" s="33"/>
      <c r="EL252" s="33"/>
      <c r="EM252" s="33"/>
      <c r="EN252" s="33"/>
      <c r="EO252" s="33"/>
      <c r="EP252" s="33"/>
      <c r="EQ252" s="33"/>
      <c r="ER252" s="33"/>
      <c r="ES252" s="33"/>
      <c r="ET252" s="33"/>
      <c r="EU252" s="33"/>
      <c r="EV252" s="33"/>
      <c r="EW252" s="33"/>
      <c r="EX252" s="33"/>
      <c r="EY252" s="33"/>
      <c r="EZ252" s="33"/>
      <c r="FA252" s="33"/>
      <c r="FB252" s="33"/>
      <c r="FC252" s="33"/>
      <c r="FD252" s="33"/>
      <c r="FE252" s="33"/>
      <c r="FF252" s="33"/>
      <c r="FG252" s="33"/>
      <c r="FH252" s="33"/>
      <c r="FI252" s="33"/>
      <c r="FJ252" s="33"/>
      <c r="FK252" s="33"/>
      <c r="FL252" s="33"/>
      <c r="FM252" s="33"/>
      <c r="FN252" s="33"/>
      <c r="FO252" s="33"/>
      <c r="FP252" s="33"/>
      <c r="FQ252" s="33"/>
      <c r="FR252" s="33"/>
      <c r="FS252" s="33"/>
      <c r="FT252" s="33"/>
      <c r="FU252" s="33"/>
      <c r="FV252" s="33"/>
      <c r="FW252" s="33"/>
      <c r="FX252" s="33"/>
      <c r="FY252" s="33"/>
      <c r="FZ252" s="33"/>
      <c r="GA252" s="33"/>
      <c r="GB252" s="33"/>
      <c r="GC252" s="33"/>
      <c r="GD252" s="33"/>
      <c r="GE252" s="33"/>
      <c r="GF252" s="33"/>
      <c r="GG252" s="33"/>
      <c r="GH252" s="33"/>
      <c r="GI252" s="33"/>
      <c r="GJ252" s="33"/>
      <c r="GK252" s="33"/>
      <c r="GL252" s="33"/>
      <c r="GM252" s="33"/>
      <c r="GN252" s="33"/>
      <c r="GO252" s="33"/>
      <c r="GP252" s="33"/>
      <c r="GQ252" s="33"/>
      <c r="GR252" s="33"/>
      <c r="GS252" s="33"/>
      <c r="GT252" s="33"/>
      <c r="GU252" s="33"/>
      <c r="GV252" s="33"/>
      <c r="GW252" s="33"/>
      <c r="GX252" s="33"/>
      <c r="GY252" s="33"/>
      <c r="GZ252" s="33"/>
      <c r="HA252" s="33"/>
      <c r="HB252" s="33"/>
      <c r="HC252" s="33"/>
      <c r="HD252" s="33"/>
      <c r="HE252" s="33"/>
      <c r="HF252" s="33"/>
      <c r="HG252" s="33"/>
      <c r="HH252" s="33"/>
      <c r="HI252" s="33"/>
      <c r="HJ252" s="33"/>
      <c r="HK252" s="33"/>
      <c r="HL252" s="33"/>
      <c r="HM252" s="33"/>
      <c r="HN252" s="33"/>
      <c r="HO252" s="33"/>
      <c r="HP252" s="33"/>
    </row>
    <row r="253" spans="3:224" ht="20.100000000000001" customHeight="1">
      <c r="C253" s="24">
        <v>14030001</v>
      </c>
      <c r="D253" s="24" t="s">
        <v>283</v>
      </c>
      <c r="E253" s="25">
        <v>11200003</v>
      </c>
      <c r="F253" s="25">
        <v>0</v>
      </c>
      <c r="G253" s="25">
        <v>1</v>
      </c>
      <c r="H253" s="25">
        <v>20</v>
      </c>
      <c r="I253" s="29">
        <v>0.2</v>
      </c>
      <c r="J253" s="30">
        <v>5</v>
      </c>
      <c r="K253" s="25">
        <v>0</v>
      </c>
      <c r="L253" s="25">
        <v>150</v>
      </c>
      <c r="M253" s="25">
        <f t="shared" si="16"/>
        <v>3</v>
      </c>
      <c r="N253" s="25">
        <v>6</v>
      </c>
      <c r="O253" s="25">
        <v>0</v>
      </c>
      <c r="P253" s="25">
        <v>0</v>
      </c>
      <c r="Q253" s="25">
        <f t="shared" si="17"/>
        <v>5</v>
      </c>
      <c r="R253" s="25">
        <v>10</v>
      </c>
      <c r="S253" s="25">
        <f t="shared" si="18"/>
        <v>0</v>
      </c>
      <c r="T253" s="25">
        <v>0</v>
      </c>
      <c r="U253" s="29">
        <v>0</v>
      </c>
      <c r="V253" s="25">
        <v>0</v>
      </c>
      <c r="W253" s="25">
        <v>0</v>
      </c>
      <c r="X253" s="25">
        <v>0</v>
      </c>
      <c r="Y253" s="29">
        <v>0</v>
      </c>
      <c r="Z253" s="29">
        <v>0</v>
      </c>
      <c r="AA253" s="29">
        <v>0</v>
      </c>
      <c r="AB253" s="29">
        <v>0</v>
      </c>
      <c r="AC253" s="29">
        <v>0</v>
      </c>
      <c r="AD253" s="29">
        <v>0</v>
      </c>
      <c r="GR253" s="5"/>
      <c r="GS253" s="5"/>
      <c r="GT253" s="5"/>
      <c r="GU253" s="5"/>
      <c r="GV253" s="5"/>
      <c r="GW253" s="5"/>
      <c r="GX253" s="5"/>
      <c r="GY253" s="5"/>
      <c r="GZ253" s="5"/>
      <c r="HA253" s="5"/>
      <c r="HB253" s="5"/>
      <c r="HC253" s="5"/>
      <c r="HD253" s="5"/>
      <c r="HE253" s="5"/>
      <c r="HF253" s="5"/>
      <c r="HG253" s="5"/>
      <c r="HH253" s="5"/>
      <c r="HI253" s="5"/>
      <c r="HJ253" s="5"/>
      <c r="HK253" s="5"/>
      <c r="HL253" s="5"/>
      <c r="HM253" s="5"/>
      <c r="HN253" s="5"/>
      <c r="HO253" s="5"/>
      <c r="HP253" s="5"/>
    </row>
    <row r="254" spans="3:224" ht="20.100000000000001" customHeight="1">
      <c r="C254" s="24">
        <v>14030002</v>
      </c>
      <c r="D254" s="24" t="s">
        <v>284</v>
      </c>
      <c r="E254" s="25">
        <v>11200003</v>
      </c>
      <c r="F254" s="25">
        <v>0</v>
      </c>
      <c r="G254" s="25">
        <v>1</v>
      </c>
      <c r="H254" s="25">
        <v>20</v>
      </c>
      <c r="I254" s="29">
        <v>0.2</v>
      </c>
      <c r="J254" s="30">
        <v>5</v>
      </c>
      <c r="K254" s="25">
        <v>0</v>
      </c>
      <c r="L254" s="25">
        <v>375</v>
      </c>
      <c r="M254" s="25">
        <f t="shared" si="16"/>
        <v>5</v>
      </c>
      <c r="N254" s="25">
        <v>10</v>
      </c>
      <c r="O254" s="25">
        <v>0</v>
      </c>
      <c r="P254" s="25">
        <v>0</v>
      </c>
      <c r="Q254" s="25">
        <f t="shared" si="17"/>
        <v>8</v>
      </c>
      <c r="R254" s="25">
        <v>15</v>
      </c>
      <c r="S254" s="25">
        <f t="shared" si="18"/>
        <v>0</v>
      </c>
      <c r="T254" s="25">
        <v>0</v>
      </c>
      <c r="U254" s="29">
        <v>0</v>
      </c>
      <c r="V254" s="25">
        <v>0</v>
      </c>
      <c r="W254" s="25">
        <v>0</v>
      </c>
      <c r="X254" s="25">
        <v>0</v>
      </c>
      <c r="Y254" s="29">
        <v>0</v>
      </c>
      <c r="Z254" s="29">
        <v>0</v>
      </c>
      <c r="AA254" s="29">
        <v>0</v>
      </c>
      <c r="AB254" s="29">
        <v>0</v>
      </c>
      <c r="AC254" s="29">
        <v>0</v>
      </c>
      <c r="AD254" s="29">
        <v>0</v>
      </c>
      <c r="GR254" s="5"/>
      <c r="GS254" s="5"/>
      <c r="GT254" s="5"/>
      <c r="GU254" s="5"/>
      <c r="GV254" s="5"/>
      <c r="GW254" s="5"/>
      <c r="GX254" s="5"/>
      <c r="GY254" s="5"/>
      <c r="GZ254" s="5"/>
      <c r="HA254" s="5"/>
      <c r="HB254" s="5"/>
      <c r="HC254" s="5"/>
      <c r="HD254" s="5"/>
      <c r="HE254" s="5"/>
      <c r="HF254" s="5"/>
      <c r="HG254" s="5"/>
      <c r="HH254" s="5"/>
      <c r="HI254" s="5"/>
      <c r="HJ254" s="5"/>
      <c r="HK254" s="5"/>
      <c r="HL254" s="5"/>
      <c r="HM254" s="5"/>
      <c r="HN254" s="5"/>
      <c r="HO254" s="5"/>
      <c r="HP254" s="5"/>
    </row>
    <row r="255" spans="3:224" ht="20.100000000000001" customHeight="1">
      <c r="C255" s="24">
        <v>14030003</v>
      </c>
      <c r="D255" s="24" t="s">
        <v>285</v>
      </c>
      <c r="E255" s="25">
        <v>11200003</v>
      </c>
      <c r="F255" s="25">
        <v>11011</v>
      </c>
      <c r="G255" s="25">
        <v>1</v>
      </c>
      <c r="H255" s="25">
        <v>20</v>
      </c>
      <c r="I255" s="29">
        <v>0.2</v>
      </c>
      <c r="J255" s="30">
        <v>5</v>
      </c>
      <c r="K255" s="25">
        <v>0</v>
      </c>
      <c r="L255" s="25">
        <v>425</v>
      </c>
      <c r="M255" s="25">
        <f t="shared" si="16"/>
        <v>6</v>
      </c>
      <c r="N255" s="25">
        <v>12</v>
      </c>
      <c r="O255" s="25">
        <v>0</v>
      </c>
      <c r="P255" s="25">
        <v>0</v>
      </c>
      <c r="Q255" s="25">
        <f t="shared" si="17"/>
        <v>8</v>
      </c>
      <c r="R255" s="25">
        <v>15</v>
      </c>
      <c r="S255" s="25">
        <f t="shared" si="18"/>
        <v>0</v>
      </c>
      <c r="T255" s="25">
        <v>0</v>
      </c>
      <c r="U255" s="29">
        <v>0</v>
      </c>
      <c r="V255" s="25">
        <v>0</v>
      </c>
      <c r="W255" s="25">
        <v>0</v>
      </c>
      <c r="X255" s="25">
        <v>0</v>
      </c>
      <c r="Y255" s="29">
        <v>0</v>
      </c>
      <c r="Z255" s="29">
        <v>0</v>
      </c>
      <c r="AA255" s="29">
        <v>0</v>
      </c>
      <c r="AB255" s="29">
        <v>0</v>
      </c>
      <c r="AC255" s="29">
        <v>0</v>
      </c>
      <c r="AD255" s="29">
        <v>0</v>
      </c>
      <c r="GR255" s="5"/>
      <c r="GS255" s="5"/>
      <c r="GT255" s="5"/>
      <c r="GU255" s="5"/>
      <c r="GV255" s="5"/>
      <c r="GW255" s="5"/>
      <c r="GX255" s="5"/>
      <c r="GY255" s="5"/>
      <c r="GZ255" s="5"/>
      <c r="HA255" s="5"/>
      <c r="HB255" s="5"/>
      <c r="HC255" s="5"/>
      <c r="HD255" s="5"/>
      <c r="HE255" s="5"/>
      <c r="HF255" s="5"/>
      <c r="HG255" s="5"/>
      <c r="HH255" s="5"/>
      <c r="HI255" s="5"/>
      <c r="HJ255" s="5"/>
      <c r="HK255" s="5"/>
      <c r="HL255" s="5"/>
      <c r="HM255" s="5"/>
      <c r="HN255" s="5"/>
      <c r="HO255" s="5"/>
      <c r="HP255" s="5"/>
    </row>
    <row r="256" spans="3:224" ht="20.100000000000001" customHeight="1">
      <c r="C256" s="24">
        <v>14030004</v>
      </c>
      <c r="D256" s="24" t="s">
        <v>286</v>
      </c>
      <c r="E256" s="25">
        <v>11200003</v>
      </c>
      <c r="F256" s="25">
        <v>11041</v>
      </c>
      <c r="G256" s="25">
        <v>1</v>
      </c>
      <c r="H256" s="25">
        <v>20</v>
      </c>
      <c r="I256" s="29">
        <v>0.2</v>
      </c>
      <c r="J256" s="30">
        <v>10</v>
      </c>
      <c r="K256" s="25">
        <v>0</v>
      </c>
      <c r="L256" s="25">
        <v>525</v>
      </c>
      <c r="M256" s="25">
        <f t="shared" si="16"/>
        <v>9</v>
      </c>
      <c r="N256" s="25">
        <v>18</v>
      </c>
      <c r="O256" s="25">
        <v>0</v>
      </c>
      <c r="P256" s="25">
        <v>0</v>
      </c>
      <c r="Q256" s="25">
        <f t="shared" si="17"/>
        <v>15</v>
      </c>
      <c r="R256" s="25">
        <v>30</v>
      </c>
      <c r="S256" s="25">
        <f t="shared" si="18"/>
        <v>0</v>
      </c>
      <c r="T256" s="25">
        <v>0</v>
      </c>
      <c r="U256" s="29">
        <v>0</v>
      </c>
      <c r="V256" s="25">
        <v>0</v>
      </c>
      <c r="W256" s="25">
        <v>0</v>
      </c>
      <c r="X256" s="25">
        <v>0</v>
      </c>
      <c r="Y256" s="29">
        <v>0</v>
      </c>
      <c r="Z256" s="29">
        <v>0</v>
      </c>
      <c r="AA256" s="29">
        <v>0</v>
      </c>
      <c r="AB256" s="29">
        <v>0</v>
      </c>
      <c r="AC256" s="29">
        <v>0</v>
      </c>
      <c r="AD256" s="29">
        <v>0</v>
      </c>
      <c r="GR256" s="5"/>
      <c r="GS256" s="5"/>
      <c r="GT256" s="5"/>
      <c r="GU256" s="5"/>
      <c r="GV256" s="5"/>
      <c r="GW256" s="5"/>
      <c r="GX256" s="5"/>
      <c r="GY256" s="5"/>
      <c r="GZ256" s="5"/>
      <c r="HA256" s="5"/>
      <c r="HB256" s="5"/>
      <c r="HC256" s="5"/>
      <c r="HD256" s="5"/>
      <c r="HE256" s="5"/>
      <c r="HF256" s="5"/>
      <c r="HG256" s="5"/>
      <c r="HH256" s="5"/>
      <c r="HI256" s="5"/>
      <c r="HJ256" s="5"/>
      <c r="HK256" s="5"/>
      <c r="HL256" s="5"/>
      <c r="HM256" s="5"/>
      <c r="HN256" s="5"/>
      <c r="HO256" s="5"/>
      <c r="HP256" s="5"/>
    </row>
    <row r="257" spans="3:224" ht="20.100000000000001" customHeight="1">
      <c r="C257" s="24">
        <v>14030005</v>
      </c>
      <c r="D257" s="24" t="s">
        <v>287</v>
      </c>
      <c r="E257" s="25">
        <v>11200003</v>
      </c>
      <c r="F257" s="25">
        <v>0</v>
      </c>
      <c r="G257" s="25">
        <v>1</v>
      </c>
      <c r="H257" s="25">
        <v>20</v>
      </c>
      <c r="I257" s="29">
        <v>0.2</v>
      </c>
      <c r="J257" s="30">
        <v>5</v>
      </c>
      <c r="K257" s="25">
        <v>0</v>
      </c>
      <c r="L257" s="25">
        <v>80</v>
      </c>
      <c r="M257" s="25">
        <f t="shared" si="16"/>
        <v>4</v>
      </c>
      <c r="N257" s="25">
        <v>8</v>
      </c>
      <c r="O257" s="25">
        <v>0</v>
      </c>
      <c r="P257" s="25">
        <v>0</v>
      </c>
      <c r="Q257" s="25">
        <f t="shared" si="17"/>
        <v>4</v>
      </c>
      <c r="R257" s="25">
        <v>8</v>
      </c>
      <c r="S257" s="25">
        <f t="shared" si="18"/>
        <v>0</v>
      </c>
      <c r="T257" s="25">
        <v>0</v>
      </c>
      <c r="U257" s="29">
        <v>0</v>
      </c>
      <c r="V257" s="25">
        <v>0</v>
      </c>
      <c r="W257" s="25">
        <v>0</v>
      </c>
      <c r="X257" s="25">
        <v>0</v>
      </c>
      <c r="Y257" s="29">
        <v>0</v>
      </c>
      <c r="Z257" s="29">
        <v>0</v>
      </c>
      <c r="AA257" s="29">
        <v>0</v>
      </c>
      <c r="AB257" s="29">
        <v>0</v>
      </c>
      <c r="AC257" s="29">
        <v>0</v>
      </c>
      <c r="AD257" s="29">
        <v>0</v>
      </c>
      <c r="GR257" s="5"/>
      <c r="GS257" s="5"/>
      <c r="GT257" s="5"/>
      <c r="GU257" s="5"/>
      <c r="GV257" s="5"/>
      <c r="GW257" s="5"/>
      <c r="GX257" s="5"/>
      <c r="GY257" s="5"/>
      <c r="GZ257" s="5"/>
      <c r="HA257" s="5"/>
      <c r="HB257" s="5"/>
      <c r="HC257" s="5"/>
      <c r="HD257" s="5"/>
      <c r="HE257" s="5"/>
      <c r="HF257" s="5"/>
      <c r="HG257" s="5"/>
      <c r="HH257" s="5"/>
      <c r="HI257" s="5"/>
      <c r="HJ257" s="5"/>
      <c r="HK257" s="5"/>
      <c r="HL257" s="5"/>
      <c r="HM257" s="5"/>
      <c r="HN257" s="5"/>
      <c r="HO257" s="5"/>
      <c r="HP257" s="5"/>
    </row>
    <row r="258" spans="3:224" ht="20.100000000000001" customHeight="1">
      <c r="C258" s="24">
        <v>14030006</v>
      </c>
      <c r="D258" s="24" t="s">
        <v>288</v>
      </c>
      <c r="E258" s="25">
        <v>11200003</v>
      </c>
      <c r="F258" s="25">
        <v>0</v>
      </c>
      <c r="G258" s="25">
        <v>1</v>
      </c>
      <c r="H258" s="25">
        <v>20</v>
      </c>
      <c r="I258" s="29">
        <v>0.2</v>
      </c>
      <c r="J258" s="30">
        <v>5</v>
      </c>
      <c r="K258" s="25">
        <v>0</v>
      </c>
      <c r="L258" s="25">
        <v>190</v>
      </c>
      <c r="M258" s="25">
        <f t="shared" si="16"/>
        <v>7</v>
      </c>
      <c r="N258" s="25">
        <v>14</v>
      </c>
      <c r="O258" s="25">
        <v>0</v>
      </c>
      <c r="P258" s="25">
        <v>0</v>
      </c>
      <c r="Q258" s="25">
        <f t="shared" si="17"/>
        <v>6</v>
      </c>
      <c r="R258" s="25">
        <v>11</v>
      </c>
      <c r="S258" s="25">
        <f t="shared" si="18"/>
        <v>0</v>
      </c>
      <c r="T258" s="25">
        <v>0</v>
      </c>
      <c r="U258" s="29">
        <v>0</v>
      </c>
      <c r="V258" s="25">
        <v>0</v>
      </c>
      <c r="W258" s="25">
        <v>0</v>
      </c>
      <c r="X258" s="25">
        <v>0</v>
      </c>
      <c r="Y258" s="29">
        <v>0</v>
      </c>
      <c r="Z258" s="29">
        <v>0</v>
      </c>
      <c r="AA258" s="29">
        <v>0</v>
      </c>
      <c r="AB258" s="29">
        <v>0</v>
      </c>
      <c r="AC258" s="29">
        <v>0</v>
      </c>
      <c r="AD258" s="29">
        <v>0</v>
      </c>
      <c r="GR258" s="5"/>
      <c r="GS258" s="5"/>
      <c r="GT258" s="5"/>
      <c r="GU258" s="5"/>
      <c r="GV258" s="5"/>
      <c r="GW258" s="5"/>
      <c r="GX258" s="5"/>
      <c r="GY258" s="5"/>
      <c r="GZ258" s="5"/>
      <c r="HA258" s="5"/>
      <c r="HB258" s="5"/>
      <c r="HC258" s="5"/>
      <c r="HD258" s="5"/>
      <c r="HE258" s="5"/>
      <c r="HF258" s="5"/>
      <c r="HG258" s="5"/>
      <c r="HH258" s="5"/>
      <c r="HI258" s="5"/>
      <c r="HJ258" s="5"/>
      <c r="HK258" s="5"/>
      <c r="HL258" s="5"/>
      <c r="HM258" s="5"/>
      <c r="HN258" s="5"/>
      <c r="HO258" s="5"/>
      <c r="HP258" s="5"/>
    </row>
    <row r="259" spans="3:224" ht="20.100000000000001" customHeight="1">
      <c r="C259" s="24">
        <v>14030007</v>
      </c>
      <c r="D259" s="24" t="s">
        <v>289</v>
      </c>
      <c r="E259" s="25">
        <v>11200003</v>
      </c>
      <c r="F259" s="25">
        <v>11021</v>
      </c>
      <c r="G259" s="25">
        <v>1</v>
      </c>
      <c r="H259" s="25">
        <v>20</v>
      </c>
      <c r="I259" s="29">
        <v>0.2</v>
      </c>
      <c r="J259" s="30">
        <v>5</v>
      </c>
      <c r="K259" s="25">
        <v>0</v>
      </c>
      <c r="L259" s="25">
        <v>210</v>
      </c>
      <c r="M259" s="25">
        <f t="shared" si="16"/>
        <v>8</v>
      </c>
      <c r="N259" s="25">
        <v>16</v>
      </c>
      <c r="O259" s="25">
        <v>0</v>
      </c>
      <c r="P259" s="25">
        <v>0</v>
      </c>
      <c r="Q259" s="25">
        <f t="shared" si="17"/>
        <v>6</v>
      </c>
      <c r="R259" s="25">
        <v>11</v>
      </c>
      <c r="S259" s="25">
        <f t="shared" si="18"/>
        <v>0</v>
      </c>
      <c r="T259" s="25">
        <v>0</v>
      </c>
      <c r="U259" s="29">
        <v>0</v>
      </c>
      <c r="V259" s="25">
        <v>0</v>
      </c>
      <c r="W259" s="25">
        <v>0</v>
      </c>
      <c r="X259" s="25">
        <v>0</v>
      </c>
      <c r="Y259" s="29">
        <v>0</v>
      </c>
      <c r="Z259" s="29">
        <v>0</v>
      </c>
      <c r="AA259" s="29">
        <v>0</v>
      </c>
      <c r="AB259" s="29">
        <v>0</v>
      </c>
      <c r="AC259" s="29">
        <v>0</v>
      </c>
      <c r="AD259" s="29">
        <v>0</v>
      </c>
      <c r="GR259" s="5"/>
      <c r="GS259" s="5"/>
      <c r="GT259" s="5"/>
      <c r="GU259" s="5"/>
      <c r="GV259" s="5"/>
      <c r="GW259" s="5"/>
      <c r="GX259" s="5"/>
      <c r="GY259" s="5"/>
      <c r="GZ259" s="5"/>
      <c r="HA259" s="5"/>
      <c r="HB259" s="5"/>
      <c r="HC259" s="5"/>
      <c r="HD259" s="5"/>
      <c r="HE259" s="5"/>
      <c r="HF259" s="5"/>
      <c r="HG259" s="5"/>
      <c r="HH259" s="5"/>
      <c r="HI259" s="5"/>
      <c r="HJ259" s="5"/>
      <c r="HK259" s="5"/>
      <c r="HL259" s="5"/>
      <c r="HM259" s="5"/>
      <c r="HN259" s="5"/>
      <c r="HO259" s="5"/>
      <c r="HP259" s="5"/>
    </row>
    <row r="260" spans="3:224" ht="20.100000000000001" customHeight="1">
      <c r="C260" s="24">
        <v>14030008</v>
      </c>
      <c r="D260" s="24" t="s">
        <v>290</v>
      </c>
      <c r="E260" s="25">
        <v>11200003</v>
      </c>
      <c r="F260" s="25">
        <v>11042</v>
      </c>
      <c r="G260" s="25">
        <v>1</v>
      </c>
      <c r="H260" s="25">
        <v>20</v>
      </c>
      <c r="I260" s="29">
        <v>0.2</v>
      </c>
      <c r="J260" s="30">
        <v>10</v>
      </c>
      <c r="K260" s="25">
        <v>0</v>
      </c>
      <c r="L260" s="25">
        <v>260</v>
      </c>
      <c r="M260" s="25">
        <f t="shared" si="16"/>
        <v>12</v>
      </c>
      <c r="N260" s="25">
        <v>24</v>
      </c>
      <c r="O260" s="25">
        <v>0</v>
      </c>
      <c r="P260" s="25">
        <v>0</v>
      </c>
      <c r="Q260" s="25">
        <f t="shared" si="17"/>
        <v>12</v>
      </c>
      <c r="R260" s="25">
        <v>23</v>
      </c>
      <c r="S260" s="25">
        <f t="shared" si="18"/>
        <v>0</v>
      </c>
      <c r="T260" s="25">
        <v>0</v>
      </c>
      <c r="U260" s="29">
        <v>0</v>
      </c>
      <c r="V260" s="25">
        <v>0</v>
      </c>
      <c r="W260" s="25">
        <v>0</v>
      </c>
      <c r="X260" s="25">
        <v>0</v>
      </c>
      <c r="Y260" s="29">
        <v>0</v>
      </c>
      <c r="Z260" s="29">
        <v>0</v>
      </c>
      <c r="AA260" s="29">
        <v>0</v>
      </c>
      <c r="AB260" s="29">
        <v>0</v>
      </c>
      <c r="AC260" s="29">
        <v>0</v>
      </c>
      <c r="AD260" s="29">
        <v>0</v>
      </c>
      <c r="GR260" s="5"/>
      <c r="GS260" s="5"/>
      <c r="GT260" s="5"/>
      <c r="GU260" s="5"/>
      <c r="GV260" s="5"/>
      <c r="GW260" s="5"/>
      <c r="GX260" s="5"/>
      <c r="GY260" s="5"/>
      <c r="GZ260" s="5"/>
      <c r="HA260" s="5"/>
      <c r="HB260" s="5"/>
      <c r="HC260" s="5"/>
      <c r="HD260" s="5"/>
      <c r="HE260" s="5"/>
      <c r="HF260" s="5"/>
      <c r="HG260" s="5"/>
      <c r="HH260" s="5"/>
      <c r="HI260" s="5"/>
      <c r="HJ260" s="5"/>
      <c r="HK260" s="5"/>
      <c r="HL260" s="5"/>
      <c r="HM260" s="5"/>
      <c r="HN260" s="5"/>
      <c r="HO260" s="5"/>
      <c r="HP260" s="5"/>
    </row>
    <row r="261" spans="3:224" ht="20.100000000000001" customHeight="1">
      <c r="C261" s="24">
        <v>14030009</v>
      </c>
      <c r="D261" s="24" t="s">
        <v>291</v>
      </c>
      <c r="E261" s="25">
        <v>11200003</v>
      </c>
      <c r="F261" s="25">
        <v>0</v>
      </c>
      <c r="G261" s="25">
        <v>1</v>
      </c>
      <c r="H261" s="25">
        <v>20</v>
      </c>
      <c r="I261" s="29">
        <v>0.2</v>
      </c>
      <c r="J261" s="30">
        <v>5</v>
      </c>
      <c r="K261" s="25">
        <v>0</v>
      </c>
      <c r="L261" s="25">
        <v>230</v>
      </c>
      <c r="M261" s="25">
        <f t="shared" si="16"/>
        <v>3</v>
      </c>
      <c r="N261" s="25">
        <v>5</v>
      </c>
      <c r="O261" s="25">
        <v>0</v>
      </c>
      <c r="P261" s="25">
        <v>0</v>
      </c>
      <c r="Q261" s="25">
        <f t="shared" si="17"/>
        <v>7</v>
      </c>
      <c r="R261" s="25">
        <v>13</v>
      </c>
      <c r="S261" s="25">
        <f t="shared" si="18"/>
        <v>0</v>
      </c>
      <c r="T261" s="25">
        <v>0</v>
      </c>
      <c r="U261" s="29">
        <v>0</v>
      </c>
      <c r="V261" s="25">
        <v>0</v>
      </c>
      <c r="W261" s="25">
        <v>0</v>
      </c>
      <c r="X261" s="25">
        <v>0</v>
      </c>
      <c r="Y261" s="29">
        <v>0</v>
      </c>
      <c r="Z261" s="29">
        <v>0</v>
      </c>
      <c r="AA261" s="29">
        <v>0</v>
      </c>
      <c r="AB261" s="29">
        <v>0</v>
      </c>
      <c r="AC261" s="29">
        <v>0</v>
      </c>
      <c r="AD261" s="29">
        <v>0</v>
      </c>
      <c r="GR261" s="5"/>
      <c r="GS261" s="5"/>
      <c r="GT261" s="5"/>
      <c r="GU261" s="5"/>
      <c r="GV261" s="5"/>
      <c r="GW261" s="5"/>
      <c r="GX261" s="5"/>
      <c r="GY261" s="5"/>
      <c r="GZ261" s="5"/>
      <c r="HA261" s="5"/>
      <c r="HB261" s="5"/>
      <c r="HC261" s="5"/>
      <c r="HD261" s="5"/>
      <c r="HE261" s="5"/>
      <c r="HF261" s="5"/>
      <c r="HG261" s="5"/>
      <c r="HH261" s="5"/>
      <c r="HI261" s="5"/>
      <c r="HJ261" s="5"/>
      <c r="HK261" s="5"/>
      <c r="HL261" s="5"/>
      <c r="HM261" s="5"/>
      <c r="HN261" s="5"/>
      <c r="HO261" s="5"/>
      <c r="HP261" s="5"/>
    </row>
    <row r="262" spans="3:224" ht="20.100000000000001" customHeight="1">
      <c r="C262" s="24">
        <v>14030010</v>
      </c>
      <c r="D262" s="24" t="s">
        <v>292</v>
      </c>
      <c r="E262" s="25">
        <v>11200003</v>
      </c>
      <c r="F262" s="25">
        <v>0</v>
      </c>
      <c r="G262" s="25">
        <v>1</v>
      </c>
      <c r="H262" s="25">
        <v>20</v>
      </c>
      <c r="I262" s="29">
        <v>0.2</v>
      </c>
      <c r="J262" s="30">
        <v>5</v>
      </c>
      <c r="K262" s="25">
        <v>0</v>
      </c>
      <c r="L262" s="25">
        <v>560</v>
      </c>
      <c r="M262" s="25">
        <f t="shared" si="16"/>
        <v>4</v>
      </c>
      <c r="N262" s="25">
        <v>8</v>
      </c>
      <c r="O262" s="25">
        <v>0</v>
      </c>
      <c r="P262" s="25">
        <v>0</v>
      </c>
      <c r="Q262" s="25">
        <f t="shared" si="17"/>
        <v>10</v>
      </c>
      <c r="R262" s="25">
        <v>19</v>
      </c>
      <c r="S262" s="25">
        <f t="shared" si="18"/>
        <v>0</v>
      </c>
      <c r="T262" s="25">
        <v>0</v>
      </c>
      <c r="U262" s="29">
        <v>0</v>
      </c>
      <c r="V262" s="25">
        <v>0</v>
      </c>
      <c r="W262" s="25">
        <v>0</v>
      </c>
      <c r="X262" s="25">
        <v>0</v>
      </c>
      <c r="Y262" s="29">
        <v>0</v>
      </c>
      <c r="Z262" s="29">
        <v>0</v>
      </c>
      <c r="AA262" s="29">
        <v>0</v>
      </c>
      <c r="AB262" s="29">
        <v>0</v>
      </c>
      <c r="AC262" s="29">
        <v>0</v>
      </c>
      <c r="AD262" s="29">
        <v>0</v>
      </c>
      <c r="GR262" s="5"/>
      <c r="GS262" s="5"/>
      <c r="GT262" s="5"/>
      <c r="GU262" s="5"/>
      <c r="GV262" s="5"/>
      <c r="GW262" s="5"/>
      <c r="GX262" s="5"/>
      <c r="GY262" s="5"/>
      <c r="GZ262" s="5"/>
      <c r="HA262" s="5"/>
      <c r="HB262" s="5"/>
      <c r="HC262" s="5"/>
      <c r="HD262" s="5"/>
      <c r="HE262" s="5"/>
      <c r="HF262" s="5"/>
      <c r="HG262" s="5"/>
      <c r="HH262" s="5"/>
      <c r="HI262" s="5"/>
      <c r="HJ262" s="5"/>
      <c r="HK262" s="5"/>
      <c r="HL262" s="5"/>
      <c r="HM262" s="5"/>
      <c r="HN262" s="5"/>
      <c r="HO262" s="5"/>
      <c r="HP262" s="5"/>
    </row>
    <row r="263" spans="3:224" ht="20.100000000000001" customHeight="1">
      <c r="C263" s="24">
        <v>14030011</v>
      </c>
      <c r="D263" s="24" t="s">
        <v>293</v>
      </c>
      <c r="E263" s="25">
        <v>11200003</v>
      </c>
      <c r="F263" s="25">
        <v>11031</v>
      </c>
      <c r="G263" s="25">
        <v>1</v>
      </c>
      <c r="H263" s="25">
        <v>20</v>
      </c>
      <c r="I263" s="29">
        <v>0.2</v>
      </c>
      <c r="J263" s="30">
        <v>5</v>
      </c>
      <c r="K263" s="25">
        <v>0</v>
      </c>
      <c r="L263" s="25">
        <v>640</v>
      </c>
      <c r="M263" s="25">
        <f t="shared" si="16"/>
        <v>5</v>
      </c>
      <c r="N263" s="25">
        <v>9</v>
      </c>
      <c r="O263" s="25">
        <v>0</v>
      </c>
      <c r="P263" s="25">
        <v>0</v>
      </c>
      <c r="Q263" s="25">
        <f t="shared" si="17"/>
        <v>10</v>
      </c>
      <c r="R263" s="25">
        <v>19</v>
      </c>
      <c r="S263" s="25">
        <f t="shared" si="18"/>
        <v>0</v>
      </c>
      <c r="T263" s="25">
        <v>0</v>
      </c>
      <c r="U263" s="29">
        <v>0</v>
      </c>
      <c r="V263" s="25">
        <v>0</v>
      </c>
      <c r="W263" s="25">
        <v>0</v>
      </c>
      <c r="X263" s="25">
        <v>0</v>
      </c>
      <c r="Y263" s="29">
        <v>0</v>
      </c>
      <c r="Z263" s="29">
        <v>0</v>
      </c>
      <c r="AA263" s="29">
        <v>0</v>
      </c>
      <c r="AB263" s="29">
        <v>0</v>
      </c>
      <c r="AC263" s="29">
        <v>0</v>
      </c>
      <c r="AD263" s="29">
        <v>0</v>
      </c>
      <c r="GR263" s="5"/>
      <c r="GS263" s="5"/>
      <c r="GT263" s="5"/>
      <c r="GU263" s="5"/>
      <c r="GV263" s="5"/>
      <c r="GW263" s="5"/>
      <c r="GX263" s="5"/>
      <c r="GY263" s="5"/>
      <c r="GZ263" s="5"/>
      <c r="HA263" s="5"/>
      <c r="HB263" s="5"/>
      <c r="HC263" s="5"/>
      <c r="HD263" s="5"/>
      <c r="HE263" s="5"/>
      <c r="HF263" s="5"/>
      <c r="HG263" s="5"/>
      <c r="HH263" s="5"/>
      <c r="HI263" s="5"/>
      <c r="HJ263" s="5"/>
      <c r="HK263" s="5"/>
      <c r="HL263" s="5"/>
      <c r="HM263" s="5"/>
      <c r="HN263" s="5"/>
      <c r="HO263" s="5"/>
      <c r="HP263" s="5"/>
    </row>
    <row r="264" spans="3:224" ht="20.100000000000001" customHeight="1">
      <c r="C264" s="24">
        <v>14030012</v>
      </c>
      <c r="D264" s="24" t="s">
        <v>294</v>
      </c>
      <c r="E264" s="25">
        <v>11200003</v>
      </c>
      <c r="F264" s="25">
        <v>11043</v>
      </c>
      <c r="G264" s="25">
        <v>1</v>
      </c>
      <c r="H264" s="25">
        <v>20</v>
      </c>
      <c r="I264" s="29">
        <v>0.2</v>
      </c>
      <c r="J264" s="30">
        <v>10</v>
      </c>
      <c r="K264" s="25">
        <v>0</v>
      </c>
      <c r="L264" s="25">
        <v>790</v>
      </c>
      <c r="M264" s="25">
        <f t="shared" si="16"/>
        <v>7</v>
      </c>
      <c r="N264" s="25">
        <v>14</v>
      </c>
      <c r="O264" s="25">
        <v>0</v>
      </c>
      <c r="P264" s="25">
        <v>0</v>
      </c>
      <c r="Q264" s="25">
        <f t="shared" si="17"/>
        <v>19</v>
      </c>
      <c r="R264" s="25">
        <v>38</v>
      </c>
      <c r="S264" s="25">
        <f t="shared" si="18"/>
        <v>0</v>
      </c>
      <c r="T264" s="25">
        <v>0</v>
      </c>
      <c r="U264" s="29">
        <v>0</v>
      </c>
      <c r="V264" s="25">
        <v>0</v>
      </c>
      <c r="W264" s="25">
        <v>0</v>
      </c>
      <c r="X264" s="25">
        <v>0</v>
      </c>
      <c r="Y264" s="29">
        <v>0</v>
      </c>
      <c r="Z264" s="29">
        <v>0</v>
      </c>
      <c r="AA264" s="29">
        <v>0</v>
      </c>
      <c r="AB264" s="29">
        <v>0</v>
      </c>
      <c r="AC264" s="29">
        <v>0</v>
      </c>
      <c r="AD264" s="29">
        <v>0</v>
      </c>
      <c r="GR264" s="5"/>
      <c r="GS264" s="5"/>
      <c r="GT264" s="5"/>
      <c r="GU264" s="5"/>
      <c r="GV264" s="5"/>
      <c r="GW264" s="5"/>
      <c r="GX264" s="5"/>
      <c r="GY264" s="5"/>
      <c r="GZ264" s="5"/>
      <c r="HA264" s="5"/>
      <c r="HB264" s="5"/>
      <c r="HC264" s="5"/>
      <c r="HD264" s="5"/>
      <c r="HE264" s="5"/>
      <c r="HF264" s="5"/>
      <c r="HG264" s="5"/>
      <c r="HH264" s="5"/>
      <c r="HI264" s="5"/>
      <c r="HJ264" s="5"/>
      <c r="HK264" s="5"/>
      <c r="HL264" s="5"/>
      <c r="HM264" s="5"/>
      <c r="HN264" s="5"/>
      <c r="HO264" s="5"/>
      <c r="HP264" s="5"/>
    </row>
    <row r="265" spans="3:224" s="3" customFormat="1" ht="20.100000000000001" customHeight="1">
      <c r="C265" s="26">
        <v>14030013</v>
      </c>
      <c r="D265" s="27" t="s">
        <v>295</v>
      </c>
      <c r="E265" s="28">
        <v>11200003</v>
      </c>
      <c r="F265" s="28">
        <v>11043</v>
      </c>
      <c r="G265" s="28">
        <v>1</v>
      </c>
      <c r="H265" s="28">
        <v>20</v>
      </c>
      <c r="I265" s="31">
        <v>0.2</v>
      </c>
      <c r="J265" s="32">
        <v>10</v>
      </c>
      <c r="K265" s="28">
        <v>0</v>
      </c>
      <c r="L265" s="28">
        <v>790</v>
      </c>
      <c r="M265" s="28">
        <f t="shared" ref="M265" si="22">ROUND(N265/2,0)</f>
        <v>7</v>
      </c>
      <c r="N265" s="28">
        <v>14</v>
      </c>
      <c r="O265" s="28">
        <v>0</v>
      </c>
      <c r="P265" s="28">
        <v>0</v>
      </c>
      <c r="Q265" s="28">
        <f t="shared" ref="Q265" si="23">ROUND(R265/2,0)</f>
        <v>19</v>
      </c>
      <c r="R265" s="28">
        <v>38</v>
      </c>
      <c r="S265" s="28">
        <f t="shared" ref="S265" si="24">ROUND(T265/2,0)</f>
        <v>0</v>
      </c>
      <c r="T265" s="28">
        <v>0</v>
      </c>
      <c r="U265" s="31">
        <v>0</v>
      </c>
      <c r="V265" s="28">
        <v>0</v>
      </c>
      <c r="W265" s="28">
        <v>0</v>
      </c>
      <c r="X265" s="28">
        <v>0</v>
      </c>
      <c r="Y265" s="31">
        <v>0</v>
      </c>
      <c r="Z265" s="31">
        <v>0</v>
      </c>
      <c r="AA265" s="31">
        <v>0</v>
      </c>
      <c r="AB265" s="31">
        <v>203601</v>
      </c>
      <c r="AC265" s="31">
        <v>500</v>
      </c>
      <c r="AD265" s="31">
        <v>1</v>
      </c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  <c r="AO265" s="33"/>
      <c r="AP265" s="33"/>
      <c r="AQ265" s="33"/>
      <c r="AR265" s="33"/>
      <c r="AS265" s="33"/>
      <c r="AT265" s="33"/>
      <c r="AU265" s="33"/>
      <c r="AV265" s="33"/>
      <c r="AW265" s="33"/>
      <c r="AX265" s="33"/>
      <c r="AY265" s="33"/>
      <c r="AZ265" s="33"/>
      <c r="BA265" s="33"/>
      <c r="BB265" s="33"/>
      <c r="BC265" s="33"/>
      <c r="BD265" s="33"/>
      <c r="BE265" s="33"/>
      <c r="BF265" s="33"/>
      <c r="BG265" s="33"/>
      <c r="BH265" s="33"/>
      <c r="BI265" s="33"/>
      <c r="BJ265" s="33"/>
      <c r="BK265" s="33"/>
      <c r="BL265" s="33"/>
      <c r="BM265" s="33"/>
      <c r="BN265" s="33"/>
      <c r="BO265" s="33"/>
      <c r="BP265" s="33"/>
      <c r="BQ265" s="33"/>
      <c r="BR265" s="33"/>
      <c r="BS265" s="33"/>
      <c r="BT265" s="33"/>
      <c r="BU265" s="33"/>
      <c r="BV265" s="33"/>
      <c r="BW265" s="33"/>
      <c r="BX265" s="33"/>
      <c r="BY265" s="33"/>
      <c r="BZ265" s="33"/>
      <c r="CA265" s="33"/>
      <c r="CB265" s="33"/>
      <c r="CC265" s="33"/>
      <c r="CD265" s="33"/>
      <c r="CE265" s="33"/>
      <c r="CF265" s="33"/>
      <c r="CG265" s="33"/>
      <c r="CH265" s="33"/>
      <c r="CI265" s="33"/>
      <c r="CJ265" s="33"/>
      <c r="CK265" s="33"/>
      <c r="CL265" s="33"/>
      <c r="CM265" s="33"/>
      <c r="CN265" s="33"/>
      <c r="CO265" s="33"/>
      <c r="CP265" s="33"/>
      <c r="CQ265" s="33"/>
      <c r="CR265" s="33"/>
      <c r="CS265" s="33"/>
      <c r="CT265" s="33"/>
      <c r="CU265" s="33"/>
      <c r="CV265" s="33"/>
      <c r="CW265" s="33"/>
      <c r="CX265" s="33"/>
      <c r="CY265" s="33"/>
      <c r="CZ265" s="33"/>
      <c r="DA265" s="33"/>
      <c r="DB265" s="33"/>
      <c r="DC265" s="33"/>
      <c r="DD265" s="33"/>
      <c r="DE265" s="33"/>
      <c r="DF265" s="33"/>
      <c r="DG265" s="33"/>
      <c r="DH265" s="33"/>
      <c r="DI265" s="33"/>
      <c r="DJ265" s="33"/>
      <c r="DK265" s="33"/>
      <c r="DL265" s="33"/>
      <c r="DM265" s="33"/>
      <c r="DN265" s="33"/>
      <c r="DO265" s="33"/>
      <c r="DP265" s="33"/>
      <c r="DQ265" s="33"/>
      <c r="DR265" s="33"/>
      <c r="DS265" s="33"/>
      <c r="DT265" s="33"/>
      <c r="DU265" s="33"/>
      <c r="DV265" s="33"/>
      <c r="DW265" s="33"/>
      <c r="DX265" s="33"/>
      <c r="DY265" s="33"/>
      <c r="DZ265" s="33"/>
      <c r="EA265" s="33"/>
      <c r="EB265" s="33"/>
      <c r="EC265" s="33"/>
      <c r="ED265" s="33"/>
      <c r="EE265" s="33"/>
      <c r="EF265" s="33"/>
      <c r="EG265" s="33"/>
      <c r="EH265" s="33"/>
      <c r="EI265" s="33"/>
      <c r="EJ265" s="33"/>
      <c r="EK265" s="33"/>
      <c r="EL265" s="33"/>
      <c r="EM265" s="33"/>
      <c r="EN265" s="33"/>
      <c r="EO265" s="33"/>
      <c r="EP265" s="33"/>
      <c r="EQ265" s="33"/>
      <c r="ER265" s="33"/>
      <c r="ES265" s="33"/>
      <c r="ET265" s="33"/>
      <c r="EU265" s="33"/>
      <c r="EV265" s="33"/>
      <c r="EW265" s="33"/>
      <c r="EX265" s="33"/>
      <c r="EY265" s="33"/>
      <c r="EZ265" s="33"/>
      <c r="FA265" s="33"/>
      <c r="FB265" s="33"/>
      <c r="FC265" s="33"/>
      <c r="FD265" s="33"/>
      <c r="FE265" s="33"/>
      <c r="FF265" s="33"/>
      <c r="FG265" s="33"/>
      <c r="FH265" s="33"/>
      <c r="FI265" s="33"/>
      <c r="FJ265" s="33"/>
      <c r="FK265" s="33"/>
      <c r="FL265" s="33"/>
      <c r="FM265" s="33"/>
      <c r="FN265" s="33"/>
      <c r="FO265" s="33"/>
      <c r="FP265" s="33"/>
      <c r="FQ265" s="33"/>
      <c r="FR265" s="33"/>
      <c r="FS265" s="33"/>
      <c r="FT265" s="33"/>
      <c r="FU265" s="33"/>
      <c r="FV265" s="33"/>
      <c r="FW265" s="33"/>
      <c r="FX265" s="33"/>
      <c r="FY265" s="33"/>
      <c r="FZ265" s="33"/>
      <c r="GA265" s="33"/>
      <c r="GB265" s="33"/>
      <c r="GC265" s="33"/>
      <c r="GD265" s="33"/>
      <c r="GE265" s="33"/>
      <c r="GF265" s="33"/>
      <c r="GG265" s="33"/>
      <c r="GH265" s="33"/>
      <c r="GI265" s="33"/>
      <c r="GJ265" s="33"/>
      <c r="GK265" s="33"/>
      <c r="GL265" s="33"/>
      <c r="GM265" s="33"/>
      <c r="GN265" s="33"/>
      <c r="GO265" s="33"/>
      <c r="GP265" s="33"/>
      <c r="GQ265" s="33"/>
      <c r="GR265" s="33"/>
      <c r="GS265" s="33"/>
      <c r="GT265" s="33"/>
      <c r="GU265" s="33"/>
      <c r="GV265" s="33"/>
      <c r="GW265" s="33"/>
      <c r="GX265" s="33"/>
      <c r="GY265" s="33"/>
      <c r="GZ265" s="33"/>
      <c r="HA265" s="33"/>
      <c r="HB265" s="33"/>
      <c r="HC265" s="33"/>
      <c r="HD265" s="33"/>
      <c r="HE265" s="33"/>
      <c r="HF265" s="33"/>
      <c r="HG265" s="33"/>
      <c r="HH265" s="33"/>
      <c r="HI265" s="33"/>
      <c r="HJ265" s="33"/>
      <c r="HK265" s="33"/>
      <c r="HL265" s="33"/>
      <c r="HM265" s="33"/>
      <c r="HN265" s="33"/>
      <c r="HO265" s="33"/>
      <c r="HP265" s="33"/>
    </row>
    <row r="266" spans="3:224" ht="20.100000000000001" customHeight="1">
      <c r="C266" s="24">
        <v>14040001</v>
      </c>
      <c r="D266" s="24" t="s">
        <v>296</v>
      </c>
      <c r="E266" s="25">
        <v>11200003</v>
      </c>
      <c r="F266" s="25">
        <v>0</v>
      </c>
      <c r="G266" s="25">
        <v>1</v>
      </c>
      <c r="H266" s="25">
        <v>20</v>
      </c>
      <c r="I266" s="29">
        <v>0.2</v>
      </c>
      <c r="J266" s="30">
        <v>5</v>
      </c>
      <c r="K266" s="25">
        <v>0</v>
      </c>
      <c r="L266" s="25">
        <v>0</v>
      </c>
      <c r="M266" s="25">
        <f t="shared" si="16"/>
        <v>6</v>
      </c>
      <c r="N266" s="25">
        <v>12</v>
      </c>
      <c r="O266" s="25">
        <v>0</v>
      </c>
      <c r="P266" s="25">
        <v>0</v>
      </c>
      <c r="Q266" s="25">
        <f t="shared" si="17"/>
        <v>0</v>
      </c>
      <c r="R266" s="25">
        <v>0</v>
      </c>
      <c r="S266" s="25">
        <f t="shared" si="18"/>
        <v>6</v>
      </c>
      <c r="T266" s="25">
        <v>12</v>
      </c>
      <c r="U266" s="29">
        <v>0</v>
      </c>
      <c r="V266" s="25">
        <v>0</v>
      </c>
      <c r="W266" s="25">
        <v>0</v>
      </c>
      <c r="X266" s="25">
        <v>0</v>
      </c>
      <c r="Y266" s="29">
        <v>0</v>
      </c>
      <c r="Z266" s="29">
        <v>0</v>
      </c>
      <c r="AA266" s="29">
        <v>0</v>
      </c>
      <c r="AB266" s="29">
        <v>0</v>
      </c>
      <c r="AC266" s="29">
        <v>0</v>
      </c>
      <c r="AD266" s="29">
        <v>0</v>
      </c>
      <c r="GR266" s="5"/>
      <c r="GS266" s="5"/>
      <c r="GT266" s="5"/>
      <c r="GU266" s="5"/>
      <c r="GV266" s="5"/>
      <c r="GW266" s="5"/>
      <c r="GX266" s="5"/>
      <c r="GY266" s="5"/>
      <c r="GZ266" s="5"/>
      <c r="HA266" s="5"/>
      <c r="HB266" s="5"/>
      <c r="HC266" s="5"/>
      <c r="HD266" s="5"/>
      <c r="HE266" s="5"/>
      <c r="HF266" s="5"/>
      <c r="HG266" s="5"/>
      <c r="HH266" s="5"/>
      <c r="HI266" s="5"/>
      <c r="HJ266" s="5"/>
      <c r="HK266" s="5"/>
      <c r="HL266" s="5"/>
      <c r="HM266" s="5"/>
      <c r="HN266" s="5"/>
      <c r="HO266" s="5"/>
      <c r="HP266" s="5"/>
    </row>
    <row r="267" spans="3:224" ht="20.100000000000001" customHeight="1">
      <c r="C267" s="24">
        <v>14040002</v>
      </c>
      <c r="D267" s="24" t="s">
        <v>297</v>
      </c>
      <c r="E267" s="25">
        <v>11200003</v>
      </c>
      <c r="F267" s="25">
        <v>0</v>
      </c>
      <c r="G267" s="25">
        <v>1</v>
      </c>
      <c r="H267" s="25">
        <v>20</v>
      </c>
      <c r="I267" s="29">
        <v>0.2</v>
      </c>
      <c r="J267" s="30">
        <v>5</v>
      </c>
      <c r="K267" s="25">
        <v>0</v>
      </c>
      <c r="L267" s="25">
        <v>0</v>
      </c>
      <c r="M267" s="25">
        <f t="shared" si="16"/>
        <v>10</v>
      </c>
      <c r="N267" s="25">
        <v>20</v>
      </c>
      <c r="O267" s="25">
        <v>0</v>
      </c>
      <c r="P267" s="25">
        <v>0</v>
      </c>
      <c r="Q267" s="25">
        <f t="shared" si="17"/>
        <v>0</v>
      </c>
      <c r="R267" s="25">
        <v>0</v>
      </c>
      <c r="S267" s="25">
        <f t="shared" si="18"/>
        <v>10</v>
      </c>
      <c r="T267" s="25">
        <v>20</v>
      </c>
      <c r="U267" s="29">
        <v>0</v>
      </c>
      <c r="V267" s="25">
        <v>0</v>
      </c>
      <c r="W267" s="25">
        <v>0</v>
      </c>
      <c r="X267" s="25">
        <v>0</v>
      </c>
      <c r="Y267" s="29">
        <v>0</v>
      </c>
      <c r="Z267" s="29">
        <v>0</v>
      </c>
      <c r="AA267" s="29">
        <v>0</v>
      </c>
      <c r="AB267" s="29">
        <v>0</v>
      </c>
      <c r="AC267" s="29">
        <v>0</v>
      </c>
      <c r="AD267" s="29">
        <v>0</v>
      </c>
      <c r="GR267" s="5"/>
      <c r="GS267" s="5"/>
      <c r="GT267" s="5"/>
      <c r="GU267" s="5"/>
      <c r="GV267" s="5"/>
      <c r="GW267" s="5"/>
      <c r="GX267" s="5"/>
      <c r="GY267" s="5"/>
      <c r="GZ267" s="5"/>
      <c r="HA267" s="5"/>
      <c r="HB267" s="5"/>
      <c r="HC267" s="5"/>
      <c r="HD267" s="5"/>
      <c r="HE267" s="5"/>
      <c r="HF267" s="5"/>
      <c r="HG267" s="5"/>
      <c r="HH267" s="5"/>
      <c r="HI267" s="5"/>
      <c r="HJ267" s="5"/>
      <c r="HK267" s="5"/>
      <c r="HL267" s="5"/>
      <c r="HM267" s="5"/>
      <c r="HN267" s="5"/>
      <c r="HO267" s="5"/>
      <c r="HP267" s="5"/>
    </row>
    <row r="268" spans="3:224" ht="20.100000000000001" customHeight="1">
      <c r="C268" s="24">
        <v>14040003</v>
      </c>
      <c r="D268" s="24" t="s">
        <v>298</v>
      </c>
      <c r="E268" s="25">
        <v>11200003</v>
      </c>
      <c r="F268" s="25">
        <v>11011</v>
      </c>
      <c r="G268" s="25">
        <v>1</v>
      </c>
      <c r="H268" s="25">
        <v>20</v>
      </c>
      <c r="I268" s="29">
        <v>0.2</v>
      </c>
      <c r="J268" s="30">
        <v>5</v>
      </c>
      <c r="K268" s="25">
        <v>0</v>
      </c>
      <c r="L268" s="25">
        <v>0</v>
      </c>
      <c r="M268" s="25">
        <f t="shared" si="16"/>
        <v>11</v>
      </c>
      <c r="N268" s="25">
        <v>22</v>
      </c>
      <c r="O268" s="25">
        <v>0</v>
      </c>
      <c r="P268" s="25">
        <v>0</v>
      </c>
      <c r="Q268" s="25">
        <f t="shared" si="17"/>
        <v>0</v>
      </c>
      <c r="R268" s="25">
        <v>0</v>
      </c>
      <c r="S268" s="25">
        <f t="shared" si="18"/>
        <v>12</v>
      </c>
      <c r="T268" s="25">
        <v>23</v>
      </c>
      <c r="U268" s="29">
        <v>0</v>
      </c>
      <c r="V268" s="25">
        <v>0</v>
      </c>
      <c r="W268" s="25">
        <v>0</v>
      </c>
      <c r="X268" s="25">
        <v>0</v>
      </c>
      <c r="Y268" s="29">
        <v>0</v>
      </c>
      <c r="Z268" s="29">
        <v>0</v>
      </c>
      <c r="AA268" s="29">
        <v>0</v>
      </c>
      <c r="AB268" s="29">
        <v>0</v>
      </c>
      <c r="AC268" s="29">
        <v>0</v>
      </c>
      <c r="AD268" s="29">
        <v>0</v>
      </c>
      <c r="GR268" s="5"/>
      <c r="GS268" s="5"/>
      <c r="GT268" s="5"/>
      <c r="GU268" s="5"/>
      <c r="GV268" s="5"/>
      <c r="GW268" s="5"/>
      <c r="GX268" s="5"/>
      <c r="GY268" s="5"/>
      <c r="GZ268" s="5"/>
      <c r="HA268" s="5"/>
      <c r="HB268" s="5"/>
      <c r="HC268" s="5"/>
      <c r="HD268" s="5"/>
      <c r="HE268" s="5"/>
      <c r="HF268" s="5"/>
      <c r="HG268" s="5"/>
      <c r="HH268" s="5"/>
      <c r="HI268" s="5"/>
      <c r="HJ268" s="5"/>
      <c r="HK268" s="5"/>
      <c r="HL268" s="5"/>
      <c r="HM268" s="5"/>
      <c r="HN268" s="5"/>
      <c r="HO268" s="5"/>
      <c r="HP268" s="5"/>
    </row>
    <row r="269" spans="3:224" ht="20.100000000000001" customHeight="1">
      <c r="C269" s="24">
        <v>14040004</v>
      </c>
      <c r="D269" s="24" t="s">
        <v>299</v>
      </c>
      <c r="E269" s="25">
        <v>11200003</v>
      </c>
      <c r="F269" s="25">
        <v>11041</v>
      </c>
      <c r="G269" s="25">
        <v>1</v>
      </c>
      <c r="H269" s="25">
        <v>20</v>
      </c>
      <c r="I269" s="29">
        <v>0.2</v>
      </c>
      <c r="J269" s="30">
        <v>10</v>
      </c>
      <c r="K269" s="25">
        <v>0</v>
      </c>
      <c r="L269" s="25">
        <v>0</v>
      </c>
      <c r="M269" s="25">
        <f t="shared" si="16"/>
        <v>14</v>
      </c>
      <c r="N269" s="25">
        <v>28</v>
      </c>
      <c r="O269" s="25">
        <v>0</v>
      </c>
      <c r="P269" s="25">
        <v>0</v>
      </c>
      <c r="Q269" s="25">
        <f t="shared" si="17"/>
        <v>0</v>
      </c>
      <c r="R269" s="25">
        <v>0</v>
      </c>
      <c r="S269" s="25">
        <f t="shared" si="18"/>
        <v>15</v>
      </c>
      <c r="T269" s="25">
        <v>30</v>
      </c>
      <c r="U269" s="29">
        <v>0</v>
      </c>
      <c r="V269" s="25">
        <v>0</v>
      </c>
      <c r="W269" s="25">
        <v>0</v>
      </c>
      <c r="X269" s="25">
        <v>0</v>
      </c>
      <c r="Y269" s="29">
        <v>0</v>
      </c>
      <c r="Z269" s="29">
        <v>0</v>
      </c>
      <c r="AA269" s="29">
        <v>0</v>
      </c>
      <c r="AB269" s="29">
        <v>0</v>
      </c>
      <c r="AC269" s="29">
        <v>0</v>
      </c>
      <c r="AD269" s="29">
        <v>0</v>
      </c>
      <c r="GR269" s="5"/>
      <c r="GS269" s="5"/>
      <c r="GT269" s="5"/>
      <c r="GU269" s="5"/>
      <c r="GV269" s="5"/>
      <c r="GW269" s="5"/>
      <c r="GX269" s="5"/>
      <c r="GY269" s="5"/>
      <c r="GZ269" s="5"/>
      <c r="HA269" s="5"/>
      <c r="HB269" s="5"/>
      <c r="HC269" s="5"/>
      <c r="HD269" s="5"/>
      <c r="HE269" s="5"/>
      <c r="HF269" s="5"/>
      <c r="HG269" s="5"/>
      <c r="HH269" s="5"/>
      <c r="HI269" s="5"/>
      <c r="HJ269" s="5"/>
      <c r="HK269" s="5"/>
      <c r="HL269" s="5"/>
      <c r="HM269" s="5"/>
      <c r="HN269" s="5"/>
      <c r="HO269" s="5"/>
      <c r="HP269" s="5"/>
    </row>
    <row r="270" spans="3:224" ht="20.100000000000001" customHeight="1">
      <c r="C270" s="24">
        <v>14040005</v>
      </c>
      <c r="D270" s="24" t="s">
        <v>300</v>
      </c>
      <c r="E270" s="25">
        <v>11200003</v>
      </c>
      <c r="F270" s="25">
        <v>0</v>
      </c>
      <c r="G270" s="25">
        <v>1</v>
      </c>
      <c r="H270" s="25">
        <v>20</v>
      </c>
      <c r="I270" s="29">
        <v>0.2</v>
      </c>
      <c r="J270" s="30">
        <v>5</v>
      </c>
      <c r="K270" s="25">
        <v>0</v>
      </c>
      <c r="L270" s="25">
        <v>0</v>
      </c>
      <c r="M270" s="25">
        <f t="shared" si="16"/>
        <v>8</v>
      </c>
      <c r="N270" s="25">
        <v>16</v>
      </c>
      <c r="O270" s="25">
        <v>0</v>
      </c>
      <c r="P270" s="25">
        <v>0</v>
      </c>
      <c r="Q270" s="25">
        <f t="shared" si="17"/>
        <v>0</v>
      </c>
      <c r="R270" s="25">
        <v>0</v>
      </c>
      <c r="S270" s="25">
        <f t="shared" si="18"/>
        <v>5</v>
      </c>
      <c r="T270" s="25">
        <v>9</v>
      </c>
      <c r="U270" s="29">
        <v>0</v>
      </c>
      <c r="V270" s="25">
        <v>0</v>
      </c>
      <c r="W270" s="25">
        <v>0</v>
      </c>
      <c r="X270" s="25">
        <v>0</v>
      </c>
      <c r="Y270" s="29">
        <v>0</v>
      </c>
      <c r="Z270" s="29">
        <v>0</v>
      </c>
      <c r="AA270" s="29">
        <v>0</v>
      </c>
      <c r="AB270" s="29">
        <v>0</v>
      </c>
      <c r="AC270" s="29">
        <v>0</v>
      </c>
      <c r="AD270" s="29">
        <v>0</v>
      </c>
      <c r="GR270" s="5"/>
      <c r="GS270" s="5"/>
      <c r="GT270" s="5"/>
      <c r="GU270" s="5"/>
      <c r="GV270" s="5"/>
      <c r="GW270" s="5"/>
      <c r="GX270" s="5"/>
      <c r="GY270" s="5"/>
      <c r="GZ270" s="5"/>
      <c r="HA270" s="5"/>
      <c r="HB270" s="5"/>
      <c r="HC270" s="5"/>
      <c r="HD270" s="5"/>
      <c r="HE270" s="5"/>
      <c r="HF270" s="5"/>
      <c r="HG270" s="5"/>
      <c r="HH270" s="5"/>
      <c r="HI270" s="5"/>
      <c r="HJ270" s="5"/>
      <c r="HK270" s="5"/>
      <c r="HL270" s="5"/>
      <c r="HM270" s="5"/>
      <c r="HN270" s="5"/>
      <c r="HO270" s="5"/>
      <c r="HP270" s="5"/>
    </row>
    <row r="271" spans="3:224" ht="20.100000000000001" customHeight="1">
      <c r="C271" s="24">
        <v>14040006</v>
      </c>
      <c r="D271" s="24" t="s">
        <v>301</v>
      </c>
      <c r="E271" s="25">
        <v>11200003</v>
      </c>
      <c r="F271" s="25">
        <v>0</v>
      </c>
      <c r="G271" s="25">
        <v>1</v>
      </c>
      <c r="H271" s="25">
        <v>20</v>
      </c>
      <c r="I271" s="29">
        <v>0.2</v>
      </c>
      <c r="J271" s="30">
        <v>5</v>
      </c>
      <c r="K271" s="25">
        <v>0</v>
      </c>
      <c r="L271" s="25">
        <v>0</v>
      </c>
      <c r="M271" s="25">
        <f t="shared" si="16"/>
        <v>14</v>
      </c>
      <c r="N271" s="25">
        <v>27</v>
      </c>
      <c r="O271" s="25">
        <v>0</v>
      </c>
      <c r="P271" s="25">
        <v>0</v>
      </c>
      <c r="Q271" s="25">
        <f t="shared" si="17"/>
        <v>0</v>
      </c>
      <c r="R271" s="25">
        <v>0</v>
      </c>
      <c r="S271" s="25">
        <f t="shared" si="18"/>
        <v>8</v>
      </c>
      <c r="T271" s="25">
        <v>15</v>
      </c>
      <c r="U271" s="29">
        <v>0</v>
      </c>
      <c r="V271" s="25">
        <v>0</v>
      </c>
      <c r="W271" s="25">
        <v>0</v>
      </c>
      <c r="X271" s="25">
        <v>0</v>
      </c>
      <c r="Y271" s="29">
        <v>0</v>
      </c>
      <c r="Z271" s="29">
        <v>0</v>
      </c>
      <c r="AA271" s="29">
        <v>0</v>
      </c>
      <c r="AB271" s="29">
        <v>0</v>
      </c>
      <c r="AC271" s="29">
        <v>0</v>
      </c>
      <c r="AD271" s="29">
        <v>0</v>
      </c>
      <c r="GR271" s="5"/>
      <c r="GS271" s="5"/>
      <c r="GT271" s="5"/>
      <c r="GU271" s="5"/>
      <c r="GV271" s="5"/>
      <c r="GW271" s="5"/>
      <c r="GX271" s="5"/>
      <c r="GY271" s="5"/>
      <c r="GZ271" s="5"/>
      <c r="HA271" s="5"/>
      <c r="HB271" s="5"/>
      <c r="HC271" s="5"/>
      <c r="HD271" s="5"/>
      <c r="HE271" s="5"/>
      <c r="HF271" s="5"/>
      <c r="HG271" s="5"/>
      <c r="HH271" s="5"/>
      <c r="HI271" s="5"/>
      <c r="HJ271" s="5"/>
      <c r="HK271" s="5"/>
      <c r="HL271" s="5"/>
      <c r="HM271" s="5"/>
      <c r="HN271" s="5"/>
      <c r="HO271" s="5"/>
      <c r="HP271" s="5"/>
    </row>
    <row r="272" spans="3:224" ht="20.100000000000001" customHeight="1">
      <c r="C272" s="24">
        <v>14040007</v>
      </c>
      <c r="D272" s="24" t="s">
        <v>302</v>
      </c>
      <c r="E272" s="25">
        <v>11200003</v>
      </c>
      <c r="F272" s="25">
        <v>11021</v>
      </c>
      <c r="G272" s="25">
        <v>1</v>
      </c>
      <c r="H272" s="25">
        <v>20</v>
      </c>
      <c r="I272" s="29">
        <v>0.2</v>
      </c>
      <c r="J272" s="30">
        <v>5</v>
      </c>
      <c r="K272" s="25">
        <v>0</v>
      </c>
      <c r="L272" s="25">
        <v>0</v>
      </c>
      <c r="M272" s="25">
        <f t="shared" si="16"/>
        <v>15</v>
      </c>
      <c r="N272" s="25">
        <v>30</v>
      </c>
      <c r="O272" s="25">
        <v>0</v>
      </c>
      <c r="P272" s="25">
        <v>0</v>
      </c>
      <c r="Q272" s="25">
        <f t="shared" si="17"/>
        <v>0</v>
      </c>
      <c r="R272" s="25">
        <v>0</v>
      </c>
      <c r="S272" s="25">
        <f t="shared" si="18"/>
        <v>9</v>
      </c>
      <c r="T272" s="25">
        <v>17</v>
      </c>
      <c r="U272" s="29">
        <v>0</v>
      </c>
      <c r="V272" s="25">
        <v>0</v>
      </c>
      <c r="W272" s="25">
        <v>0</v>
      </c>
      <c r="X272" s="25">
        <v>0</v>
      </c>
      <c r="Y272" s="29">
        <v>0</v>
      </c>
      <c r="Z272" s="29">
        <v>0</v>
      </c>
      <c r="AA272" s="29">
        <v>0</v>
      </c>
      <c r="AB272" s="29">
        <v>0</v>
      </c>
      <c r="AC272" s="29">
        <v>0</v>
      </c>
      <c r="AD272" s="29">
        <v>0</v>
      </c>
      <c r="GR272" s="5"/>
      <c r="GS272" s="5"/>
      <c r="GT272" s="5"/>
      <c r="GU272" s="5"/>
      <c r="GV272" s="5"/>
      <c r="GW272" s="5"/>
      <c r="GX272" s="5"/>
      <c r="GY272" s="5"/>
      <c r="GZ272" s="5"/>
      <c r="HA272" s="5"/>
      <c r="HB272" s="5"/>
      <c r="HC272" s="5"/>
      <c r="HD272" s="5"/>
      <c r="HE272" s="5"/>
      <c r="HF272" s="5"/>
      <c r="HG272" s="5"/>
      <c r="HH272" s="5"/>
      <c r="HI272" s="5"/>
      <c r="HJ272" s="5"/>
      <c r="HK272" s="5"/>
      <c r="HL272" s="5"/>
      <c r="HM272" s="5"/>
      <c r="HN272" s="5"/>
      <c r="HO272" s="5"/>
      <c r="HP272" s="5"/>
    </row>
    <row r="273" spans="3:224" ht="20.100000000000001" customHeight="1">
      <c r="C273" s="24">
        <v>14040008</v>
      </c>
      <c r="D273" s="24" t="s">
        <v>303</v>
      </c>
      <c r="E273" s="25">
        <v>11200003</v>
      </c>
      <c r="F273" s="25">
        <v>11042</v>
      </c>
      <c r="G273" s="25">
        <v>1</v>
      </c>
      <c r="H273" s="25">
        <v>20</v>
      </c>
      <c r="I273" s="29">
        <v>0.2</v>
      </c>
      <c r="J273" s="30">
        <v>10</v>
      </c>
      <c r="K273" s="25">
        <v>0</v>
      </c>
      <c r="L273" s="25">
        <v>0</v>
      </c>
      <c r="M273" s="25">
        <f t="shared" si="16"/>
        <v>19</v>
      </c>
      <c r="N273" s="25">
        <v>38</v>
      </c>
      <c r="O273" s="25">
        <v>0</v>
      </c>
      <c r="P273" s="25">
        <v>0</v>
      </c>
      <c r="Q273" s="25">
        <f t="shared" si="17"/>
        <v>0</v>
      </c>
      <c r="R273" s="25">
        <v>0</v>
      </c>
      <c r="S273" s="25">
        <f t="shared" si="18"/>
        <v>12</v>
      </c>
      <c r="T273" s="25">
        <v>23</v>
      </c>
      <c r="U273" s="29">
        <v>0</v>
      </c>
      <c r="V273" s="25">
        <v>0</v>
      </c>
      <c r="W273" s="25">
        <v>0</v>
      </c>
      <c r="X273" s="25">
        <v>0</v>
      </c>
      <c r="Y273" s="29">
        <v>0</v>
      </c>
      <c r="Z273" s="29">
        <v>0</v>
      </c>
      <c r="AA273" s="29">
        <v>0</v>
      </c>
      <c r="AB273" s="29">
        <v>0</v>
      </c>
      <c r="AC273" s="29">
        <v>0</v>
      </c>
      <c r="AD273" s="29">
        <v>0</v>
      </c>
      <c r="GR273" s="5"/>
      <c r="GS273" s="5"/>
      <c r="GT273" s="5"/>
      <c r="GU273" s="5"/>
      <c r="GV273" s="5"/>
      <c r="GW273" s="5"/>
      <c r="GX273" s="5"/>
      <c r="GY273" s="5"/>
      <c r="GZ273" s="5"/>
      <c r="HA273" s="5"/>
      <c r="HB273" s="5"/>
      <c r="HC273" s="5"/>
      <c r="HD273" s="5"/>
      <c r="HE273" s="5"/>
      <c r="HF273" s="5"/>
      <c r="HG273" s="5"/>
      <c r="HH273" s="5"/>
      <c r="HI273" s="5"/>
      <c r="HJ273" s="5"/>
      <c r="HK273" s="5"/>
      <c r="HL273" s="5"/>
      <c r="HM273" s="5"/>
      <c r="HN273" s="5"/>
      <c r="HO273" s="5"/>
      <c r="HP273" s="5"/>
    </row>
    <row r="274" spans="3:224" ht="20.100000000000001" customHeight="1">
      <c r="C274" s="24">
        <v>14040009</v>
      </c>
      <c r="D274" s="24" t="s">
        <v>304</v>
      </c>
      <c r="E274" s="25">
        <v>11200003</v>
      </c>
      <c r="F274" s="25">
        <v>0</v>
      </c>
      <c r="G274" s="25">
        <v>1</v>
      </c>
      <c r="H274" s="25">
        <v>20</v>
      </c>
      <c r="I274" s="29">
        <v>0.2</v>
      </c>
      <c r="J274" s="30">
        <v>5</v>
      </c>
      <c r="K274" s="25">
        <v>0</v>
      </c>
      <c r="L274" s="25">
        <v>0</v>
      </c>
      <c r="M274" s="25">
        <f t="shared" si="16"/>
        <v>5</v>
      </c>
      <c r="N274" s="25">
        <v>9</v>
      </c>
      <c r="O274" s="25">
        <v>0</v>
      </c>
      <c r="P274" s="25">
        <v>0</v>
      </c>
      <c r="Q274" s="25">
        <f t="shared" si="17"/>
        <v>0</v>
      </c>
      <c r="R274" s="25">
        <v>0</v>
      </c>
      <c r="S274" s="25">
        <f t="shared" si="18"/>
        <v>8</v>
      </c>
      <c r="T274" s="25">
        <v>15</v>
      </c>
      <c r="U274" s="29">
        <v>0</v>
      </c>
      <c r="V274" s="25">
        <v>0</v>
      </c>
      <c r="W274" s="25">
        <v>0</v>
      </c>
      <c r="X274" s="25">
        <v>0</v>
      </c>
      <c r="Y274" s="29">
        <v>0</v>
      </c>
      <c r="Z274" s="29">
        <v>0</v>
      </c>
      <c r="AA274" s="29">
        <v>0</v>
      </c>
      <c r="AB274" s="29">
        <v>0</v>
      </c>
      <c r="AC274" s="29">
        <v>0</v>
      </c>
      <c r="AD274" s="29">
        <v>0</v>
      </c>
      <c r="GR274" s="5"/>
      <c r="GS274" s="5"/>
      <c r="GT274" s="5"/>
      <c r="GU274" s="5"/>
      <c r="GV274" s="5"/>
      <c r="GW274" s="5"/>
      <c r="GX274" s="5"/>
      <c r="GY274" s="5"/>
      <c r="GZ274" s="5"/>
      <c r="HA274" s="5"/>
      <c r="HB274" s="5"/>
      <c r="HC274" s="5"/>
      <c r="HD274" s="5"/>
      <c r="HE274" s="5"/>
      <c r="HF274" s="5"/>
      <c r="HG274" s="5"/>
      <c r="HH274" s="5"/>
      <c r="HI274" s="5"/>
      <c r="HJ274" s="5"/>
      <c r="HK274" s="5"/>
      <c r="HL274" s="5"/>
      <c r="HM274" s="5"/>
      <c r="HN274" s="5"/>
      <c r="HO274" s="5"/>
      <c r="HP274" s="5"/>
    </row>
    <row r="275" spans="3:224" ht="20.100000000000001" customHeight="1">
      <c r="C275" s="24">
        <v>14040010</v>
      </c>
      <c r="D275" s="24" t="s">
        <v>305</v>
      </c>
      <c r="E275" s="25">
        <v>11200003</v>
      </c>
      <c r="F275" s="25">
        <v>0</v>
      </c>
      <c r="G275" s="25">
        <v>1</v>
      </c>
      <c r="H275" s="25">
        <v>20</v>
      </c>
      <c r="I275" s="29">
        <v>0.2</v>
      </c>
      <c r="J275" s="30">
        <v>5</v>
      </c>
      <c r="K275" s="25">
        <v>0</v>
      </c>
      <c r="L275" s="25">
        <v>0</v>
      </c>
      <c r="M275" s="25">
        <f t="shared" si="16"/>
        <v>8</v>
      </c>
      <c r="N275" s="25">
        <v>15</v>
      </c>
      <c r="O275" s="25">
        <v>0</v>
      </c>
      <c r="P275" s="25">
        <v>0</v>
      </c>
      <c r="Q275" s="25">
        <f t="shared" si="17"/>
        <v>0</v>
      </c>
      <c r="R275" s="25">
        <v>0</v>
      </c>
      <c r="S275" s="25">
        <f t="shared" si="18"/>
        <v>13</v>
      </c>
      <c r="T275" s="25">
        <v>25</v>
      </c>
      <c r="U275" s="29">
        <v>0</v>
      </c>
      <c r="V275" s="25">
        <v>0</v>
      </c>
      <c r="W275" s="25">
        <v>0</v>
      </c>
      <c r="X275" s="25">
        <v>0</v>
      </c>
      <c r="Y275" s="29">
        <v>0</v>
      </c>
      <c r="Z275" s="29">
        <v>0</v>
      </c>
      <c r="AA275" s="29">
        <v>0</v>
      </c>
      <c r="AB275" s="29">
        <v>0</v>
      </c>
      <c r="AC275" s="29">
        <v>0</v>
      </c>
      <c r="AD275" s="29">
        <v>0</v>
      </c>
      <c r="GR275" s="5"/>
      <c r="GS275" s="5"/>
      <c r="GT275" s="5"/>
      <c r="GU275" s="5"/>
      <c r="GV275" s="5"/>
      <c r="GW275" s="5"/>
      <c r="GX275" s="5"/>
      <c r="GY275" s="5"/>
      <c r="GZ275" s="5"/>
      <c r="HA275" s="5"/>
      <c r="HB275" s="5"/>
      <c r="HC275" s="5"/>
      <c r="HD275" s="5"/>
      <c r="HE275" s="5"/>
      <c r="HF275" s="5"/>
      <c r="HG275" s="5"/>
      <c r="HH275" s="5"/>
      <c r="HI275" s="5"/>
      <c r="HJ275" s="5"/>
      <c r="HK275" s="5"/>
      <c r="HL275" s="5"/>
      <c r="HM275" s="5"/>
      <c r="HN275" s="5"/>
      <c r="HO275" s="5"/>
      <c r="HP275" s="5"/>
    </row>
    <row r="276" spans="3:224" ht="20.100000000000001" customHeight="1">
      <c r="C276" s="24">
        <v>14040011</v>
      </c>
      <c r="D276" s="24" t="s">
        <v>306</v>
      </c>
      <c r="E276" s="25">
        <v>11200003</v>
      </c>
      <c r="F276" s="25">
        <v>11031</v>
      </c>
      <c r="G276" s="25">
        <v>1</v>
      </c>
      <c r="H276" s="25">
        <v>20</v>
      </c>
      <c r="I276" s="29">
        <v>0.2</v>
      </c>
      <c r="J276" s="30">
        <v>5</v>
      </c>
      <c r="K276" s="25">
        <v>0</v>
      </c>
      <c r="L276" s="25">
        <v>0</v>
      </c>
      <c r="M276" s="25">
        <f t="shared" si="16"/>
        <v>9</v>
      </c>
      <c r="N276" s="25">
        <v>17</v>
      </c>
      <c r="O276" s="25">
        <v>0</v>
      </c>
      <c r="P276" s="25">
        <v>0</v>
      </c>
      <c r="Q276" s="25">
        <f t="shared" si="17"/>
        <v>0</v>
      </c>
      <c r="R276" s="25">
        <v>0</v>
      </c>
      <c r="S276" s="25">
        <f t="shared" si="18"/>
        <v>15</v>
      </c>
      <c r="T276" s="25">
        <v>29</v>
      </c>
      <c r="U276" s="29">
        <v>0</v>
      </c>
      <c r="V276" s="25">
        <v>0</v>
      </c>
      <c r="W276" s="25">
        <v>0</v>
      </c>
      <c r="X276" s="25">
        <v>0</v>
      </c>
      <c r="Y276" s="29">
        <v>0</v>
      </c>
      <c r="Z276" s="29">
        <v>0</v>
      </c>
      <c r="AA276" s="29">
        <v>0</v>
      </c>
      <c r="AB276" s="29">
        <v>0</v>
      </c>
      <c r="AC276" s="29">
        <v>0</v>
      </c>
      <c r="AD276" s="29">
        <v>0</v>
      </c>
      <c r="GR276" s="5"/>
      <c r="GS276" s="5"/>
      <c r="GT276" s="5"/>
      <c r="GU276" s="5"/>
      <c r="GV276" s="5"/>
      <c r="GW276" s="5"/>
      <c r="GX276" s="5"/>
      <c r="GY276" s="5"/>
      <c r="GZ276" s="5"/>
      <c r="HA276" s="5"/>
      <c r="HB276" s="5"/>
      <c r="HC276" s="5"/>
      <c r="HD276" s="5"/>
      <c r="HE276" s="5"/>
      <c r="HF276" s="5"/>
      <c r="HG276" s="5"/>
      <c r="HH276" s="5"/>
      <c r="HI276" s="5"/>
      <c r="HJ276" s="5"/>
      <c r="HK276" s="5"/>
      <c r="HL276" s="5"/>
      <c r="HM276" s="5"/>
      <c r="HN276" s="5"/>
      <c r="HO276" s="5"/>
      <c r="HP276" s="5"/>
    </row>
    <row r="277" spans="3:224" ht="20.100000000000001" customHeight="1">
      <c r="C277" s="24">
        <v>14040012</v>
      </c>
      <c r="D277" s="24" t="s">
        <v>307</v>
      </c>
      <c r="E277" s="25">
        <v>11200003</v>
      </c>
      <c r="F277" s="25">
        <v>11043</v>
      </c>
      <c r="G277" s="25">
        <v>1</v>
      </c>
      <c r="H277" s="25">
        <v>20</v>
      </c>
      <c r="I277" s="29">
        <v>0.2</v>
      </c>
      <c r="J277" s="30">
        <v>10</v>
      </c>
      <c r="K277" s="25">
        <v>0</v>
      </c>
      <c r="L277" s="25">
        <v>0</v>
      </c>
      <c r="M277" s="25">
        <f t="shared" si="16"/>
        <v>11</v>
      </c>
      <c r="N277" s="25">
        <v>21</v>
      </c>
      <c r="O277" s="25">
        <v>0</v>
      </c>
      <c r="P277" s="25">
        <v>0</v>
      </c>
      <c r="Q277" s="25">
        <f t="shared" si="17"/>
        <v>0</v>
      </c>
      <c r="R277" s="25">
        <v>0</v>
      </c>
      <c r="S277" s="25">
        <f t="shared" si="18"/>
        <v>19</v>
      </c>
      <c r="T277" s="25">
        <v>38</v>
      </c>
      <c r="U277" s="29">
        <v>0</v>
      </c>
      <c r="V277" s="25">
        <v>0</v>
      </c>
      <c r="W277" s="25">
        <v>0</v>
      </c>
      <c r="X277" s="25">
        <v>0</v>
      </c>
      <c r="Y277" s="29">
        <v>0</v>
      </c>
      <c r="Z277" s="29">
        <v>0</v>
      </c>
      <c r="AA277" s="29">
        <v>0</v>
      </c>
      <c r="AB277" s="29">
        <v>0</v>
      </c>
      <c r="AC277" s="29">
        <v>0</v>
      </c>
      <c r="AD277" s="29">
        <v>0</v>
      </c>
      <c r="GR277" s="5"/>
      <c r="GS277" s="5"/>
      <c r="GT277" s="5"/>
      <c r="GU277" s="5"/>
      <c r="GV277" s="5"/>
      <c r="GW277" s="5"/>
      <c r="GX277" s="5"/>
      <c r="GY277" s="5"/>
      <c r="GZ277" s="5"/>
      <c r="HA277" s="5"/>
      <c r="HB277" s="5"/>
      <c r="HC277" s="5"/>
      <c r="HD277" s="5"/>
      <c r="HE277" s="5"/>
      <c r="HF277" s="5"/>
      <c r="HG277" s="5"/>
      <c r="HH277" s="5"/>
      <c r="HI277" s="5"/>
      <c r="HJ277" s="5"/>
      <c r="HK277" s="5"/>
      <c r="HL277" s="5"/>
      <c r="HM277" s="5"/>
      <c r="HN277" s="5"/>
      <c r="HO277" s="5"/>
      <c r="HP277" s="5"/>
    </row>
    <row r="278" spans="3:224" s="4" customFormat="1" ht="20.100000000000001" customHeight="1">
      <c r="C278" s="34">
        <v>14050001</v>
      </c>
      <c r="D278" s="34" t="s">
        <v>308</v>
      </c>
      <c r="E278" s="35">
        <v>11200003</v>
      </c>
      <c r="F278" s="35">
        <v>0</v>
      </c>
      <c r="G278" s="35">
        <v>1</v>
      </c>
      <c r="H278" s="35">
        <v>20</v>
      </c>
      <c r="I278" s="37">
        <v>0.2</v>
      </c>
      <c r="J278" s="38">
        <v>5</v>
      </c>
      <c r="K278" s="35">
        <v>0</v>
      </c>
      <c r="L278" s="35">
        <v>550</v>
      </c>
      <c r="M278" s="35">
        <f t="shared" si="16"/>
        <v>8</v>
      </c>
      <c r="N278" s="35">
        <v>15</v>
      </c>
      <c r="O278" s="35">
        <v>0</v>
      </c>
      <c r="P278" s="35">
        <v>0</v>
      </c>
      <c r="Q278" s="35">
        <f t="shared" si="17"/>
        <v>3</v>
      </c>
      <c r="R278" s="35">
        <v>5</v>
      </c>
      <c r="S278" s="35">
        <f t="shared" si="18"/>
        <v>3</v>
      </c>
      <c r="T278" s="35">
        <v>5</v>
      </c>
      <c r="U278" s="37">
        <v>0</v>
      </c>
      <c r="V278" s="35">
        <v>0</v>
      </c>
      <c r="W278" s="35">
        <v>0</v>
      </c>
      <c r="X278" s="35">
        <v>0</v>
      </c>
      <c r="Y278" s="37">
        <v>0</v>
      </c>
      <c r="Z278" s="37">
        <v>0</v>
      </c>
      <c r="AA278" s="37">
        <v>0</v>
      </c>
      <c r="AB278" s="37">
        <v>0</v>
      </c>
      <c r="AC278" s="37">
        <v>0</v>
      </c>
      <c r="AD278" s="37">
        <v>0</v>
      </c>
      <c r="AE278" s="39"/>
      <c r="AF278" s="39"/>
      <c r="AG278" s="39"/>
      <c r="AH278" s="39"/>
      <c r="AI278" s="39"/>
      <c r="AJ278" s="39"/>
      <c r="AK278" s="39"/>
      <c r="AL278" s="39"/>
      <c r="AM278" s="39"/>
      <c r="AN278" s="39"/>
      <c r="AO278" s="39"/>
      <c r="AP278" s="39"/>
      <c r="AQ278" s="39"/>
      <c r="AR278" s="39"/>
      <c r="AS278" s="39"/>
      <c r="AT278" s="39"/>
      <c r="AU278" s="39"/>
      <c r="AV278" s="39"/>
      <c r="AW278" s="39"/>
      <c r="AX278" s="39"/>
      <c r="AY278" s="39"/>
      <c r="AZ278" s="39"/>
      <c r="BA278" s="39"/>
      <c r="BB278" s="39"/>
      <c r="BC278" s="39"/>
      <c r="BD278" s="39"/>
      <c r="BE278" s="39"/>
      <c r="BF278" s="39"/>
      <c r="BG278" s="39"/>
      <c r="BH278" s="39"/>
      <c r="BI278" s="39"/>
      <c r="BJ278" s="39"/>
      <c r="BK278" s="39"/>
      <c r="BL278" s="39"/>
      <c r="BM278" s="39"/>
      <c r="BN278" s="39"/>
      <c r="BO278" s="39"/>
      <c r="BP278" s="39"/>
      <c r="BQ278" s="39"/>
      <c r="BR278" s="39"/>
      <c r="BS278" s="39"/>
      <c r="BT278" s="39"/>
      <c r="BU278" s="39"/>
      <c r="BV278" s="39"/>
      <c r="BW278" s="39"/>
      <c r="BX278" s="39"/>
      <c r="BY278" s="39"/>
      <c r="BZ278" s="39"/>
      <c r="CA278" s="39"/>
      <c r="CB278" s="39"/>
      <c r="CC278" s="39"/>
      <c r="CD278" s="39"/>
      <c r="CE278" s="39"/>
      <c r="CF278" s="39"/>
      <c r="CG278" s="39"/>
      <c r="CH278" s="39"/>
      <c r="CI278" s="39"/>
      <c r="CJ278" s="39"/>
      <c r="CK278" s="39"/>
      <c r="CL278" s="39"/>
      <c r="CM278" s="39"/>
      <c r="CN278" s="39"/>
      <c r="CO278" s="39"/>
      <c r="CP278" s="39"/>
      <c r="CQ278" s="39"/>
      <c r="CR278" s="39"/>
      <c r="CS278" s="39"/>
      <c r="CT278" s="39"/>
      <c r="CU278" s="39"/>
      <c r="CV278" s="39"/>
      <c r="CW278" s="39"/>
      <c r="CX278" s="39"/>
      <c r="CY278" s="39"/>
      <c r="CZ278" s="39"/>
      <c r="DA278" s="39"/>
      <c r="DB278" s="39"/>
      <c r="DC278" s="39"/>
      <c r="DD278" s="39"/>
      <c r="DE278" s="39"/>
      <c r="DF278" s="39"/>
      <c r="DG278" s="39"/>
      <c r="DH278" s="39"/>
      <c r="DI278" s="39"/>
      <c r="DJ278" s="39"/>
      <c r="DK278" s="39"/>
      <c r="DL278" s="39"/>
      <c r="DM278" s="39"/>
      <c r="DN278" s="39"/>
      <c r="DO278" s="39"/>
      <c r="DP278" s="39"/>
      <c r="DQ278" s="39"/>
      <c r="DR278" s="39"/>
      <c r="DS278" s="39"/>
      <c r="DT278" s="39"/>
      <c r="DU278" s="39"/>
      <c r="DV278" s="39"/>
      <c r="DW278" s="39"/>
      <c r="DX278" s="39"/>
      <c r="DY278" s="39"/>
      <c r="DZ278" s="39"/>
      <c r="EA278" s="39"/>
      <c r="EB278" s="39"/>
      <c r="EC278" s="39"/>
      <c r="ED278" s="39"/>
      <c r="EE278" s="39"/>
      <c r="EF278" s="39"/>
      <c r="EG278" s="39"/>
      <c r="EH278" s="39"/>
      <c r="EI278" s="39"/>
      <c r="EJ278" s="39"/>
      <c r="EK278" s="39"/>
      <c r="EL278" s="39"/>
      <c r="EM278" s="39"/>
      <c r="EN278" s="39"/>
      <c r="EO278" s="39"/>
      <c r="EP278" s="39"/>
      <c r="EQ278" s="39"/>
      <c r="ER278" s="39"/>
      <c r="ES278" s="39"/>
      <c r="ET278" s="39"/>
      <c r="EU278" s="39"/>
      <c r="EV278" s="39"/>
      <c r="EW278" s="39"/>
      <c r="EX278" s="39"/>
      <c r="EY278" s="39"/>
      <c r="EZ278" s="39"/>
      <c r="FA278" s="39"/>
      <c r="FB278" s="39"/>
      <c r="FC278" s="39"/>
      <c r="FD278" s="39"/>
      <c r="FE278" s="39"/>
      <c r="FF278" s="39"/>
      <c r="FG278" s="39"/>
      <c r="FH278" s="39"/>
      <c r="FI278" s="39"/>
      <c r="FJ278" s="39"/>
      <c r="FK278" s="39"/>
      <c r="FL278" s="39"/>
      <c r="FM278" s="39"/>
      <c r="FN278" s="39"/>
      <c r="FO278" s="39"/>
      <c r="FP278" s="39"/>
      <c r="FQ278" s="39"/>
      <c r="FR278" s="39"/>
      <c r="FS278" s="39"/>
      <c r="FT278" s="39"/>
      <c r="FU278" s="39"/>
      <c r="FV278" s="39"/>
      <c r="FW278" s="39"/>
      <c r="FX278" s="39"/>
      <c r="FY278" s="39"/>
      <c r="FZ278" s="39"/>
      <c r="GA278" s="39"/>
      <c r="GB278" s="39"/>
      <c r="GC278" s="39"/>
      <c r="GD278" s="39"/>
      <c r="GE278" s="39"/>
      <c r="GF278" s="39"/>
      <c r="GG278" s="39"/>
      <c r="GH278" s="39"/>
      <c r="GI278" s="39"/>
      <c r="GJ278" s="39"/>
      <c r="GK278" s="39"/>
      <c r="GL278" s="39"/>
      <c r="GM278" s="39"/>
      <c r="GN278" s="39"/>
      <c r="GO278" s="39"/>
      <c r="GP278" s="39"/>
      <c r="GQ278" s="39"/>
      <c r="GR278" s="39"/>
      <c r="GS278" s="39"/>
      <c r="GT278" s="39"/>
      <c r="GU278" s="39"/>
      <c r="GV278" s="39"/>
      <c r="GW278" s="39"/>
      <c r="GX278" s="39"/>
      <c r="GY278" s="39"/>
      <c r="GZ278" s="39"/>
      <c r="HA278" s="39"/>
      <c r="HB278" s="39"/>
      <c r="HC278" s="39"/>
      <c r="HD278" s="39"/>
      <c r="HE278" s="39"/>
      <c r="HF278" s="39"/>
      <c r="HG278" s="39"/>
      <c r="HH278" s="39"/>
      <c r="HI278" s="39"/>
      <c r="HJ278" s="39"/>
      <c r="HK278" s="39"/>
      <c r="HL278" s="39"/>
      <c r="HM278" s="39"/>
      <c r="HN278" s="39"/>
      <c r="HO278" s="39"/>
      <c r="HP278" s="39"/>
    </row>
    <row r="279" spans="3:224" s="4" customFormat="1" ht="20.100000000000001" customHeight="1">
      <c r="C279" s="34">
        <v>14050002</v>
      </c>
      <c r="D279" s="34" t="s">
        <v>309</v>
      </c>
      <c r="E279" s="35">
        <v>11200003</v>
      </c>
      <c r="F279" s="35">
        <v>0</v>
      </c>
      <c r="G279" s="35">
        <v>1</v>
      </c>
      <c r="H279" s="35">
        <v>20</v>
      </c>
      <c r="I279" s="37">
        <v>0.2</v>
      </c>
      <c r="J279" s="38">
        <v>5</v>
      </c>
      <c r="K279" s="35">
        <v>0</v>
      </c>
      <c r="L279" s="35">
        <v>920</v>
      </c>
      <c r="M279" s="35">
        <f t="shared" si="16"/>
        <v>14</v>
      </c>
      <c r="N279" s="35">
        <v>28</v>
      </c>
      <c r="O279" s="35">
        <v>0</v>
      </c>
      <c r="P279" s="35">
        <v>0</v>
      </c>
      <c r="Q279" s="35">
        <f t="shared" si="17"/>
        <v>4</v>
      </c>
      <c r="R279" s="35">
        <v>8</v>
      </c>
      <c r="S279" s="35">
        <f t="shared" si="18"/>
        <v>4</v>
      </c>
      <c r="T279" s="35">
        <v>8</v>
      </c>
      <c r="U279" s="37">
        <v>0</v>
      </c>
      <c r="V279" s="35">
        <v>0</v>
      </c>
      <c r="W279" s="35">
        <v>0</v>
      </c>
      <c r="X279" s="35">
        <v>0</v>
      </c>
      <c r="Y279" s="37">
        <v>0</v>
      </c>
      <c r="Z279" s="37">
        <v>0</v>
      </c>
      <c r="AA279" s="37">
        <v>0</v>
      </c>
      <c r="AB279" s="37">
        <v>0</v>
      </c>
      <c r="AC279" s="37">
        <v>0</v>
      </c>
      <c r="AD279" s="37">
        <v>0</v>
      </c>
      <c r="AE279" s="39"/>
      <c r="AF279" s="39"/>
      <c r="AG279" s="39"/>
      <c r="AH279" s="39"/>
      <c r="AI279" s="39"/>
      <c r="AJ279" s="39"/>
      <c r="AK279" s="39"/>
      <c r="AL279" s="39"/>
      <c r="AM279" s="39"/>
      <c r="AN279" s="39"/>
      <c r="AO279" s="39"/>
      <c r="AP279" s="39"/>
      <c r="AQ279" s="39"/>
      <c r="AR279" s="39"/>
      <c r="AS279" s="39"/>
      <c r="AT279" s="39"/>
      <c r="AU279" s="39"/>
      <c r="AV279" s="39"/>
      <c r="AW279" s="39"/>
      <c r="AX279" s="39"/>
      <c r="AY279" s="39"/>
      <c r="AZ279" s="39"/>
      <c r="BA279" s="39"/>
      <c r="BB279" s="39"/>
      <c r="BC279" s="39"/>
      <c r="BD279" s="39"/>
      <c r="BE279" s="39"/>
      <c r="BF279" s="39"/>
      <c r="BG279" s="39"/>
      <c r="BH279" s="39"/>
      <c r="BI279" s="39"/>
      <c r="BJ279" s="39"/>
      <c r="BK279" s="39"/>
      <c r="BL279" s="39"/>
      <c r="BM279" s="39"/>
      <c r="BN279" s="39"/>
      <c r="BO279" s="39"/>
      <c r="BP279" s="39"/>
      <c r="BQ279" s="39"/>
      <c r="BR279" s="39"/>
      <c r="BS279" s="39"/>
      <c r="BT279" s="39"/>
      <c r="BU279" s="39"/>
      <c r="BV279" s="39"/>
      <c r="BW279" s="39"/>
      <c r="BX279" s="39"/>
      <c r="BY279" s="39"/>
      <c r="BZ279" s="39"/>
      <c r="CA279" s="39"/>
      <c r="CB279" s="39"/>
      <c r="CC279" s="39"/>
      <c r="CD279" s="39"/>
      <c r="CE279" s="39"/>
      <c r="CF279" s="39"/>
      <c r="CG279" s="39"/>
      <c r="CH279" s="39"/>
      <c r="CI279" s="39"/>
      <c r="CJ279" s="39"/>
      <c r="CK279" s="39"/>
      <c r="CL279" s="39"/>
      <c r="CM279" s="39"/>
      <c r="CN279" s="39"/>
      <c r="CO279" s="39"/>
      <c r="CP279" s="39"/>
      <c r="CQ279" s="39"/>
      <c r="CR279" s="39"/>
      <c r="CS279" s="39"/>
      <c r="CT279" s="39"/>
      <c r="CU279" s="39"/>
      <c r="CV279" s="39"/>
      <c r="CW279" s="39"/>
      <c r="CX279" s="39"/>
      <c r="CY279" s="39"/>
      <c r="CZ279" s="39"/>
      <c r="DA279" s="39"/>
      <c r="DB279" s="39"/>
      <c r="DC279" s="39"/>
      <c r="DD279" s="39"/>
      <c r="DE279" s="39"/>
      <c r="DF279" s="39"/>
      <c r="DG279" s="39"/>
      <c r="DH279" s="39"/>
      <c r="DI279" s="39"/>
      <c r="DJ279" s="39"/>
      <c r="DK279" s="39"/>
      <c r="DL279" s="39"/>
      <c r="DM279" s="39"/>
      <c r="DN279" s="39"/>
      <c r="DO279" s="39"/>
      <c r="DP279" s="39"/>
      <c r="DQ279" s="39"/>
      <c r="DR279" s="39"/>
      <c r="DS279" s="39"/>
      <c r="DT279" s="39"/>
      <c r="DU279" s="39"/>
      <c r="DV279" s="39"/>
      <c r="DW279" s="39"/>
      <c r="DX279" s="39"/>
      <c r="DY279" s="39"/>
      <c r="DZ279" s="39"/>
      <c r="EA279" s="39"/>
      <c r="EB279" s="39"/>
      <c r="EC279" s="39"/>
      <c r="ED279" s="39"/>
      <c r="EE279" s="39"/>
      <c r="EF279" s="39"/>
      <c r="EG279" s="39"/>
      <c r="EH279" s="39"/>
      <c r="EI279" s="39"/>
      <c r="EJ279" s="39"/>
      <c r="EK279" s="39"/>
      <c r="EL279" s="39"/>
      <c r="EM279" s="39"/>
      <c r="EN279" s="39"/>
      <c r="EO279" s="39"/>
      <c r="EP279" s="39"/>
      <c r="EQ279" s="39"/>
      <c r="ER279" s="39"/>
      <c r="ES279" s="39"/>
      <c r="ET279" s="39"/>
      <c r="EU279" s="39"/>
      <c r="EV279" s="39"/>
      <c r="EW279" s="39"/>
      <c r="EX279" s="39"/>
      <c r="EY279" s="39"/>
      <c r="EZ279" s="39"/>
      <c r="FA279" s="39"/>
      <c r="FB279" s="39"/>
      <c r="FC279" s="39"/>
      <c r="FD279" s="39"/>
      <c r="FE279" s="39"/>
      <c r="FF279" s="39"/>
      <c r="FG279" s="39"/>
      <c r="FH279" s="39"/>
      <c r="FI279" s="39"/>
      <c r="FJ279" s="39"/>
      <c r="FK279" s="39"/>
      <c r="FL279" s="39"/>
      <c r="FM279" s="39"/>
      <c r="FN279" s="39"/>
      <c r="FO279" s="39"/>
      <c r="FP279" s="39"/>
      <c r="FQ279" s="39"/>
      <c r="FR279" s="39"/>
      <c r="FS279" s="39"/>
      <c r="FT279" s="39"/>
      <c r="FU279" s="39"/>
      <c r="FV279" s="39"/>
      <c r="FW279" s="39"/>
      <c r="FX279" s="39"/>
      <c r="FY279" s="39"/>
      <c r="FZ279" s="39"/>
      <c r="GA279" s="39"/>
      <c r="GB279" s="39"/>
      <c r="GC279" s="39"/>
      <c r="GD279" s="39"/>
      <c r="GE279" s="39"/>
      <c r="GF279" s="39"/>
      <c r="GG279" s="39"/>
      <c r="GH279" s="39"/>
      <c r="GI279" s="39"/>
      <c r="GJ279" s="39"/>
      <c r="GK279" s="39"/>
      <c r="GL279" s="39"/>
      <c r="GM279" s="39"/>
      <c r="GN279" s="39"/>
      <c r="GO279" s="39"/>
      <c r="GP279" s="39"/>
      <c r="GQ279" s="39"/>
      <c r="GR279" s="39"/>
      <c r="GS279" s="39"/>
      <c r="GT279" s="39"/>
      <c r="GU279" s="39"/>
      <c r="GV279" s="39"/>
      <c r="GW279" s="39"/>
      <c r="GX279" s="39"/>
      <c r="GY279" s="39"/>
      <c r="GZ279" s="39"/>
      <c r="HA279" s="39"/>
      <c r="HB279" s="39"/>
      <c r="HC279" s="39"/>
      <c r="HD279" s="39"/>
      <c r="HE279" s="39"/>
      <c r="HF279" s="39"/>
      <c r="HG279" s="39"/>
      <c r="HH279" s="39"/>
      <c r="HI279" s="39"/>
      <c r="HJ279" s="39"/>
      <c r="HK279" s="39"/>
      <c r="HL279" s="39"/>
      <c r="HM279" s="39"/>
      <c r="HN279" s="39"/>
      <c r="HO279" s="39"/>
      <c r="HP279" s="39"/>
    </row>
    <row r="280" spans="3:224" s="4" customFormat="1" ht="20.100000000000001" customHeight="1">
      <c r="C280" s="34">
        <v>14050003</v>
      </c>
      <c r="D280" s="34" t="s">
        <v>310</v>
      </c>
      <c r="E280" s="35">
        <v>11200003</v>
      </c>
      <c r="F280" s="35">
        <v>11012</v>
      </c>
      <c r="G280" s="35">
        <v>1</v>
      </c>
      <c r="H280" s="35">
        <v>20</v>
      </c>
      <c r="I280" s="37">
        <v>0.2</v>
      </c>
      <c r="J280" s="38">
        <v>5</v>
      </c>
      <c r="K280" s="35">
        <v>0</v>
      </c>
      <c r="L280" s="35">
        <v>1050</v>
      </c>
      <c r="M280" s="35">
        <f t="shared" si="16"/>
        <v>16</v>
      </c>
      <c r="N280" s="35">
        <v>32</v>
      </c>
      <c r="O280" s="35">
        <v>0</v>
      </c>
      <c r="P280" s="35">
        <v>0</v>
      </c>
      <c r="Q280" s="35">
        <f t="shared" si="17"/>
        <v>5</v>
      </c>
      <c r="R280" s="35">
        <v>10</v>
      </c>
      <c r="S280" s="35">
        <f t="shared" si="18"/>
        <v>5</v>
      </c>
      <c r="T280" s="35">
        <v>10</v>
      </c>
      <c r="U280" s="37">
        <v>0</v>
      </c>
      <c r="V280" s="35">
        <v>0</v>
      </c>
      <c r="W280" s="35">
        <v>0</v>
      </c>
      <c r="X280" s="35">
        <v>0</v>
      </c>
      <c r="Y280" s="37">
        <v>0</v>
      </c>
      <c r="Z280" s="37">
        <v>0</v>
      </c>
      <c r="AA280" s="37">
        <v>0</v>
      </c>
      <c r="AB280" s="37">
        <v>0</v>
      </c>
      <c r="AC280" s="37">
        <v>0</v>
      </c>
      <c r="AD280" s="37">
        <v>0</v>
      </c>
      <c r="AE280" s="39"/>
      <c r="AF280" s="39"/>
      <c r="AG280" s="39"/>
      <c r="AH280" s="39"/>
      <c r="AI280" s="39"/>
      <c r="AJ280" s="39"/>
      <c r="AK280" s="39"/>
      <c r="AL280" s="39"/>
      <c r="AM280" s="39"/>
      <c r="AN280" s="39"/>
      <c r="AO280" s="39"/>
      <c r="AP280" s="39"/>
      <c r="AQ280" s="39"/>
      <c r="AR280" s="39"/>
      <c r="AS280" s="39"/>
      <c r="AT280" s="39"/>
      <c r="AU280" s="39"/>
      <c r="AV280" s="39"/>
      <c r="AW280" s="39"/>
      <c r="AX280" s="39"/>
      <c r="AY280" s="39"/>
      <c r="AZ280" s="39"/>
      <c r="BA280" s="39"/>
      <c r="BB280" s="39"/>
      <c r="BC280" s="39"/>
      <c r="BD280" s="39"/>
      <c r="BE280" s="39"/>
      <c r="BF280" s="39"/>
      <c r="BG280" s="39"/>
      <c r="BH280" s="39"/>
      <c r="BI280" s="39"/>
      <c r="BJ280" s="39"/>
      <c r="BK280" s="39"/>
      <c r="BL280" s="39"/>
      <c r="BM280" s="39"/>
      <c r="BN280" s="39"/>
      <c r="BO280" s="39"/>
      <c r="BP280" s="39"/>
      <c r="BQ280" s="39"/>
      <c r="BR280" s="39"/>
      <c r="BS280" s="39"/>
      <c r="BT280" s="39"/>
      <c r="BU280" s="39"/>
      <c r="BV280" s="39"/>
      <c r="BW280" s="39"/>
      <c r="BX280" s="39"/>
      <c r="BY280" s="39"/>
      <c r="BZ280" s="39"/>
      <c r="CA280" s="39"/>
      <c r="CB280" s="39"/>
      <c r="CC280" s="39"/>
      <c r="CD280" s="39"/>
      <c r="CE280" s="39"/>
      <c r="CF280" s="39"/>
      <c r="CG280" s="39"/>
      <c r="CH280" s="39"/>
      <c r="CI280" s="39"/>
      <c r="CJ280" s="39"/>
      <c r="CK280" s="39"/>
      <c r="CL280" s="39"/>
      <c r="CM280" s="39"/>
      <c r="CN280" s="39"/>
      <c r="CO280" s="39"/>
      <c r="CP280" s="39"/>
      <c r="CQ280" s="39"/>
      <c r="CR280" s="39"/>
      <c r="CS280" s="39"/>
      <c r="CT280" s="39"/>
      <c r="CU280" s="39"/>
      <c r="CV280" s="39"/>
      <c r="CW280" s="39"/>
      <c r="CX280" s="39"/>
      <c r="CY280" s="39"/>
      <c r="CZ280" s="39"/>
      <c r="DA280" s="39"/>
      <c r="DB280" s="39"/>
      <c r="DC280" s="39"/>
      <c r="DD280" s="39"/>
      <c r="DE280" s="39"/>
      <c r="DF280" s="39"/>
      <c r="DG280" s="39"/>
      <c r="DH280" s="39"/>
      <c r="DI280" s="39"/>
      <c r="DJ280" s="39"/>
      <c r="DK280" s="39"/>
      <c r="DL280" s="39"/>
      <c r="DM280" s="39"/>
      <c r="DN280" s="39"/>
      <c r="DO280" s="39"/>
      <c r="DP280" s="39"/>
      <c r="DQ280" s="39"/>
      <c r="DR280" s="39"/>
      <c r="DS280" s="39"/>
      <c r="DT280" s="39"/>
      <c r="DU280" s="39"/>
      <c r="DV280" s="39"/>
      <c r="DW280" s="39"/>
      <c r="DX280" s="39"/>
      <c r="DY280" s="39"/>
      <c r="DZ280" s="39"/>
      <c r="EA280" s="39"/>
      <c r="EB280" s="39"/>
      <c r="EC280" s="39"/>
      <c r="ED280" s="39"/>
      <c r="EE280" s="39"/>
      <c r="EF280" s="39"/>
      <c r="EG280" s="39"/>
      <c r="EH280" s="39"/>
      <c r="EI280" s="39"/>
      <c r="EJ280" s="39"/>
      <c r="EK280" s="39"/>
      <c r="EL280" s="39"/>
      <c r="EM280" s="39"/>
      <c r="EN280" s="39"/>
      <c r="EO280" s="39"/>
      <c r="EP280" s="39"/>
      <c r="EQ280" s="39"/>
      <c r="ER280" s="39"/>
      <c r="ES280" s="39"/>
      <c r="ET280" s="39"/>
      <c r="EU280" s="39"/>
      <c r="EV280" s="39"/>
      <c r="EW280" s="39"/>
      <c r="EX280" s="39"/>
      <c r="EY280" s="39"/>
      <c r="EZ280" s="39"/>
      <c r="FA280" s="39"/>
      <c r="FB280" s="39"/>
      <c r="FC280" s="39"/>
      <c r="FD280" s="39"/>
      <c r="FE280" s="39"/>
      <c r="FF280" s="39"/>
      <c r="FG280" s="39"/>
      <c r="FH280" s="39"/>
      <c r="FI280" s="39"/>
      <c r="FJ280" s="39"/>
      <c r="FK280" s="39"/>
      <c r="FL280" s="39"/>
      <c r="FM280" s="39"/>
      <c r="FN280" s="39"/>
      <c r="FO280" s="39"/>
      <c r="FP280" s="39"/>
      <c r="FQ280" s="39"/>
      <c r="FR280" s="39"/>
      <c r="FS280" s="39"/>
      <c r="FT280" s="39"/>
      <c r="FU280" s="39"/>
      <c r="FV280" s="39"/>
      <c r="FW280" s="39"/>
      <c r="FX280" s="39"/>
      <c r="FY280" s="39"/>
      <c r="FZ280" s="39"/>
      <c r="GA280" s="39"/>
      <c r="GB280" s="39"/>
      <c r="GC280" s="39"/>
      <c r="GD280" s="39"/>
      <c r="GE280" s="39"/>
      <c r="GF280" s="39"/>
      <c r="GG280" s="39"/>
      <c r="GH280" s="39"/>
      <c r="GI280" s="39"/>
      <c r="GJ280" s="39"/>
      <c r="GK280" s="39"/>
      <c r="GL280" s="39"/>
      <c r="GM280" s="39"/>
      <c r="GN280" s="39"/>
      <c r="GO280" s="39"/>
      <c r="GP280" s="39"/>
      <c r="GQ280" s="39"/>
      <c r="GR280" s="39"/>
      <c r="GS280" s="39"/>
      <c r="GT280" s="39"/>
      <c r="GU280" s="39"/>
      <c r="GV280" s="39"/>
      <c r="GW280" s="39"/>
      <c r="GX280" s="39"/>
      <c r="GY280" s="39"/>
      <c r="GZ280" s="39"/>
      <c r="HA280" s="39"/>
      <c r="HB280" s="39"/>
      <c r="HC280" s="39"/>
      <c r="HD280" s="39"/>
      <c r="HE280" s="39"/>
      <c r="HF280" s="39"/>
      <c r="HG280" s="39"/>
      <c r="HH280" s="39"/>
      <c r="HI280" s="39"/>
      <c r="HJ280" s="39"/>
      <c r="HK280" s="39"/>
      <c r="HL280" s="39"/>
      <c r="HM280" s="39"/>
      <c r="HN280" s="39"/>
      <c r="HO280" s="39"/>
      <c r="HP280" s="39"/>
    </row>
    <row r="281" spans="3:224" s="4" customFormat="1" ht="20.100000000000001" customHeight="1">
      <c r="C281" s="34">
        <v>14050004</v>
      </c>
      <c r="D281" s="34" t="s">
        <v>311</v>
      </c>
      <c r="E281" s="35">
        <v>11200003</v>
      </c>
      <c r="F281" s="35">
        <v>11041</v>
      </c>
      <c r="G281" s="35">
        <v>1</v>
      </c>
      <c r="H281" s="35">
        <v>20</v>
      </c>
      <c r="I281" s="37">
        <v>0.2</v>
      </c>
      <c r="J281" s="38">
        <v>10</v>
      </c>
      <c r="K281" s="35">
        <v>0</v>
      </c>
      <c r="L281" s="35">
        <v>1315</v>
      </c>
      <c r="M281" s="35">
        <f t="shared" si="16"/>
        <v>19</v>
      </c>
      <c r="N281" s="35">
        <v>38</v>
      </c>
      <c r="O281" s="35">
        <v>0</v>
      </c>
      <c r="P281" s="35">
        <v>0</v>
      </c>
      <c r="Q281" s="35">
        <f t="shared" si="17"/>
        <v>8</v>
      </c>
      <c r="R281" s="35">
        <v>15</v>
      </c>
      <c r="S281" s="35">
        <f t="shared" si="18"/>
        <v>8</v>
      </c>
      <c r="T281" s="35">
        <v>15</v>
      </c>
      <c r="U281" s="37">
        <v>0</v>
      </c>
      <c r="V281" s="35">
        <v>0</v>
      </c>
      <c r="W281" s="35">
        <v>0</v>
      </c>
      <c r="X281" s="35">
        <v>0</v>
      </c>
      <c r="Y281" s="37">
        <v>0</v>
      </c>
      <c r="Z281" s="37">
        <v>0</v>
      </c>
      <c r="AA281" s="37">
        <v>0</v>
      </c>
      <c r="AB281" s="37">
        <v>0</v>
      </c>
      <c r="AC281" s="37">
        <v>0</v>
      </c>
      <c r="AD281" s="37">
        <v>0</v>
      </c>
      <c r="AE281" s="39"/>
      <c r="AF281" s="39"/>
      <c r="AG281" s="39"/>
      <c r="AH281" s="39"/>
      <c r="AI281" s="39"/>
      <c r="AJ281" s="39"/>
      <c r="AK281" s="39"/>
      <c r="AL281" s="39"/>
      <c r="AM281" s="39"/>
      <c r="AN281" s="39"/>
      <c r="AO281" s="39"/>
      <c r="AP281" s="39"/>
      <c r="AQ281" s="39"/>
      <c r="AR281" s="39"/>
      <c r="AS281" s="39"/>
      <c r="AT281" s="39"/>
      <c r="AU281" s="39"/>
      <c r="AV281" s="39"/>
      <c r="AW281" s="39"/>
      <c r="AX281" s="39"/>
      <c r="AY281" s="39"/>
      <c r="AZ281" s="39"/>
      <c r="BA281" s="39"/>
      <c r="BB281" s="39"/>
      <c r="BC281" s="39"/>
      <c r="BD281" s="39"/>
      <c r="BE281" s="39"/>
      <c r="BF281" s="39"/>
      <c r="BG281" s="39"/>
      <c r="BH281" s="39"/>
      <c r="BI281" s="39"/>
      <c r="BJ281" s="39"/>
      <c r="BK281" s="39"/>
      <c r="BL281" s="39"/>
      <c r="BM281" s="39"/>
      <c r="BN281" s="39"/>
      <c r="BO281" s="39"/>
      <c r="BP281" s="39"/>
      <c r="BQ281" s="39"/>
      <c r="BR281" s="39"/>
      <c r="BS281" s="39"/>
      <c r="BT281" s="39"/>
      <c r="BU281" s="39"/>
      <c r="BV281" s="39"/>
      <c r="BW281" s="39"/>
      <c r="BX281" s="39"/>
      <c r="BY281" s="39"/>
      <c r="BZ281" s="39"/>
      <c r="CA281" s="39"/>
      <c r="CB281" s="39"/>
      <c r="CC281" s="39"/>
      <c r="CD281" s="39"/>
      <c r="CE281" s="39"/>
      <c r="CF281" s="39"/>
      <c r="CG281" s="39"/>
      <c r="CH281" s="39"/>
      <c r="CI281" s="39"/>
      <c r="CJ281" s="39"/>
      <c r="CK281" s="39"/>
      <c r="CL281" s="39"/>
      <c r="CM281" s="39"/>
      <c r="CN281" s="39"/>
      <c r="CO281" s="39"/>
      <c r="CP281" s="39"/>
      <c r="CQ281" s="39"/>
      <c r="CR281" s="39"/>
      <c r="CS281" s="39"/>
      <c r="CT281" s="39"/>
      <c r="CU281" s="39"/>
      <c r="CV281" s="39"/>
      <c r="CW281" s="39"/>
      <c r="CX281" s="39"/>
      <c r="CY281" s="39"/>
      <c r="CZ281" s="39"/>
      <c r="DA281" s="39"/>
      <c r="DB281" s="39"/>
      <c r="DC281" s="39"/>
      <c r="DD281" s="39"/>
      <c r="DE281" s="39"/>
      <c r="DF281" s="39"/>
      <c r="DG281" s="39"/>
      <c r="DH281" s="39"/>
      <c r="DI281" s="39"/>
      <c r="DJ281" s="39"/>
      <c r="DK281" s="39"/>
      <c r="DL281" s="39"/>
      <c r="DM281" s="39"/>
      <c r="DN281" s="39"/>
      <c r="DO281" s="39"/>
      <c r="DP281" s="39"/>
      <c r="DQ281" s="39"/>
      <c r="DR281" s="39"/>
      <c r="DS281" s="39"/>
      <c r="DT281" s="39"/>
      <c r="DU281" s="39"/>
      <c r="DV281" s="39"/>
      <c r="DW281" s="39"/>
      <c r="DX281" s="39"/>
      <c r="DY281" s="39"/>
      <c r="DZ281" s="39"/>
      <c r="EA281" s="39"/>
      <c r="EB281" s="39"/>
      <c r="EC281" s="39"/>
      <c r="ED281" s="39"/>
      <c r="EE281" s="39"/>
      <c r="EF281" s="39"/>
      <c r="EG281" s="39"/>
      <c r="EH281" s="39"/>
      <c r="EI281" s="39"/>
      <c r="EJ281" s="39"/>
      <c r="EK281" s="39"/>
      <c r="EL281" s="39"/>
      <c r="EM281" s="39"/>
      <c r="EN281" s="39"/>
      <c r="EO281" s="39"/>
      <c r="EP281" s="39"/>
      <c r="EQ281" s="39"/>
      <c r="ER281" s="39"/>
      <c r="ES281" s="39"/>
      <c r="ET281" s="39"/>
      <c r="EU281" s="39"/>
      <c r="EV281" s="39"/>
      <c r="EW281" s="39"/>
      <c r="EX281" s="39"/>
      <c r="EY281" s="39"/>
      <c r="EZ281" s="39"/>
      <c r="FA281" s="39"/>
      <c r="FB281" s="39"/>
      <c r="FC281" s="39"/>
      <c r="FD281" s="39"/>
      <c r="FE281" s="39"/>
      <c r="FF281" s="39"/>
      <c r="FG281" s="39"/>
      <c r="FH281" s="39"/>
      <c r="FI281" s="39"/>
      <c r="FJ281" s="39"/>
      <c r="FK281" s="39"/>
      <c r="FL281" s="39"/>
      <c r="FM281" s="39"/>
      <c r="FN281" s="39"/>
      <c r="FO281" s="39"/>
      <c r="FP281" s="39"/>
      <c r="FQ281" s="39"/>
      <c r="FR281" s="39"/>
      <c r="FS281" s="39"/>
      <c r="FT281" s="39"/>
      <c r="FU281" s="39"/>
      <c r="FV281" s="39"/>
      <c r="FW281" s="39"/>
      <c r="FX281" s="39"/>
      <c r="FY281" s="39"/>
      <c r="FZ281" s="39"/>
      <c r="GA281" s="39"/>
      <c r="GB281" s="39"/>
      <c r="GC281" s="39"/>
      <c r="GD281" s="39"/>
      <c r="GE281" s="39"/>
      <c r="GF281" s="39"/>
      <c r="GG281" s="39"/>
      <c r="GH281" s="39"/>
      <c r="GI281" s="39"/>
      <c r="GJ281" s="39"/>
      <c r="GK281" s="39"/>
      <c r="GL281" s="39"/>
      <c r="GM281" s="39"/>
      <c r="GN281" s="39"/>
      <c r="GO281" s="39"/>
      <c r="GP281" s="39"/>
      <c r="GQ281" s="39"/>
      <c r="GR281" s="39"/>
      <c r="GS281" s="39"/>
      <c r="GT281" s="39"/>
      <c r="GU281" s="39"/>
      <c r="GV281" s="39"/>
      <c r="GW281" s="39"/>
      <c r="GX281" s="39"/>
      <c r="GY281" s="39"/>
      <c r="GZ281" s="39"/>
      <c r="HA281" s="39"/>
      <c r="HB281" s="39"/>
      <c r="HC281" s="39"/>
      <c r="HD281" s="39"/>
      <c r="HE281" s="39"/>
      <c r="HF281" s="39"/>
      <c r="HG281" s="39"/>
      <c r="HH281" s="39"/>
      <c r="HI281" s="39"/>
      <c r="HJ281" s="39"/>
      <c r="HK281" s="39"/>
      <c r="HL281" s="39"/>
      <c r="HM281" s="39"/>
      <c r="HN281" s="39"/>
      <c r="HO281" s="39"/>
      <c r="HP281" s="39"/>
    </row>
    <row r="282" spans="3:224" s="4" customFormat="1" ht="20.100000000000001" customHeight="1">
      <c r="C282" s="34">
        <v>14050005</v>
      </c>
      <c r="D282" s="34" t="s">
        <v>312</v>
      </c>
      <c r="E282" s="35">
        <v>11200003</v>
      </c>
      <c r="F282" s="35">
        <v>0</v>
      </c>
      <c r="G282" s="35">
        <v>1</v>
      </c>
      <c r="H282" s="35">
        <v>20</v>
      </c>
      <c r="I282" s="37">
        <v>0.2</v>
      </c>
      <c r="J282" s="38">
        <v>5</v>
      </c>
      <c r="K282" s="35">
        <v>0</v>
      </c>
      <c r="L282" s="35">
        <v>280</v>
      </c>
      <c r="M282" s="35">
        <f t="shared" si="16"/>
        <v>10</v>
      </c>
      <c r="N282" s="35">
        <v>20</v>
      </c>
      <c r="O282" s="35">
        <v>0</v>
      </c>
      <c r="P282" s="35">
        <v>0</v>
      </c>
      <c r="Q282" s="35">
        <f t="shared" si="17"/>
        <v>2</v>
      </c>
      <c r="R282" s="35">
        <v>4</v>
      </c>
      <c r="S282" s="35">
        <f t="shared" si="18"/>
        <v>2</v>
      </c>
      <c r="T282" s="35">
        <v>4</v>
      </c>
      <c r="U282" s="37">
        <v>0</v>
      </c>
      <c r="V282" s="35">
        <v>0</v>
      </c>
      <c r="W282" s="35">
        <v>0</v>
      </c>
      <c r="X282" s="35">
        <v>0</v>
      </c>
      <c r="Y282" s="37">
        <v>0</v>
      </c>
      <c r="Z282" s="37">
        <v>0</v>
      </c>
      <c r="AA282" s="37">
        <v>0</v>
      </c>
      <c r="AB282" s="37">
        <v>0</v>
      </c>
      <c r="AC282" s="37">
        <v>0</v>
      </c>
      <c r="AD282" s="37">
        <v>0</v>
      </c>
      <c r="AE282" s="39"/>
      <c r="AF282" s="39"/>
      <c r="AG282" s="39"/>
      <c r="AH282" s="39"/>
      <c r="AI282" s="39"/>
      <c r="AJ282" s="39"/>
      <c r="AK282" s="39"/>
      <c r="AL282" s="39"/>
      <c r="AM282" s="39"/>
      <c r="AN282" s="39"/>
      <c r="AO282" s="39"/>
      <c r="AP282" s="39"/>
      <c r="AQ282" s="39"/>
      <c r="AR282" s="39"/>
      <c r="AS282" s="39"/>
      <c r="AT282" s="39"/>
      <c r="AU282" s="39"/>
      <c r="AV282" s="39"/>
      <c r="AW282" s="39"/>
      <c r="AX282" s="39"/>
      <c r="AY282" s="39"/>
      <c r="AZ282" s="39"/>
      <c r="BA282" s="39"/>
      <c r="BB282" s="39"/>
      <c r="BC282" s="39"/>
      <c r="BD282" s="39"/>
      <c r="BE282" s="39"/>
      <c r="BF282" s="39"/>
      <c r="BG282" s="39"/>
      <c r="BH282" s="39"/>
      <c r="BI282" s="39"/>
      <c r="BJ282" s="39"/>
      <c r="BK282" s="39"/>
      <c r="BL282" s="39"/>
      <c r="BM282" s="39"/>
      <c r="BN282" s="39"/>
      <c r="BO282" s="39"/>
      <c r="BP282" s="39"/>
      <c r="BQ282" s="39"/>
      <c r="BR282" s="39"/>
      <c r="BS282" s="39"/>
      <c r="BT282" s="39"/>
      <c r="BU282" s="39"/>
      <c r="BV282" s="39"/>
      <c r="BW282" s="39"/>
      <c r="BX282" s="39"/>
      <c r="BY282" s="39"/>
      <c r="BZ282" s="39"/>
      <c r="CA282" s="39"/>
      <c r="CB282" s="39"/>
      <c r="CC282" s="39"/>
      <c r="CD282" s="39"/>
      <c r="CE282" s="39"/>
      <c r="CF282" s="39"/>
      <c r="CG282" s="39"/>
      <c r="CH282" s="39"/>
      <c r="CI282" s="39"/>
      <c r="CJ282" s="39"/>
      <c r="CK282" s="39"/>
      <c r="CL282" s="39"/>
      <c r="CM282" s="39"/>
      <c r="CN282" s="39"/>
      <c r="CO282" s="39"/>
      <c r="CP282" s="39"/>
      <c r="CQ282" s="39"/>
      <c r="CR282" s="39"/>
      <c r="CS282" s="39"/>
      <c r="CT282" s="39"/>
      <c r="CU282" s="39"/>
      <c r="CV282" s="39"/>
      <c r="CW282" s="39"/>
      <c r="CX282" s="39"/>
      <c r="CY282" s="39"/>
      <c r="CZ282" s="39"/>
      <c r="DA282" s="39"/>
      <c r="DB282" s="39"/>
      <c r="DC282" s="39"/>
      <c r="DD282" s="39"/>
      <c r="DE282" s="39"/>
      <c r="DF282" s="39"/>
      <c r="DG282" s="39"/>
      <c r="DH282" s="39"/>
      <c r="DI282" s="39"/>
      <c r="DJ282" s="39"/>
      <c r="DK282" s="39"/>
      <c r="DL282" s="39"/>
      <c r="DM282" s="39"/>
      <c r="DN282" s="39"/>
      <c r="DO282" s="39"/>
      <c r="DP282" s="39"/>
      <c r="DQ282" s="39"/>
      <c r="DR282" s="39"/>
      <c r="DS282" s="39"/>
      <c r="DT282" s="39"/>
      <c r="DU282" s="39"/>
      <c r="DV282" s="39"/>
      <c r="DW282" s="39"/>
      <c r="DX282" s="39"/>
      <c r="DY282" s="39"/>
      <c r="DZ282" s="39"/>
      <c r="EA282" s="39"/>
      <c r="EB282" s="39"/>
      <c r="EC282" s="39"/>
      <c r="ED282" s="39"/>
      <c r="EE282" s="39"/>
      <c r="EF282" s="39"/>
      <c r="EG282" s="39"/>
      <c r="EH282" s="39"/>
      <c r="EI282" s="39"/>
      <c r="EJ282" s="39"/>
      <c r="EK282" s="39"/>
      <c r="EL282" s="39"/>
      <c r="EM282" s="39"/>
      <c r="EN282" s="39"/>
      <c r="EO282" s="39"/>
      <c r="EP282" s="39"/>
      <c r="EQ282" s="39"/>
      <c r="ER282" s="39"/>
      <c r="ES282" s="39"/>
      <c r="ET282" s="39"/>
      <c r="EU282" s="39"/>
      <c r="EV282" s="39"/>
      <c r="EW282" s="39"/>
      <c r="EX282" s="39"/>
      <c r="EY282" s="39"/>
      <c r="EZ282" s="39"/>
      <c r="FA282" s="39"/>
      <c r="FB282" s="39"/>
      <c r="FC282" s="39"/>
      <c r="FD282" s="39"/>
      <c r="FE282" s="39"/>
      <c r="FF282" s="39"/>
      <c r="FG282" s="39"/>
      <c r="FH282" s="39"/>
      <c r="FI282" s="39"/>
      <c r="FJ282" s="39"/>
      <c r="FK282" s="39"/>
      <c r="FL282" s="39"/>
      <c r="FM282" s="39"/>
      <c r="FN282" s="39"/>
      <c r="FO282" s="39"/>
      <c r="FP282" s="39"/>
      <c r="FQ282" s="39"/>
      <c r="FR282" s="39"/>
      <c r="FS282" s="39"/>
      <c r="FT282" s="39"/>
      <c r="FU282" s="39"/>
      <c r="FV282" s="39"/>
      <c r="FW282" s="39"/>
      <c r="FX282" s="39"/>
      <c r="FY282" s="39"/>
      <c r="FZ282" s="39"/>
      <c r="GA282" s="39"/>
      <c r="GB282" s="39"/>
      <c r="GC282" s="39"/>
      <c r="GD282" s="39"/>
      <c r="GE282" s="39"/>
      <c r="GF282" s="39"/>
      <c r="GG282" s="39"/>
      <c r="GH282" s="39"/>
      <c r="GI282" s="39"/>
      <c r="GJ282" s="39"/>
      <c r="GK282" s="39"/>
      <c r="GL282" s="39"/>
      <c r="GM282" s="39"/>
      <c r="GN282" s="39"/>
      <c r="GO282" s="39"/>
      <c r="GP282" s="39"/>
      <c r="GQ282" s="39"/>
      <c r="GR282" s="39"/>
      <c r="GS282" s="39"/>
      <c r="GT282" s="39"/>
      <c r="GU282" s="39"/>
      <c r="GV282" s="39"/>
      <c r="GW282" s="39"/>
      <c r="GX282" s="39"/>
      <c r="GY282" s="39"/>
      <c r="GZ282" s="39"/>
      <c r="HA282" s="39"/>
      <c r="HB282" s="39"/>
      <c r="HC282" s="39"/>
      <c r="HD282" s="39"/>
      <c r="HE282" s="39"/>
      <c r="HF282" s="39"/>
      <c r="HG282" s="39"/>
      <c r="HH282" s="39"/>
      <c r="HI282" s="39"/>
      <c r="HJ282" s="39"/>
      <c r="HK282" s="39"/>
      <c r="HL282" s="39"/>
      <c r="HM282" s="39"/>
      <c r="HN282" s="39"/>
      <c r="HO282" s="39"/>
      <c r="HP282" s="39"/>
    </row>
    <row r="283" spans="3:224" s="4" customFormat="1" ht="20.100000000000001" customHeight="1">
      <c r="C283" s="34">
        <v>14050006</v>
      </c>
      <c r="D283" s="34" t="s">
        <v>313</v>
      </c>
      <c r="E283" s="35">
        <v>11200003</v>
      </c>
      <c r="F283" s="35">
        <v>0</v>
      </c>
      <c r="G283" s="35">
        <v>1</v>
      </c>
      <c r="H283" s="35">
        <v>20</v>
      </c>
      <c r="I283" s="37">
        <v>0.2</v>
      </c>
      <c r="J283" s="38">
        <v>5</v>
      </c>
      <c r="K283" s="35">
        <v>0</v>
      </c>
      <c r="L283" s="35">
        <v>460</v>
      </c>
      <c r="M283" s="35">
        <f t="shared" si="16"/>
        <v>19</v>
      </c>
      <c r="N283" s="35">
        <v>38</v>
      </c>
      <c r="O283" s="35">
        <v>0</v>
      </c>
      <c r="P283" s="35">
        <v>0</v>
      </c>
      <c r="Q283" s="35">
        <f t="shared" si="17"/>
        <v>3</v>
      </c>
      <c r="R283" s="35">
        <v>6</v>
      </c>
      <c r="S283" s="35">
        <f t="shared" si="18"/>
        <v>3</v>
      </c>
      <c r="T283" s="35">
        <v>6</v>
      </c>
      <c r="U283" s="37">
        <v>0</v>
      </c>
      <c r="V283" s="35">
        <v>0</v>
      </c>
      <c r="W283" s="35">
        <v>0</v>
      </c>
      <c r="X283" s="35">
        <v>0</v>
      </c>
      <c r="Y283" s="37">
        <v>0</v>
      </c>
      <c r="Z283" s="37">
        <v>0</v>
      </c>
      <c r="AA283" s="37">
        <v>0</v>
      </c>
      <c r="AB283" s="37">
        <v>0</v>
      </c>
      <c r="AC283" s="37">
        <v>0</v>
      </c>
      <c r="AD283" s="37">
        <v>0</v>
      </c>
      <c r="AE283" s="39"/>
      <c r="AF283" s="39"/>
      <c r="AG283" s="39"/>
      <c r="AH283" s="39"/>
      <c r="AI283" s="39"/>
      <c r="AJ283" s="39"/>
      <c r="AK283" s="39"/>
      <c r="AL283" s="39"/>
      <c r="AM283" s="39"/>
      <c r="AN283" s="39"/>
      <c r="AO283" s="39"/>
      <c r="AP283" s="39"/>
      <c r="AQ283" s="39"/>
      <c r="AR283" s="39"/>
      <c r="AS283" s="39"/>
      <c r="AT283" s="39"/>
      <c r="AU283" s="39"/>
      <c r="AV283" s="39"/>
      <c r="AW283" s="39"/>
      <c r="AX283" s="39"/>
      <c r="AY283" s="39"/>
      <c r="AZ283" s="39"/>
      <c r="BA283" s="39"/>
      <c r="BB283" s="39"/>
      <c r="BC283" s="39"/>
      <c r="BD283" s="39"/>
      <c r="BE283" s="39"/>
      <c r="BF283" s="39"/>
      <c r="BG283" s="39"/>
      <c r="BH283" s="39"/>
      <c r="BI283" s="39"/>
      <c r="BJ283" s="39"/>
      <c r="BK283" s="39"/>
      <c r="BL283" s="39"/>
      <c r="BM283" s="39"/>
      <c r="BN283" s="39"/>
      <c r="BO283" s="39"/>
      <c r="BP283" s="39"/>
      <c r="BQ283" s="39"/>
      <c r="BR283" s="39"/>
      <c r="BS283" s="39"/>
      <c r="BT283" s="39"/>
      <c r="BU283" s="39"/>
      <c r="BV283" s="39"/>
      <c r="BW283" s="39"/>
      <c r="BX283" s="39"/>
      <c r="BY283" s="39"/>
      <c r="BZ283" s="39"/>
      <c r="CA283" s="39"/>
      <c r="CB283" s="39"/>
      <c r="CC283" s="39"/>
      <c r="CD283" s="39"/>
      <c r="CE283" s="39"/>
      <c r="CF283" s="39"/>
      <c r="CG283" s="39"/>
      <c r="CH283" s="39"/>
      <c r="CI283" s="39"/>
      <c r="CJ283" s="39"/>
      <c r="CK283" s="39"/>
      <c r="CL283" s="39"/>
      <c r="CM283" s="39"/>
      <c r="CN283" s="39"/>
      <c r="CO283" s="39"/>
      <c r="CP283" s="39"/>
      <c r="CQ283" s="39"/>
      <c r="CR283" s="39"/>
      <c r="CS283" s="39"/>
      <c r="CT283" s="39"/>
      <c r="CU283" s="39"/>
      <c r="CV283" s="39"/>
      <c r="CW283" s="39"/>
      <c r="CX283" s="39"/>
      <c r="CY283" s="39"/>
      <c r="CZ283" s="39"/>
      <c r="DA283" s="39"/>
      <c r="DB283" s="39"/>
      <c r="DC283" s="39"/>
      <c r="DD283" s="39"/>
      <c r="DE283" s="39"/>
      <c r="DF283" s="39"/>
      <c r="DG283" s="39"/>
      <c r="DH283" s="39"/>
      <c r="DI283" s="39"/>
      <c r="DJ283" s="39"/>
      <c r="DK283" s="39"/>
      <c r="DL283" s="39"/>
      <c r="DM283" s="39"/>
      <c r="DN283" s="39"/>
      <c r="DO283" s="39"/>
      <c r="DP283" s="39"/>
      <c r="DQ283" s="39"/>
      <c r="DR283" s="39"/>
      <c r="DS283" s="39"/>
      <c r="DT283" s="39"/>
      <c r="DU283" s="39"/>
      <c r="DV283" s="39"/>
      <c r="DW283" s="39"/>
      <c r="DX283" s="39"/>
      <c r="DY283" s="39"/>
      <c r="DZ283" s="39"/>
      <c r="EA283" s="39"/>
      <c r="EB283" s="39"/>
      <c r="EC283" s="39"/>
      <c r="ED283" s="39"/>
      <c r="EE283" s="39"/>
      <c r="EF283" s="39"/>
      <c r="EG283" s="39"/>
      <c r="EH283" s="39"/>
      <c r="EI283" s="39"/>
      <c r="EJ283" s="39"/>
      <c r="EK283" s="39"/>
      <c r="EL283" s="39"/>
      <c r="EM283" s="39"/>
      <c r="EN283" s="39"/>
      <c r="EO283" s="39"/>
      <c r="EP283" s="39"/>
      <c r="EQ283" s="39"/>
      <c r="ER283" s="39"/>
      <c r="ES283" s="39"/>
      <c r="ET283" s="39"/>
      <c r="EU283" s="39"/>
      <c r="EV283" s="39"/>
      <c r="EW283" s="39"/>
      <c r="EX283" s="39"/>
      <c r="EY283" s="39"/>
      <c r="EZ283" s="39"/>
      <c r="FA283" s="39"/>
      <c r="FB283" s="39"/>
      <c r="FC283" s="39"/>
      <c r="FD283" s="39"/>
      <c r="FE283" s="39"/>
      <c r="FF283" s="39"/>
      <c r="FG283" s="39"/>
      <c r="FH283" s="39"/>
      <c r="FI283" s="39"/>
      <c r="FJ283" s="39"/>
      <c r="FK283" s="39"/>
      <c r="FL283" s="39"/>
      <c r="FM283" s="39"/>
      <c r="FN283" s="39"/>
      <c r="FO283" s="39"/>
      <c r="FP283" s="39"/>
      <c r="FQ283" s="39"/>
      <c r="FR283" s="39"/>
      <c r="FS283" s="39"/>
      <c r="FT283" s="39"/>
      <c r="FU283" s="39"/>
      <c r="FV283" s="39"/>
      <c r="FW283" s="39"/>
      <c r="FX283" s="39"/>
      <c r="FY283" s="39"/>
      <c r="FZ283" s="39"/>
      <c r="GA283" s="39"/>
      <c r="GB283" s="39"/>
      <c r="GC283" s="39"/>
      <c r="GD283" s="39"/>
      <c r="GE283" s="39"/>
      <c r="GF283" s="39"/>
      <c r="GG283" s="39"/>
      <c r="GH283" s="39"/>
      <c r="GI283" s="39"/>
      <c r="GJ283" s="39"/>
      <c r="GK283" s="39"/>
      <c r="GL283" s="39"/>
      <c r="GM283" s="39"/>
      <c r="GN283" s="39"/>
      <c r="GO283" s="39"/>
      <c r="GP283" s="39"/>
      <c r="GQ283" s="39"/>
      <c r="GR283" s="39"/>
      <c r="GS283" s="39"/>
      <c r="GT283" s="39"/>
      <c r="GU283" s="39"/>
      <c r="GV283" s="39"/>
      <c r="GW283" s="39"/>
      <c r="GX283" s="39"/>
      <c r="GY283" s="39"/>
      <c r="GZ283" s="39"/>
      <c r="HA283" s="39"/>
      <c r="HB283" s="39"/>
      <c r="HC283" s="39"/>
      <c r="HD283" s="39"/>
      <c r="HE283" s="39"/>
      <c r="HF283" s="39"/>
      <c r="HG283" s="39"/>
      <c r="HH283" s="39"/>
      <c r="HI283" s="39"/>
      <c r="HJ283" s="39"/>
      <c r="HK283" s="39"/>
      <c r="HL283" s="39"/>
      <c r="HM283" s="39"/>
      <c r="HN283" s="39"/>
      <c r="HO283" s="39"/>
      <c r="HP283" s="39"/>
    </row>
    <row r="284" spans="3:224" s="4" customFormat="1" ht="20.100000000000001" customHeight="1">
      <c r="C284" s="34">
        <v>14050007</v>
      </c>
      <c r="D284" s="34" t="s">
        <v>314</v>
      </c>
      <c r="E284" s="35">
        <v>11200003</v>
      </c>
      <c r="F284" s="35">
        <v>11022</v>
      </c>
      <c r="G284" s="35">
        <v>1</v>
      </c>
      <c r="H284" s="35">
        <v>20</v>
      </c>
      <c r="I284" s="37">
        <v>0.2</v>
      </c>
      <c r="J284" s="38">
        <v>5</v>
      </c>
      <c r="K284" s="35">
        <v>0</v>
      </c>
      <c r="L284" s="35">
        <v>530</v>
      </c>
      <c r="M284" s="35">
        <f t="shared" si="16"/>
        <v>22</v>
      </c>
      <c r="N284" s="35">
        <v>43</v>
      </c>
      <c r="O284" s="35">
        <v>0</v>
      </c>
      <c r="P284" s="35">
        <v>0</v>
      </c>
      <c r="Q284" s="35">
        <f t="shared" si="17"/>
        <v>4</v>
      </c>
      <c r="R284" s="35">
        <v>8</v>
      </c>
      <c r="S284" s="35">
        <f t="shared" si="18"/>
        <v>4</v>
      </c>
      <c r="T284" s="35">
        <v>8</v>
      </c>
      <c r="U284" s="37">
        <v>0</v>
      </c>
      <c r="V284" s="35">
        <v>0</v>
      </c>
      <c r="W284" s="35">
        <v>0</v>
      </c>
      <c r="X284" s="35">
        <v>0</v>
      </c>
      <c r="Y284" s="37">
        <v>0</v>
      </c>
      <c r="Z284" s="37">
        <v>0</v>
      </c>
      <c r="AA284" s="37">
        <v>0</v>
      </c>
      <c r="AB284" s="37">
        <v>0</v>
      </c>
      <c r="AC284" s="37">
        <v>0</v>
      </c>
      <c r="AD284" s="37">
        <v>0</v>
      </c>
      <c r="AE284" s="39"/>
      <c r="AF284" s="39"/>
      <c r="AG284" s="39"/>
      <c r="AH284" s="39"/>
      <c r="AI284" s="39"/>
      <c r="AJ284" s="39"/>
      <c r="AK284" s="39"/>
      <c r="AL284" s="39"/>
      <c r="AM284" s="39"/>
      <c r="AN284" s="39"/>
      <c r="AO284" s="39"/>
      <c r="AP284" s="39"/>
      <c r="AQ284" s="39"/>
      <c r="AR284" s="39"/>
      <c r="AS284" s="39"/>
      <c r="AT284" s="39"/>
      <c r="AU284" s="39"/>
      <c r="AV284" s="39"/>
      <c r="AW284" s="39"/>
      <c r="AX284" s="39"/>
      <c r="AY284" s="39"/>
      <c r="AZ284" s="39"/>
      <c r="BA284" s="39"/>
      <c r="BB284" s="39"/>
      <c r="BC284" s="39"/>
      <c r="BD284" s="39"/>
      <c r="BE284" s="39"/>
      <c r="BF284" s="39"/>
      <c r="BG284" s="39"/>
      <c r="BH284" s="39"/>
      <c r="BI284" s="39"/>
      <c r="BJ284" s="39"/>
      <c r="BK284" s="39"/>
      <c r="BL284" s="39"/>
      <c r="BM284" s="39"/>
      <c r="BN284" s="39"/>
      <c r="BO284" s="39"/>
      <c r="BP284" s="39"/>
      <c r="BQ284" s="39"/>
      <c r="BR284" s="39"/>
      <c r="BS284" s="39"/>
      <c r="BT284" s="39"/>
      <c r="BU284" s="39"/>
      <c r="BV284" s="39"/>
      <c r="BW284" s="39"/>
      <c r="BX284" s="39"/>
      <c r="BY284" s="39"/>
      <c r="BZ284" s="39"/>
      <c r="CA284" s="39"/>
      <c r="CB284" s="39"/>
      <c r="CC284" s="39"/>
      <c r="CD284" s="39"/>
      <c r="CE284" s="39"/>
      <c r="CF284" s="39"/>
      <c r="CG284" s="39"/>
      <c r="CH284" s="39"/>
      <c r="CI284" s="39"/>
      <c r="CJ284" s="39"/>
      <c r="CK284" s="39"/>
      <c r="CL284" s="39"/>
      <c r="CM284" s="39"/>
      <c r="CN284" s="39"/>
      <c r="CO284" s="39"/>
      <c r="CP284" s="39"/>
      <c r="CQ284" s="39"/>
      <c r="CR284" s="39"/>
      <c r="CS284" s="39"/>
      <c r="CT284" s="39"/>
      <c r="CU284" s="39"/>
      <c r="CV284" s="39"/>
      <c r="CW284" s="39"/>
      <c r="CX284" s="39"/>
      <c r="CY284" s="39"/>
      <c r="CZ284" s="39"/>
      <c r="DA284" s="39"/>
      <c r="DB284" s="39"/>
      <c r="DC284" s="39"/>
      <c r="DD284" s="39"/>
      <c r="DE284" s="39"/>
      <c r="DF284" s="39"/>
      <c r="DG284" s="39"/>
      <c r="DH284" s="39"/>
      <c r="DI284" s="39"/>
      <c r="DJ284" s="39"/>
      <c r="DK284" s="39"/>
      <c r="DL284" s="39"/>
      <c r="DM284" s="39"/>
      <c r="DN284" s="39"/>
      <c r="DO284" s="39"/>
      <c r="DP284" s="39"/>
      <c r="DQ284" s="39"/>
      <c r="DR284" s="39"/>
      <c r="DS284" s="39"/>
      <c r="DT284" s="39"/>
      <c r="DU284" s="39"/>
      <c r="DV284" s="39"/>
      <c r="DW284" s="39"/>
      <c r="DX284" s="39"/>
      <c r="DY284" s="39"/>
      <c r="DZ284" s="39"/>
      <c r="EA284" s="39"/>
      <c r="EB284" s="39"/>
      <c r="EC284" s="39"/>
      <c r="ED284" s="39"/>
      <c r="EE284" s="39"/>
      <c r="EF284" s="39"/>
      <c r="EG284" s="39"/>
      <c r="EH284" s="39"/>
      <c r="EI284" s="39"/>
      <c r="EJ284" s="39"/>
      <c r="EK284" s="39"/>
      <c r="EL284" s="39"/>
      <c r="EM284" s="39"/>
      <c r="EN284" s="39"/>
      <c r="EO284" s="39"/>
      <c r="EP284" s="39"/>
      <c r="EQ284" s="39"/>
      <c r="ER284" s="39"/>
      <c r="ES284" s="39"/>
      <c r="ET284" s="39"/>
      <c r="EU284" s="39"/>
      <c r="EV284" s="39"/>
      <c r="EW284" s="39"/>
      <c r="EX284" s="39"/>
      <c r="EY284" s="39"/>
      <c r="EZ284" s="39"/>
      <c r="FA284" s="39"/>
      <c r="FB284" s="39"/>
      <c r="FC284" s="39"/>
      <c r="FD284" s="39"/>
      <c r="FE284" s="39"/>
      <c r="FF284" s="39"/>
      <c r="FG284" s="39"/>
      <c r="FH284" s="39"/>
      <c r="FI284" s="39"/>
      <c r="FJ284" s="39"/>
      <c r="FK284" s="39"/>
      <c r="FL284" s="39"/>
      <c r="FM284" s="39"/>
      <c r="FN284" s="39"/>
      <c r="FO284" s="39"/>
      <c r="FP284" s="39"/>
      <c r="FQ284" s="39"/>
      <c r="FR284" s="39"/>
      <c r="FS284" s="39"/>
      <c r="FT284" s="39"/>
      <c r="FU284" s="39"/>
      <c r="FV284" s="39"/>
      <c r="FW284" s="39"/>
      <c r="FX284" s="39"/>
      <c r="FY284" s="39"/>
      <c r="FZ284" s="39"/>
      <c r="GA284" s="39"/>
      <c r="GB284" s="39"/>
      <c r="GC284" s="39"/>
      <c r="GD284" s="39"/>
      <c r="GE284" s="39"/>
      <c r="GF284" s="39"/>
      <c r="GG284" s="39"/>
      <c r="GH284" s="39"/>
      <c r="GI284" s="39"/>
      <c r="GJ284" s="39"/>
      <c r="GK284" s="39"/>
      <c r="GL284" s="39"/>
      <c r="GM284" s="39"/>
      <c r="GN284" s="39"/>
      <c r="GO284" s="39"/>
      <c r="GP284" s="39"/>
      <c r="GQ284" s="39"/>
      <c r="GR284" s="39"/>
      <c r="GS284" s="39"/>
      <c r="GT284" s="39"/>
      <c r="GU284" s="39"/>
      <c r="GV284" s="39"/>
      <c r="GW284" s="39"/>
      <c r="GX284" s="39"/>
      <c r="GY284" s="39"/>
      <c r="GZ284" s="39"/>
      <c r="HA284" s="39"/>
      <c r="HB284" s="39"/>
      <c r="HC284" s="39"/>
      <c r="HD284" s="39"/>
      <c r="HE284" s="39"/>
      <c r="HF284" s="39"/>
      <c r="HG284" s="39"/>
      <c r="HH284" s="39"/>
      <c r="HI284" s="39"/>
      <c r="HJ284" s="39"/>
      <c r="HK284" s="39"/>
      <c r="HL284" s="39"/>
      <c r="HM284" s="39"/>
      <c r="HN284" s="39"/>
      <c r="HO284" s="39"/>
      <c r="HP284" s="39"/>
    </row>
    <row r="285" spans="3:224" s="4" customFormat="1" ht="20.100000000000001" customHeight="1">
      <c r="C285" s="34">
        <v>14050008</v>
      </c>
      <c r="D285" s="34" t="s">
        <v>315</v>
      </c>
      <c r="E285" s="35">
        <v>11200003</v>
      </c>
      <c r="F285" s="35">
        <v>11042</v>
      </c>
      <c r="G285" s="35">
        <v>1</v>
      </c>
      <c r="H285" s="35">
        <v>20</v>
      </c>
      <c r="I285" s="37">
        <v>0.2</v>
      </c>
      <c r="J285" s="38">
        <v>10</v>
      </c>
      <c r="K285" s="35">
        <v>0</v>
      </c>
      <c r="L285" s="35">
        <v>660</v>
      </c>
      <c r="M285" s="35">
        <f t="shared" si="16"/>
        <v>26</v>
      </c>
      <c r="N285" s="35">
        <v>51</v>
      </c>
      <c r="O285" s="35">
        <v>0</v>
      </c>
      <c r="P285" s="35">
        <v>0</v>
      </c>
      <c r="Q285" s="35">
        <f t="shared" si="17"/>
        <v>6</v>
      </c>
      <c r="R285" s="35">
        <v>11</v>
      </c>
      <c r="S285" s="35">
        <f t="shared" si="18"/>
        <v>6</v>
      </c>
      <c r="T285" s="35">
        <v>11</v>
      </c>
      <c r="U285" s="37">
        <v>0</v>
      </c>
      <c r="V285" s="35">
        <v>0</v>
      </c>
      <c r="W285" s="35">
        <v>0</v>
      </c>
      <c r="X285" s="35">
        <v>0</v>
      </c>
      <c r="Y285" s="37">
        <v>0</v>
      </c>
      <c r="Z285" s="37">
        <v>0</v>
      </c>
      <c r="AA285" s="37">
        <v>0</v>
      </c>
      <c r="AB285" s="37">
        <v>0</v>
      </c>
      <c r="AC285" s="37">
        <v>0</v>
      </c>
      <c r="AD285" s="37">
        <v>0</v>
      </c>
      <c r="AE285" s="39"/>
      <c r="AF285" s="39"/>
      <c r="AG285" s="39"/>
      <c r="AH285" s="39"/>
      <c r="AI285" s="39"/>
      <c r="AJ285" s="39"/>
      <c r="AK285" s="39"/>
      <c r="AL285" s="39"/>
      <c r="AM285" s="39"/>
      <c r="AN285" s="39"/>
      <c r="AO285" s="39"/>
      <c r="AP285" s="39"/>
      <c r="AQ285" s="39"/>
      <c r="AR285" s="39"/>
      <c r="AS285" s="39"/>
      <c r="AT285" s="39"/>
      <c r="AU285" s="39"/>
      <c r="AV285" s="39"/>
      <c r="AW285" s="39"/>
      <c r="AX285" s="39"/>
      <c r="AY285" s="39"/>
      <c r="AZ285" s="39"/>
      <c r="BA285" s="39"/>
      <c r="BB285" s="39"/>
      <c r="BC285" s="39"/>
      <c r="BD285" s="39"/>
      <c r="BE285" s="39"/>
      <c r="BF285" s="39"/>
      <c r="BG285" s="39"/>
      <c r="BH285" s="39"/>
      <c r="BI285" s="39"/>
      <c r="BJ285" s="39"/>
      <c r="BK285" s="39"/>
      <c r="BL285" s="39"/>
      <c r="BM285" s="39"/>
      <c r="BN285" s="39"/>
      <c r="BO285" s="39"/>
      <c r="BP285" s="39"/>
      <c r="BQ285" s="39"/>
      <c r="BR285" s="39"/>
      <c r="BS285" s="39"/>
      <c r="BT285" s="39"/>
      <c r="BU285" s="39"/>
      <c r="BV285" s="39"/>
      <c r="BW285" s="39"/>
      <c r="BX285" s="39"/>
      <c r="BY285" s="39"/>
      <c r="BZ285" s="39"/>
      <c r="CA285" s="39"/>
      <c r="CB285" s="39"/>
      <c r="CC285" s="39"/>
      <c r="CD285" s="39"/>
      <c r="CE285" s="39"/>
      <c r="CF285" s="39"/>
      <c r="CG285" s="39"/>
      <c r="CH285" s="39"/>
      <c r="CI285" s="39"/>
      <c r="CJ285" s="39"/>
      <c r="CK285" s="39"/>
      <c r="CL285" s="39"/>
      <c r="CM285" s="39"/>
      <c r="CN285" s="39"/>
      <c r="CO285" s="39"/>
      <c r="CP285" s="39"/>
      <c r="CQ285" s="39"/>
      <c r="CR285" s="39"/>
      <c r="CS285" s="39"/>
      <c r="CT285" s="39"/>
      <c r="CU285" s="39"/>
      <c r="CV285" s="39"/>
      <c r="CW285" s="39"/>
      <c r="CX285" s="39"/>
      <c r="CY285" s="39"/>
      <c r="CZ285" s="39"/>
      <c r="DA285" s="39"/>
      <c r="DB285" s="39"/>
      <c r="DC285" s="39"/>
      <c r="DD285" s="39"/>
      <c r="DE285" s="39"/>
      <c r="DF285" s="39"/>
      <c r="DG285" s="39"/>
      <c r="DH285" s="39"/>
      <c r="DI285" s="39"/>
      <c r="DJ285" s="39"/>
      <c r="DK285" s="39"/>
      <c r="DL285" s="39"/>
      <c r="DM285" s="39"/>
      <c r="DN285" s="39"/>
      <c r="DO285" s="39"/>
      <c r="DP285" s="39"/>
      <c r="DQ285" s="39"/>
      <c r="DR285" s="39"/>
      <c r="DS285" s="39"/>
      <c r="DT285" s="39"/>
      <c r="DU285" s="39"/>
      <c r="DV285" s="39"/>
      <c r="DW285" s="39"/>
      <c r="DX285" s="39"/>
      <c r="DY285" s="39"/>
      <c r="DZ285" s="39"/>
      <c r="EA285" s="39"/>
      <c r="EB285" s="39"/>
      <c r="EC285" s="39"/>
      <c r="ED285" s="39"/>
      <c r="EE285" s="39"/>
      <c r="EF285" s="39"/>
      <c r="EG285" s="39"/>
      <c r="EH285" s="39"/>
      <c r="EI285" s="39"/>
      <c r="EJ285" s="39"/>
      <c r="EK285" s="39"/>
      <c r="EL285" s="39"/>
      <c r="EM285" s="39"/>
      <c r="EN285" s="39"/>
      <c r="EO285" s="39"/>
      <c r="EP285" s="39"/>
      <c r="EQ285" s="39"/>
      <c r="ER285" s="39"/>
      <c r="ES285" s="39"/>
      <c r="ET285" s="39"/>
      <c r="EU285" s="39"/>
      <c r="EV285" s="39"/>
      <c r="EW285" s="39"/>
      <c r="EX285" s="39"/>
      <c r="EY285" s="39"/>
      <c r="EZ285" s="39"/>
      <c r="FA285" s="39"/>
      <c r="FB285" s="39"/>
      <c r="FC285" s="39"/>
      <c r="FD285" s="39"/>
      <c r="FE285" s="39"/>
      <c r="FF285" s="39"/>
      <c r="FG285" s="39"/>
      <c r="FH285" s="39"/>
      <c r="FI285" s="39"/>
      <c r="FJ285" s="39"/>
      <c r="FK285" s="39"/>
      <c r="FL285" s="39"/>
      <c r="FM285" s="39"/>
      <c r="FN285" s="39"/>
      <c r="FO285" s="39"/>
      <c r="FP285" s="39"/>
      <c r="FQ285" s="39"/>
      <c r="FR285" s="39"/>
      <c r="FS285" s="39"/>
      <c r="FT285" s="39"/>
      <c r="FU285" s="39"/>
      <c r="FV285" s="39"/>
      <c r="FW285" s="39"/>
      <c r="FX285" s="39"/>
      <c r="FY285" s="39"/>
      <c r="FZ285" s="39"/>
      <c r="GA285" s="39"/>
      <c r="GB285" s="39"/>
      <c r="GC285" s="39"/>
      <c r="GD285" s="39"/>
      <c r="GE285" s="39"/>
      <c r="GF285" s="39"/>
      <c r="GG285" s="39"/>
      <c r="GH285" s="39"/>
      <c r="GI285" s="39"/>
      <c r="GJ285" s="39"/>
      <c r="GK285" s="39"/>
      <c r="GL285" s="39"/>
      <c r="GM285" s="39"/>
      <c r="GN285" s="39"/>
      <c r="GO285" s="39"/>
      <c r="GP285" s="39"/>
      <c r="GQ285" s="39"/>
      <c r="GR285" s="39"/>
      <c r="GS285" s="39"/>
      <c r="GT285" s="39"/>
      <c r="GU285" s="39"/>
      <c r="GV285" s="39"/>
      <c r="GW285" s="39"/>
      <c r="GX285" s="39"/>
      <c r="GY285" s="39"/>
      <c r="GZ285" s="39"/>
      <c r="HA285" s="39"/>
      <c r="HB285" s="39"/>
      <c r="HC285" s="39"/>
      <c r="HD285" s="39"/>
      <c r="HE285" s="39"/>
      <c r="HF285" s="39"/>
      <c r="HG285" s="39"/>
      <c r="HH285" s="39"/>
      <c r="HI285" s="39"/>
      <c r="HJ285" s="39"/>
      <c r="HK285" s="39"/>
      <c r="HL285" s="39"/>
      <c r="HM285" s="39"/>
      <c r="HN285" s="39"/>
      <c r="HO285" s="39"/>
      <c r="HP285" s="39"/>
    </row>
    <row r="286" spans="3:224" s="4" customFormat="1" ht="20.100000000000001" customHeight="1">
      <c r="C286" s="34">
        <v>14050009</v>
      </c>
      <c r="D286" s="34" t="s">
        <v>316</v>
      </c>
      <c r="E286" s="35">
        <v>11200003</v>
      </c>
      <c r="F286" s="35">
        <v>0</v>
      </c>
      <c r="G286" s="35">
        <v>1</v>
      </c>
      <c r="H286" s="35">
        <v>20</v>
      </c>
      <c r="I286" s="37">
        <v>0.2</v>
      </c>
      <c r="J286" s="38">
        <v>5</v>
      </c>
      <c r="K286" s="35">
        <v>0</v>
      </c>
      <c r="L286" s="35">
        <v>830</v>
      </c>
      <c r="M286" s="35">
        <f t="shared" si="16"/>
        <v>6</v>
      </c>
      <c r="N286" s="35">
        <v>11</v>
      </c>
      <c r="O286" s="35">
        <v>0</v>
      </c>
      <c r="P286" s="35">
        <v>0</v>
      </c>
      <c r="Q286" s="35">
        <f t="shared" si="17"/>
        <v>3</v>
      </c>
      <c r="R286" s="35">
        <v>6</v>
      </c>
      <c r="S286" s="35">
        <f t="shared" si="18"/>
        <v>3</v>
      </c>
      <c r="T286" s="35">
        <v>6</v>
      </c>
      <c r="U286" s="37">
        <v>0</v>
      </c>
      <c r="V286" s="35">
        <v>0</v>
      </c>
      <c r="W286" s="35">
        <v>0</v>
      </c>
      <c r="X286" s="35">
        <v>0</v>
      </c>
      <c r="Y286" s="37">
        <v>0</v>
      </c>
      <c r="Z286" s="37">
        <v>0</v>
      </c>
      <c r="AA286" s="37">
        <v>0</v>
      </c>
      <c r="AB286" s="37">
        <v>0</v>
      </c>
      <c r="AC286" s="37">
        <v>0</v>
      </c>
      <c r="AD286" s="37">
        <v>0</v>
      </c>
      <c r="AE286" s="39"/>
      <c r="AF286" s="39"/>
      <c r="AG286" s="39"/>
      <c r="AH286" s="39"/>
      <c r="AI286" s="39"/>
      <c r="AJ286" s="39"/>
      <c r="AK286" s="39"/>
      <c r="AL286" s="39"/>
      <c r="AM286" s="39"/>
      <c r="AN286" s="39"/>
      <c r="AO286" s="39"/>
      <c r="AP286" s="39"/>
      <c r="AQ286" s="39"/>
      <c r="AR286" s="39"/>
      <c r="AS286" s="39"/>
      <c r="AT286" s="39"/>
      <c r="AU286" s="39"/>
      <c r="AV286" s="39"/>
      <c r="AW286" s="39"/>
      <c r="AX286" s="39"/>
      <c r="AY286" s="39"/>
      <c r="AZ286" s="39"/>
      <c r="BA286" s="39"/>
      <c r="BB286" s="39"/>
      <c r="BC286" s="39"/>
      <c r="BD286" s="39"/>
      <c r="BE286" s="39"/>
      <c r="BF286" s="39"/>
      <c r="BG286" s="39"/>
      <c r="BH286" s="39"/>
      <c r="BI286" s="39"/>
      <c r="BJ286" s="39"/>
      <c r="BK286" s="39"/>
      <c r="BL286" s="39"/>
      <c r="BM286" s="39"/>
      <c r="BN286" s="39"/>
      <c r="BO286" s="39"/>
      <c r="BP286" s="39"/>
      <c r="BQ286" s="39"/>
      <c r="BR286" s="39"/>
      <c r="BS286" s="39"/>
      <c r="BT286" s="39"/>
      <c r="BU286" s="39"/>
      <c r="BV286" s="39"/>
      <c r="BW286" s="39"/>
      <c r="BX286" s="39"/>
      <c r="BY286" s="39"/>
      <c r="BZ286" s="39"/>
      <c r="CA286" s="39"/>
      <c r="CB286" s="39"/>
      <c r="CC286" s="39"/>
      <c r="CD286" s="39"/>
      <c r="CE286" s="39"/>
      <c r="CF286" s="39"/>
      <c r="CG286" s="39"/>
      <c r="CH286" s="39"/>
      <c r="CI286" s="39"/>
      <c r="CJ286" s="39"/>
      <c r="CK286" s="39"/>
      <c r="CL286" s="39"/>
      <c r="CM286" s="39"/>
      <c r="CN286" s="39"/>
      <c r="CO286" s="39"/>
      <c r="CP286" s="39"/>
      <c r="CQ286" s="39"/>
      <c r="CR286" s="39"/>
      <c r="CS286" s="39"/>
      <c r="CT286" s="39"/>
      <c r="CU286" s="39"/>
      <c r="CV286" s="39"/>
      <c r="CW286" s="39"/>
      <c r="CX286" s="39"/>
      <c r="CY286" s="39"/>
      <c r="CZ286" s="39"/>
      <c r="DA286" s="39"/>
      <c r="DB286" s="39"/>
      <c r="DC286" s="39"/>
      <c r="DD286" s="39"/>
      <c r="DE286" s="39"/>
      <c r="DF286" s="39"/>
      <c r="DG286" s="39"/>
      <c r="DH286" s="39"/>
      <c r="DI286" s="39"/>
      <c r="DJ286" s="39"/>
      <c r="DK286" s="39"/>
      <c r="DL286" s="39"/>
      <c r="DM286" s="39"/>
      <c r="DN286" s="39"/>
      <c r="DO286" s="39"/>
      <c r="DP286" s="39"/>
      <c r="DQ286" s="39"/>
      <c r="DR286" s="39"/>
      <c r="DS286" s="39"/>
      <c r="DT286" s="39"/>
      <c r="DU286" s="39"/>
      <c r="DV286" s="39"/>
      <c r="DW286" s="39"/>
      <c r="DX286" s="39"/>
      <c r="DY286" s="39"/>
      <c r="DZ286" s="39"/>
      <c r="EA286" s="39"/>
      <c r="EB286" s="39"/>
      <c r="EC286" s="39"/>
      <c r="ED286" s="39"/>
      <c r="EE286" s="39"/>
      <c r="EF286" s="39"/>
      <c r="EG286" s="39"/>
      <c r="EH286" s="39"/>
      <c r="EI286" s="39"/>
      <c r="EJ286" s="39"/>
      <c r="EK286" s="39"/>
      <c r="EL286" s="39"/>
      <c r="EM286" s="39"/>
      <c r="EN286" s="39"/>
      <c r="EO286" s="39"/>
      <c r="EP286" s="39"/>
      <c r="EQ286" s="39"/>
      <c r="ER286" s="39"/>
      <c r="ES286" s="39"/>
      <c r="ET286" s="39"/>
      <c r="EU286" s="39"/>
      <c r="EV286" s="39"/>
      <c r="EW286" s="39"/>
      <c r="EX286" s="39"/>
      <c r="EY286" s="39"/>
      <c r="EZ286" s="39"/>
      <c r="FA286" s="39"/>
      <c r="FB286" s="39"/>
      <c r="FC286" s="39"/>
      <c r="FD286" s="39"/>
      <c r="FE286" s="39"/>
      <c r="FF286" s="39"/>
      <c r="FG286" s="39"/>
      <c r="FH286" s="39"/>
      <c r="FI286" s="39"/>
      <c r="FJ286" s="39"/>
      <c r="FK286" s="39"/>
      <c r="FL286" s="39"/>
      <c r="FM286" s="39"/>
      <c r="FN286" s="39"/>
      <c r="FO286" s="39"/>
      <c r="FP286" s="39"/>
      <c r="FQ286" s="39"/>
      <c r="FR286" s="39"/>
      <c r="FS286" s="39"/>
      <c r="FT286" s="39"/>
      <c r="FU286" s="39"/>
      <c r="FV286" s="39"/>
      <c r="FW286" s="39"/>
      <c r="FX286" s="39"/>
      <c r="FY286" s="39"/>
      <c r="FZ286" s="39"/>
      <c r="GA286" s="39"/>
      <c r="GB286" s="39"/>
      <c r="GC286" s="39"/>
      <c r="GD286" s="39"/>
      <c r="GE286" s="39"/>
      <c r="GF286" s="39"/>
      <c r="GG286" s="39"/>
      <c r="GH286" s="39"/>
      <c r="GI286" s="39"/>
      <c r="GJ286" s="39"/>
      <c r="GK286" s="39"/>
      <c r="GL286" s="39"/>
      <c r="GM286" s="39"/>
      <c r="GN286" s="39"/>
      <c r="GO286" s="39"/>
      <c r="GP286" s="39"/>
      <c r="GQ286" s="39"/>
      <c r="GR286" s="39"/>
      <c r="GS286" s="39"/>
      <c r="GT286" s="39"/>
      <c r="GU286" s="39"/>
      <c r="GV286" s="39"/>
      <c r="GW286" s="39"/>
      <c r="GX286" s="39"/>
      <c r="GY286" s="39"/>
      <c r="GZ286" s="39"/>
      <c r="HA286" s="39"/>
      <c r="HB286" s="39"/>
      <c r="HC286" s="39"/>
      <c r="HD286" s="39"/>
      <c r="HE286" s="39"/>
      <c r="HF286" s="39"/>
      <c r="HG286" s="39"/>
      <c r="HH286" s="39"/>
      <c r="HI286" s="39"/>
      <c r="HJ286" s="39"/>
      <c r="HK286" s="39"/>
      <c r="HL286" s="39"/>
      <c r="HM286" s="39"/>
      <c r="HN286" s="39"/>
      <c r="HO286" s="39"/>
      <c r="HP286" s="39"/>
    </row>
    <row r="287" spans="3:224" s="4" customFormat="1" ht="20.100000000000001" customHeight="1">
      <c r="C287" s="34">
        <v>14050010</v>
      </c>
      <c r="D287" s="34" t="s">
        <v>317</v>
      </c>
      <c r="E287" s="35">
        <v>11200003</v>
      </c>
      <c r="F287" s="35">
        <v>0</v>
      </c>
      <c r="G287" s="35">
        <v>1</v>
      </c>
      <c r="H287" s="35">
        <v>20</v>
      </c>
      <c r="I287" s="37">
        <v>0.2</v>
      </c>
      <c r="J287" s="38">
        <v>5</v>
      </c>
      <c r="K287" s="35">
        <v>0</v>
      </c>
      <c r="L287" s="35">
        <v>1380</v>
      </c>
      <c r="M287" s="35">
        <f t="shared" si="16"/>
        <v>11</v>
      </c>
      <c r="N287" s="35">
        <v>21</v>
      </c>
      <c r="O287" s="35">
        <v>0</v>
      </c>
      <c r="P287" s="35">
        <v>0</v>
      </c>
      <c r="Q287" s="35">
        <f t="shared" si="17"/>
        <v>5</v>
      </c>
      <c r="R287" s="35">
        <v>10</v>
      </c>
      <c r="S287" s="35">
        <f t="shared" si="18"/>
        <v>5</v>
      </c>
      <c r="T287" s="35">
        <v>10</v>
      </c>
      <c r="U287" s="37">
        <v>0</v>
      </c>
      <c r="V287" s="35">
        <v>0</v>
      </c>
      <c r="W287" s="35">
        <v>0</v>
      </c>
      <c r="X287" s="35">
        <v>0</v>
      </c>
      <c r="Y287" s="37">
        <v>0</v>
      </c>
      <c r="Z287" s="37">
        <v>0</v>
      </c>
      <c r="AA287" s="37">
        <v>0</v>
      </c>
      <c r="AB287" s="37">
        <v>0</v>
      </c>
      <c r="AC287" s="37">
        <v>0</v>
      </c>
      <c r="AD287" s="37">
        <v>0</v>
      </c>
      <c r="AE287" s="39"/>
      <c r="AF287" s="39"/>
      <c r="AG287" s="39"/>
      <c r="AH287" s="39"/>
      <c r="AI287" s="39"/>
      <c r="AJ287" s="39"/>
      <c r="AK287" s="39"/>
      <c r="AL287" s="39"/>
      <c r="AM287" s="39"/>
      <c r="AN287" s="39"/>
      <c r="AO287" s="39"/>
      <c r="AP287" s="39"/>
      <c r="AQ287" s="39"/>
      <c r="AR287" s="39"/>
      <c r="AS287" s="39"/>
      <c r="AT287" s="39"/>
      <c r="AU287" s="39"/>
      <c r="AV287" s="39"/>
      <c r="AW287" s="39"/>
      <c r="AX287" s="39"/>
      <c r="AY287" s="39"/>
      <c r="AZ287" s="39"/>
      <c r="BA287" s="39"/>
      <c r="BB287" s="39"/>
      <c r="BC287" s="39"/>
      <c r="BD287" s="39"/>
      <c r="BE287" s="39"/>
      <c r="BF287" s="39"/>
      <c r="BG287" s="39"/>
      <c r="BH287" s="39"/>
      <c r="BI287" s="39"/>
      <c r="BJ287" s="39"/>
      <c r="BK287" s="39"/>
      <c r="BL287" s="39"/>
      <c r="BM287" s="39"/>
      <c r="BN287" s="39"/>
      <c r="BO287" s="39"/>
      <c r="BP287" s="39"/>
      <c r="BQ287" s="39"/>
      <c r="BR287" s="39"/>
      <c r="BS287" s="39"/>
      <c r="BT287" s="39"/>
      <c r="BU287" s="39"/>
      <c r="BV287" s="39"/>
      <c r="BW287" s="39"/>
      <c r="BX287" s="39"/>
      <c r="BY287" s="39"/>
      <c r="BZ287" s="39"/>
      <c r="CA287" s="39"/>
      <c r="CB287" s="39"/>
      <c r="CC287" s="39"/>
      <c r="CD287" s="39"/>
      <c r="CE287" s="39"/>
      <c r="CF287" s="39"/>
      <c r="CG287" s="39"/>
      <c r="CH287" s="39"/>
      <c r="CI287" s="39"/>
      <c r="CJ287" s="39"/>
      <c r="CK287" s="39"/>
      <c r="CL287" s="39"/>
      <c r="CM287" s="39"/>
      <c r="CN287" s="39"/>
      <c r="CO287" s="39"/>
      <c r="CP287" s="39"/>
      <c r="CQ287" s="39"/>
      <c r="CR287" s="39"/>
      <c r="CS287" s="39"/>
      <c r="CT287" s="39"/>
      <c r="CU287" s="39"/>
      <c r="CV287" s="39"/>
      <c r="CW287" s="39"/>
      <c r="CX287" s="39"/>
      <c r="CY287" s="39"/>
      <c r="CZ287" s="39"/>
      <c r="DA287" s="39"/>
      <c r="DB287" s="39"/>
      <c r="DC287" s="39"/>
      <c r="DD287" s="39"/>
      <c r="DE287" s="39"/>
      <c r="DF287" s="39"/>
      <c r="DG287" s="39"/>
      <c r="DH287" s="39"/>
      <c r="DI287" s="39"/>
      <c r="DJ287" s="39"/>
      <c r="DK287" s="39"/>
      <c r="DL287" s="39"/>
      <c r="DM287" s="39"/>
      <c r="DN287" s="39"/>
      <c r="DO287" s="39"/>
      <c r="DP287" s="39"/>
      <c r="DQ287" s="39"/>
      <c r="DR287" s="39"/>
      <c r="DS287" s="39"/>
      <c r="DT287" s="39"/>
      <c r="DU287" s="39"/>
      <c r="DV287" s="39"/>
      <c r="DW287" s="39"/>
      <c r="DX287" s="39"/>
      <c r="DY287" s="39"/>
      <c r="DZ287" s="39"/>
      <c r="EA287" s="39"/>
      <c r="EB287" s="39"/>
      <c r="EC287" s="39"/>
      <c r="ED287" s="39"/>
      <c r="EE287" s="39"/>
      <c r="EF287" s="39"/>
      <c r="EG287" s="39"/>
      <c r="EH287" s="39"/>
      <c r="EI287" s="39"/>
      <c r="EJ287" s="39"/>
      <c r="EK287" s="39"/>
      <c r="EL287" s="39"/>
      <c r="EM287" s="39"/>
      <c r="EN287" s="39"/>
      <c r="EO287" s="39"/>
      <c r="EP287" s="39"/>
      <c r="EQ287" s="39"/>
      <c r="ER287" s="39"/>
      <c r="ES287" s="39"/>
      <c r="ET287" s="39"/>
      <c r="EU287" s="39"/>
      <c r="EV287" s="39"/>
      <c r="EW287" s="39"/>
      <c r="EX287" s="39"/>
      <c r="EY287" s="39"/>
      <c r="EZ287" s="39"/>
      <c r="FA287" s="39"/>
      <c r="FB287" s="39"/>
      <c r="FC287" s="39"/>
      <c r="FD287" s="39"/>
      <c r="FE287" s="39"/>
      <c r="FF287" s="39"/>
      <c r="FG287" s="39"/>
      <c r="FH287" s="39"/>
      <c r="FI287" s="39"/>
      <c r="FJ287" s="39"/>
      <c r="FK287" s="39"/>
      <c r="FL287" s="39"/>
      <c r="FM287" s="39"/>
      <c r="FN287" s="39"/>
      <c r="FO287" s="39"/>
      <c r="FP287" s="39"/>
      <c r="FQ287" s="39"/>
      <c r="FR287" s="39"/>
      <c r="FS287" s="39"/>
      <c r="FT287" s="39"/>
      <c r="FU287" s="39"/>
      <c r="FV287" s="39"/>
      <c r="FW287" s="39"/>
      <c r="FX287" s="39"/>
      <c r="FY287" s="39"/>
      <c r="FZ287" s="39"/>
      <c r="GA287" s="39"/>
      <c r="GB287" s="39"/>
      <c r="GC287" s="39"/>
      <c r="GD287" s="39"/>
      <c r="GE287" s="39"/>
      <c r="GF287" s="39"/>
      <c r="GG287" s="39"/>
      <c r="GH287" s="39"/>
      <c r="GI287" s="39"/>
      <c r="GJ287" s="39"/>
      <c r="GK287" s="39"/>
      <c r="GL287" s="39"/>
      <c r="GM287" s="39"/>
      <c r="GN287" s="39"/>
      <c r="GO287" s="39"/>
      <c r="GP287" s="39"/>
      <c r="GQ287" s="39"/>
      <c r="GR287" s="39"/>
      <c r="GS287" s="39"/>
      <c r="GT287" s="39"/>
      <c r="GU287" s="39"/>
      <c r="GV287" s="39"/>
      <c r="GW287" s="39"/>
      <c r="GX287" s="39"/>
      <c r="GY287" s="39"/>
      <c r="GZ287" s="39"/>
      <c r="HA287" s="39"/>
      <c r="HB287" s="39"/>
      <c r="HC287" s="39"/>
      <c r="HD287" s="39"/>
      <c r="HE287" s="39"/>
      <c r="HF287" s="39"/>
      <c r="HG287" s="39"/>
      <c r="HH287" s="39"/>
      <c r="HI287" s="39"/>
      <c r="HJ287" s="39"/>
      <c r="HK287" s="39"/>
      <c r="HL287" s="39"/>
      <c r="HM287" s="39"/>
      <c r="HN287" s="39"/>
      <c r="HO287" s="39"/>
      <c r="HP287" s="39"/>
    </row>
    <row r="288" spans="3:224" s="4" customFormat="1" ht="20.100000000000001" customHeight="1">
      <c r="C288" s="34">
        <v>14050011</v>
      </c>
      <c r="D288" s="34" t="s">
        <v>318</v>
      </c>
      <c r="E288" s="35">
        <v>11200003</v>
      </c>
      <c r="F288" s="35">
        <v>11032</v>
      </c>
      <c r="G288" s="35">
        <v>1</v>
      </c>
      <c r="H288" s="35">
        <v>20</v>
      </c>
      <c r="I288" s="37">
        <v>0.2</v>
      </c>
      <c r="J288" s="38">
        <v>5</v>
      </c>
      <c r="K288" s="35">
        <v>0</v>
      </c>
      <c r="L288" s="35">
        <v>1580</v>
      </c>
      <c r="M288" s="35">
        <f t="shared" si="16"/>
        <v>12</v>
      </c>
      <c r="N288" s="35">
        <v>24</v>
      </c>
      <c r="O288" s="35">
        <v>0</v>
      </c>
      <c r="P288" s="35">
        <v>0</v>
      </c>
      <c r="Q288" s="35">
        <f t="shared" si="17"/>
        <v>7</v>
      </c>
      <c r="R288" s="35">
        <v>13</v>
      </c>
      <c r="S288" s="35">
        <f t="shared" si="18"/>
        <v>7</v>
      </c>
      <c r="T288" s="35">
        <v>13</v>
      </c>
      <c r="U288" s="37">
        <v>0</v>
      </c>
      <c r="V288" s="35">
        <v>0</v>
      </c>
      <c r="W288" s="35">
        <v>0</v>
      </c>
      <c r="X288" s="35">
        <v>0</v>
      </c>
      <c r="Y288" s="37">
        <v>0</v>
      </c>
      <c r="Z288" s="37">
        <v>0</v>
      </c>
      <c r="AA288" s="37">
        <v>0</v>
      </c>
      <c r="AB288" s="37">
        <v>0</v>
      </c>
      <c r="AC288" s="37">
        <v>0</v>
      </c>
      <c r="AD288" s="37">
        <v>0</v>
      </c>
      <c r="AE288" s="39"/>
      <c r="AF288" s="39"/>
      <c r="AG288" s="39"/>
      <c r="AH288" s="39"/>
      <c r="AI288" s="39"/>
      <c r="AJ288" s="39"/>
      <c r="AK288" s="39"/>
      <c r="AL288" s="39"/>
      <c r="AM288" s="39"/>
      <c r="AN288" s="39"/>
      <c r="AO288" s="39"/>
      <c r="AP288" s="39"/>
      <c r="AQ288" s="39"/>
      <c r="AR288" s="39"/>
      <c r="AS288" s="39"/>
      <c r="AT288" s="39"/>
      <c r="AU288" s="39"/>
      <c r="AV288" s="39"/>
      <c r="AW288" s="39"/>
      <c r="AX288" s="39"/>
      <c r="AY288" s="39"/>
      <c r="AZ288" s="39"/>
      <c r="BA288" s="39"/>
      <c r="BB288" s="39"/>
      <c r="BC288" s="39"/>
      <c r="BD288" s="39"/>
      <c r="BE288" s="39"/>
      <c r="BF288" s="39"/>
      <c r="BG288" s="39"/>
      <c r="BH288" s="39"/>
      <c r="BI288" s="39"/>
      <c r="BJ288" s="39"/>
      <c r="BK288" s="39"/>
      <c r="BL288" s="39"/>
      <c r="BM288" s="39"/>
      <c r="BN288" s="39"/>
      <c r="BO288" s="39"/>
      <c r="BP288" s="39"/>
      <c r="BQ288" s="39"/>
      <c r="BR288" s="39"/>
      <c r="BS288" s="39"/>
      <c r="BT288" s="39"/>
      <c r="BU288" s="39"/>
      <c r="BV288" s="39"/>
      <c r="BW288" s="39"/>
      <c r="BX288" s="39"/>
      <c r="BY288" s="39"/>
      <c r="BZ288" s="39"/>
      <c r="CA288" s="39"/>
      <c r="CB288" s="39"/>
      <c r="CC288" s="39"/>
      <c r="CD288" s="39"/>
      <c r="CE288" s="39"/>
      <c r="CF288" s="39"/>
      <c r="CG288" s="39"/>
      <c r="CH288" s="39"/>
      <c r="CI288" s="39"/>
      <c r="CJ288" s="39"/>
      <c r="CK288" s="39"/>
      <c r="CL288" s="39"/>
      <c r="CM288" s="39"/>
      <c r="CN288" s="39"/>
      <c r="CO288" s="39"/>
      <c r="CP288" s="39"/>
      <c r="CQ288" s="39"/>
      <c r="CR288" s="39"/>
      <c r="CS288" s="39"/>
      <c r="CT288" s="39"/>
      <c r="CU288" s="39"/>
      <c r="CV288" s="39"/>
      <c r="CW288" s="39"/>
      <c r="CX288" s="39"/>
      <c r="CY288" s="39"/>
      <c r="CZ288" s="39"/>
      <c r="DA288" s="39"/>
      <c r="DB288" s="39"/>
      <c r="DC288" s="39"/>
      <c r="DD288" s="39"/>
      <c r="DE288" s="39"/>
      <c r="DF288" s="39"/>
      <c r="DG288" s="39"/>
      <c r="DH288" s="39"/>
      <c r="DI288" s="39"/>
      <c r="DJ288" s="39"/>
      <c r="DK288" s="39"/>
      <c r="DL288" s="39"/>
      <c r="DM288" s="39"/>
      <c r="DN288" s="39"/>
      <c r="DO288" s="39"/>
      <c r="DP288" s="39"/>
      <c r="DQ288" s="39"/>
      <c r="DR288" s="39"/>
      <c r="DS288" s="39"/>
      <c r="DT288" s="39"/>
      <c r="DU288" s="39"/>
      <c r="DV288" s="39"/>
      <c r="DW288" s="39"/>
      <c r="DX288" s="39"/>
      <c r="DY288" s="39"/>
      <c r="DZ288" s="39"/>
      <c r="EA288" s="39"/>
      <c r="EB288" s="39"/>
      <c r="EC288" s="39"/>
      <c r="ED288" s="39"/>
      <c r="EE288" s="39"/>
      <c r="EF288" s="39"/>
      <c r="EG288" s="39"/>
      <c r="EH288" s="39"/>
      <c r="EI288" s="39"/>
      <c r="EJ288" s="39"/>
      <c r="EK288" s="39"/>
      <c r="EL288" s="39"/>
      <c r="EM288" s="39"/>
      <c r="EN288" s="39"/>
      <c r="EO288" s="39"/>
      <c r="EP288" s="39"/>
      <c r="EQ288" s="39"/>
      <c r="ER288" s="39"/>
      <c r="ES288" s="39"/>
      <c r="ET288" s="39"/>
      <c r="EU288" s="39"/>
      <c r="EV288" s="39"/>
      <c r="EW288" s="39"/>
      <c r="EX288" s="39"/>
      <c r="EY288" s="39"/>
      <c r="EZ288" s="39"/>
      <c r="FA288" s="39"/>
      <c r="FB288" s="39"/>
      <c r="FC288" s="39"/>
      <c r="FD288" s="39"/>
      <c r="FE288" s="39"/>
      <c r="FF288" s="39"/>
      <c r="FG288" s="39"/>
      <c r="FH288" s="39"/>
      <c r="FI288" s="39"/>
      <c r="FJ288" s="39"/>
      <c r="FK288" s="39"/>
      <c r="FL288" s="39"/>
      <c r="FM288" s="39"/>
      <c r="FN288" s="39"/>
      <c r="FO288" s="39"/>
      <c r="FP288" s="39"/>
      <c r="FQ288" s="39"/>
      <c r="FR288" s="39"/>
      <c r="FS288" s="39"/>
      <c r="FT288" s="39"/>
      <c r="FU288" s="39"/>
      <c r="FV288" s="39"/>
      <c r="FW288" s="39"/>
      <c r="FX288" s="39"/>
      <c r="FY288" s="39"/>
      <c r="FZ288" s="39"/>
      <c r="GA288" s="39"/>
      <c r="GB288" s="39"/>
      <c r="GC288" s="39"/>
      <c r="GD288" s="39"/>
      <c r="GE288" s="39"/>
      <c r="GF288" s="39"/>
      <c r="GG288" s="39"/>
      <c r="GH288" s="39"/>
      <c r="GI288" s="39"/>
      <c r="GJ288" s="39"/>
      <c r="GK288" s="39"/>
      <c r="GL288" s="39"/>
      <c r="GM288" s="39"/>
      <c r="GN288" s="39"/>
      <c r="GO288" s="39"/>
      <c r="GP288" s="39"/>
      <c r="GQ288" s="39"/>
      <c r="GR288" s="39"/>
      <c r="GS288" s="39"/>
      <c r="GT288" s="39"/>
      <c r="GU288" s="39"/>
      <c r="GV288" s="39"/>
      <c r="GW288" s="39"/>
      <c r="GX288" s="39"/>
      <c r="GY288" s="39"/>
      <c r="GZ288" s="39"/>
      <c r="HA288" s="39"/>
      <c r="HB288" s="39"/>
      <c r="HC288" s="39"/>
      <c r="HD288" s="39"/>
      <c r="HE288" s="39"/>
      <c r="HF288" s="39"/>
      <c r="HG288" s="39"/>
      <c r="HH288" s="39"/>
      <c r="HI288" s="39"/>
      <c r="HJ288" s="39"/>
      <c r="HK288" s="39"/>
      <c r="HL288" s="39"/>
      <c r="HM288" s="39"/>
      <c r="HN288" s="39"/>
      <c r="HO288" s="39"/>
      <c r="HP288" s="39"/>
    </row>
    <row r="289" spans="3:224" s="4" customFormat="1" ht="20.100000000000001" customHeight="1">
      <c r="C289" s="34">
        <v>14050012</v>
      </c>
      <c r="D289" s="34" t="s">
        <v>319</v>
      </c>
      <c r="E289" s="35">
        <v>11200003</v>
      </c>
      <c r="F289" s="35">
        <v>11043</v>
      </c>
      <c r="G289" s="35">
        <v>1</v>
      </c>
      <c r="H289" s="35">
        <v>20</v>
      </c>
      <c r="I289" s="37">
        <v>0.2</v>
      </c>
      <c r="J289" s="38">
        <v>10</v>
      </c>
      <c r="K289" s="35">
        <v>0</v>
      </c>
      <c r="L289" s="35">
        <v>1970</v>
      </c>
      <c r="M289" s="35">
        <f t="shared" si="16"/>
        <v>15</v>
      </c>
      <c r="N289" s="35">
        <v>29</v>
      </c>
      <c r="O289" s="35">
        <v>0</v>
      </c>
      <c r="P289" s="35">
        <v>0</v>
      </c>
      <c r="Q289" s="35">
        <f t="shared" si="17"/>
        <v>10</v>
      </c>
      <c r="R289" s="35">
        <v>19</v>
      </c>
      <c r="S289" s="35">
        <f t="shared" si="18"/>
        <v>10</v>
      </c>
      <c r="T289" s="35">
        <v>19</v>
      </c>
      <c r="U289" s="37">
        <v>0</v>
      </c>
      <c r="V289" s="35">
        <v>0</v>
      </c>
      <c r="W289" s="35">
        <v>0</v>
      </c>
      <c r="X289" s="35">
        <v>0</v>
      </c>
      <c r="Y289" s="37">
        <v>0</v>
      </c>
      <c r="Z289" s="37">
        <v>0</v>
      </c>
      <c r="AA289" s="37">
        <v>0</v>
      </c>
      <c r="AB289" s="37">
        <v>0</v>
      </c>
      <c r="AC289" s="37">
        <v>0</v>
      </c>
      <c r="AD289" s="37">
        <v>0</v>
      </c>
      <c r="AE289" s="39"/>
      <c r="AF289" s="39"/>
      <c r="AG289" s="39"/>
      <c r="AH289" s="39"/>
      <c r="AI289" s="39"/>
      <c r="AJ289" s="39"/>
      <c r="AK289" s="39"/>
      <c r="AL289" s="39"/>
      <c r="AM289" s="39"/>
      <c r="AN289" s="39"/>
      <c r="AO289" s="39"/>
      <c r="AP289" s="39"/>
      <c r="AQ289" s="39"/>
      <c r="AR289" s="39"/>
      <c r="AS289" s="39"/>
      <c r="AT289" s="39"/>
      <c r="AU289" s="39"/>
      <c r="AV289" s="39"/>
      <c r="AW289" s="39"/>
      <c r="AX289" s="39"/>
      <c r="AY289" s="39"/>
      <c r="AZ289" s="39"/>
      <c r="BA289" s="39"/>
      <c r="BB289" s="39"/>
      <c r="BC289" s="39"/>
      <c r="BD289" s="39"/>
      <c r="BE289" s="39"/>
      <c r="BF289" s="39"/>
      <c r="BG289" s="39"/>
      <c r="BH289" s="39"/>
      <c r="BI289" s="39"/>
      <c r="BJ289" s="39"/>
      <c r="BK289" s="39"/>
      <c r="BL289" s="39"/>
      <c r="BM289" s="39"/>
      <c r="BN289" s="39"/>
      <c r="BO289" s="39"/>
      <c r="BP289" s="39"/>
      <c r="BQ289" s="39"/>
      <c r="BR289" s="39"/>
      <c r="BS289" s="39"/>
      <c r="BT289" s="39"/>
      <c r="BU289" s="39"/>
      <c r="BV289" s="39"/>
      <c r="BW289" s="39"/>
      <c r="BX289" s="39"/>
      <c r="BY289" s="39"/>
      <c r="BZ289" s="39"/>
      <c r="CA289" s="39"/>
      <c r="CB289" s="39"/>
      <c r="CC289" s="39"/>
      <c r="CD289" s="39"/>
      <c r="CE289" s="39"/>
      <c r="CF289" s="39"/>
      <c r="CG289" s="39"/>
      <c r="CH289" s="39"/>
      <c r="CI289" s="39"/>
      <c r="CJ289" s="39"/>
      <c r="CK289" s="39"/>
      <c r="CL289" s="39"/>
      <c r="CM289" s="39"/>
      <c r="CN289" s="39"/>
      <c r="CO289" s="39"/>
      <c r="CP289" s="39"/>
      <c r="CQ289" s="39"/>
      <c r="CR289" s="39"/>
      <c r="CS289" s="39"/>
      <c r="CT289" s="39"/>
      <c r="CU289" s="39"/>
      <c r="CV289" s="39"/>
      <c r="CW289" s="39"/>
      <c r="CX289" s="39"/>
      <c r="CY289" s="39"/>
      <c r="CZ289" s="39"/>
      <c r="DA289" s="39"/>
      <c r="DB289" s="39"/>
      <c r="DC289" s="39"/>
      <c r="DD289" s="39"/>
      <c r="DE289" s="39"/>
      <c r="DF289" s="39"/>
      <c r="DG289" s="39"/>
      <c r="DH289" s="39"/>
      <c r="DI289" s="39"/>
      <c r="DJ289" s="39"/>
      <c r="DK289" s="39"/>
      <c r="DL289" s="39"/>
      <c r="DM289" s="39"/>
      <c r="DN289" s="39"/>
      <c r="DO289" s="39"/>
      <c r="DP289" s="39"/>
      <c r="DQ289" s="39"/>
      <c r="DR289" s="39"/>
      <c r="DS289" s="39"/>
      <c r="DT289" s="39"/>
      <c r="DU289" s="39"/>
      <c r="DV289" s="39"/>
      <c r="DW289" s="39"/>
      <c r="DX289" s="39"/>
      <c r="DY289" s="39"/>
      <c r="DZ289" s="39"/>
      <c r="EA289" s="39"/>
      <c r="EB289" s="39"/>
      <c r="EC289" s="39"/>
      <c r="ED289" s="39"/>
      <c r="EE289" s="39"/>
      <c r="EF289" s="39"/>
      <c r="EG289" s="39"/>
      <c r="EH289" s="39"/>
      <c r="EI289" s="39"/>
      <c r="EJ289" s="39"/>
      <c r="EK289" s="39"/>
      <c r="EL289" s="39"/>
      <c r="EM289" s="39"/>
      <c r="EN289" s="39"/>
      <c r="EO289" s="39"/>
      <c r="EP289" s="39"/>
      <c r="EQ289" s="39"/>
      <c r="ER289" s="39"/>
      <c r="ES289" s="39"/>
      <c r="ET289" s="39"/>
      <c r="EU289" s="39"/>
      <c r="EV289" s="39"/>
      <c r="EW289" s="39"/>
      <c r="EX289" s="39"/>
      <c r="EY289" s="39"/>
      <c r="EZ289" s="39"/>
      <c r="FA289" s="39"/>
      <c r="FB289" s="39"/>
      <c r="FC289" s="39"/>
      <c r="FD289" s="39"/>
      <c r="FE289" s="39"/>
      <c r="FF289" s="39"/>
      <c r="FG289" s="39"/>
      <c r="FH289" s="39"/>
      <c r="FI289" s="39"/>
      <c r="FJ289" s="39"/>
      <c r="FK289" s="39"/>
      <c r="FL289" s="39"/>
      <c r="FM289" s="39"/>
      <c r="FN289" s="39"/>
      <c r="FO289" s="39"/>
      <c r="FP289" s="39"/>
      <c r="FQ289" s="39"/>
      <c r="FR289" s="39"/>
      <c r="FS289" s="39"/>
      <c r="FT289" s="39"/>
      <c r="FU289" s="39"/>
      <c r="FV289" s="39"/>
      <c r="FW289" s="39"/>
      <c r="FX289" s="39"/>
      <c r="FY289" s="39"/>
      <c r="FZ289" s="39"/>
      <c r="GA289" s="39"/>
      <c r="GB289" s="39"/>
      <c r="GC289" s="39"/>
      <c r="GD289" s="39"/>
      <c r="GE289" s="39"/>
      <c r="GF289" s="39"/>
      <c r="GG289" s="39"/>
      <c r="GH289" s="39"/>
      <c r="GI289" s="39"/>
      <c r="GJ289" s="39"/>
      <c r="GK289" s="39"/>
      <c r="GL289" s="39"/>
      <c r="GM289" s="39"/>
      <c r="GN289" s="39"/>
      <c r="GO289" s="39"/>
      <c r="GP289" s="39"/>
      <c r="GQ289" s="39"/>
      <c r="GR289" s="39"/>
      <c r="GS289" s="39"/>
      <c r="GT289" s="39"/>
      <c r="GU289" s="39"/>
      <c r="GV289" s="39"/>
      <c r="GW289" s="39"/>
      <c r="GX289" s="39"/>
      <c r="GY289" s="39"/>
      <c r="GZ289" s="39"/>
      <c r="HA289" s="39"/>
      <c r="HB289" s="39"/>
      <c r="HC289" s="39"/>
      <c r="HD289" s="39"/>
      <c r="HE289" s="39"/>
      <c r="HF289" s="39"/>
      <c r="HG289" s="39"/>
      <c r="HH289" s="39"/>
      <c r="HI289" s="39"/>
      <c r="HJ289" s="39"/>
      <c r="HK289" s="39"/>
      <c r="HL289" s="39"/>
      <c r="HM289" s="39"/>
      <c r="HN289" s="39"/>
      <c r="HO289" s="39"/>
      <c r="HP289" s="39"/>
    </row>
    <row r="290" spans="3:224" ht="20.100000000000001" customHeight="1">
      <c r="C290" s="24">
        <v>14060001</v>
      </c>
      <c r="D290" s="24" t="s">
        <v>69</v>
      </c>
      <c r="E290" s="25">
        <v>11200002</v>
      </c>
      <c r="F290" s="25">
        <v>0</v>
      </c>
      <c r="G290" s="25">
        <v>1</v>
      </c>
      <c r="H290" s="25">
        <v>20</v>
      </c>
      <c r="I290" s="29">
        <v>0.2</v>
      </c>
      <c r="J290" s="30">
        <v>5</v>
      </c>
      <c r="K290" s="25">
        <v>0</v>
      </c>
      <c r="L290" s="25">
        <v>0</v>
      </c>
      <c r="M290" s="25">
        <f t="shared" si="16"/>
        <v>13</v>
      </c>
      <c r="N290" s="25">
        <v>25</v>
      </c>
      <c r="O290" s="25">
        <v>0</v>
      </c>
      <c r="P290" s="25">
        <v>0</v>
      </c>
      <c r="Q290" s="25">
        <f t="shared" si="17"/>
        <v>4</v>
      </c>
      <c r="R290" s="25">
        <v>8</v>
      </c>
      <c r="S290" s="25">
        <f t="shared" si="18"/>
        <v>0</v>
      </c>
      <c r="T290" s="25">
        <v>0</v>
      </c>
      <c r="U290" s="29">
        <v>0</v>
      </c>
      <c r="V290" s="25">
        <v>0</v>
      </c>
      <c r="W290" s="25">
        <v>0</v>
      </c>
      <c r="X290" s="25">
        <v>0</v>
      </c>
      <c r="Y290" s="29">
        <v>0</v>
      </c>
      <c r="Z290" s="29">
        <v>0</v>
      </c>
      <c r="AA290" s="29">
        <v>0</v>
      </c>
      <c r="AB290" s="29">
        <v>0</v>
      </c>
      <c r="AC290" s="29">
        <v>0</v>
      </c>
      <c r="AD290" s="29">
        <v>0</v>
      </c>
      <c r="GR290" s="5"/>
      <c r="GS290" s="5"/>
      <c r="GT290" s="5"/>
      <c r="GU290" s="5"/>
      <c r="GV290" s="5"/>
      <c r="GW290" s="5"/>
      <c r="GX290" s="5"/>
      <c r="GY290" s="5"/>
      <c r="GZ290" s="5"/>
      <c r="HA290" s="5"/>
      <c r="HB290" s="5"/>
      <c r="HC290" s="5"/>
      <c r="HD290" s="5"/>
      <c r="HE290" s="5"/>
      <c r="HF290" s="5"/>
      <c r="HG290" s="5"/>
      <c r="HH290" s="5"/>
      <c r="HI290" s="5"/>
      <c r="HJ290" s="5"/>
      <c r="HK290" s="5"/>
      <c r="HL290" s="5"/>
      <c r="HM290" s="5"/>
      <c r="HN290" s="5"/>
      <c r="HO290" s="5"/>
      <c r="HP290" s="5"/>
    </row>
    <row r="291" spans="3:224" ht="20.100000000000001" customHeight="1">
      <c r="C291" s="24">
        <v>14060002</v>
      </c>
      <c r="D291" s="24" t="s">
        <v>320</v>
      </c>
      <c r="E291" s="25">
        <v>11200002</v>
      </c>
      <c r="F291" s="25">
        <v>0</v>
      </c>
      <c r="G291" s="25">
        <v>1</v>
      </c>
      <c r="H291" s="25">
        <v>20</v>
      </c>
      <c r="I291" s="29">
        <v>0.2</v>
      </c>
      <c r="J291" s="30">
        <v>5</v>
      </c>
      <c r="K291" s="25">
        <v>0</v>
      </c>
      <c r="L291" s="25">
        <v>0</v>
      </c>
      <c r="M291" s="25">
        <f t="shared" si="16"/>
        <v>25</v>
      </c>
      <c r="N291" s="25">
        <v>50</v>
      </c>
      <c r="O291" s="25">
        <v>0</v>
      </c>
      <c r="P291" s="25">
        <v>0</v>
      </c>
      <c r="Q291" s="25">
        <f t="shared" si="17"/>
        <v>6</v>
      </c>
      <c r="R291" s="25">
        <v>12</v>
      </c>
      <c r="S291" s="25">
        <f t="shared" si="18"/>
        <v>0</v>
      </c>
      <c r="T291" s="25">
        <v>0</v>
      </c>
      <c r="U291" s="29">
        <v>0</v>
      </c>
      <c r="V291" s="25">
        <v>0</v>
      </c>
      <c r="W291" s="25">
        <v>0</v>
      </c>
      <c r="X291" s="25">
        <v>0</v>
      </c>
      <c r="Y291" s="29">
        <v>0</v>
      </c>
      <c r="Z291" s="29">
        <v>0</v>
      </c>
      <c r="AA291" s="29">
        <v>0</v>
      </c>
      <c r="AB291" s="29">
        <v>0</v>
      </c>
      <c r="AC291" s="29">
        <v>0</v>
      </c>
      <c r="AD291" s="29">
        <v>0</v>
      </c>
      <c r="GR291" s="5"/>
      <c r="GS291" s="5"/>
      <c r="GT291" s="5"/>
      <c r="GU291" s="5"/>
      <c r="GV291" s="5"/>
      <c r="GW291" s="5"/>
      <c r="GX291" s="5"/>
      <c r="GY291" s="5"/>
      <c r="GZ291" s="5"/>
      <c r="HA291" s="5"/>
      <c r="HB291" s="5"/>
      <c r="HC291" s="5"/>
      <c r="HD291" s="5"/>
      <c r="HE291" s="5"/>
      <c r="HF291" s="5"/>
      <c r="HG291" s="5"/>
      <c r="HH291" s="5"/>
      <c r="HI291" s="5"/>
      <c r="HJ291" s="5"/>
      <c r="HK291" s="5"/>
      <c r="HL291" s="5"/>
      <c r="HM291" s="5"/>
      <c r="HN291" s="5"/>
      <c r="HO291" s="5"/>
      <c r="HP291" s="5"/>
    </row>
    <row r="292" spans="3:224" ht="20.100000000000001" customHeight="1">
      <c r="C292" s="24">
        <v>14060003</v>
      </c>
      <c r="D292" s="24" t="s">
        <v>321</v>
      </c>
      <c r="E292" s="25">
        <v>11200002</v>
      </c>
      <c r="F292" s="25">
        <v>0</v>
      </c>
      <c r="G292" s="25">
        <v>1</v>
      </c>
      <c r="H292" s="25">
        <v>20</v>
      </c>
      <c r="I292" s="29">
        <v>0.2</v>
      </c>
      <c r="J292" s="30">
        <v>5</v>
      </c>
      <c r="K292" s="25">
        <v>0</v>
      </c>
      <c r="L292" s="25">
        <v>0</v>
      </c>
      <c r="M292" s="25">
        <f t="shared" si="16"/>
        <v>30</v>
      </c>
      <c r="N292" s="25">
        <v>60</v>
      </c>
      <c r="O292" s="25">
        <v>0</v>
      </c>
      <c r="P292" s="25">
        <v>0</v>
      </c>
      <c r="Q292" s="25">
        <f t="shared" si="17"/>
        <v>8</v>
      </c>
      <c r="R292" s="25">
        <v>15</v>
      </c>
      <c r="S292" s="25">
        <f t="shared" si="18"/>
        <v>0</v>
      </c>
      <c r="T292" s="25">
        <v>0</v>
      </c>
      <c r="U292" s="29">
        <v>0</v>
      </c>
      <c r="V292" s="25">
        <v>0</v>
      </c>
      <c r="W292" s="25">
        <v>0</v>
      </c>
      <c r="X292" s="25">
        <v>0</v>
      </c>
      <c r="Y292" s="29">
        <v>0</v>
      </c>
      <c r="Z292" s="29">
        <v>0</v>
      </c>
      <c r="AA292" s="29">
        <v>0</v>
      </c>
      <c r="AB292" s="29">
        <v>0</v>
      </c>
      <c r="AC292" s="29">
        <v>0</v>
      </c>
      <c r="AD292" s="29">
        <v>0</v>
      </c>
      <c r="GR292" s="5"/>
      <c r="GS292" s="5"/>
      <c r="GT292" s="5"/>
      <c r="GU292" s="5"/>
      <c r="GV292" s="5"/>
      <c r="GW292" s="5"/>
      <c r="GX292" s="5"/>
      <c r="GY292" s="5"/>
      <c r="GZ292" s="5"/>
      <c r="HA292" s="5"/>
      <c r="HB292" s="5"/>
      <c r="HC292" s="5"/>
      <c r="HD292" s="5"/>
      <c r="HE292" s="5"/>
      <c r="HF292" s="5"/>
      <c r="HG292" s="5"/>
      <c r="HH292" s="5"/>
      <c r="HI292" s="5"/>
      <c r="HJ292" s="5"/>
      <c r="HK292" s="5"/>
      <c r="HL292" s="5"/>
      <c r="HM292" s="5"/>
      <c r="HN292" s="5"/>
      <c r="HO292" s="5"/>
      <c r="HP292" s="5"/>
    </row>
    <row r="293" spans="3:224" ht="20.100000000000001" customHeight="1">
      <c r="C293" s="24">
        <v>14060004</v>
      </c>
      <c r="D293" s="24" t="s">
        <v>322</v>
      </c>
      <c r="E293" s="25">
        <v>11200002</v>
      </c>
      <c r="F293" s="25">
        <v>0</v>
      </c>
      <c r="G293" s="25">
        <v>1</v>
      </c>
      <c r="H293" s="25">
        <v>20</v>
      </c>
      <c r="I293" s="29">
        <v>0.2</v>
      </c>
      <c r="J293" s="30">
        <v>10</v>
      </c>
      <c r="K293" s="25">
        <v>0</v>
      </c>
      <c r="L293" s="25">
        <v>0</v>
      </c>
      <c r="M293" s="25">
        <f t="shared" si="16"/>
        <v>38</v>
      </c>
      <c r="N293" s="25">
        <v>75</v>
      </c>
      <c r="O293" s="25">
        <v>0</v>
      </c>
      <c r="P293" s="25">
        <v>0</v>
      </c>
      <c r="Q293" s="25">
        <f t="shared" si="17"/>
        <v>12</v>
      </c>
      <c r="R293" s="25">
        <v>23</v>
      </c>
      <c r="S293" s="25">
        <f t="shared" si="18"/>
        <v>0</v>
      </c>
      <c r="T293" s="25">
        <v>0</v>
      </c>
      <c r="U293" s="29">
        <v>0</v>
      </c>
      <c r="V293" s="25">
        <v>0</v>
      </c>
      <c r="W293" s="25">
        <v>0</v>
      </c>
      <c r="X293" s="25">
        <v>0</v>
      </c>
      <c r="Y293" s="29">
        <v>0</v>
      </c>
      <c r="Z293" s="29">
        <v>0</v>
      </c>
      <c r="AA293" s="29">
        <v>0</v>
      </c>
      <c r="AB293" s="29">
        <v>0</v>
      </c>
      <c r="AC293" s="29">
        <v>0</v>
      </c>
      <c r="AD293" s="29">
        <v>0</v>
      </c>
      <c r="GR293" s="5"/>
      <c r="GS293" s="5"/>
      <c r="GT293" s="5"/>
      <c r="GU293" s="5"/>
      <c r="GV293" s="5"/>
      <c r="GW293" s="5"/>
      <c r="GX293" s="5"/>
      <c r="GY293" s="5"/>
      <c r="GZ293" s="5"/>
      <c r="HA293" s="5"/>
      <c r="HB293" s="5"/>
      <c r="HC293" s="5"/>
      <c r="HD293" s="5"/>
      <c r="HE293" s="5"/>
      <c r="HF293" s="5"/>
      <c r="HG293" s="5"/>
      <c r="HH293" s="5"/>
      <c r="HI293" s="5"/>
      <c r="HJ293" s="5"/>
      <c r="HK293" s="5"/>
      <c r="HL293" s="5"/>
      <c r="HM293" s="5"/>
      <c r="HN293" s="5"/>
      <c r="HO293" s="5"/>
      <c r="HP293" s="5"/>
    </row>
    <row r="294" spans="3:224" ht="20.100000000000001" customHeight="1">
      <c r="C294" s="24">
        <v>14060005</v>
      </c>
      <c r="D294" s="36" t="s">
        <v>323</v>
      </c>
      <c r="E294" s="25">
        <v>11200002</v>
      </c>
      <c r="F294" s="25">
        <v>11051</v>
      </c>
      <c r="G294" s="25">
        <v>1</v>
      </c>
      <c r="H294" s="25">
        <v>20</v>
      </c>
      <c r="I294" s="29">
        <v>0.2</v>
      </c>
      <c r="J294" s="30">
        <v>10</v>
      </c>
      <c r="K294" s="25">
        <v>0</v>
      </c>
      <c r="L294" s="25">
        <v>0</v>
      </c>
      <c r="M294" s="25">
        <v>50</v>
      </c>
      <c r="N294" s="25">
        <v>95</v>
      </c>
      <c r="O294" s="25">
        <v>0</v>
      </c>
      <c r="P294" s="25">
        <v>0</v>
      </c>
      <c r="Q294" s="25">
        <v>18</v>
      </c>
      <c r="R294" s="25">
        <v>32</v>
      </c>
      <c r="S294" s="25">
        <f t="shared" ref="S294:S295" si="25">ROUND(T294/2,0)</f>
        <v>0</v>
      </c>
      <c r="T294" s="25">
        <v>0</v>
      </c>
      <c r="U294" s="29">
        <v>0</v>
      </c>
      <c r="V294" s="25">
        <v>0</v>
      </c>
      <c r="W294" s="25">
        <v>0</v>
      </c>
      <c r="X294" s="25">
        <v>0</v>
      </c>
      <c r="Y294" s="29">
        <v>0</v>
      </c>
      <c r="Z294" s="29">
        <v>0</v>
      </c>
      <c r="AA294" s="29">
        <v>0</v>
      </c>
      <c r="AB294" s="29">
        <v>205001</v>
      </c>
      <c r="AC294" s="29">
        <v>500</v>
      </c>
      <c r="AD294" s="29">
        <v>1</v>
      </c>
      <c r="AE294" s="29"/>
      <c r="GR294" s="5"/>
      <c r="GS294" s="5"/>
      <c r="GT294" s="5"/>
      <c r="GU294" s="5"/>
      <c r="GV294" s="5"/>
      <c r="GW294" s="5"/>
      <c r="GX294" s="5"/>
      <c r="GY294" s="5"/>
      <c r="GZ294" s="5"/>
      <c r="HA294" s="5"/>
      <c r="HB294" s="5"/>
      <c r="HC294" s="5"/>
      <c r="HD294" s="5"/>
      <c r="HE294" s="5"/>
      <c r="HF294" s="5"/>
      <c r="HG294" s="5"/>
      <c r="HH294" s="5"/>
      <c r="HI294" s="5"/>
      <c r="HJ294" s="5"/>
      <c r="HK294" s="5"/>
      <c r="HL294" s="5"/>
      <c r="HM294" s="5"/>
      <c r="HN294" s="5"/>
      <c r="HO294" s="5"/>
      <c r="HP294" s="5"/>
    </row>
    <row r="295" spans="3:224" ht="20.100000000000001" customHeight="1">
      <c r="C295" s="24">
        <v>14060006</v>
      </c>
      <c r="D295" s="70" t="s">
        <v>672</v>
      </c>
      <c r="E295" s="25">
        <v>11200002</v>
      </c>
      <c r="F295" s="25">
        <v>0</v>
      </c>
      <c r="G295" s="25">
        <v>1</v>
      </c>
      <c r="H295" s="25">
        <v>20</v>
      </c>
      <c r="I295" s="29">
        <v>0.2</v>
      </c>
      <c r="J295" s="30">
        <v>10</v>
      </c>
      <c r="K295" s="25">
        <v>0</v>
      </c>
      <c r="L295" s="25">
        <v>0</v>
      </c>
      <c r="M295" s="25">
        <v>40</v>
      </c>
      <c r="N295" s="25">
        <v>60</v>
      </c>
      <c r="O295" s="25">
        <v>0</v>
      </c>
      <c r="P295" s="25">
        <v>0</v>
      </c>
      <c r="Q295" s="25">
        <f t="shared" ref="Q295" si="26">ROUND(R295/2,0)</f>
        <v>12</v>
      </c>
      <c r="R295" s="25">
        <v>23</v>
      </c>
      <c r="S295" s="25">
        <f t="shared" si="25"/>
        <v>0</v>
      </c>
      <c r="T295" s="25">
        <v>0</v>
      </c>
      <c r="U295" s="29">
        <v>0</v>
      </c>
      <c r="V295" s="25">
        <v>0</v>
      </c>
      <c r="W295" s="25">
        <v>0</v>
      </c>
      <c r="X295" s="25">
        <v>0</v>
      </c>
      <c r="Y295" s="29">
        <v>0</v>
      </c>
      <c r="Z295" s="29">
        <v>0</v>
      </c>
      <c r="AA295" s="29">
        <v>0</v>
      </c>
      <c r="AB295" s="29">
        <v>0</v>
      </c>
      <c r="AC295" s="29">
        <v>0</v>
      </c>
      <c r="AD295" s="29">
        <v>0</v>
      </c>
      <c r="GR295" s="5"/>
      <c r="GS295" s="5"/>
      <c r="GT295" s="5"/>
      <c r="GU295" s="5"/>
      <c r="GV295" s="5"/>
      <c r="GW295" s="5"/>
      <c r="GX295" s="5"/>
      <c r="GY295" s="5"/>
      <c r="GZ295" s="5"/>
      <c r="HA295" s="5"/>
      <c r="HB295" s="5"/>
      <c r="HC295" s="5"/>
      <c r="HD295" s="5"/>
      <c r="HE295" s="5"/>
      <c r="HF295" s="5"/>
      <c r="HG295" s="5"/>
      <c r="HH295" s="5"/>
      <c r="HI295" s="5"/>
      <c r="HJ295" s="5"/>
      <c r="HK295" s="5"/>
      <c r="HL295" s="5"/>
      <c r="HM295" s="5"/>
      <c r="HN295" s="5"/>
      <c r="HO295" s="5"/>
      <c r="HP295" s="5"/>
    </row>
    <row r="296" spans="3:224" ht="20.100000000000001" customHeight="1">
      <c r="C296" s="24">
        <v>14070001</v>
      </c>
      <c r="D296" s="24" t="s">
        <v>324</v>
      </c>
      <c r="E296" s="25">
        <v>11200002</v>
      </c>
      <c r="F296" s="25">
        <v>0</v>
      </c>
      <c r="G296" s="25">
        <v>1</v>
      </c>
      <c r="H296" s="25">
        <v>20</v>
      </c>
      <c r="I296" s="29">
        <v>0.2</v>
      </c>
      <c r="J296" s="30">
        <v>5</v>
      </c>
      <c r="K296" s="25">
        <v>0</v>
      </c>
      <c r="L296" s="25">
        <v>0</v>
      </c>
      <c r="M296" s="25">
        <f t="shared" si="16"/>
        <v>13</v>
      </c>
      <c r="N296" s="25">
        <v>25</v>
      </c>
      <c r="O296" s="25">
        <v>0</v>
      </c>
      <c r="P296" s="25">
        <v>0</v>
      </c>
      <c r="Q296" s="25">
        <f t="shared" si="17"/>
        <v>0</v>
      </c>
      <c r="R296" s="25">
        <v>0</v>
      </c>
      <c r="S296" s="25">
        <f t="shared" si="18"/>
        <v>4</v>
      </c>
      <c r="T296" s="25">
        <v>8</v>
      </c>
      <c r="U296" s="29">
        <v>0</v>
      </c>
      <c r="V296" s="25">
        <v>0</v>
      </c>
      <c r="W296" s="25">
        <v>0</v>
      </c>
      <c r="X296" s="25">
        <v>0</v>
      </c>
      <c r="Y296" s="29">
        <v>0</v>
      </c>
      <c r="Z296" s="29">
        <v>0</v>
      </c>
      <c r="AA296" s="29">
        <v>0</v>
      </c>
      <c r="AB296" s="29">
        <v>0</v>
      </c>
      <c r="AC296" s="29">
        <v>0</v>
      </c>
      <c r="AD296" s="29">
        <v>0</v>
      </c>
      <c r="AE296" s="29"/>
      <c r="GR296" s="5"/>
      <c r="GS296" s="5"/>
      <c r="GT296" s="5"/>
      <c r="GU296" s="5"/>
      <c r="GV296" s="5"/>
      <c r="GW296" s="5"/>
      <c r="GX296" s="5"/>
      <c r="GY296" s="5"/>
      <c r="GZ296" s="5"/>
      <c r="HA296" s="5"/>
      <c r="HB296" s="5"/>
      <c r="HC296" s="5"/>
      <c r="HD296" s="5"/>
      <c r="HE296" s="5"/>
      <c r="HF296" s="5"/>
      <c r="HG296" s="5"/>
      <c r="HH296" s="5"/>
      <c r="HI296" s="5"/>
      <c r="HJ296" s="5"/>
      <c r="HK296" s="5"/>
      <c r="HL296" s="5"/>
      <c r="HM296" s="5"/>
      <c r="HN296" s="5"/>
      <c r="HO296" s="5"/>
      <c r="HP296" s="5"/>
    </row>
    <row r="297" spans="3:224" ht="20.100000000000001" customHeight="1">
      <c r="C297" s="24">
        <v>14070002</v>
      </c>
      <c r="D297" s="24" t="s">
        <v>325</v>
      </c>
      <c r="E297" s="25">
        <v>11200002</v>
      </c>
      <c r="F297" s="25">
        <v>0</v>
      </c>
      <c r="G297" s="25">
        <v>1</v>
      </c>
      <c r="H297" s="25">
        <v>20</v>
      </c>
      <c r="I297" s="29">
        <v>0.2</v>
      </c>
      <c r="J297" s="30">
        <v>5</v>
      </c>
      <c r="K297" s="25">
        <v>0</v>
      </c>
      <c r="L297" s="25">
        <v>0</v>
      </c>
      <c r="M297" s="25">
        <f t="shared" ref="M297:M376" si="27">ROUND(N297/2,0)</f>
        <v>25</v>
      </c>
      <c r="N297" s="25">
        <v>50</v>
      </c>
      <c r="O297" s="25">
        <v>0</v>
      </c>
      <c r="P297" s="25">
        <v>0</v>
      </c>
      <c r="Q297" s="25">
        <f t="shared" ref="Q297:Q376" si="28">ROUND(R297/2,0)</f>
        <v>0</v>
      </c>
      <c r="R297" s="25">
        <v>0</v>
      </c>
      <c r="S297" s="25">
        <f t="shared" ref="S297:S376" si="29">ROUND(T297/2,0)</f>
        <v>6</v>
      </c>
      <c r="T297" s="25">
        <v>12</v>
      </c>
      <c r="U297" s="29">
        <v>0</v>
      </c>
      <c r="V297" s="25">
        <v>0</v>
      </c>
      <c r="W297" s="25">
        <v>0</v>
      </c>
      <c r="X297" s="25">
        <v>0</v>
      </c>
      <c r="Y297" s="29">
        <v>0</v>
      </c>
      <c r="Z297" s="29">
        <v>0</v>
      </c>
      <c r="AA297" s="29">
        <v>0</v>
      </c>
      <c r="AB297" s="29">
        <v>0</v>
      </c>
      <c r="AC297" s="29">
        <v>0</v>
      </c>
      <c r="AD297" s="29">
        <v>0</v>
      </c>
      <c r="AE297" s="29"/>
      <c r="GR297" s="5"/>
      <c r="GS297" s="5"/>
      <c r="GT297" s="5"/>
      <c r="GU297" s="5"/>
      <c r="GV297" s="5"/>
      <c r="GW297" s="5"/>
      <c r="GX297" s="5"/>
      <c r="GY297" s="5"/>
      <c r="GZ297" s="5"/>
      <c r="HA297" s="5"/>
      <c r="HB297" s="5"/>
      <c r="HC297" s="5"/>
      <c r="HD297" s="5"/>
      <c r="HE297" s="5"/>
      <c r="HF297" s="5"/>
      <c r="HG297" s="5"/>
      <c r="HH297" s="5"/>
      <c r="HI297" s="5"/>
      <c r="HJ297" s="5"/>
      <c r="HK297" s="5"/>
      <c r="HL297" s="5"/>
      <c r="HM297" s="5"/>
      <c r="HN297" s="5"/>
      <c r="HO297" s="5"/>
      <c r="HP297" s="5"/>
    </row>
    <row r="298" spans="3:224" ht="20.100000000000001" customHeight="1">
      <c r="C298" s="24">
        <v>14070003</v>
      </c>
      <c r="D298" s="24" t="s">
        <v>326</v>
      </c>
      <c r="E298" s="25">
        <v>11200002</v>
      </c>
      <c r="F298" s="25">
        <v>0</v>
      </c>
      <c r="G298" s="25">
        <v>1</v>
      </c>
      <c r="H298" s="25">
        <v>20</v>
      </c>
      <c r="I298" s="29">
        <v>0.2</v>
      </c>
      <c r="J298" s="30">
        <v>10</v>
      </c>
      <c r="K298" s="25">
        <v>0</v>
      </c>
      <c r="L298" s="25">
        <v>0</v>
      </c>
      <c r="M298" s="25">
        <f t="shared" si="27"/>
        <v>30</v>
      </c>
      <c r="N298" s="25">
        <v>60</v>
      </c>
      <c r="O298" s="25">
        <v>0</v>
      </c>
      <c r="P298" s="25">
        <v>0</v>
      </c>
      <c r="Q298" s="25">
        <f t="shared" si="28"/>
        <v>0</v>
      </c>
      <c r="R298" s="25">
        <v>0</v>
      </c>
      <c r="S298" s="25">
        <f t="shared" si="29"/>
        <v>8</v>
      </c>
      <c r="T298" s="25">
        <v>15</v>
      </c>
      <c r="U298" s="29">
        <v>0</v>
      </c>
      <c r="V298" s="25">
        <v>0</v>
      </c>
      <c r="W298" s="25">
        <v>0</v>
      </c>
      <c r="X298" s="25">
        <v>0</v>
      </c>
      <c r="Y298" s="29">
        <v>0</v>
      </c>
      <c r="Z298" s="29">
        <v>0</v>
      </c>
      <c r="AA298" s="29">
        <v>0</v>
      </c>
      <c r="AB298" s="29">
        <v>0</v>
      </c>
      <c r="AC298" s="29">
        <v>0</v>
      </c>
      <c r="AD298" s="29">
        <v>0</v>
      </c>
      <c r="AE298" s="29"/>
      <c r="GR298" s="5"/>
      <c r="GS298" s="5"/>
      <c r="GT298" s="5"/>
      <c r="GU298" s="5"/>
      <c r="GV298" s="5"/>
      <c r="GW298" s="5"/>
      <c r="GX298" s="5"/>
      <c r="GY298" s="5"/>
      <c r="GZ298" s="5"/>
      <c r="HA298" s="5"/>
      <c r="HB298" s="5"/>
      <c r="HC298" s="5"/>
      <c r="HD298" s="5"/>
      <c r="HE298" s="5"/>
      <c r="HF298" s="5"/>
      <c r="HG298" s="5"/>
      <c r="HH298" s="5"/>
      <c r="HI298" s="5"/>
      <c r="HJ298" s="5"/>
      <c r="HK298" s="5"/>
      <c r="HL298" s="5"/>
      <c r="HM298" s="5"/>
      <c r="HN298" s="5"/>
      <c r="HO298" s="5"/>
      <c r="HP298" s="5"/>
    </row>
    <row r="299" spans="3:224" ht="20.100000000000001" customHeight="1">
      <c r="C299" s="24">
        <v>14070004</v>
      </c>
      <c r="D299" s="24" t="s">
        <v>327</v>
      </c>
      <c r="E299" s="25">
        <v>11200002</v>
      </c>
      <c r="F299" s="25">
        <v>0</v>
      </c>
      <c r="G299" s="25">
        <v>1</v>
      </c>
      <c r="H299" s="25">
        <v>20</v>
      </c>
      <c r="I299" s="29">
        <v>0.2</v>
      </c>
      <c r="J299" s="30">
        <v>10</v>
      </c>
      <c r="K299" s="25">
        <v>0</v>
      </c>
      <c r="L299" s="25">
        <v>0</v>
      </c>
      <c r="M299" s="25">
        <f t="shared" si="27"/>
        <v>38</v>
      </c>
      <c r="N299" s="25">
        <v>75</v>
      </c>
      <c r="O299" s="25">
        <v>0</v>
      </c>
      <c r="P299" s="25">
        <v>0</v>
      </c>
      <c r="Q299" s="25">
        <f t="shared" si="28"/>
        <v>0</v>
      </c>
      <c r="R299" s="25">
        <v>0</v>
      </c>
      <c r="S299" s="25">
        <f t="shared" si="29"/>
        <v>12</v>
      </c>
      <c r="T299" s="25">
        <v>23</v>
      </c>
      <c r="U299" s="29">
        <v>0</v>
      </c>
      <c r="V299" s="25">
        <v>0</v>
      </c>
      <c r="W299" s="25">
        <v>0</v>
      </c>
      <c r="X299" s="25">
        <v>0</v>
      </c>
      <c r="Y299" s="29">
        <v>0</v>
      </c>
      <c r="Z299" s="29">
        <v>0</v>
      </c>
      <c r="AA299" s="29">
        <v>0</v>
      </c>
      <c r="AB299" s="29">
        <v>0</v>
      </c>
      <c r="AC299" s="29">
        <v>0</v>
      </c>
      <c r="AD299" s="29">
        <v>0</v>
      </c>
      <c r="AE299" s="29"/>
      <c r="GR299" s="5"/>
      <c r="GS299" s="5"/>
      <c r="GT299" s="5"/>
      <c r="GU299" s="5"/>
      <c r="GV299" s="5"/>
      <c r="GW299" s="5"/>
      <c r="GX299" s="5"/>
      <c r="GY299" s="5"/>
      <c r="GZ299" s="5"/>
      <c r="HA299" s="5"/>
      <c r="HB299" s="5"/>
      <c r="HC299" s="5"/>
      <c r="HD299" s="5"/>
      <c r="HE299" s="5"/>
      <c r="HF299" s="5"/>
      <c r="HG299" s="5"/>
      <c r="HH299" s="5"/>
      <c r="HI299" s="5"/>
      <c r="HJ299" s="5"/>
      <c r="HK299" s="5"/>
      <c r="HL299" s="5"/>
      <c r="HM299" s="5"/>
      <c r="HN299" s="5"/>
      <c r="HO299" s="5"/>
      <c r="HP299" s="5"/>
    </row>
    <row r="300" spans="3:224" ht="20.100000000000001" customHeight="1">
      <c r="C300" s="24">
        <v>14080001</v>
      </c>
      <c r="D300" s="24" t="s">
        <v>328</v>
      </c>
      <c r="E300" s="25">
        <v>11200002</v>
      </c>
      <c r="F300" s="25">
        <v>0</v>
      </c>
      <c r="G300" s="25">
        <v>1</v>
      </c>
      <c r="H300" s="25">
        <v>20</v>
      </c>
      <c r="I300" s="29">
        <v>0.2</v>
      </c>
      <c r="J300" s="30">
        <v>5</v>
      </c>
      <c r="K300" s="25">
        <v>0</v>
      </c>
      <c r="L300" s="25">
        <v>0</v>
      </c>
      <c r="M300" s="25">
        <f t="shared" si="27"/>
        <v>5</v>
      </c>
      <c r="N300" s="25">
        <v>10</v>
      </c>
      <c r="O300" s="25">
        <v>0</v>
      </c>
      <c r="P300" s="25">
        <v>0</v>
      </c>
      <c r="Q300" s="25">
        <f t="shared" si="28"/>
        <v>0</v>
      </c>
      <c r="R300" s="25">
        <v>0</v>
      </c>
      <c r="S300" s="25">
        <f t="shared" si="29"/>
        <v>0</v>
      </c>
      <c r="T300" s="25">
        <v>0</v>
      </c>
      <c r="U300" s="29">
        <v>0</v>
      </c>
      <c r="V300" s="25">
        <v>0</v>
      </c>
      <c r="W300" s="25">
        <v>0</v>
      </c>
      <c r="X300" s="25">
        <v>0</v>
      </c>
      <c r="Y300" s="29">
        <v>0</v>
      </c>
      <c r="Z300" s="29">
        <v>0</v>
      </c>
      <c r="AA300" s="29">
        <v>0</v>
      </c>
      <c r="AB300" s="29">
        <v>0</v>
      </c>
      <c r="AC300" s="29">
        <v>0</v>
      </c>
      <c r="AD300" s="29">
        <v>0</v>
      </c>
      <c r="AE300" s="29"/>
      <c r="GR300" s="5"/>
      <c r="GS300" s="5"/>
      <c r="GT300" s="5"/>
      <c r="GU300" s="5"/>
      <c r="GV300" s="5"/>
      <c r="GW300" s="5"/>
      <c r="GX300" s="5"/>
      <c r="GY300" s="5"/>
      <c r="GZ300" s="5"/>
      <c r="HA300" s="5"/>
      <c r="HB300" s="5"/>
      <c r="HC300" s="5"/>
      <c r="HD300" s="5"/>
      <c r="HE300" s="5"/>
      <c r="HF300" s="5"/>
      <c r="HG300" s="5"/>
      <c r="HH300" s="5"/>
      <c r="HI300" s="5"/>
      <c r="HJ300" s="5"/>
      <c r="HK300" s="5"/>
      <c r="HL300" s="5"/>
      <c r="HM300" s="5"/>
      <c r="HN300" s="5"/>
      <c r="HO300" s="5"/>
      <c r="HP300" s="5"/>
    </row>
    <row r="301" spans="3:224" ht="20.100000000000001" customHeight="1">
      <c r="C301" s="24">
        <v>14080002</v>
      </c>
      <c r="D301" s="24" t="s">
        <v>329</v>
      </c>
      <c r="E301" s="25">
        <v>11200002</v>
      </c>
      <c r="F301" s="25">
        <v>0</v>
      </c>
      <c r="G301" s="25">
        <v>1</v>
      </c>
      <c r="H301" s="25">
        <v>20</v>
      </c>
      <c r="I301" s="29">
        <v>0.2</v>
      </c>
      <c r="J301" s="30">
        <v>5</v>
      </c>
      <c r="K301" s="25">
        <v>0</v>
      </c>
      <c r="L301" s="25">
        <v>0</v>
      </c>
      <c r="M301" s="25">
        <f t="shared" si="27"/>
        <v>8</v>
      </c>
      <c r="N301" s="25">
        <v>15</v>
      </c>
      <c r="O301" s="25">
        <v>0</v>
      </c>
      <c r="P301" s="25">
        <v>0</v>
      </c>
      <c r="Q301" s="25">
        <f t="shared" si="28"/>
        <v>0</v>
      </c>
      <c r="R301" s="25">
        <v>0</v>
      </c>
      <c r="S301" s="25">
        <f t="shared" si="29"/>
        <v>0</v>
      </c>
      <c r="T301" s="25">
        <v>0</v>
      </c>
      <c r="U301" s="29">
        <v>0</v>
      </c>
      <c r="V301" s="25">
        <v>0</v>
      </c>
      <c r="W301" s="25">
        <v>0</v>
      </c>
      <c r="X301" s="25">
        <v>0</v>
      </c>
      <c r="Y301" s="29">
        <v>0</v>
      </c>
      <c r="Z301" s="29">
        <v>0</v>
      </c>
      <c r="AA301" s="29">
        <v>0</v>
      </c>
      <c r="AB301" s="29">
        <v>0</v>
      </c>
      <c r="AC301" s="29">
        <v>0</v>
      </c>
      <c r="AD301" s="29">
        <v>0</v>
      </c>
      <c r="AE301" s="29"/>
      <c r="GR301" s="5"/>
      <c r="GS301" s="5"/>
      <c r="GT301" s="5"/>
      <c r="GU301" s="5"/>
      <c r="GV301" s="5"/>
      <c r="GW301" s="5"/>
      <c r="GX301" s="5"/>
      <c r="GY301" s="5"/>
      <c r="GZ301" s="5"/>
      <c r="HA301" s="5"/>
      <c r="HB301" s="5"/>
      <c r="HC301" s="5"/>
      <c r="HD301" s="5"/>
      <c r="HE301" s="5"/>
      <c r="HF301" s="5"/>
      <c r="HG301" s="5"/>
      <c r="HH301" s="5"/>
      <c r="HI301" s="5"/>
      <c r="HJ301" s="5"/>
      <c r="HK301" s="5"/>
      <c r="HL301" s="5"/>
      <c r="HM301" s="5"/>
      <c r="HN301" s="5"/>
      <c r="HO301" s="5"/>
      <c r="HP301" s="5"/>
    </row>
    <row r="302" spans="3:224" ht="20.100000000000001" customHeight="1">
      <c r="C302" s="24">
        <v>14080003</v>
      </c>
      <c r="D302" s="24" t="s">
        <v>330</v>
      </c>
      <c r="E302" s="25">
        <v>11200002</v>
      </c>
      <c r="F302" s="25">
        <v>0</v>
      </c>
      <c r="G302" s="25">
        <v>1</v>
      </c>
      <c r="H302" s="25">
        <v>20</v>
      </c>
      <c r="I302" s="29">
        <v>0.2</v>
      </c>
      <c r="J302" s="30">
        <v>10</v>
      </c>
      <c r="K302" s="25">
        <v>0</v>
      </c>
      <c r="L302" s="25">
        <v>0</v>
      </c>
      <c r="M302" s="25">
        <f t="shared" si="27"/>
        <v>10</v>
      </c>
      <c r="N302" s="25">
        <v>20</v>
      </c>
      <c r="O302" s="25">
        <v>0</v>
      </c>
      <c r="P302" s="25">
        <v>0</v>
      </c>
      <c r="Q302" s="25">
        <f t="shared" si="28"/>
        <v>0</v>
      </c>
      <c r="R302" s="25">
        <v>0</v>
      </c>
      <c r="S302" s="25">
        <f t="shared" si="29"/>
        <v>0</v>
      </c>
      <c r="T302" s="25">
        <v>0</v>
      </c>
      <c r="U302" s="29">
        <v>0</v>
      </c>
      <c r="V302" s="25">
        <v>0</v>
      </c>
      <c r="W302" s="25">
        <v>0</v>
      </c>
      <c r="X302" s="25">
        <v>0</v>
      </c>
      <c r="Y302" s="29">
        <v>0</v>
      </c>
      <c r="Z302" s="29">
        <v>0</v>
      </c>
      <c r="AA302" s="29">
        <v>0</v>
      </c>
      <c r="AB302" s="29">
        <v>0</v>
      </c>
      <c r="AC302" s="29">
        <v>0</v>
      </c>
      <c r="AD302" s="29">
        <v>0</v>
      </c>
      <c r="AE302" s="29"/>
      <c r="GR302" s="5"/>
      <c r="GS302" s="5"/>
      <c r="GT302" s="5"/>
      <c r="GU302" s="5"/>
      <c r="GV302" s="5"/>
      <c r="GW302" s="5"/>
      <c r="GX302" s="5"/>
      <c r="GY302" s="5"/>
      <c r="GZ302" s="5"/>
      <c r="HA302" s="5"/>
      <c r="HB302" s="5"/>
      <c r="HC302" s="5"/>
      <c r="HD302" s="5"/>
      <c r="HE302" s="5"/>
      <c r="HF302" s="5"/>
      <c r="HG302" s="5"/>
      <c r="HH302" s="5"/>
      <c r="HI302" s="5"/>
      <c r="HJ302" s="5"/>
      <c r="HK302" s="5"/>
      <c r="HL302" s="5"/>
      <c r="HM302" s="5"/>
      <c r="HN302" s="5"/>
      <c r="HO302" s="5"/>
      <c r="HP302" s="5"/>
    </row>
    <row r="303" spans="3:224" s="3" customFormat="1" ht="20.100000000000001" customHeight="1">
      <c r="C303" s="26">
        <v>14080004</v>
      </c>
      <c r="D303" s="27" t="s">
        <v>331</v>
      </c>
      <c r="E303" s="28">
        <v>11200002</v>
      </c>
      <c r="F303" s="28">
        <v>0</v>
      </c>
      <c r="G303" s="28">
        <v>1</v>
      </c>
      <c r="H303" s="28">
        <v>20</v>
      </c>
      <c r="I303" s="31">
        <v>0.2</v>
      </c>
      <c r="J303" s="32">
        <v>10</v>
      </c>
      <c r="K303" s="28">
        <v>0</v>
      </c>
      <c r="L303" s="28">
        <v>0</v>
      </c>
      <c r="M303" s="28">
        <f t="shared" ref="M303" si="30">ROUND(N303/2,0)</f>
        <v>13</v>
      </c>
      <c r="N303" s="28">
        <v>25</v>
      </c>
      <c r="O303" s="28">
        <v>0</v>
      </c>
      <c r="P303" s="28">
        <v>0</v>
      </c>
      <c r="Q303" s="28">
        <f t="shared" ref="Q303" si="31">ROUND(R303/2,0)</f>
        <v>0</v>
      </c>
      <c r="R303" s="28">
        <v>0</v>
      </c>
      <c r="S303" s="28">
        <f t="shared" ref="S303" si="32">ROUND(T303/2,0)</f>
        <v>0</v>
      </c>
      <c r="T303" s="28">
        <v>0</v>
      </c>
      <c r="U303" s="31">
        <v>0</v>
      </c>
      <c r="V303" s="28">
        <v>0</v>
      </c>
      <c r="W303" s="28">
        <v>0</v>
      </c>
      <c r="X303" s="28">
        <v>0</v>
      </c>
      <c r="Y303" s="31">
        <v>0</v>
      </c>
      <c r="Z303" s="31">
        <v>0</v>
      </c>
      <c r="AA303" s="31">
        <v>0</v>
      </c>
      <c r="AB303" s="31">
        <v>0</v>
      </c>
      <c r="AC303" s="31">
        <v>0</v>
      </c>
      <c r="AD303" s="31">
        <v>0</v>
      </c>
      <c r="AE303" s="31"/>
      <c r="AF303" s="33"/>
      <c r="AG303" s="33"/>
      <c r="AH303" s="33"/>
      <c r="AI303" s="33"/>
      <c r="AJ303" s="33"/>
      <c r="AK303" s="33"/>
      <c r="AL303" s="33"/>
      <c r="AM303" s="33"/>
      <c r="AN303" s="33"/>
      <c r="AO303" s="33"/>
      <c r="AP303" s="33"/>
      <c r="AQ303" s="33"/>
      <c r="AR303" s="33"/>
      <c r="AS303" s="33"/>
      <c r="AT303" s="33"/>
      <c r="AU303" s="33"/>
      <c r="AV303" s="33"/>
      <c r="AW303" s="33"/>
      <c r="AX303" s="33"/>
      <c r="AY303" s="33"/>
      <c r="AZ303" s="33"/>
      <c r="BA303" s="33"/>
      <c r="BB303" s="33"/>
      <c r="BC303" s="33"/>
      <c r="BD303" s="33"/>
      <c r="BE303" s="33"/>
      <c r="BF303" s="33"/>
      <c r="BG303" s="33"/>
      <c r="BH303" s="33"/>
      <c r="BI303" s="33"/>
      <c r="BJ303" s="33"/>
      <c r="BK303" s="33"/>
      <c r="BL303" s="33"/>
      <c r="BM303" s="33"/>
      <c r="BN303" s="33"/>
      <c r="BO303" s="33"/>
      <c r="BP303" s="33"/>
      <c r="BQ303" s="33"/>
      <c r="BR303" s="33"/>
      <c r="BS303" s="33"/>
      <c r="BT303" s="33"/>
      <c r="BU303" s="33"/>
      <c r="BV303" s="33"/>
      <c r="BW303" s="33"/>
      <c r="BX303" s="33"/>
      <c r="BY303" s="33"/>
      <c r="BZ303" s="33"/>
      <c r="CA303" s="33"/>
      <c r="CB303" s="33"/>
      <c r="CC303" s="33"/>
      <c r="CD303" s="33"/>
      <c r="CE303" s="33"/>
      <c r="CF303" s="33"/>
      <c r="CG303" s="33"/>
      <c r="CH303" s="33"/>
      <c r="CI303" s="33"/>
      <c r="CJ303" s="33"/>
      <c r="CK303" s="33"/>
      <c r="CL303" s="33"/>
      <c r="CM303" s="33"/>
      <c r="CN303" s="33"/>
      <c r="CO303" s="33"/>
      <c r="CP303" s="33"/>
      <c r="CQ303" s="33"/>
      <c r="CR303" s="33"/>
      <c r="CS303" s="33"/>
      <c r="CT303" s="33"/>
      <c r="CU303" s="33"/>
      <c r="CV303" s="33"/>
      <c r="CW303" s="33"/>
      <c r="CX303" s="33"/>
      <c r="CY303" s="33"/>
      <c r="CZ303" s="33"/>
      <c r="DA303" s="33"/>
      <c r="DB303" s="33"/>
      <c r="DC303" s="33"/>
      <c r="DD303" s="33"/>
      <c r="DE303" s="33"/>
      <c r="DF303" s="33"/>
      <c r="DG303" s="33"/>
      <c r="DH303" s="33"/>
      <c r="DI303" s="33"/>
      <c r="DJ303" s="33"/>
      <c r="DK303" s="33"/>
      <c r="DL303" s="33"/>
      <c r="DM303" s="33"/>
      <c r="DN303" s="33"/>
      <c r="DO303" s="33"/>
      <c r="DP303" s="33"/>
      <c r="DQ303" s="33"/>
      <c r="DR303" s="33"/>
      <c r="DS303" s="33"/>
      <c r="DT303" s="33"/>
      <c r="DU303" s="33"/>
      <c r="DV303" s="33"/>
      <c r="DW303" s="33"/>
      <c r="DX303" s="33"/>
      <c r="DY303" s="33"/>
      <c r="DZ303" s="33"/>
      <c r="EA303" s="33"/>
      <c r="EB303" s="33"/>
      <c r="EC303" s="33"/>
      <c r="ED303" s="33"/>
      <c r="EE303" s="33"/>
      <c r="EF303" s="33"/>
      <c r="EG303" s="33"/>
      <c r="EH303" s="33"/>
      <c r="EI303" s="33"/>
      <c r="EJ303" s="33"/>
      <c r="EK303" s="33"/>
      <c r="EL303" s="33"/>
      <c r="EM303" s="33"/>
      <c r="EN303" s="33"/>
      <c r="EO303" s="33"/>
      <c r="EP303" s="33"/>
      <c r="EQ303" s="33"/>
      <c r="ER303" s="33"/>
      <c r="ES303" s="33"/>
      <c r="ET303" s="33"/>
      <c r="EU303" s="33"/>
      <c r="EV303" s="33"/>
      <c r="EW303" s="33"/>
      <c r="EX303" s="33"/>
      <c r="EY303" s="33"/>
      <c r="EZ303" s="33"/>
      <c r="FA303" s="33"/>
      <c r="FB303" s="33"/>
      <c r="FC303" s="33"/>
      <c r="FD303" s="33"/>
      <c r="FE303" s="33"/>
      <c r="FF303" s="33"/>
      <c r="FG303" s="33"/>
      <c r="FH303" s="33"/>
      <c r="FI303" s="33"/>
      <c r="FJ303" s="33"/>
      <c r="FK303" s="33"/>
      <c r="FL303" s="33"/>
      <c r="FM303" s="33"/>
      <c r="FN303" s="33"/>
      <c r="FO303" s="33"/>
      <c r="FP303" s="33"/>
      <c r="FQ303" s="33"/>
      <c r="FR303" s="33"/>
      <c r="FS303" s="33"/>
      <c r="FT303" s="33"/>
      <c r="FU303" s="33"/>
      <c r="FV303" s="33"/>
      <c r="FW303" s="33"/>
      <c r="FX303" s="33"/>
      <c r="FY303" s="33"/>
      <c r="FZ303" s="33"/>
      <c r="GA303" s="33"/>
      <c r="GB303" s="33"/>
      <c r="GC303" s="33"/>
      <c r="GD303" s="33"/>
      <c r="GE303" s="33"/>
      <c r="GF303" s="33"/>
      <c r="GG303" s="33"/>
      <c r="GH303" s="33"/>
      <c r="GI303" s="33"/>
      <c r="GJ303" s="33"/>
      <c r="GK303" s="33"/>
      <c r="GL303" s="33"/>
      <c r="GM303" s="33"/>
      <c r="GN303" s="33"/>
      <c r="GO303" s="33"/>
      <c r="GP303" s="33"/>
      <c r="GQ303" s="33"/>
      <c r="GR303" s="33"/>
      <c r="GS303" s="33"/>
      <c r="GT303" s="33"/>
      <c r="GU303" s="33"/>
      <c r="GV303" s="33"/>
      <c r="GW303" s="33"/>
      <c r="GX303" s="33"/>
      <c r="GY303" s="33"/>
      <c r="GZ303" s="33"/>
      <c r="HA303" s="33"/>
      <c r="HB303" s="33"/>
      <c r="HC303" s="33"/>
      <c r="HD303" s="33"/>
      <c r="HE303" s="33"/>
      <c r="HF303" s="33"/>
      <c r="HG303" s="33"/>
      <c r="HH303" s="33"/>
      <c r="HI303" s="33"/>
      <c r="HJ303" s="33"/>
      <c r="HK303" s="33"/>
      <c r="HL303" s="33"/>
      <c r="HM303" s="33"/>
      <c r="HN303" s="33"/>
      <c r="HO303" s="33"/>
      <c r="HP303" s="33"/>
    </row>
    <row r="304" spans="3:224" ht="20.100000000000001" customHeight="1">
      <c r="C304" s="24">
        <v>14090001</v>
      </c>
      <c r="D304" s="24" t="s">
        <v>332</v>
      </c>
      <c r="E304" s="25">
        <v>11200001</v>
      </c>
      <c r="F304" s="25">
        <v>0</v>
      </c>
      <c r="G304" s="25">
        <v>1</v>
      </c>
      <c r="H304" s="25">
        <v>20</v>
      </c>
      <c r="I304" s="29">
        <v>0.2</v>
      </c>
      <c r="J304" s="30">
        <v>5</v>
      </c>
      <c r="K304" s="25">
        <v>0</v>
      </c>
      <c r="L304" s="25">
        <v>840</v>
      </c>
      <c r="M304" s="25">
        <f t="shared" si="27"/>
        <v>0</v>
      </c>
      <c r="N304" s="25">
        <v>0</v>
      </c>
      <c r="O304" s="25">
        <v>0</v>
      </c>
      <c r="P304" s="25">
        <v>0</v>
      </c>
      <c r="Q304" s="25">
        <f t="shared" si="28"/>
        <v>0</v>
      </c>
      <c r="R304" s="25">
        <v>0</v>
      </c>
      <c r="S304" s="25">
        <f t="shared" si="29"/>
        <v>0</v>
      </c>
      <c r="T304" s="25">
        <v>0</v>
      </c>
      <c r="U304" s="29">
        <v>0</v>
      </c>
      <c r="V304" s="25">
        <v>0</v>
      </c>
      <c r="W304" s="25">
        <v>0</v>
      </c>
      <c r="X304" s="25">
        <v>0</v>
      </c>
      <c r="Y304" s="29">
        <v>0</v>
      </c>
      <c r="Z304" s="29">
        <v>0</v>
      </c>
      <c r="AA304" s="29">
        <v>0</v>
      </c>
      <c r="AB304" s="29">
        <v>0</v>
      </c>
      <c r="AC304" s="29">
        <v>0</v>
      </c>
      <c r="AD304" s="29">
        <v>0</v>
      </c>
      <c r="AE304" s="29"/>
      <c r="GR304" s="5"/>
      <c r="GS304" s="5"/>
      <c r="GT304" s="5"/>
      <c r="GU304" s="5"/>
      <c r="GV304" s="5"/>
      <c r="GW304" s="5"/>
      <c r="GX304" s="5"/>
      <c r="GY304" s="5"/>
      <c r="GZ304" s="5"/>
      <c r="HA304" s="5"/>
      <c r="HB304" s="5"/>
      <c r="HC304" s="5"/>
      <c r="HD304" s="5"/>
      <c r="HE304" s="5"/>
      <c r="HF304" s="5"/>
      <c r="HG304" s="5"/>
      <c r="HH304" s="5"/>
      <c r="HI304" s="5"/>
      <c r="HJ304" s="5"/>
      <c r="HK304" s="5"/>
      <c r="HL304" s="5"/>
      <c r="HM304" s="5"/>
      <c r="HN304" s="5"/>
      <c r="HO304" s="5"/>
      <c r="HP304" s="5"/>
    </row>
    <row r="305" spans="3:224" ht="20.100000000000001" customHeight="1">
      <c r="C305" s="24">
        <v>14090002</v>
      </c>
      <c r="D305" s="24" t="s">
        <v>333</v>
      </c>
      <c r="E305" s="25">
        <v>11200001</v>
      </c>
      <c r="F305" s="25">
        <v>0</v>
      </c>
      <c r="G305" s="25">
        <v>1</v>
      </c>
      <c r="H305" s="25">
        <v>20</v>
      </c>
      <c r="I305" s="29">
        <v>0.2</v>
      </c>
      <c r="J305" s="30">
        <v>5</v>
      </c>
      <c r="K305" s="25">
        <v>0</v>
      </c>
      <c r="L305" s="25">
        <v>1580</v>
      </c>
      <c r="M305" s="25">
        <f t="shared" si="27"/>
        <v>0</v>
      </c>
      <c r="N305" s="25">
        <v>0</v>
      </c>
      <c r="O305" s="25">
        <v>0</v>
      </c>
      <c r="P305" s="25">
        <v>0</v>
      </c>
      <c r="Q305" s="25">
        <f t="shared" si="28"/>
        <v>0</v>
      </c>
      <c r="R305" s="25">
        <v>0</v>
      </c>
      <c r="S305" s="25">
        <f t="shared" si="29"/>
        <v>0</v>
      </c>
      <c r="T305" s="25">
        <v>0</v>
      </c>
      <c r="U305" s="29">
        <v>0</v>
      </c>
      <c r="V305" s="25">
        <v>0</v>
      </c>
      <c r="W305" s="25">
        <v>0</v>
      </c>
      <c r="X305" s="25">
        <v>0</v>
      </c>
      <c r="Y305" s="29">
        <v>0</v>
      </c>
      <c r="Z305" s="29">
        <v>0</v>
      </c>
      <c r="AA305" s="29">
        <v>0</v>
      </c>
      <c r="AB305" s="29">
        <v>0</v>
      </c>
      <c r="AC305" s="29">
        <v>0</v>
      </c>
      <c r="AD305" s="29">
        <v>0</v>
      </c>
      <c r="AE305" s="29"/>
      <c r="GR305" s="5"/>
      <c r="GS305" s="5"/>
      <c r="GT305" s="5"/>
      <c r="GU305" s="5"/>
      <c r="GV305" s="5"/>
      <c r="GW305" s="5"/>
      <c r="GX305" s="5"/>
      <c r="GY305" s="5"/>
      <c r="GZ305" s="5"/>
      <c r="HA305" s="5"/>
      <c r="HB305" s="5"/>
      <c r="HC305" s="5"/>
      <c r="HD305" s="5"/>
      <c r="HE305" s="5"/>
      <c r="HF305" s="5"/>
      <c r="HG305" s="5"/>
      <c r="HH305" s="5"/>
      <c r="HI305" s="5"/>
      <c r="HJ305" s="5"/>
      <c r="HK305" s="5"/>
      <c r="HL305" s="5"/>
      <c r="HM305" s="5"/>
      <c r="HN305" s="5"/>
      <c r="HO305" s="5"/>
      <c r="HP305" s="5"/>
    </row>
    <row r="306" spans="3:224" ht="20.100000000000001" customHeight="1">
      <c r="C306" s="24">
        <v>14090003</v>
      </c>
      <c r="D306" s="24" t="s">
        <v>334</v>
      </c>
      <c r="E306" s="25">
        <v>11200001</v>
      </c>
      <c r="F306" s="25">
        <v>0</v>
      </c>
      <c r="G306" s="25">
        <v>1</v>
      </c>
      <c r="H306" s="25">
        <v>20</v>
      </c>
      <c r="I306" s="29">
        <v>0.2</v>
      </c>
      <c r="J306" s="30">
        <v>10</v>
      </c>
      <c r="K306" s="25">
        <v>0</v>
      </c>
      <c r="L306" s="25">
        <v>2100</v>
      </c>
      <c r="M306" s="25">
        <f t="shared" si="27"/>
        <v>0</v>
      </c>
      <c r="N306" s="25">
        <v>0</v>
      </c>
      <c r="O306" s="25">
        <v>0</v>
      </c>
      <c r="P306" s="25">
        <v>0</v>
      </c>
      <c r="Q306" s="25">
        <f t="shared" si="28"/>
        <v>0</v>
      </c>
      <c r="R306" s="25">
        <v>0</v>
      </c>
      <c r="S306" s="25">
        <f t="shared" si="29"/>
        <v>0</v>
      </c>
      <c r="T306" s="25">
        <v>0</v>
      </c>
      <c r="U306" s="29">
        <v>0</v>
      </c>
      <c r="V306" s="25">
        <v>0</v>
      </c>
      <c r="W306" s="25">
        <v>0</v>
      </c>
      <c r="X306" s="25">
        <v>0</v>
      </c>
      <c r="Y306" s="29">
        <v>0</v>
      </c>
      <c r="Z306" s="29">
        <v>0</v>
      </c>
      <c r="AA306" s="29">
        <v>0</v>
      </c>
      <c r="AB306" s="29">
        <v>0</v>
      </c>
      <c r="AC306" s="29">
        <v>0</v>
      </c>
      <c r="AD306" s="29">
        <v>0</v>
      </c>
      <c r="AE306" s="29"/>
      <c r="GR306" s="5"/>
      <c r="GS306" s="5"/>
      <c r="GT306" s="5"/>
      <c r="GU306" s="5"/>
      <c r="GV306" s="5"/>
      <c r="GW306" s="5"/>
      <c r="GX306" s="5"/>
      <c r="GY306" s="5"/>
      <c r="GZ306" s="5"/>
      <c r="HA306" s="5"/>
      <c r="HB306" s="5"/>
      <c r="HC306" s="5"/>
      <c r="HD306" s="5"/>
      <c r="HE306" s="5"/>
      <c r="HF306" s="5"/>
      <c r="HG306" s="5"/>
      <c r="HH306" s="5"/>
      <c r="HI306" s="5"/>
      <c r="HJ306" s="5"/>
      <c r="HK306" s="5"/>
      <c r="HL306" s="5"/>
      <c r="HM306" s="5"/>
      <c r="HN306" s="5"/>
      <c r="HO306" s="5"/>
      <c r="HP306" s="5"/>
    </row>
    <row r="307" spans="3:224" s="3" customFormat="1" ht="20.100000000000001" customHeight="1">
      <c r="C307" s="26">
        <v>14090004</v>
      </c>
      <c r="D307" s="27" t="s">
        <v>335</v>
      </c>
      <c r="E307" s="28">
        <v>11200001</v>
      </c>
      <c r="F307" s="28">
        <v>0</v>
      </c>
      <c r="G307" s="28">
        <v>1</v>
      </c>
      <c r="H307" s="28">
        <v>20</v>
      </c>
      <c r="I307" s="31">
        <v>0.2</v>
      </c>
      <c r="J307" s="32">
        <v>10</v>
      </c>
      <c r="K307" s="28">
        <v>0</v>
      </c>
      <c r="L307" s="28">
        <v>2500</v>
      </c>
      <c r="M307" s="28">
        <f t="shared" ref="M307" si="33">ROUND(N307/2,0)</f>
        <v>0</v>
      </c>
      <c r="N307" s="28">
        <v>0</v>
      </c>
      <c r="O307" s="28">
        <v>0</v>
      </c>
      <c r="P307" s="28">
        <v>0</v>
      </c>
      <c r="Q307" s="28">
        <f t="shared" ref="Q307" si="34">ROUND(R307/2,0)</f>
        <v>0</v>
      </c>
      <c r="R307" s="28">
        <v>0</v>
      </c>
      <c r="S307" s="28">
        <f t="shared" ref="S307" si="35">ROUND(T307/2,0)</f>
        <v>0</v>
      </c>
      <c r="T307" s="28">
        <v>0</v>
      </c>
      <c r="U307" s="31">
        <v>0</v>
      </c>
      <c r="V307" s="28">
        <v>0</v>
      </c>
      <c r="W307" s="28">
        <v>0</v>
      </c>
      <c r="X307" s="28">
        <v>0</v>
      </c>
      <c r="Y307" s="31">
        <v>0</v>
      </c>
      <c r="Z307" s="31">
        <v>0</v>
      </c>
      <c r="AA307" s="31">
        <v>0</v>
      </c>
      <c r="AB307" s="31">
        <v>100202</v>
      </c>
      <c r="AC307" s="31">
        <v>300</v>
      </c>
      <c r="AD307" s="31">
        <v>1</v>
      </c>
      <c r="AE307" s="31"/>
      <c r="AF307" s="33"/>
      <c r="AG307" s="33"/>
      <c r="AH307" s="33"/>
      <c r="AI307" s="33"/>
      <c r="AJ307" s="33"/>
      <c r="AK307" s="33"/>
      <c r="AL307" s="33"/>
      <c r="AM307" s="33"/>
      <c r="AN307" s="33"/>
      <c r="AO307" s="33"/>
      <c r="AP307" s="33"/>
      <c r="AQ307" s="33"/>
      <c r="AR307" s="33"/>
      <c r="AS307" s="33"/>
      <c r="AT307" s="33"/>
      <c r="AU307" s="33"/>
      <c r="AV307" s="33"/>
      <c r="AW307" s="33"/>
      <c r="AX307" s="33"/>
      <c r="AY307" s="33"/>
      <c r="AZ307" s="33"/>
      <c r="BA307" s="33"/>
      <c r="BB307" s="33"/>
      <c r="BC307" s="33"/>
      <c r="BD307" s="33"/>
      <c r="BE307" s="33"/>
      <c r="BF307" s="33"/>
      <c r="BG307" s="33"/>
      <c r="BH307" s="33"/>
      <c r="BI307" s="33"/>
      <c r="BJ307" s="33"/>
      <c r="BK307" s="33"/>
      <c r="BL307" s="33"/>
      <c r="BM307" s="33"/>
      <c r="BN307" s="33"/>
      <c r="BO307" s="33"/>
      <c r="BP307" s="33"/>
      <c r="BQ307" s="33"/>
      <c r="BR307" s="33"/>
      <c r="BS307" s="33"/>
      <c r="BT307" s="33"/>
      <c r="BU307" s="33"/>
      <c r="BV307" s="33"/>
      <c r="BW307" s="33"/>
      <c r="BX307" s="33"/>
      <c r="BY307" s="33"/>
      <c r="BZ307" s="33"/>
      <c r="CA307" s="33"/>
      <c r="CB307" s="33"/>
      <c r="CC307" s="33"/>
      <c r="CD307" s="33"/>
      <c r="CE307" s="33"/>
      <c r="CF307" s="33"/>
      <c r="CG307" s="33"/>
      <c r="CH307" s="33"/>
      <c r="CI307" s="33"/>
      <c r="CJ307" s="33"/>
      <c r="CK307" s="33"/>
      <c r="CL307" s="33"/>
      <c r="CM307" s="33"/>
      <c r="CN307" s="33"/>
      <c r="CO307" s="33"/>
      <c r="CP307" s="33"/>
      <c r="CQ307" s="33"/>
      <c r="CR307" s="33"/>
      <c r="CS307" s="33"/>
      <c r="CT307" s="33"/>
      <c r="CU307" s="33"/>
      <c r="CV307" s="33"/>
      <c r="CW307" s="33"/>
      <c r="CX307" s="33"/>
      <c r="CY307" s="33"/>
      <c r="CZ307" s="33"/>
      <c r="DA307" s="33"/>
      <c r="DB307" s="33"/>
      <c r="DC307" s="33"/>
      <c r="DD307" s="33"/>
      <c r="DE307" s="33"/>
      <c r="DF307" s="33"/>
      <c r="DG307" s="33"/>
      <c r="DH307" s="33"/>
      <c r="DI307" s="33"/>
      <c r="DJ307" s="33"/>
      <c r="DK307" s="33"/>
      <c r="DL307" s="33"/>
      <c r="DM307" s="33"/>
      <c r="DN307" s="33"/>
      <c r="DO307" s="33"/>
      <c r="DP307" s="33"/>
      <c r="DQ307" s="33"/>
      <c r="DR307" s="33"/>
      <c r="DS307" s="33"/>
      <c r="DT307" s="33"/>
      <c r="DU307" s="33"/>
      <c r="DV307" s="33"/>
      <c r="DW307" s="33"/>
      <c r="DX307" s="33"/>
      <c r="DY307" s="33"/>
      <c r="DZ307" s="33"/>
      <c r="EA307" s="33"/>
      <c r="EB307" s="33"/>
      <c r="EC307" s="33"/>
      <c r="ED307" s="33"/>
      <c r="EE307" s="33"/>
      <c r="EF307" s="33"/>
      <c r="EG307" s="33"/>
      <c r="EH307" s="33"/>
      <c r="EI307" s="33"/>
      <c r="EJ307" s="33"/>
      <c r="EK307" s="33"/>
      <c r="EL307" s="33"/>
      <c r="EM307" s="33"/>
      <c r="EN307" s="33"/>
      <c r="EO307" s="33"/>
      <c r="EP307" s="33"/>
      <c r="EQ307" s="33"/>
      <c r="ER307" s="33"/>
      <c r="ES307" s="33"/>
      <c r="ET307" s="33"/>
      <c r="EU307" s="33"/>
      <c r="EV307" s="33"/>
      <c r="EW307" s="33"/>
      <c r="EX307" s="33"/>
      <c r="EY307" s="33"/>
      <c r="EZ307" s="33"/>
      <c r="FA307" s="33"/>
      <c r="FB307" s="33"/>
      <c r="FC307" s="33"/>
      <c r="FD307" s="33"/>
      <c r="FE307" s="33"/>
      <c r="FF307" s="33"/>
      <c r="FG307" s="33"/>
      <c r="FH307" s="33"/>
      <c r="FI307" s="33"/>
      <c r="FJ307" s="33"/>
      <c r="FK307" s="33"/>
      <c r="FL307" s="33"/>
      <c r="FM307" s="33"/>
      <c r="FN307" s="33"/>
      <c r="FO307" s="33"/>
      <c r="FP307" s="33"/>
      <c r="FQ307" s="33"/>
      <c r="FR307" s="33"/>
      <c r="FS307" s="33"/>
      <c r="FT307" s="33"/>
      <c r="FU307" s="33"/>
      <c r="FV307" s="33"/>
      <c r="FW307" s="33"/>
      <c r="FX307" s="33"/>
      <c r="FY307" s="33"/>
      <c r="FZ307" s="33"/>
      <c r="GA307" s="33"/>
      <c r="GB307" s="33"/>
      <c r="GC307" s="33"/>
      <c r="GD307" s="33"/>
      <c r="GE307" s="33"/>
      <c r="GF307" s="33"/>
      <c r="GG307" s="33"/>
      <c r="GH307" s="33"/>
      <c r="GI307" s="33"/>
      <c r="GJ307" s="33"/>
      <c r="GK307" s="33"/>
      <c r="GL307" s="33"/>
      <c r="GM307" s="33"/>
      <c r="GN307" s="33"/>
      <c r="GO307" s="33"/>
      <c r="GP307" s="33"/>
      <c r="GQ307" s="33"/>
      <c r="GR307" s="33"/>
      <c r="GS307" s="33"/>
      <c r="GT307" s="33"/>
      <c r="GU307" s="33"/>
      <c r="GV307" s="33"/>
      <c r="GW307" s="33"/>
      <c r="GX307" s="33"/>
      <c r="GY307" s="33"/>
      <c r="GZ307" s="33"/>
      <c r="HA307" s="33"/>
      <c r="HB307" s="33"/>
      <c r="HC307" s="33"/>
      <c r="HD307" s="33"/>
      <c r="HE307" s="33"/>
      <c r="HF307" s="33"/>
      <c r="HG307" s="33"/>
      <c r="HH307" s="33"/>
      <c r="HI307" s="33"/>
      <c r="HJ307" s="33"/>
      <c r="HK307" s="33"/>
      <c r="HL307" s="33"/>
      <c r="HM307" s="33"/>
      <c r="HN307" s="33"/>
      <c r="HO307" s="33"/>
      <c r="HP307" s="33"/>
    </row>
    <row r="308" spans="3:224" ht="20.100000000000001" customHeight="1">
      <c r="C308" s="24">
        <v>14100001</v>
      </c>
      <c r="D308" s="24" t="s">
        <v>336</v>
      </c>
      <c r="E308" s="25">
        <v>11200001</v>
      </c>
      <c r="F308" s="25">
        <v>0</v>
      </c>
      <c r="G308" s="25">
        <v>1</v>
      </c>
      <c r="H308" s="25">
        <v>20</v>
      </c>
      <c r="I308" s="29">
        <v>0.2</v>
      </c>
      <c r="J308" s="30">
        <v>5</v>
      </c>
      <c r="K308" s="25">
        <v>0</v>
      </c>
      <c r="L308" s="25">
        <v>0</v>
      </c>
      <c r="M308" s="25">
        <f t="shared" si="27"/>
        <v>35</v>
      </c>
      <c r="N308" s="25">
        <v>70</v>
      </c>
      <c r="O308" s="25">
        <v>0</v>
      </c>
      <c r="P308" s="25">
        <v>0</v>
      </c>
      <c r="Q308" s="25">
        <f t="shared" si="28"/>
        <v>0</v>
      </c>
      <c r="R308" s="25">
        <v>0</v>
      </c>
      <c r="S308" s="25">
        <f t="shared" si="29"/>
        <v>0</v>
      </c>
      <c r="T308" s="25">
        <v>0</v>
      </c>
      <c r="U308" s="29">
        <v>0</v>
      </c>
      <c r="V308" s="25">
        <v>0</v>
      </c>
      <c r="W308" s="25">
        <v>0</v>
      </c>
      <c r="X308" s="25">
        <v>0</v>
      </c>
      <c r="Y308" s="29">
        <v>0</v>
      </c>
      <c r="Z308" s="29">
        <v>0</v>
      </c>
      <c r="AA308" s="29">
        <v>0</v>
      </c>
      <c r="AB308" s="29">
        <v>0</v>
      </c>
      <c r="AC308" s="29">
        <v>0</v>
      </c>
      <c r="AD308" s="29">
        <v>0</v>
      </c>
      <c r="AE308" s="29"/>
      <c r="GR308" s="5"/>
      <c r="GS308" s="5"/>
      <c r="GT308" s="5"/>
      <c r="GU308" s="5"/>
      <c r="GV308" s="5"/>
      <c r="GW308" s="5"/>
      <c r="GX308" s="5"/>
      <c r="GY308" s="5"/>
      <c r="GZ308" s="5"/>
      <c r="HA308" s="5"/>
      <c r="HB308" s="5"/>
      <c r="HC308" s="5"/>
      <c r="HD308" s="5"/>
      <c r="HE308" s="5"/>
      <c r="HF308" s="5"/>
      <c r="HG308" s="5"/>
      <c r="HH308" s="5"/>
      <c r="HI308" s="5"/>
      <c r="HJ308" s="5"/>
      <c r="HK308" s="5"/>
      <c r="HL308" s="5"/>
      <c r="HM308" s="5"/>
      <c r="HN308" s="5"/>
      <c r="HO308" s="5"/>
      <c r="HP308" s="5"/>
    </row>
    <row r="309" spans="3:224" ht="20.100000000000001" customHeight="1">
      <c r="C309" s="24">
        <v>14100002</v>
      </c>
      <c r="D309" s="24" t="s">
        <v>337</v>
      </c>
      <c r="E309" s="25">
        <v>11200001</v>
      </c>
      <c r="F309" s="25">
        <v>0</v>
      </c>
      <c r="G309" s="25">
        <v>1</v>
      </c>
      <c r="H309" s="25">
        <v>20</v>
      </c>
      <c r="I309" s="29">
        <v>0.2</v>
      </c>
      <c r="J309" s="30">
        <v>5</v>
      </c>
      <c r="K309" s="25">
        <v>0</v>
      </c>
      <c r="L309" s="25">
        <v>0</v>
      </c>
      <c r="M309" s="25">
        <f t="shared" si="27"/>
        <v>65</v>
      </c>
      <c r="N309" s="25">
        <v>130</v>
      </c>
      <c r="O309" s="25">
        <v>0</v>
      </c>
      <c r="P309" s="25">
        <v>0</v>
      </c>
      <c r="Q309" s="25">
        <f t="shared" si="28"/>
        <v>0</v>
      </c>
      <c r="R309" s="25">
        <v>0</v>
      </c>
      <c r="S309" s="25">
        <f t="shared" si="29"/>
        <v>0</v>
      </c>
      <c r="T309" s="25">
        <v>0</v>
      </c>
      <c r="U309" s="29">
        <v>0</v>
      </c>
      <c r="V309" s="25">
        <v>0</v>
      </c>
      <c r="W309" s="25">
        <v>0</v>
      </c>
      <c r="X309" s="25">
        <v>0</v>
      </c>
      <c r="Y309" s="29">
        <v>0</v>
      </c>
      <c r="Z309" s="29">
        <v>0</v>
      </c>
      <c r="AA309" s="29">
        <v>0</v>
      </c>
      <c r="AB309" s="29">
        <v>0</v>
      </c>
      <c r="AC309" s="29">
        <v>0</v>
      </c>
      <c r="AD309" s="29">
        <v>0</v>
      </c>
      <c r="AE309" s="29"/>
      <c r="GR309" s="5"/>
      <c r="GS309" s="5"/>
      <c r="GT309" s="5"/>
      <c r="GU309" s="5"/>
      <c r="GV309" s="5"/>
      <c r="GW309" s="5"/>
      <c r="GX309" s="5"/>
      <c r="GY309" s="5"/>
      <c r="GZ309" s="5"/>
      <c r="HA309" s="5"/>
      <c r="HB309" s="5"/>
      <c r="HC309" s="5"/>
      <c r="HD309" s="5"/>
      <c r="HE309" s="5"/>
      <c r="HF309" s="5"/>
      <c r="HG309" s="5"/>
      <c r="HH309" s="5"/>
      <c r="HI309" s="5"/>
      <c r="HJ309" s="5"/>
      <c r="HK309" s="5"/>
      <c r="HL309" s="5"/>
      <c r="HM309" s="5"/>
      <c r="HN309" s="5"/>
      <c r="HO309" s="5"/>
      <c r="HP309" s="5"/>
    </row>
    <row r="310" spans="3:224" ht="20.100000000000001" customHeight="1">
      <c r="C310" s="24">
        <v>14100003</v>
      </c>
      <c r="D310" s="24" t="s">
        <v>338</v>
      </c>
      <c r="E310" s="25">
        <v>11200001</v>
      </c>
      <c r="F310" s="25">
        <v>0</v>
      </c>
      <c r="G310" s="25">
        <v>1</v>
      </c>
      <c r="H310" s="25">
        <v>20</v>
      </c>
      <c r="I310" s="29">
        <v>0.2</v>
      </c>
      <c r="J310" s="30">
        <v>5</v>
      </c>
      <c r="K310" s="25">
        <v>0</v>
      </c>
      <c r="L310" s="25">
        <v>0</v>
      </c>
      <c r="M310" s="25">
        <f t="shared" si="27"/>
        <v>88</v>
      </c>
      <c r="N310" s="25">
        <v>175</v>
      </c>
      <c r="O310" s="25">
        <v>0</v>
      </c>
      <c r="P310" s="25">
        <v>0</v>
      </c>
      <c r="Q310" s="25">
        <f t="shared" si="28"/>
        <v>0</v>
      </c>
      <c r="R310" s="25">
        <v>0</v>
      </c>
      <c r="S310" s="25">
        <f t="shared" si="29"/>
        <v>0</v>
      </c>
      <c r="T310" s="25">
        <v>0</v>
      </c>
      <c r="U310" s="29">
        <v>0</v>
      </c>
      <c r="V310" s="25">
        <v>0</v>
      </c>
      <c r="W310" s="25">
        <v>0</v>
      </c>
      <c r="X310" s="25">
        <v>0</v>
      </c>
      <c r="Y310" s="29">
        <v>0</v>
      </c>
      <c r="Z310" s="29">
        <v>0</v>
      </c>
      <c r="AA310" s="29">
        <v>0</v>
      </c>
      <c r="AB310" s="29">
        <v>0</v>
      </c>
      <c r="AC310" s="29">
        <v>0</v>
      </c>
      <c r="AD310" s="29">
        <v>0</v>
      </c>
      <c r="AE310" s="29"/>
      <c r="GR310" s="5"/>
      <c r="GS310" s="5"/>
      <c r="GT310" s="5"/>
      <c r="GU310" s="5"/>
      <c r="GV310" s="5"/>
      <c r="GW310" s="5"/>
      <c r="GX310" s="5"/>
      <c r="GY310" s="5"/>
      <c r="GZ310" s="5"/>
      <c r="HA310" s="5"/>
      <c r="HB310" s="5"/>
      <c r="HC310" s="5"/>
      <c r="HD310" s="5"/>
      <c r="HE310" s="5"/>
      <c r="HF310" s="5"/>
      <c r="HG310" s="5"/>
      <c r="HH310" s="5"/>
      <c r="HI310" s="5"/>
      <c r="HJ310" s="5"/>
      <c r="HK310" s="5"/>
      <c r="HL310" s="5"/>
      <c r="HM310" s="5"/>
      <c r="HN310" s="5"/>
      <c r="HO310" s="5"/>
      <c r="HP310" s="5"/>
    </row>
    <row r="311" spans="3:224" ht="20.100000000000001" customHeight="1">
      <c r="C311" s="24">
        <v>14100004</v>
      </c>
      <c r="D311" s="24" t="s">
        <v>339</v>
      </c>
      <c r="E311" s="25">
        <v>11200001</v>
      </c>
      <c r="F311" s="25">
        <v>0</v>
      </c>
      <c r="G311" s="25">
        <v>1</v>
      </c>
      <c r="H311" s="25">
        <v>20</v>
      </c>
      <c r="I311" s="29">
        <v>0.2</v>
      </c>
      <c r="J311" s="30">
        <v>10</v>
      </c>
      <c r="K311" s="25">
        <v>0</v>
      </c>
      <c r="L311" s="25">
        <v>0</v>
      </c>
      <c r="M311" s="25">
        <f t="shared" si="27"/>
        <v>105</v>
      </c>
      <c r="N311" s="25">
        <v>210</v>
      </c>
      <c r="O311" s="25">
        <v>0</v>
      </c>
      <c r="P311" s="25">
        <v>0</v>
      </c>
      <c r="Q311" s="25">
        <f t="shared" si="28"/>
        <v>0</v>
      </c>
      <c r="R311" s="25">
        <v>0</v>
      </c>
      <c r="S311" s="25">
        <f t="shared" si="29"/>
        <v>0</v>
      </c>
      <c r="T311" s="25">
        <v>0</v>
      </c>
      <c r="U311" s="29">
        <v>0</v>
      </c>
      <c r="V311" s="25">
        <v>0</v>
      </c>
      <c r="W311" s="25">
        <v>0</v>
      </c>
      <c r="X311" s="25">
        <v>0</v>
      </c>
      <c r="Y311" s="29">
        <v>0</v>
      </c>
      <c r="Z311" s="29">
        <v>0</v>
      </c>
      <c r="AA311" s="29">
        <v>0</v>
      </c>
      <c r="AB311" s="29">
        <v>0</v>
      </c>
      <c r="AC311" s="29">
        <v>0</v>
      </c>
      <c r="AD311" s="29">
        <v>0</v>
      </c>
      <c r="AE311" s="29"/>
      <c r="GR311" s="5"/>
      <c r="GS311" s="5"/>
      <c r="GT311" s="5"/>
      <c r="GU311" s="5"/>
      <c r="GV311" s="5"/>
      <c r="GW311" s="5"/>
      <c r="GX311" s="5"/>
      <c r="GY311" s="5"/>
      <c r="GZ311" s="5"/>
      <c r="HA311" s="5"/>
      <c r="HB311" s="5"/>
      <c r="HC311" s="5"/>
      <c r="HD311" s="5"/>
      <c r="HE311" s="5"/>
      <c r="HF311" s="5"/>
      <c r="HG311" s="5"/>
      <c r="HH311" s="5"/>
      <c r="HI311" s="5"/>
      <c r="HJ311" s="5"/>
      <c r="HK311" s="5"/>
      <c r="HL311" s="5"/>
      <c r="HM311" s="5"/>
      <c r="HN311" s="5"/>
      <c r="HO311" s="5"/>
      <c r="HP311" s="5"/>
    </row>
    <row r="312" spans="3:224" ht="20.100000000000001" customHeight="1">
      <c r="C312" s="24">
        <v>14100005</v>
      </c>
      <c r="D312" s="24" t="s">
        <v>340</v>
      </c>
      <c r="E312" s="25">
        <v>11200001</v>
      </c>
      <c r="F312" s="25">
        <v>0</v>
      </c>
      <c r="G312" s="25">
        <v>1</v>
      </c>
      <c r="H312" s="25">
        <v>20</v>
      </c>
      <c r="I312" s="29">
        <v>0.2</v>
      </c>
      <c r="J312" s="30">
        <v>5</v>
      </c>
      <c r="K312" s="25">
        <v>0</v>
      </c>
      <c r="L312" s="25">
        <v>0</v>
      </c>
      <c r="M312" s="25">
        <f t="shared" si="27"/>
        <v>35</v>
      </c>
      <c r="N312" s="25">
        <v>70</v>
      </c>
      <c r="O312" s="25">
        <v>0</v>
      </c>
      <c r="P312" s="25">
        <v>0</v>
      </c>
      <c r="Q312" s="25">
        <f t="shared" si="28"/>
        <v>0</v>
      </c>
      <c r="R312" s="25">
        <v>0</v>
      </c>
      <c r="S312" s="25">
        <f t="shared" si="29"/>
        <v>0</v>
      </c>
      <c r="T312" s="25">
        <v>0</v>
      </c>
      <c r="U312" s="29">
        <v>0</v>
      </c>
      <c r="V312" s="25">
        <v>0</v>
      </c>
      <c r="W312" s="25">
        <v>0</v>
      </c>
      <c r="X312" s="25">
        <v>0</v>
      </c>
      <c r="Y312" s="29">
        <v>0</v>
      </c>
      <c r="Z312" s="29">
        <v>0</v>
      </c>
      <c r="AA312" s="29">
        <v>0</v>
      </c>
      <c r="AB312" s="29">
        <v>0</v>
      </c>
      <c r="AC312" s="29">
        <v>0</v>
      </c>
      <c r="AD312" s="29">
        <v>0</v>
      </c>
      <c r="AE312" s="29"/>
      <c r="GR312" s="5"/>
      <c r="GS312" s="5"/>
      <c r="GT312" s="5"/>
      <c r="GU312" s="5"/>
      <c r="GV312" s="5"/>
      <c r="GW312" s="5"/>
      <c r="GX312" s="5"/>
      <c r="GY312" s="5"/>
      <c r="GZ312" s="5"/>
      <c r="HA312" s="5"/>
      <c r="HB312" s="5"/>
      <c r="HC312" s="5"/>
      <c r="HD312" s="5"/>
      <c r="HE312" s="5"/>
      <c r="HF312" s="5"/>
      <c r="HG312" s="5"/>
      <c r="HH312" s="5"/>
      <c r="HI312" s="5"/>
      <c r="HJ312" s="5"/>
      <c r="HK312" s="5"/>
      <c r="HL312" s="5"/>
      <c r="HM312" s="5"/>
      <c r="HN312" s="5"/>
      <c r="HO312" s="5"/>
      <c r="HP312" s="5"/>
    </row>
    <row r="313" spans="3:224" ht="20.100000000000001" customHeight="1">
      <c r="C313" s="24">
        <v>14100006</v>
      </c>
      <c r="D313" s="24" t="s">
        <v>341</v>
      </c>
      <c r="E313" s="25">
        <v>11200001</v>
      </c>
      <c r="F313" s="25">
        <v>0</v>
      </c>
      <c r="G313" s="25">
        <v>1</v>
      </c>
      <c r="H313" s="25">
        <v>20</v>
      </c>
      <c r="I313" s="29">
        <v>0.2</v>
      </c>
      <c r="J313" s="30">
        <v>5</v>
      </c>
      <c r="K313" s="25">
        <v>0</v>
      </c>
      <c r="L313" s="25">
        <v>0</v>
      </c>
      <c r="M313" s="25">
        <f t="shared" si="27"/>
        <v>65</v>
      </c>
      <c r="N313" s="25">
        <v>130</v>
      </c>
      <c r="O313" s="25">
        <v>0</v>
      </c>
      <c r="P313" s="25">
        <v>0</v>
      </c>
      <c r="Q313" s="25">
        <f t="shared" si="28"/>
        <v>0</v>
      </c>
      <c r="R313" s="25">
        <v>0</v>
      </c>
      <c r="S313" s="25">
        <f t="shared" si="29"/>
        <v>0</v>
      </c>
      <c r="T313" s="25">
        <v>0</v>
      </c>
      <c r="U313" s="29">
        <v>0</v>
      </c>
      <c r="V313" s="25">
        <v>0</v>
      </c>
      <c r="W313" s="25">
        <v>0</v>
      </c>
      <c r="X313" s="25">
        <v>0</v>
      </c>
      <c r="Y313" s="29">
        <v>0</v>
      </c>
      <c r="Z313" s="29">
        <v>0</v>
      </c>
      <c r="AA313" s="29">
        <v>0</v>
      </c>
      <c r="AB313" s="29">
        <v>0</v>
      </c>
      <c r="AC313" s="29">
        <v>0</v>
      </c>
      <c r="AD313" s="29">
        <v>0</v>
      </c>
      <c r="AE313" s="29"/>
      <c r="GR313" s="5"/>
      <c r="GS313" s="5"/>
      <c r="GT313" s="5"/>
      <c r="GU313" s="5"/>
      <c r="GV313" s="5"/>
      <c r="GW313" s="5"/>
      <c r="GX313" s="5"/>
      <c r="GY313" s="5"/>
      <c r="GZ313" s="5"/>
      <c r="HA313" s="5"/>
      <c r="HB313" s="5"/>
      <c r="HC313" s="5"/>
      <c r="HD313" s="5"/>
      <c r="HE313" s="5"/>
      <c r="HF313" s="5"/>
      <c r="HG313" s="5"/>
      <c r="HH313" s="5"/>
      <c r="HI313" s="5"/>
      <c r="HJ313" s="5"/>
      <c r="HK313" s="5"/>
      <c r="HL313" s="5"/>
      <c r="HM313" s="5"/>
      <c r="HN313" s="5"/>
      <c r="HO313" s="5"/>
      <c r="HP313" s="5"/>
    </row>
    <row r="314" spans="3:224" ht="20.100000000000001" customHeight="1">
      <c r="C314" s="24">
        <v>14100007</v>
      </c>
      <c r="D314" s="24" t="s">
        <v>342</v>
      </c>
      <c r="E314" s="25">
        <v>11200001</v>
      </c>
      <c r="F314" s="25">
        <v>0</v>
      </c>
      <c r="G314" s="25">
        <v>1</v>
      </c>
      <c r="H314" s="25">
        <v>20</v>
      </c>
      <c r="I314" s="29">
        <v>0.2</v>
      </c>
      <c r="J314" s="30">
        <v>5</v>
      </c>
      <c r="K314" s="25">
        <v>0</v>
      </c>
      <c r="L314" s="25">
        <v>0</v>
      </c>
      <c r="M314" s="25">
        <f t="shared" si="27"/>
        <v>88</v>
      </c>
      <c r="N314" s="25">
        <v>175</v>
      </c>
      <c r="O314" s="25">
        <v>0</v>
      </c>
      <c r="P314" s="25">
        <v>0</v>
      </c>
      <c r="Q314" s="25">
        <f t="shared" si="28"/>
        <v>0</v>
      </c>
      <c r="R314" s="25">
        <v>0</v>
      </c>
      <c r="S314" s="25">
        <f t="shared" si="29"/>
        <v>0</v>
      </c>
      <c r="T314" s="25">
        <v>0</v>
      </c>
      <c r="U314" s="29">
        <v>0</v>
      </c>
      <c r="V314" s="25">
        <v>0</v>
      </c>
      <c r="W314" s="25">
        <v>0</v>
      </c>
      <c r="X314" s="25">
        <v>0</v>
      </c>
      <c r="Y314" s="29">
        <v>0</v>
      </c>
      <c r="Z314" s="29">
        <v>0</v>
      </c>
      <c r="AA314" s="29">
        <v>0</v>
      </c>
      <c r="AB314" s="29">
        <v>0</v>
      </c>
      <c r="AC314" s="29">
        <v>0</v>
      </c>
      <c r="AD314" s="29">
        <v>0</v>
      </c>
      <c r="AE314" s="29"/>
      <c r="GR314" s="5"/>
      <c r="GS314" s="5"/>
      <c r="GT314" s="5"/>
      <c r="GU314" s="5"/>
      <c r="GV314" s="5"/>
      <c r="GW314" s="5"/>
      <c r="GX314" s="5"/>
      <c r="GY314" s="5"/>
      <c r="GZ314" s="5"/>
      <c r="HA314" s="5"/>
      <c r="HB314" s="5"/>
      <c r="HC314" s="5"/>
      <c r="HD314" s="5"/>
      <c r="HE314" s="5"/>
      <c r="HF314" s="5"/>
      <c r="HG314" s="5"/>
      <c r="HH314" s="5"/>
      <c r="HI314" s="5"/>
      <c r="HJ314" s="5"/>
      <c r="HK314" s="5"/>
      <c r="HL314" s="5"/>
      <c r="HM314" s="5"/>
      <c r="HN314" s="5"/>
      <c r="HO314" s="5"/>
      <c r="HP314" s="5"/>
    </row>
    <row r="315" spans="3:224" ht="20.100000000000001" customHeight="1">
      <c r="C315" s="24">
        <v>14100008</v>
      </c>
      <c r="D315" s="24" t="s">
        <v>343</v>
      </c>
      <c r="E315" s="25">
        <v>11200001</v>
      </c>
      <c r="F315" s="25">
        <v>0</v>
      </c>
      <c r="G315" s="25">
        <v>1</v>
      </c>
      <c r="H315" s="25">
        <v>20</v>
      </c>
      <c r="I315" s="29">
        <v>0.2</v>
      </c>
      <c r="J315" s="30">
        <v>10</v>
      </c>
      <c r="K315" s="25">
        <v>0</v>
      </c>
      <c r="L315" s="25">
        <v>0</v>
      </c>
      <c r="M315" s="25">
        <f t="shared" si="27"/>
        <v>105</v>
      </c>
      <c r="N315" s="25">
        <v>210</v>
      </c>
      <c r="O315" s="25">
        <v>0</v>
      </c>
      <c r="P315" s="25">
        <v>0</v>
      </c>
      <c r="Q315" s="25">
        <f t="shared" si="28"/>
        <v>0</v>
      </c>
      <c r="R315" s="25">
        <v>0</v>
      </c>
      <c r="S315" s="25">
        <f t="shared" si="29"/>
        <v>0</v>
      </c>
      <c r="T315" s="25">
        <v>0</v>
      </c>
      <c r="U315" s="29">
        <v>0</v>
      </c>
      <c r="V315" s="25">
        <v>0</v>
      </c>
      <c r="W315" s="25">
        <v>0</v>
      </c>
      <c r="X315" s="25">
        <v>0</v>
      </c>
      <c r="Y315" s="29">
        <v>0</v>
      </c>
      <c r="Z315" s="29">
        <v>0</v>
      </c>
      <c r="AA315" s="29">
        <v>0</v>
      </c>
      <c r="AB315" s="29">
        <v>0</v>
      </c>
      <c r="AC315" s="29">
        <v>0</v>
      </c>
      <c r="AD315" s="29">
        <v>0</v>
      </c>
      <c r="AE315" s="29"/>
      <c r="GR315" s="5"/>
      <c r="GS315" s="5"/>
      <c r="GT315" s="5"/>
      <c r="GU315" s="5"/>
      <c r="GV315" s="5"/>
      <c r="GW315" s="5"/>
      <c r="GX315" s="5"/>
      <c r="GY315" s="5"/>
      <c r="GZ315" s="5"/>
      <c r="HA315" s="5"/>
      <c r="HB315" s="5"/>
      <c r="HC315" s="5"/>
      <c r="HD315" s="5"/>
      <c r="HE315" s="5"/>
      <c r="HF315" s="5"/>
      <c r="HG315" s="5"/>
      <c r="HH315" s="5"/>
      <c r="HI315" s="5"/>
      <c r="HJ315" s="5"/>
      <c r="HK315" s="5"/>
      <c r="HL315" s="5"/>
      <c r="HM315" s="5"/>
      <c r="HN315" s="5"/>
      <c r="HO315" s="5"/>
      <c r="HP315" s="5"/>
    </row>
    <row r="316" spans="3:224" ht="20.100000000000001" customHeight="1">
      <c r="C316" s="24">
        <v>14100011</v>
      </c>
      <c r="D316" s="36" t="s">
        <v>344</v>
      </c>
      <c r="E316" s="25">
        <v>11200001</v>
      </c>
      <c r="F316" s="25">
        <v>11051</v>
      </c>
      <c r="G316" s="25">
        <v>1</v>
      </c>
      <c r="H316" s="25">
        <v>20</v>
      </c>
      <c r="I316" s="29">
        <v>0.2</v>
      </c>
      <c r="J316" s="30">
        <v>10</v>
      </c>
      <c r="K316" s="25">
        <v>0</v>
      </c>
      <c r="L316" s="25">
        <v>0</v>
      </c>
      <c r="M316" s="25">
        <v>150</v>
      </c>
      <c r="N316" s="25">
        <v>350</v>
      </c>
      <c r="O316" s="25">
        <v>0</v>
      </c>
      <c r="P316" s="25">
        <v>0</v>
      </c>
      <c r="Q316" s="25">
        <f t="shared" ref="Q316:Q322" si="36">ROUND(R316/2,0)</f>
        <v>0</v>
      </c>
      <c r="R316" s="25">
        <v>0</v>
      </c>
      <c r="S316" s="25">
        <f t="shared" ref="S316:S322" si="37">ROUND(T316/2,0)</f>
        <v>0</v>
      </c>
      <c r="T316" s="25">
        <v>0</v>
      </c>
      <c r="U316" s="29">
        <v>0</v>
      </c>
      <c r="V316" s="25">
        <v>0</v>
      </c>
      <c r="W316" s="25">
        <v>0</v>
      </c>
      <c r="X316" s="25">
        <v>0</v>
      </c>
      <c r="Y316" s="29">
        <v>0</v>
      </c>
      <c r="Z316" s="29">
        <v>0</v>
      </c>
      <c r="AA316" s="29">
        <v>0</v>
      </c>
      <c r="AB316" s="29">
        <v>0</v>
      </c>
      <c r="AC316" s="29">
        <v>0</v>
      </c>
      <c r="AD316" s="29">
        <v>0</v>
      </c>
      <c r="AE316" s="29"/>
      <c r="GR316" s="5"/>
      <c r="GS316" s="5"/>
      <c r="GT316" s="5"/>
      <c r="GU316" s="5"/>
      <c r="GV316" s="5"/>
      <c r="GW316" s="5"/>
      <c r="GX316" s="5"/>
      <c r="GY316" s="5"/>
      <c r="GZ316" s="5"/>
      <c r="HA316" s="5"/>
      <c r="HB316" s="5"/>
      <c r="HC316" s="5"/>
      <c r="HD316" s="5"/>
      <c r="HE316" s="5"/>
      <c r="HF316" s="5"/>
      <c r="HG316" s="5"/>
      <c r="HH316" s="5"/>
      <c r="HI316" s="5"/>
      <c r="HJ316" s="5"/>
      <c r="HK316" s="5"/>
      <c r="HL316" s="5"/>
      <c r="HM316" s="5"/>
      <c r="HN316" s="5"/>
      <c r="HO316" s="5"/>
      <c r="HP316" s="5"/>
    </row>
    <row r="317" spans="3:224" ht="20.100000000000001" customHeight="1">
      <c r="C317" s="24">
        <v>14100012</v>
      </c>
      <c r="D317" s="36" t="s">
        <v>345</v>
      </c>
      <c r="E317" s="25">
        <v>11200001</v>
      </c>
      <c r="F317" s="25">
        <v>11051</v>
      </c>
      <c r="G317" s="25">
        <v>1</v>
      </c>
      <c r="H317" s="25">
        <v>20</v>
      </c>
      <c r="I317" s="29">
        <v>0.2</v>
      </c>
      <c r="J317" s="30">
        <v>10</v>
      </c>
      <c r="K317" s="25">
        <v>0</v>
      </c>
      <c r="L317" s="25">
        <v>0</v>
      </c>
      <c r="M317" s="25">
        <v>150</v>
      </c>
      <c r="N317" s="25">
        <v>350</v>
      </c>
      <c r="O317" s="25">
        <v>0</v>
      </c>
      <c r="P317" s="25">
        <v>0</v>
      </c>
      <c r="Q317" s="25">
        <f t="shared" si="36"/>
        <v>0</v>
      </c>
      <c r="R317" s="25">
        <v>0</v>
      </c>
      <c r="S317" s="25">
        <f t="shared" si="37"/>
        <v>0</v>
      </c>
      <c r="T317" s="25">
        <v>0</v>
      </c>
      <c r="U317" s="29">
        <v>0</v>
      </c>
      <c r="V317" s="25">
        <v>0</v>
      </c>
      <c r="W317" s="25">
        <v>0</v>
      </c>
      <c r="X317" s="25">
        <v>0</v>
      </c>
      <c r="Y317" s="29">
        <v>0</v>
      </c>
      <c r="Z317" s="29">
        <v>0</v>
      </c>
      <c r="AA317" s="29">
        <v>0</v>
      </c>
      <c r="AB317" s="29">
        <v>202403</v>
      </c>
      <c r="AC317" s="29">
        <v>500</v>
      </c>
      <c r="AD317" s="29">
        <v>1</v>
      </c>
      <c r="AE317" s="29"/>
      <c r="GR317" s="5"/>
      <c r="GS317" s="5"/>
      <c r="GT317" s="5"/>
      <c r="GU317" s="5"/>
      <c r="GV317" s="5"/>
      <c r="GW317" s="5"/>
      <c r="GX317" s="5"/>
      <c r="GY317" s="5"/>
      <c r="GZ317" s="5"/>
      <c r="HA317" s="5"/>
      <c r="HB317" s="5"/>
      <c r="HC317" s="5"/>
      <c r="HD317" s="5"/>
      <c r="HE317" s="5"/>
      <c r="HF317" s="5"/>
      <c r="HG317" s="5"/>
      <c r="HH317" s="5"/>
      <c r="HI317" s="5"/>
      <c r="HJ317" s="5"/>
      <c r="HK317" s="5"/>
      <c r="HL317" s="5"/>
      <c r="HM317" s="5"/>
      <c r="HN317" s="5"/>
      <c r="HO317" s="5"/>
      <c r="HP317" s="5"/>
    </row>
    <row r="318" spans="3:224" ht="20.100000000000001" customHeight="1">
      <c r="C318" s="24">
        <v>14100021</v>
      </c>
      <c r="D318" s="24" t="s">
        <v>342</v>
      </c>
      <c r="E318" s="25">
        <v>11200001</v>
      </c>
      <c r="F318" s="25">
        <v>0</v>
      </c>
      <c r="G318" s="25">
        <v>1</v>
      </c>
      <c r="H318" s="25">
        <v>20</v>
      </c>
      <c r="I318" s="29">
        <v>0.2</v>
      </c>
      <c r="J318" s="30">
        <v>5</v>
      </c>
      <c r="K318" s="25">
        <v>0</v>
      </c>
      <c r="L318" s="25">
        <v>0</v>
      </c>
      <c r="M318" s="25">
        <v>50</v>
      </c>
      <c r="N318" s="25">
        <v>180</v>
      </c>
      <c r="O318" s="25">
        <v>0</v>
      </c>
      <c r="P318" s="25">
        <v>0</v>
      </c>
      <c r="Q318" s="25">
        <f t="shared" si="36"/>
        <v>0</v>
      </c>
      <c r="R318" s="25">
        <v>0</v>
      </c>
      <c r="S318" s="25">
        <f t="shared" si="37"/>
        <v>0</v>
      </c>
      <c r="T318" s="25">
        <v>0</v>
      </c>
      <c r="U318" s="29">
        <v>0</v>
      </c>
      <c r="V318" s="25">
        <v>0</v>
      </c>
      <c r="W318" s="25">
        <v>0</v>
      </c>
      <c r="X318" s="25">
        <v>0</v>
      </c>
      <c r="Y318" s="29">
        <v>0</v>
      </c>
      <c r="Z318" s="29">
        <v>0</v>
      </c>
      <c r="AA318" s="29">
        <v>0</v>
      </c>
      <c r="AB318" s="29">
        <v>0</v>
      </c>
      <c r="AC318" s="29">
        <v>0</v>
      </c>
      <c r="AD318" s="29">
        <v>0</v>
      </c>
      <c r="AE318" s="29"/>
      <c r="GR318" s="5"/>
      <c r="GS318" s="5"/>
      <c r="GT318" s="5"/>
      <c r="GU318" s="5"/>
      <c r="GV318" s="5"/>
      <c r="GW318" s="5"/>
      <c r="GX318" s="5"/>
      <c r="GY318" s="5"/>
      <c r="GZ318" s="5"/>
      <c r="HA318" s="5"/>
      <c r="HB318" s="5"/>
      <c r="HC318" s="5"/>
      <c r="HD318" s="5"/>
      <c r="HE318" s="5"/>
      <c r="HF318" s="5"/>
      <c r="HG318" s="5"/>
      <c r="HH318" s="5"/>
      <c r="HI318" s="5"/>
      <c r="HJ318" s="5"/>
      <c r="HK318" s="5"/>
      <c r="HL318" s="5"/>
      <c r="HM318" s="5"/>
      <c r="HN318" s="5"/>
      <c r="HO318" s="5"/>
      <c r="HP318" s="5"/>
    </row>
    <row r="319" spans="3:224" ht="20.100000000000001" customHeight="1">
      <c r="C319" s="24">
        <v>14100201</v>
      </c>
      <c r="D319" s="24" t="s">
        <v>649</v>
      </c>
      <c r="E319" s="25">
        <v>11200001</v>
      </c>
      <c r="F319" s="25">
        <v>0</v>
      </c>
      <c r="G319" s="25">
        <v>1</v>
      </c>
      <c r="H319" s="25">
        <v>20</v>
      </c>
      <c r="I319" s="29">
        <v>0.2</v>
      </c>
      <c r="J319" s="30">
        <v>5</v>
      </c>
      <c r="K319" s="25">
        <v>0</v>
      </c>
      <c r="L319" s="25">
        <v>0</v>
      </c>
      <c r="M319" s="25">
        <f t="shared" ref="M319:M322" si="38">ROUND(N319/2,0)</f>
        <v>35</v>
      </c>
      <c r="N319" s="25">
        <v>70</v>
      </c>
      <c r="O319" s="25">
        <v>0</v>
      </c>
      <c r="P319" s="25">
        <v>0</v>
      </c>
      <c r="Q319" s="25">
        <f t="shared" si="36"/>
        <v>0</v>
      </c>
      <c r="R319" s="25">
        <v>0</v>
      </c>
      <c r="S319" s="25">
        <f t="shared" si="37"/>
        <v>0</v>
      </c>
      <c r="T319" s="25">
        <v>0</v>
      </c>
      <c r="U319" s="29">
        <v>0</v>
      </c>
      <c r="V319" s="25">
        <v>0</v>
      </c>
      <c r="W319" s="25">
        <v>0</v>
      </c>
      <c r="X319" s="25">
        <v>0</v>
      </c>
      <c r="Y319" s="29">
        <v>0</v>
      </c>
      <c r="Z319" s="29">
        <v>0</v>
      </c>
      <c r="AA319" s="29">
        <v>0</v>
      </c>
      <c r="AB319" s="29">
        <v>0</v>
      </c>
      <c r="AC319" s="29">
        <v>0</v>
      </c>
      <c r="AD319" s="29">
        <v>0</v>
      </c>
      <c r="AE319" s="29"/>
      <c r="GR319" s="5"/>
      <c r="GS319" s="5"/>
      <c r="GT319" s="5"/>
      <c r="GU319" s="5"/>
      <c r="GV319" s="5"/>
      <c r="GW319" s="5"/>
      <c r="GX319" s="5"/>
      <c r="GY319" s="5"/>
      <c r="GZ319" s="5"/>
      <c r="HA319" s="5"/>
      <c r="HB319" s="5"/>
      <c r="HC319" s="5"/>
      <c r="HD319" s="5"/>
      <c r="HE319" s="5"/>
      <c r="HF319" s="5"/>
      <c r="HG319" s="5"/>
      <c r="HH319" s="5"/>
      <c r="HI319" s="5"/>
      <c r="HJ319" s="5"/>
      <c r="HK319" s="5"/>
      <c r="HL319" s="5"/>
      <c r="HM319" s="5"/>
      <c r="HN319" s="5"/>
      <c r="HO319" s="5"/>
      <c r="HP319" s="5"/>
    </row>
    <row r="320" spans="3:224" ht="20.100000000000001" customHeight="1">
      <c r="C320" s="24">
        <v>14100202</v>
      </c>
      <c r="D320" s="24" t="s">
        <v>650</v>
      </c>
      <c r="E320" s="25">
        <v>11200001</v>
      </c>
      <c r="F320" s="25">
        <v>0</v>
      </c>
      <c r="G320" s="25">
        <v>1</v>
      </c>
      <c r="H320" s="25">
        <v>20</v>
      </c>
      <c r="I320" s="29">
        <v>0.2</v>
      </c>
      <c r="J320" s="30">
        <v>5</v>
      </c>
      <c r="K320" s="25">
        <v>0</v>
      </c>
      <c r="L320" s="25">
        <v>0</v>
      </c>
      <c r="M320" s="25">
        <f t="shared" si="38"/>
        <v>65</v>
      </c>
      <c r="N320" s="25">
        <v>130</v>
      </c>
      <c r="O320" s="25">
        <v>0</v>
      </c>
      <c r="P320" s="25">
        <v>0</v>
      </c>
      <c r="Q320" s="25">
        <f t="shared" si="36"/>
        <v>0</v>
      </c>
      <c r="R320" s="25">
        <v>0</v>
      </c>
      <c r="S320" s="25">
        <f t="shared" si="37"/>
        <v>0</v>
      </c>
      <c r="T320" s="25">
        <v>0</v>
      </c>
      <c r="U320" s="29">
        <v>0</v>
      </c>
      <c r="V320" s="25">
        <v>0</v>
      </c>
      <c r="W320" s="25">
        <v>0</v>
      </c>
      <c r="X320" s="25">
        <v>0</v>
      </c>
      <c r="Y320" s="29">
        <v>0</v>
      </c>
      <c r="Z320" s="29">
        <v>0</v>
      </c>
      <c r="AA320" s="29">
        <v>0</v>
      </c>
      <c r="AB320" s="29">
        <v>0</v>
      </c>
      <c r="AC320" s="29">
        <v>0</v>
      </c>
      <c r="AD320" s="29">
        <v>0</v>
      </c>
      <c r="AE320" s="29"/>
      <c r="GR320" s="5"/>
      <c r="GS320" s="5"/>
      <c r="GT320" s="5"/>
      <c r="GU320" s="5"/>
      <c r="GV320" s="5"/>
      <c r="GW320" s="5"/>
      <c r="GX320" s="5"/>
      <c r="GY320" s="5"/>
      <c r="GZ320" s="5"/>
      <c r="HA320" s="5"/>
      <c r="HB320" s="5"/>
      <c r="HC320" s="5"/>
      <c r="HD320" s="5"/>
      <c r="HE320" s="5"/>
      <c r="HF320" s="5"/>
      <c r="HG320" s="5"/>
      <c r="HH320" s="5"/>
      <c r="HI320" s="5"/>
      <c r="HJ320" s="5"/>
      <c r="HK320" s="5"/>
      <c r="HL320" s="5"/>
      <c r="HM320" s="5"/>
      <c r="HN320" s="5"/>
      <c r="HO320" s="5"/>
      <c r="HP320" s="5"/>
    </row>
    <row r="321" spans="3:224" ht="20.100000000000001" customHeight="1">
      <c r="C321" s="24">
        <v>14100203</v>
      </c>
      <c r="D321" s="24" t="s">
        <v>651</v>
      </c>
      <c r="E321" s="25">
        <v>11200001</v>
      </c>
      <c r="F321" s="25">
        <v>0</v>
      </c>
      <c r="G321" s="25">
        <v>1</v>
      </c>
      <c r="H321" s="25">
        <v>20</v>
      </c>
      <c r="I321" s="29">
        <v>0.2</v>
      </c>
      <c r="J321" s="30">
        <v>5</v>
      </c>
      <c r="K321" s="25">
        <v>0</v>
      </c>
      <c r="L321" s="25">
        <v>0</v>
      </c>
      <c r="M321" s="25">
        <f t="shared" si="38"/>
        <v>88</v>
      </c>
      <c r="N321" s="25">
        <v>175</v>
      </c>
      <c r="O321" s="25">
        <v>0</v>
      </c>
      <c r="P321" s="25">
        <v>0</v>
      </c>
      <c r="Q321" s="25">
        <f t="shared" si="36"/>
        <v>0</v>
      </c>
      <c r="R321" s="25">
        <v>0</v>
      </c>
      <c r="S321" s="25">
        <f t="shared" si="37"/>
        <v>0</v>
      </c>
      <c r="T321" s="25">
        <v>0</v>
      </c>
      <c r="U321" s="29">
        <v>0</v>
      </c>
      <c r="V321" s="25">
        <v>0</v>
      </c>
      <c r="W321" s="25">
        <v>0</v>
      </c>
      <c r="X321" s="25">
        <v>0</v>
      </c>
      <c r="Y321" s="29">
        <v>0</v>
      </c>
      <c r="Z321" s="29">
        <v>0</v>
      </c>
      <c r="AA321" s="29">
        <v>0</v>
      </c>
      <c r="AB321" s="29">
        <v>0</v>
      </c>
      <c r="AC321" s="29">
        <v>0</v>
      </c>
      <c r="AD321" s="29">
        <v>0</v>
      </c>
      <c r="AE321" s="29"/>
      <c r="GR321" s="5"/>
      <c r="GS321" s="5"/>
      <c r="GT321" s="5"/>
      <c r="GU321" s="5"/>
      <c r="GV321" s="5"/>
      <c r="GW321" s="5"/>
      <c r="GX321" s="5"/>
      <c r="GY321" s="5"/>
      <c r="GZ321" s="5"/>
      <c r="HA321" s="5"/>
      <c r="HB321" s="5"/>
      <c r="HC321" s="5"/>
      <c r="HD321" s="5"/>
      <c r="HE321" s="5"/>
      <c r="HF321" s="5"/>
      <c r="HG321" s="5"/>
      <c r="HH321" s="5"/>
      <c r="HI321" s="5"/>
      <c r="HJ321" s="5"/>
      <c r="HK321" s="5"/>
      <c r="HL321" s="5"/>
      <c r="HM321" s="5"/>
      <c r="HN321" s="5"/>
      <c r="HO321" s="5"/>
      <c r="HP321" s="5"/>
    </row>
    <row r="322" spans="3:224" ht="20.100000000000001" customHeight="1">
      <c r="C322" s="24">
        <v>14100204</v>
      </c>
      <c r="D322" s="24" t="s">
        <v>652</v>
      </c>
      <c r="E322" s="25">
        <v>11200001</v>
      </c>
      <c r="F322" s="25">
        <v>0</v>
      </c>
      <c r="G322" s="25">
        <v>1</v>
      </c>
      <c r="H322" s="25">
        <v>20</v>
      </c>
      <c r="I322" s="29">
        <v>0.2</v>
      </c>
      <c r="J322" s="30">
        <v>10</v>
      </c>
      <c r="K322" s="25">
        <v>0</v>
      </c>
      <c r="L322" s="25">
        <v>0</v>
      </c>
      <c r="M322" s="25">
        <f t="shared" si="38"/>
        <v>105</v>
      </c>
      <c r="N322" s="25">
        <v>210</v>
      </c>
      <c r="O322" s="25">
        <v>0</v>
      </c>
      <c r="P322" s="25">
        <v>0</v>
      </c>
      <c r="Q322" s="25">
        <f t="shared" si="36"/>
        <v>0</v>
      </c>
      <c r="R322" s="25">
        <v>0</v>
      </c>
      <c r="S322" s="25">
        <f t="shared" si="37"/>
        <v>0</v>
      </c>
      <c r="T322" s="25">
        <v>0</v>
      </c>
      <c r="U322" s="29">
        <v>0</v>
      </c>
      <c r="V322" s="25">
        <v>0</v>
      </c>
      <c r="W322" s="25">
        <v>0</v>
      </c>
      <c r="X322" s="25">
        <v>0</v>
      </c>
      <c r="Y322" s="29">
        <v>0</v>
      </c>
      <c r="Z322" s="29">
        <v>0</v>
      </c>
      <c r="AA322" s="29">
        <v>0</v>
      </c>
      <c r="AB322" s="29">
        <v>0</v>
      </c>
      <c r="AC322" s="29">
        <v>0</v>
      </c>
      <c r="AD322" s="29">
        <v>0</v>
      </c>
      <c r="AE322" s="29"/>
      <c r="GR322" s="5"/>
      <c r="GS322" s="5"/>
      <c r="GT322" s="5"/>
      <c r="GU322" s="5"/>
      <c r="GV322" s="5"/>
      <c r="GW322" s="5"/>
      <c r="GX322" s="5"/>
      <c r="GY322" s="5"/>
      <c r="GZ322" s="5"/>
      <c r="HA322" s="5"/>
      <c r="HB322" s="5"/>
      <c r="HC322" s="5"/>
      <c r="HD322" s="5"/>
      <c r="HE322" s="5"/>
      <c r="HF322" s="5"/>
      <c r="HG322" s="5"/>
      <c r="HH322" s="5"/>
      <c r="HI322" s="5"/>
      <c r="HJ322" s="5"/>
      <c r="HK322" s="5"/>
      <c r="HL322" s="5"/>
      <c r="HM322" s="5"/>
      <c r="HN322" s="5"/>
      <c r="HO322" s="5"/>
      <c r="HP322" s="5"/>
    </row>
    <row r="323" spans="3:224" ht="20.100000000000001" customHeight="1">
      <c r="C323" s="24">
        <v>14100211</v>
      </c>
      <c r="D323" s="36" t="s">
        <v>653</v>
      </c>
      <c r="E323" s="25">
        <v>11200001</v>
      </c>
      <c r="F323" s="25">
        <v>11051</v>
      </c>
      <c r="G323" s="25">
        <v>1</v>
      </c>
      <c r="H323" s="25">
        <v>20</v>
      </c>
      <c r="I323" s="29">
        <v>0.2</v>
      </c>
      <c r="J323" s="30">
        <v>10</v>
      </c>
      <c r="K323" s="25">
        <v>0</v>
      </c>
      <c r="L323" s="25">
        <v>0</v>
      </c>
      <c r="M323" s="25">
        <v>150</v>
      </c>
      <c r="N323" s="25">
        <v>350</v>
      </c>
      <c r="O323" s="25">
        <v>0</v>
      </c>
      <c r="P323" s="25">
        <v>0</v>
      </c>
      <c r="Q323" s="25">
        <f t="shared" ref="Q323" si="39">ROUND(R323/2,0)</f>
        <v>0</v>
      </c>
      <c r="R323" s="25">
        <v>0</v>
      </c>
      <c r="S323" s="25">
        <f t="shared" ref="S323" si="40">ROUND(T323/2,0)</f>
        <v>0</v>
      </c>
      <c r="T323" s="25">
        <v>0</v>
      </c>
      <c r="U323" s="29">
        <v>0</v>
      </c>
      <c r="V323" s="25">
        <v>0</v>
      </c>
      <c r="W323" s="25">
        <v>0</v>
      </c>
      <c r="X323" s="25">
        <v>0</v>
      </c>
      <c r="Y323" s="29">
        <v>0</v>
      </c>
      <c r="Z323" s="29">
        <v>0</v>
      </c>
      <c r="AA323" s="29">
        <v>0</v>
      </c>
      <c r="AB323" s="29">
        <v>202103</v>
      </c>
      <c r="AC323" s="29">
        <v>500</v>
      </c>
      <c r="AD323" s="29">
        <v>1</v>
      </c>
      <c r="AE323" s="29"/>
      <c r="GR323" s="5"/>
      <c r="GS323" s="5"/>
      <c r="GT323" s="5"/>
      <c r="GU323" s="5"/>
      <c r="GV323" s="5"/>
      <c r="GW323" s="5"/>
      <c r="GX323" s="5"/>
      <c r="GY323" s="5"/>
      <c r="GZ323" s="5"/>
      <c r="HA323" s="5"/>
      <c r="HB323" s="5"/>
      <c r="HC323" s="5"/>
      <c r="HD323" s="5"/>
      <c r="HE323" s="5"/>
      <c r="HF323" s="5"/>
      <c r="HG323" s="5"/>
      <c r="HH323" s="5"/>
      <c r="HI323" s="5"/>
      <c r="HJ323" s="5"/>
      <c r="HK323" s="5"/>
      <c r="HL323" s="5"/>
      <c r="HM323" s="5"/>
      <c r="HN323" s="5"/>
      <c r="HO323" s="5"/>
      <c r="HP323" s="5"/>
    </row>
    <row r="324" spans="3:224" s="4" customFormat="1" ht="20.100000000000001" customHeight="1">
      <c r="C324" s="34">
        <v>14110001</v>
      </c>
      <c r="D324" s="34" t="s">
        <v>346</v>
      </c>
      <c r="E324" s="35">
        <v>11200003</v>
      </c>
      <c r="F324" s="35">
        <v>0</v>
      </c>
      <c r="G324" s="35">
        <v>1</v>
      </c>
      <c r="H324" s="35">
        <v>20</v>
      </c>
      <c r="I324" s="37">
        <v>0.2</v>
      </c>
      <c r="J324" s="38">
        <v>5</v>
      </c>
      <c r="K324" s="25">
        <v>0</v>
      </c>
      <c r="L324" s="35">
        <v>620</v>
      </c>
      <c r="M324" s="35">
        <f t="shared" si="27"/>
        <v>0</v>
      </c>
      <c r="N324" s="35">
        <v>0</v>
      </c>
      <c r="O324" s="35">
        <v>0</v>
      </c>
      <c r="P324" s="35">
        <v>0</v>
      </c>
      <c r="Q324" s="35">
        <f t="shared" si="28"/>
        <v>6</v>
      </c>
      <c r="R324" s="35">
        <v>12</v>
      </c>
      <c r="S324" s="35">
        <f t="shared" si="29"/>
        <v>6</v>
      </c>
      <c r="T324" s="35">
        <v>12</v>
      </c>
      <c r="U324" s="37">
        <v>0</v>
      </c>
      <c r="V324" s="35">
        <v>0</v>
      </c>
      <c r="W324" s="35">
        <v>0</v>
      </c>
      <c r="X324" s="35">
        <v>0</v>
      </c>
      <c r="Y324" s="37">
        <v>0</v>
      </c>
      <c r="Z324" s="37">
        <v>0</v>
      </c>
      <c r="AA324" s="37">
        <v>0</v>
      </c>
      <c r="AB324" s="37">
        <v>0</v>
      </c>
      <c r="AC324" s="37">
        <v>0</v>
      </c>
      <c r="AD324" s="37">
        <v>0</v>
      </c>
      <c r="AE324" s="37"/>
      <c r="AF324" s="39"/>
      <c r="AG324" s="39"/>
      <c r="AH324" s="39"/>
      <c r="AI324" s="39"/>
      <c r="AJ324" s="39"/>
      <c r="AK324" s="39"/>
      <c r="AL324" s="39"/>
      <c r="AM324" s="39"/>
      <c r="AN324" s="39"/>
      <c r="AO324" s="39"/>
      <c r="AP324" s="39"/>
      <c r="AQ324" s="39"/>
      <c r="AR324" s="39"/>
      <c r="AS324" s="39"/>
      <c r="AT324" s="39"/>
      <c r="AU324" s="39"/>
      <c r="AV324" s="39"/>
      <c r="AW324" s="39"/>
      <c r="AX324" s="39"/>
      <c r="AY324" s="39"/>
      <c r="AZ324" s="39"/>
      <c r="BA324" s="39"/>
      <c r="BB324" s="39"/>
      <c r="BC324" s="39"/>
      <c r="BD324" s="39"/>
      <c r="BE324" s="39"/>
      <c r="BF324" s="39"/>
      <c r="BG324" s="39"/>
      <c r="BH324" s="39"/>
      <c r="BI324" s="39"/>
      <c r="BJ324" s="39"/>
      <c r="BK324" s="39"/>
      <c r="BL324" s="39"/>
      <c r="BM324" s="39"/>
      <c r="BN324" s="39"/>
      <c r="BO324" s="39"/>
      <c r="BP324" s="39"/>
      <c r="BQ324" s="39"/>
      <c r="BR324" s="39"/>
      <c r="BS324" s="39"/>
      <c r="BT324" s="39"/>
      <c r="BU324" s="39"/>
      <c r="BV324" s="39"/>
      <c r="BW324" s="39"/>
      <c r="BX324" s="39"/>
      <c r="BY324" s="39"/>
      <c r="BZ324" s="39"/>
      <c r="CA324" s="39"/>
      <c r="CB324" s="39"/>
      <c r="CC324" s="39"/>
      <c r="CD324" s="39"/>
      <c r="CE324" s="39"/>
      <c r="CF324" s="39"/>
      <c r="CG324" s="39"/>
      <c r="CH324" s="39"/>
      <c r="CI324" s="39"/>
      <c r="CJ324" s="39"/>
      <c r="CK324" s="39"/>
      <c r="CL324" s="39"/>
      <c r="CM324" s="39"/>
      <c r="CN324" s="39"/>
      <c r="CO324" s="39"/>
      <c r="CP324" s="39"/>
      <c r="CQ324" s="39"/>
      <c r="CR324" s="39"/>
      <c r="CS324" s="39"/>
      <c r="CT324" s="39"/>
      <c r="CU324" s="39"/>
      <c r="CV324" s="39"/>
      <c r="CW324" s="39"/>
      <c r="CX324" s="39"/>
      <c r="CY324" s="39"/>
      <c r="CZ324" s="39"/>
      <c r="DA324" s="39"/>
      <c r="DB324" s="39"/>
      <c r="DC324" s="39"/>
      <c r="DD324" s="39"/>
      <c r="DE324" s="39"/>
      <c r="DF324" s="39"/>
      <c r="DG324" s="39"/>
      <c r="DH324" s="39"/>
      <c r="DI324" s="39"/>
      <c r="DJ324" s="39"/>
      <c r="DK324" s="39"/>
      <c r="DL324" s="39"/>
      <c r="DM324" s="39"/>
      <c r="DN324" s="39"/>
      <c r="DO324" s="39"/>
      <c r="DP324" s="39"/>
      <c r="DQ324" s="39"/>
      <c r="DR324" s="39"/>
      <c r="DS324" s="39"/>
      <c r="DT324" s="39"/>
      <c r="DU324" s="39"/>
      <c r="DV324" s="39"/>
      <c r="DW324" s="39"/>
      <c r="DX324" s="39"/>
      <c r="DY324" s="39"/>
      <c r="DZ324" s="39"/>
      <c r="EA324" s="39"/>
      <c r="EB324" s="39"/>
      <c r="EC324" s="39"/>
      <c r="ED324" s="39"/>
      <c r="EE324" s="39"/>
      <c r="EF324" s="39"/>
      <c r="EG324" s="39"/>
      <c r="EH324" s="39"/>
      <c r="EI324" s="39"/>
      <c r="EJ324" s="39"/>
      <c r="EK324" s="39"/>
      <c r="EL324" s="39"/>
      <c r="EM324" s="39"/>
      <c r="EN324" s="39"/>
      <c r="EO324" s="39"/>
      <c r="EP324" s="39"/>
      <c r="EQ324" s="39"/>
      <c r="ER324" s="39"/>
      <c r="ES324" s="39"/>
      <c r="ET324" s="39"/>
      <c r="EU324" s="39"/>
      <c r="EV324" s="39"/>
      <c r="EW324" s="39"/>
      <c r="EX324" s="39"/>
      <c r="EY324" s="39"/>
      <c r="EZ324" s="39"/>
      <c r="FA324" s="39"/>
      <c r="FB324" s="39"/>
      <c r="FC324" s="39"/>
      <c r="FD324" s="39"/>
      <c r="FE324" s="39"/>
      <c r="FF324" s="39"/>
      <c r="FG324" s="39"/>
      <c r="FH324" s="39"/>
      <c r="FI324" s="39"/>
      <c r="FJ324" s="39"/>
      <c r="FK324" s="39"/>
      <c r="FL324" s="39"/>
      <c r="FM324" s="39"/>
      <c r="FN324" s="39"/>
      <c r="FO324" s="39"/>
      <c r="FP324" s="39"/>
      <c r="FQ324" s="39"/>
      <c r="FR324" s="39"/>
      <c r="FS324" s="39"/>
      <c r="FT324" s="39"/>
      <c r="FU324" s="39"/>
      <c r="FV324" s="39"/>
      <c r="FW324" s="39"/>
      <c r="FX324" s="39"/>
      <c r="FY324" s="39"/>
      <c r="FZ324" s="39"/>
      <c r="GA324" s="39"/>
      <c r="GB324" s="39"/>
      <c r="GC324" s="39"/>
      <c r="GD324" s="39"/>
      <c r="GE324" s="39"/>
      <c r="GF324" s="39"/>
      <c r="GG324" s="39"/>
      <c r="GH324" s="39"/>
      <c r="GI324" s="39"/>
      <c r="GJ324" s="39"/>
      <c r="GK324" s="39"/>
      <c r="GL324" s="39"/>
      <c r="GM324" s="39"/>
      <c r="GN324" s="39"/>
      <c r="GO324" s="39"/>
      <c r="GP324" s="39"/>
      <c r="GQ324" s="39"/>
      <c r="GR324" s="39"/>
      <c r="GS324" s="39"/>
      <c r="GT324" s="39"/>
      <c r="GU324" s="39"/>
      <c r="GV324" s="39"/>
      <c r="GW324" s="39"/>
      <c r="GX324" s="39"/>
      <c r="GY324" s="39"/>
      <c r="GZ324" s="39"/>
      <c r="HA324" s="39"/>
      <c r="HB324" s="39"/>
      <c r="HC324" s="39"/>
      <c r="HD324" s="39"/>
      <c r="HE324" s="39"/>
      <c r="HF324" s="39"/>
      <c r="HG324" s="39"/>
      <c r="HH324" s="39"/>
      <c r="HI324" s="39"/>
      <c r="HJ324" s="39"/>
      <c r="HK324" s="39"/>
      <c r="HL324" s="39"/>
      <c r="HM324" s="39"/>
      <c r="HN324" s="39"/>
      <c r="HO324" s="39"/>
      <c r="HP324" s="39"/>
    </row>
    <row r="325" spans="3:224" s="4" customFormat="1" ht="20.100000000000001" customHeight="1">
      <c r="C325" s="34">
        <v>14110002</v>
      </c>
      <c r="D325" s="34" t="s">
        <v>347</v>
      </c>
      <c r="E325" s="35">
        <v>11200003</v>
      </c>
      <c r="F325" s="35">
        <v>0</v>
      </c>
      <c r="G325" s="35">
        <v>1</v>
      </c>
      <c r="H325" s="35">
        <v>20</v>
      </c>
      <c r="I325" s="37">
        <v>0.2</v>
      </c>
      <c r="J325" s="38">
        <v>5</v>
      </c>
      <c r="K325" s="25">
        <v>0</v>
      </c>
      <c r="L325" s="35">
        <v>1100</v>
      </c>
      <c r="M325" s="35">
        <f t="shared" si="27"/>
        <v>0</v>
      </c>
      <c r="N325" s="35">
        <v>0</v>
      </c>
      <c r="O325" s="35">
        <v>0</v>
      </c>
      <c r="P325" s="35">
        <v>0</v>
      </c>
      <c r="Q325" s="35">
        <f t="shared" si="28"/>
        <v>12</v>
      </c>
      <c r="R325" s="35">
        <v>24</v>
      </c>
      <c r="S325" s="35">
        <f t="shared" si="29"/>
        <v>12</v>
      </c>
      <c r="T325" s="35">
        <v>24</v>
      </c>
      <c r="U325" s="37">
        <v>0</v>
      </c>
      <c r="V325" s="35">
        <v>0</v>
      </c>
      <c r="W325" s="35">
        <v>0</v>
      </c>
      <c r="X325" s="35">
        <v>0</v>
      </c>
      <c r="Y325" s="37">
        <v>0</v>
      </c>
      <c r="Z325" s="37">
        <v>0</v>
      </c>
      <c r="AA325" s="37">
        <v>0</v>
      </c>
      <c r="AB325" s="37">
        <v>0</v>
      </c>
      <c r="AC325" s="37">
        <v>0</v>
      </c>
      <c r="AD325" s="37">
        <v>0</v>
      </c>
      <c r="AE325" s="37"/>
      <c r="AF325" s="39"/>
      <c r="AG325" s="39"/>
      <c r="AH325" s="39"/>
      <c r="AI325" s="39"/>
      <c r="AJ325" s="39"/>
      <c r="AK325" s="39"/>
      <c r="AL325" s="39"/>
      <c r="AM325" s="39"/>
      <c r="AN325" s="39"/>
      <c r="AO325" s="39"/>
      <c r="AP325" s="39"/>
      <c r="AQ325" s="39"/>
      <c r="AR325" s="39"/>
      <c r="AS325" s="39"/>
      <c r="AT325" s="39"/>
      <c r="AU325" s="39"/>
      <c r="AV325" s="39"/>
      <c r="AW325" s="39"/>
      <c r="AX325" s="39"/>
      <c r="AY325" s="39"/>
      <c r="AZ325" s="39"/>
      <c r="BA325" s="39"/>
      <c r="BB325" s="39"/>
      <c r="BC325" s="39"/>
      <c r="BD325" s="39"/>
      <c r="BE325" s="39"/>
      <c r="BF325" s="39"/>
      <c r="BG325" s="39"/>
      <c r="BH325" s="39"/>
      <c r="BI325" s="39"/>
      <c r="BJ325" s="39"/>
      <c r="BK325" s="39"/>
      <c r="BL325" s="39"/>
      <c r="BM325" s="39"/>
      <c r="BN325" s="39"/>
      <c r="BO325" s="39"/>
      <c r="BP325" s="39"/>
      <c r="BQ325" s="39"/>
      <c r="BR325" s="39"/>
      <c r="BS325" s="39"/>
      <c r="BT325" s="39"/>
      <c r="BU325" s="39"/>
      <c r="BV325" s="39"/>
      <c r="BW325" s="39"/>
      <c r="BX325" s="39"/>
      <c r="BY325" s="39"/>
      <c r="BZ325" s="39"/>
      <c r="CA325" s="39"/>
      <c r="CB325" s="39"/>
      <c r="CC325" s="39"/>
      <c r="CD325" s="39"/>
      <c r="CE325" s="39"/>
      <c r="CF325" s="39"/>
      <c r="CG325" s="39"/>
      <c r="CH325" s="39"/>
      <c r="CI325" s="39"/>
      <c r="CJ325" s="39"/>
      <c r="CK325" s="39"/>
      <c r="CL325" s="39"/>
      <c r="CM325" s="39"/>
      <c r="CN325" s="39"/>
      <c r="CO325" s="39"/>
      <c r="CP325" s="39"/>
      <c r="CQ325" s="39"/>
      <c r="CR325" s="39"/>
      <c r="CS325" s="39"/>
      <c r="CT325" s="39"/>
      <c r="CU325" s="39"/>
      <c r="CV325" s="39"/>
      <c r="CW325" s="39"/>
      <c r="CX325" s="39"/>
      <c r="CY325" s="39"/>
      <c r="CZ325" s="39"/>
      <c r="DA325" s="39"/>
      <c r="DB325" s="39"/>
      <c r="DC325" s="39"/>
      <c r="DD325" s="39"/>
      <c r="DE325" s="39"/>
      <c r="DF325" s="39"/>
      <c r="DG325" s="39"/>
      <c r="DH325" s="39"/>
      <c r="DI325" s="39"/>
      <c r="DJ325" s="39"/>
      <c r="DK325" s="39"/>
      <c r="DL325" s="39"/>
      <c r="DM325" s="39"/>
      <c r="DN325" s="39"/>
      <c r="DO325" s="39"/>
      <c r="DP325" s="39"/>
      <c r="DQ325" s="39"/>
      <c r="DR325" s="39"/>
      <c r="DS325" s="39"/>
      <c r="DT325" s="39"/>
      <c r="DU325" s="39"/>
      <c r="DV325" s="39"/>
      <c r="DW325" s="39"/>
      <c r="DX325" s="39"/>
      <c r="DY325" s="39"/>
      <c r="DZ325" s="39"/>
      <c r="EA325" s="39"/>
      <c r="EB325" s="39"/>
      <c r="EC325" s="39"/>
      <c r="ED325" s="39"/>
      <c r="EE325" s="39"/>
      <c r="EF325" s="39"/>
      <c r="EG325" s="39"/>
      <c r="EH325" s="39"/>
      <c r="EI325" s="39"/>
      <c r="EJ325" s="39"/>
      <c r="EK325" s="39"/>
      <c r="EL325" s="39"/>
      <c r="EM325" s="39"/>
      <c r="EN325" s="39"/>
      <c r="EO325" s="39"/>
      <c r="EP325" s="39"/>
      <c r="EQ325" s="39"/>
      <c r="ER325" s="39"/>
      <c r="ES325" s="39"/>
      <c r="ET325" s="39"/>
      <c r="EU325" s="39"/>
      <c r="EV325" s="39"/>
      <c r="EW325" s="39"/>
      <c r="EX325" s="39"/>
      <c r="EY325" s="39"/>
      <c r="EZ325" s="39"/>
      <c r="FA325" s="39"/>
      <c r="FB325" s="39"/>
      <c r="FC325" s="39"/>
      <c r="FD325" s="39"/>
      <c r="FE325" s="39"/>
      <c r="FF325" s="39"/>
      <c r="FG325" s="39"/>
      <c r="FH325" s="39"/>
      <c r="FI325" s="39"/>
      <c r="FJ325" s="39"/>
      <c r="FK325" s="39"/>
      <c r="FL325" s="39"/>
      <c r="FM325" s="39"/>
      <c r="FN325" s="39"/>
      <c r="FO325" s="39"/>
      <c r="FP325" s="39"/>
      <c r="FQ325" s="39"/>
      <c r="FR325" s="39"/>
      <c r="FS325" s="39"/>
      <c r="FT325" s="39"/>
      <c r="FU325" s="39"/>
      <c r="FV325" s="39"/>
      <c r="FW325" s="39"/>
      <c r="FX325" s="39"/>
      <c r="FY325" s="39"/>
      <c r="FZ325" s="39"/>
      <c r="GA325" s="39"/>
      <c r="GB325" s="39"/>
      <c r="GC325" s="39"/>
      <c r="GD325" s="39"/>
      <c r="GE325" s="39"/>
      <c r="GF325" s="39"/>
      <c r="GG325" s="39"/>
      <c r="GH325" s="39"/>
      <c r="GI325" s="39"/>
      <c r="GJ325" s="39"/>
      <c r="GK325" s="39"/>
      <c r="GL325" s="39"/>
      <c r="GM325" s="39"/>
      <c r="GN325" s="39"/>
      <c r="GO325" s="39"/>
      <c r="GP325" s="39"/>
      <c r="GQ325" s="39"/>
      <c r="GR325" s="39"/>
      <c r="GS325" s="39"/>
      <c r="GT325" s="39"/>
      <c r="GU325" s="39"/>
      <c r="GV325" s="39"/>
      <c r="GW325" s="39"/>
      <c r="GX325" s="39"/>
      <c r="GY325" s="39"/>
      <c r="GZ325" s="39"/>
      <c r="HA325" s="39"/>
      <c r="HB325" s="39"/>
      <c r="HC325" s="39"/>
      <c r="HD325" s="39"/>
      <c r="HE325" s="39"/>
      <c r="HF325" s="39"/>
      <c r="HG325" s="39"/>
      <c r="HH325" s="39"/>
      <c r="HI325" s="39"/>
      <c r="HJ325" s="39"/>
      <c r="HK325" s="39"/>
      <c r="HL325" s="39"/>
      <c r="HM325" s="39"/>
      <c r="HN325" s="39"/>
      <c r="HO325" s="39"/>
      <c r="HP325" s="39"/>
    </row>
    <row r="326" spans="3:224" s="4" customFormat="1" ht="20.100000000000001" customHeight="1">
      <c r="C326" s="34">
        <v>14110003</v>
      </c>
      <c r="D326" s="34" t="s">
        <v>348</v>
      </c>
      <c r="E326" s="35">
        <v>11200003</v>
      </c>
      <c r="F326" s="35">
        <v>11012</v>
      </c>
      <c r="G326" s="35">
        <v>1</v>
      </c>
      <c r="H326" s="35">
        <v>20</v>
      </c>
      <c r="I326" s="37">
        <v>0.2</v>
      </c>
      <c r="J326" s="38">
        <v>5</v>
      </c>
      <c r="K326" s="25">
        <v>0</v>
      </c>
      <c r="L326" s="35">
        <v>1300</v>
      </c>
      <c r="M326" s="35">
        <f t="shared" si="27"/>
        <v>0</v>
      </c>
      <c r="N326" s="35">
        <v>0</v>
      </c>
      <c r="O326" s="35">
        <v>0</v>
      </c>
      <c r="P326" s="35">
        <v>0</v>
      </c>
      <c r="Q326" s="35">
        <f t="shared" si="28"/>
        <v>14</v>
      </c>
      <c r="R326" s="35">
        <v>28</v>
      </c>
      <c r="S326" s="35">
        <f t="shared" si="29"/>
        <v>14</v>
      </c>
      <c r="T326" s="35">
        <v>28</v>
      </c>
      <c r="U326" s="37">
        <v>0</v>
      </c>
      <c r="V326" s="35">
        <v>0</v>
      </c>
      <c r="W326" s="35">
        <v>0</v>
      </c>
      <c r="X326" s="35">
        <v>0</v>
      </c>
      <c r="Y326" s="37">
        <v>0</v>
      </c>
      <c r="Z326" s="37">
        <v>0</v>
      </c>
      <c r="AA326" s="37">
        <v>0</v>
      </c>
      <c r="AB326" s="37">
        <v>0</v>
      </c>
      <c r="AC326" s="37">
        <v>0</v>
      </c>
      <c r="AD326" s="37">
        <v>0</v>
      </c>
      <c r="AE326" s="37"/>
      <c r="AF326" s="39"/>
      <c r="AG326" s="39"/>
      <c r="AH326" s="39"/>
      <c r="AI326" s="39"/>
      <c r="AJ326" s="39"/>
      <c r="AK326" s="39"/>
      <c r="AL326" s="39"/>
      <c r="AM326" s="39"/>
      <c r="AN326" s="39"/>
      <c r="AO326" s="39"/>
      <c r="AP326" s="39"/>
      <c r="AQ326" s="39"/>
      <c r="AR326" s="39"/>
      <c r="AS326" s="39"/>
      <c r="AT326" s="39"/>
      <c r="AU326" s="39"/>
      <c r="AV326" s="39"/>
      <c r="AW326" s="39"/>
      <c r="AX326" s="39"/>
      <c r="AY326" s="39"/>
      <c r="AZ326" s="39"/>
      <c r="BA326" s="39"/>
      <c r="BB326" s="39"/>
      <c r="BC326" s="39"/>
      <c r="BD326" s="39"/>
      <c r="BE326" s="39"/>
      <c r="BF326" s="39"/>
      <c r="BG326" s="39"/>
      <c r="BH326" s="39"/>
      <c r="BI326" s="39"/>
      <c r="BJ326" s="39"/>
      <c r="BK326" s="39"/>
      <c r="BL326" s="39"/>
      <c r="BM326" s="39"/>
      <c r="BN326" s="39"/>
      <c r="BO326" s="39"/>
      <c r="BP326" s="39"/>
      <c r="BQ326" s="39"/>
      <c r="BR326" s="39"/>
      <c r="BS326" s="39"/>
      <c r="BT326" s="39"/>
      <c r="BU326" s="39"/>
      <c r="BV326" s="39"/>
      <c r="BW326" s="39"/>
      <c r="BX326" s="39"/>
      <c r="BY326" s="39"/>
      <c r="BZ326" s="39"/>
      <c r="CA326" s="39"/>
      <c r="CB326" s="39"/>
      <c r="CC326" s="39"/>
      <c r="CD326" s="39"/>
      <c r="CE326" s="39"/>
      <c r="CF326" s="39"/>
      <c r="CG326" s="39"/>
      <c r="CH326" s="39"/>
      <c r="CI326" s="39"/>
      <c r="CJ326" s="39"/>
      <c r="CK326" s="39"/>
      <c r="CL326" s="39"/>
      <c r="CM326" s="39"/>
      <c r="CN326" s="39"/>
      <c r="CO326" s="39"/>
      <c r="CP326" s="39"/>
      <c r="CQ326" s="39"/>
      <c r="CR326" s="39"/>
      <c r="CS326" s="39"/>
      <c r="CT326" s="39"/>
      <c r="CU326" s="39"/>
      <c r="CV326" s="39"/>
      <c r="CW326" s="39"/>
      <c r="CX326" s="39"/>
      <c r="CY326" s="39"/>
      <c r="CZ326" s="39"/>
      <c r="DA326" s="39"/>
      <c r="DB326" s="39"/>
      <c r="DC326" s="39"/>
      <c r="DD326" s="39"/>
      <c r="DE326" s="39"/>
      <c r="DF326" s="39"/>
      <c r="DG326" s="39"/>
      <c r="DH326" s="39"/>
      <c r="DI326" s="39"/>
      <c r="DJ326" s="39"/>
      <c r="DK326" s="39"/>
      <c r="DL326" s="39"/>
      <c r="DM326" s="39"/>
      <c r="DN326" s="39"/>
      <c r="DO326" s="39"/>
      <c r="DP326" s="39"/>
      <c r="DQ326" s="39"/>
      <c r="DR326" s="39"/>
      <c r="DS326" s="39"/>
      <c r="DT326" s="39"/>
      <c r="DU326" s="39"/>
      <c r="DV326" s="39"/>
      <c r="DW326" s="39"/>
      <c r="DX326" s="39"/>
      <c r="DY326" s="39"/>
      <c r="DZ326" s="39"/>
      <c r="EA326" s="39"/>
      <c r="EB326" s="39"/>
      <c r="EC326" s="39"/>
      <c r="ED326" s="39"/>
      <c r="EE326" s="39"/>
      <c r="EF326" s="39"/>
      <c r="EG326" s="39"/>
      <c r="EH326" s="39"/>
      <c r="EI326" s="39"/>
      <c r="EJ326" s="39"/>
      <c r="EK326" s="39"/>
      <c r="EL326" s="39"/>
      <c r="EM326" s="39"/>
      <c r="EN326" s="39"/>
      <c r="EO326" s="39"/>
      <c r="EP326" s="39"/>
      <c r="EQ326" s="39"/>
      <c r="ER326" s="39"/>
      <c r="ES326" s="39"/>
      <c r="ET326" s="39"/>
      <c r="EU326" s="39"/>
      <c r="EV326" s="39"/>
      <c r="EW326" s="39"/>
      <c r="EX326" s="39"/>
      <c r="EY326" s="39"/>
      <c r="EZ326" s="39"/>
      <c r="FA326" s="39"/>
      <c r="FB326" s="39"/>
      <c r="FC326" s="39"/>
      <c r="FD326" s="39"/>
      <c r="FE326" s="39"/>
      <c r="FF326" s="39"/>
      <c r="FG326" s="39"/>
      <c r="FH326" s="39"/>
      <c r="FI326" s="39"/>
      <c r="FJ326" s="39"/>
      <c r="FK326" s="39"/>
      <c r="FL326" s="39"/>
      <c r="FM326" s="39"/>
      <c r="FN326" s="39"/>
      <c r="FO326" s="39"/>
      <c r="FP326" s="39"/>
      <c r="FQ326" s="39"/>
      <c r="FR326" s="39"/>
      <c r="FS326" s="39"/>
      <c r="FT326" s="39"/>
      <c r="FU326" s="39"/>
      <c r="FV326" s="39"/>
      <c r="FW326" s="39"/>
      <c r="FX326" s="39"/>
      <c r="FY326" s="39"/>
      <c r="FZ326" s="39"/>
      <c r="GA326" s="39"/>
      <c r="GB326" s="39"/>
      <c r="GC326" s="39"/>
      <c r="GD326" s="39"/>
      <c r="GE326" s="39"/>
      <c r="GF326" s="39"/>
      <c r="GG326" s="39"/>
      <c r="GH326" s="39"/>
      <c r="GI326" s="39"/>
      <c r="GJ326" s="39"/>
      <c r="GK326" s="39"/>
      <c r="GL326" s="39"/>
      <c r="GM326" s="39"/>
      <c r="GN326" s="39"/>
      <c r="GO326" s="39"/>
      <c r="GP326" s="39"/>
      <c r="GQ326" s="39"/>
      <c r="GR326" s="39"/>
      <c r="GS326" s="39"/>
      <c r="GT326" s="39"/>
      <c r="GU326" s="39"/>
      <c r="GV326" s="39"/>
      <c r="GW326" s="39"/>
      <c r="GX326" s="39"/>
      <c r="GY326" s="39"/>
      <c r="GZ326" s="39"/>
      <c r="HA326" s="39"/>
      <c r="HB326" s="39"/>
      <c r="HC326" s="39"/>
      <c r="HD326" s="39"/>
      <c r="HE326" s="39"/>
      <c r="HF326" s="39"/>
      <c r="HG326" s="39"/>
      <c r="HH326" s="39"/>
      <c r="HI326" s="39"/>
      <c r="HJ326" s="39"/>
      <c r="HK326" s="39"/>
      <c r="HL326" s="39"/>
      <c r="HM326" s="39"/>
      <c r="HN326" s="39"/>
      <c r="HO326" s="39"/>
      <c r="HP326" s="39"/>
    </row>
    <row r="327" spans="3:224" s="4" customFormat="1" ht="20.100000000000001" customHeight="1">
      <c r="C327" s="34">
        <v>14110004</v>
      </c>
      <c r="D327" s="34" t="s">
        <v>349</v>
      </c>
      <c r="E327" s="35">
        <v>11200003</v>
      </c>
      <c r="F327" s="35">
        <v>11041</v>
      </c>
      <c r="G327" s="35">
        <v>1</v>
      </c>
      <c r="H327" s="35">
        <v>20</v>
      </c>
      <c r="I327" s="37">
        <v>0.2</v>
      </c>
      <c r="J327" s="38">
        <v>10</v>
      </c>
      <c r="K327" s="25">
        <v>0</v>
      </c>
      <c r="L327" s="35">
        <v>1580</v>
      </c>
      <c r="M327" s="35">
        <f t="shared" si="27"/>
        <v>0</v>
      </c>
      <c r="N327" s="35">
        <v>0</v>
      </c>
      <c r="O327" s="35">
        <v>0</v>
      </c>
      <c r="P327" s="35">
        <v>0</v>
      </c>
      <c r="Q327" s="35">
        <f t="shared" si="28"/>
        <v>19</v>
      </c>
      <c r="R327" s="35">
        <v>38</v>
      </c>
      <c r="S327" s="35">
        <f t="shared" si="29"/>
        <v>19</v>
      </c>
      <c r="T327" s="35">
        <v>38</v>
      </c>
      <c r="U327" s="37">
        <v>0</v>
      </c>
      <c r="V327" s="35">
        <v>0</v>
      </c>
      <c r="W327" s="35">
        <v>0</v>
      </c>
      <c r="X327" s="35">
        <v>0</v>
      </c>
      <c r="Y327" s="37">
        <v>0</v>
      </c>
      <c r="Z327" s="37">
        <v>0</v>
      </c>
      <c r="AA327" s="37">
        <v>0</v>
      </c>
      <c r="AB327" s="37">
        <v>0</v>
      </c>
      <c r="AC327" s="37">
        <v>0</v>
      </c>
      <c r="AD327" s="37">
        <v>0</v>
      </c>
      <c r="AE327" s="37"/>
      <c r="AF327" s="39"/>
      <c r="AG327" s="39"/>
      <c r="AH327" s="39"/>
      <c r="AI327" s="39"/>
      <c r="AJ327" s="39"/>
      <c r="AK327" s="39"/>
      <c r="AL327" s="39"/>
      <c r="AM327" s="39"/>
      <c r="AN327" s="39"/>
      <c r="AO327" s="39"/>
      <c r="AP327" s="39"/>
      <c r="AQ327" s="39"/>
      <c r="AR327" s="39"/>
      <c r="AS327" s="39"/>
      <c r="AT327" s="39"/>
      <c r="AU327" s="39"/>
      <c r="AV327" s="39"/>
      <c r="AW327" s="39"/>
      <c r="AX327" s="39"/>
      <c r="AY327" s="39"/>
      <c r="AZ327" s="39"/>
      <c r="BA327" s="39"/>
      <c r="BB327" s="39"/>
      <c r="BC327" s="39"/>
      <c r="BD327" s="39"/>
      <c r="BE327" s="39"/>
      <c r="BF327" s="39"/>
      <c r="BG327" s="39"/>
      <c r="BH327" s="39"/>
      <c r="BI327" s="39"/>
      <c r="BJ327" s="39"/>
      <c r="BK327" s="39"/>
      <c r="BL327" s="39"/>
      <c r="BM327" s="39"/>
      <c r="BN327" s="39"/>
      <c r="BO327" s="39"/>
      <c r="BP327" s="39"/>
      <c r="BQ327" s="39"/>
      <c r="BR327" s="39"/>
      <c r="BS327" s="39"/>
      <c r="BT327" s="39"/>
      <c r="BU327" s="39"/>
      <c r="BV327" s="39"/>
      <c r="BW327" s="39"/>
      <c r="BX327" s="39"/>
      <c r="BY327" s="39"/>
      <c r="BZ327" s="39"/>
      <c r="CA327" s="39"/>
      <c r="CB327" s="39"/>
      <c r="CC327" s="39"/>
      <c r="CD327" s="39"/>
      <c r="CE327" s="39"/>
      <c r="CF327" s="39"/>
      <c r="CG327" s="39"/>
      <c r="CH327" s="39"/>
      <c r="CI327" s="39"/>
      <c r="CJ327" s="39"/>
      <c r="CK327" s="39"/>
      <c r="CL327" s="39"/>
      <c r="CM327" s="39"/>
      <c r="CN327" s="39"/>
      <c r="CO327" s="39"/>
      <c r="CP327" s="39"/>
      <c r="CQ327" s="39"/>
      <c r="CR327" s="39"/>
      <c r="CS327" s="39"/>
      <c r="CT327" s="39"/>
      <c r="CU327" s="39"/>
      <c r="CV327" s="39"/>
      <c r="CW327" s="39"/>
      <c r="CX327" s="39"/>
      <c r="CY327" s="39"/>
      <c r="CZ327" s="39"/>
      <c r="DA327" s="39"/>
      <c r="DB327" s="39"/>
      <c r="DC327" s="39"/>
      <c r="DD327" s="39"/>
      <c r="DE327" s="39"/>
      <c r="DF327" s="39"/>
      <c r="DG327" s="39"/>
      <c r="DH327" s="39"/>
      <c r="DI327" s="39"/>
      <c r="DJ327" s="39"/>
      <c r="DK327" s="39"/>
      <c r="DL327" s="39"/>
      <c r="DM327" s="39"/>
      <c r="DN327" s="39"/>
      <c r="DO327" s="39"/>
      <c r="DP327" s="39"/>
      <c r="DQ327" s="39"/>
      <c r="DR327" s="39"/>
      <c r="DS327" s="39"/>
      <c r="DT327" s="39"/>
      <c r="DU327" s="39"/>
      <c r="DV327" s="39"/>
      <c r="DW327" s="39"/>
      <c r="DX327" s="39"/>
      <c r="DY327" s="39"/>
      <c r="DZ327" s="39"/>
      <c r="EA327" s="39"/>
      <c r="EB327" s="39"/>
      <c r="EC327" s="39"/>
      <c r="ED327" s="39"/>
      <c r="EE327" s="39"/>
      <c r="EF327" s="39"/>
      <c r="EG327" s="39"/>
      <c r="EH327" s="39"/>
      <c r="EI327" s="39"/>
      <c r="EJ327" s="39"/>
      <c r="EK327" s="39"/>
      <c r="EL327" s="39"/>
      <c r="EM327" s="39"/>
      <c r="EN327" s="39"/>
      <c r="EO327" s="39"/>
      <c r="EP327" s="39"/>
      <c r="EQ327" s="39"/>
      <c r="ER327" s="39"/>
      <c r="ES327" s="39"/>
      <c r="ET327" s="39"/>
      <c r="EU327" s="39"/>
      <c r="EV327" s="39"/>
      <c r="EW327" s="39"/>
      <c r="EX327" s="39"/>
      <c r="EY327" s="39"/>
      <c r="EZ327" s="39"/>
      <c r="FA327" s="39"/>
      <c r="FB327" s="39"/>
      <c r="FC327" s="39"/>
      <c r="FD327" s="39"/>
      <c r="FE327" s="39"/>
      <c r="FF327" s="39"/>
      <c r="FG327" s="39"/>
      <c r="FH327" s="39"/>
      <c r="FI327" s="39"/>
      <c r="FJ327" s="39"/>
      <c r="FK327" s="39"/>
      <c r="FL327" s="39"/>
      <c r="FM327" s="39"/>
      <c r="FN327" s="39"/>
      <c r="FO327" s="39"/>
      <c r="FP327" s="39"/>
      <c r="FQ327" s="39"/>
      <c r="FR327" s="39"/>
      <c r="FS327" s="39"/>
      <c r="FT327" s="39"/>
      <c r="FU327" s="39"/>
      <c r="FV327" s="39"/>
      <c r="FW327" s="39"/>
      <c r="FX327" s="39"/>
      <c r="FY327" s="39"/>
      <c r="FZ327" s="39"/>
      <c r="GA327" s="39"/>
      <c r="GB327" s="39"/>
      <c r="GC327" s="39"/>
      <c r="GD327" s="39"/>
      <c r="GE327" s="39"/>
      <c r="GF327" s="39"/>
      <c r="GG327" s="39"/>
      <c r="GH327" s="39"/>
      <c r="GI327" s="39"/>
      <c r="GJ327" s="39"/>
      <c r="GK327" s="39"/>
      <c r="GL327" s="39"/>
      <c r="GM327" s="39"/>
      <c r="GN327" s="39"/>
      <c r="GO327" s="39"/>
      <c r="GP327" s="39"/>
      <c r="GQ327" s="39"/>
      <c r="GR327" s="39"/>
      <c r="GS327" s="39"/>
      <c r="GT327" s="39"/>
      <c r="GU327" s="39"/>
      <c r="GV327" s="39"/>
      <c r="GW327" s="39"/>
      <c r="GX327" s="39"/>
      <c r="GY327" s="39"/>
      <c r="GZ327" s="39"/>
      <c r="HA327" s="39"/>
      <c r="HB327" s="39"/>
      <c r="HC327" s="39"/>
      <c r="HD327" s="39"/>
      <c r="HE327" s="39"/>
      <c r="HF327" s="39"/>
      <c r="HG327" s="39"/>
      <c r="HH327" s="39"/>
      <c r="HI327" s="39"/>
      <c r="HJ327" s="39"/>
      <c r="HK327" s="39"/>
      <c r="HL327" s="39"/>
      <c r="HM327" s="39"/>
      <c r="HN327" s="39"/>
      <c r="HO327" s="39"/>
      <c r="HP327" s="39"/>
    </row>
    <row r="328" spans="3:224" s="4" customFormat="1" ht="20.100000000000001" customHeight="1">
      <c r="C328" s="34">
        <v>14110005</v>
      </c>
      <c r="D328" s="34" t="s">
        <v>350</v>
      </c>
      <c r="E328" s="35">
        <v>11200003</v>
      </c>
      <c r="F328" s="35">
        <v>0</v>
      </c>
      <c r="G328" s="35">
        <v>1</v>
      </c>
      <c r="H328" s="35">
        <v>20</v>
      </c>
      <c r="I328" s="37">
        <v>0.2</v>
      </c>
      <c r="J328" s="38">
        <v>5</v>
      </c>
      <c r="K328" s="25">
        <v>0</v>
      </c>
      <c r="L328" s="35">
        <v>310</v>
      </c>
      <c r="M328" s="35">
        <f t="shared" si="27"/>
        <v>0</v>
      </c>
      <c r="N328" s="35">
        <v>0</v>
      </c>
      <c r="O328" s="35">
        <v>0</v>
      </c>
      <c r="P328" s="35">
        <v>0</v>
      </c>
      <c r="Q328" s="35">
        <f t="shared" si="28"/>
        <v>5</v>
      </c>
      <c r="R328" s="35">
        <v>9</v>
      </c>
      <c r="S328" s="35">
        <f t="shared" si="29"/>
        <v>5</v>
      </c>
      <c r="T328" s="35">
        <v>9</v>
      </c>
      <c r="U328" s="37">
        <v>0</v>
      </c>
      <c r="V328" s="35">
        <v>0</v>
      </c>
      <c r="W328" s="35">
        <v>0</v>
      </c>
      <c r="X328" s="35">
        <v>0</v>
      </c>
      <c r="Y328" s="37">
        <v>0</v>
      </c>
      <c r="Z328" s="37">
        <v>0</v>
      </c>
      <c r="AA328" s="37">
        <v>0</v>
      </c>
      <c r="AB328" s="37">
        <v>0</v>
      </c>
      <c r="AC328" s="37">
        <v>0</v>
      </c>
      <c r="AD328" s="37">
        <v>0</v>
      </c>
      <c r="AE328" s="37"/>
      <c r="AF328" s="39"/>
      <c r="AG328" s="39"/>
      <c r="AH328" s="39"/>
      <c r="AI328" s="39"/>
      <c r="AJ328" s="39"/>
      <c r="AK328" s="39"/>
      <c r="AL328" s="39"/>
      <c r="AM328" s="39"/>
      <c r="AN328" s="39"/>
      <c r="AO328" s="39"/>
      <c r="AP328" s="39"/>
      <c r="AQ328" s="39"/>
      <c r="AR328" s="39"/>
      <c r="AS328" s="39"/>
      <c r="AT328" s="39"/>
      <c r="AU328" s="39"/>
      <c r="AV328" s="39"/>
      <c r="AW328" s="39"/>
      <c r="AX328" s="39"/>
      <c r="AY328" s="39"/>
      <c r="AZ328" s="39"/>
      <c r="BA328" s="39"/>
      <c r="BB328" s="39"/>
      <c r="BC328" s="39"/>
      <c r="BD328" s="39"/>
      <c r="BE328" s="39"/>
      <c r="BF328" s="39"/>
      <c r="BG328" s="39"/>
      <c r="BH328" s="39"/>
      <c r="BI328" s="39"/>
      <c r="BJ328" s="39"/>
      <c r="BK328" s="39"/>
      <c r="BL328" s="39"/>
      <c r="BM328" s="39"/>
      <c r="BN328" s="39"/>
      <c r="BO328" s="39"/>
      <c r="BP328" s="39"/>
      <c r="BQ328" s="39"/>
      <c r="BR328" s="39"/>
      <c r="BS328" s="39"/>
      <c r="BT328" s="39"/>
      <c r="BU328" s="39"/>
      <c r="BV328" s="39"/>
      <c r="BW328" s="39"/>
      <c r="BX328" s="39"/>
      <c r="BY328" s="39"/>
      <c r="BZ328" s="39"/>
      <c r="CA328" s="39"/>
      <c r="CB328" s="39"/>
      <c r="CC328" s="39"/>
      <c r="CD328" s="39"/>
      <c r="CE328" s="39"/>
      <c r="CF328" s="39"/>
      <c r="CG328" s="39"/>
      <c r="CH328" s="39"/>
      <c r="CI328" s="39"/>
      <c r="CJ328" s="39"/>
      <c r="CK328" s="39"/>
      <c r="CL328" s="39"/>
      <c r="CM328" s="39"/>
      <c r="CN328" s="39"/>
      <c r="CO328" s="39"/>
      <c r="CP328" s="39"/>
      <c r="CQ328" s="39"/>
      <c r="CR328" s="39"/>
      <c r="CS328" s="39"/>
      <c r="CT328" s="39"/>
      <c r="CU328" s="39"/>
      <c r="CV328" s="39"/>
      <c r="CW328" s="39"/>
      <c r="CX328" s="39"/>
      <c r="CY328" s="39"/>
      <c r="CZ328" s="39"/>
      <c r="DA328" s="39"/>
      <c r="DB328" s="39"/>
      <c r="DC328" s="39"/>
      <c r="DD328" s="39"/>
      <c r="DE328" s="39"/>
      <c r="DF328" s="39"/>
      <c r="DG328" s="39"/>
      <c r="DH328" s="39"/>
      <c r="DI328" s="39"/>
      <c r="DJ328" s="39"/>
      <c r="DK328" s="39"/>
      <c r="DL328" s="39"/>
      <c r="DM328" s="39"/>
      <c r="DN328" s="39"/>
      <c r="DO328" s="39"/>
      <c r="DP328" s="39"/>
      <c r="DQ328" s="39"/>
      <c r="DR328" s="39"/>
      <c r="DS328" s="39"/>
      <c r="DT328" s="39"/>
      <c r="DU328" s="39"/>
      <c r="DV328" s="39"/>
      <c r="DW328" s="39"/>
      <c r="DX328" s="39"/>
      <c r="DY328" s="39"/>
      <c r="DZ328" s="39"/>
      <c r="EA328" s="39"/>
      <c r="EB328" s="39"/>
      <c r="EC328" s="39"/>
      <c r="ED328" s="39"/>
      <c r="EE328" s="39"/>
      <c r="EF328" s="39"/>
      <c r="EG328" s="39"/>
      <c r="EH328" s="39"/>
      <c r="EI328" s="39"/>
      <c r="EJ328" s="39"/>
      <c r="EK328" s="39"/>
      <c r="EL328" s="39"/>
      <c r="EM328" s="39"/>
      <c r="EN328" s="39"/>
      <c r="EO328" s="39"/>
      <c r="EP328" s="39"/>
      <c r="EQ328" s="39"/>
      <c r="ER328" s="39"/>
      <c r="ES328" s="39"/>
      <c r="ET328" s="39"/>
      <c r="EU328" s="39"/>
      <c r="EV328" s="39"/>
      <c r="EW328" s="39"/>
      <c r="EX328" s="39"/>
      <c r="EY328" s="39"/>
      <c r="EZ328" s="39"/>
      <c r="FA328" s="39"/>
      <c r="FB328" s="39"/>
      <c r="FC328" s="39"/>
      <c r="FD328" s="39"/>
      <c r="FE328" s="39"/>
      <c r="FF328" s="39"/>
      <c r="FG328" s="39"/>
      <c r="FH328" s="39"/>
      <c r="FI328" s="39"/>
      <c r="FJ328" s="39"/>
      <c r="FK328" s="39"/>
      <c r="FL328" s="39"/>
      <c r="FM328" s="39"/>
      <c r="FN328" s="39"/>
      <c r="FO328" s="39"/>
      <c r="FP328" s="39"/>
      <c r="FQ328" s="39"/>
      <c r="FR328" s="39"/>
      <c r="FS328" s="39"/>
      <c r="FT328" s="39"/>
      <c r="FU328" s="39"/>
      <c r="FV328" s="39"/>
      <c r="FW328" s="39"/>
      <c r="FX328" s="39"/>
      <c r="FY328" s="39"/>
      <c r="FZ328" s="39"/>
      <c r="GA328" s="39"/>
      <c r="GB328" s="39"/>
      <c r="GC328" s="39"/>
      <c r="GD328" s="39"/>
      <c r="GE328" s="39"/>
      <c r="GF328" s="39"/>
      <c r="GG328" s="39"/>
      <c r="GH328" s="39"/>
      <c r="GI328" s="39"/>
      <c r="GJ328" s="39"/>
      <c r="GK328" s="39"/>
      <c r="GL328" s="39"/>
      <c r="GM328" s="39"/>
      <c r="GN328" s="39"/>
      <c r="GO328" s="39"/>
      <c r="GP328" s="39"/>
      <c r="GQ328" s="39"/>
      <c r="GR328" s="39"/>
      <c r="GS328" s="39"/>
      <c r="GT328" s="39"/>
      <c r="GU328" s="39"/>
      <c r="GV328" s="39"/>
      <c r="GW328" s="39"/>
      <c r="GX328" s="39"/>
      <c r="GY328" s="39"/>
      <c r="GZ328" s="39"/>
      <c r="HA328" s="39"/>
      <c r="HB328" s="39"/>
      <c r="HC328" s="39"/>
      <c r="HD328" s="39"/>
      <c r="HE328" s="39"/>
      <c r="HF328" s="39"/>
      <c r="HG328" s="39"/>
      <c r="HH328" s="39"/>
      <c r="HI328" s="39"/>
      <c r="HJ328" s="39"/>
      <c r="HK328" s="39"/>
      <c r="HL328" s="39"/>
      <c r="HM328" s="39"/>
      <c r="HN328" s="39"/>
      <c r="HO328" s="39"/>
      <c r="HP328" s="39"/>
    </row>
    <row r="329" spans="3:224" s="4" customFormat="1" ht="20.100000000000001" customHeight="1">
      <c r="C329" s="34">
        <v>14110006</v>
      </c>
      <c r="D329" s="34" t="s">
        <v>351</v>
      </c>
      <c r="E329" s="35">
        <v>11200003</v>
      </c>
      <c r="F329" s="35">
        <v>0</v>
      </c>
      <c r="G329" s="35">
        <v>1</v>
      </c>
      <c r="H329" s="35">
        <v>20</v>
      </c>
      <c r="I329" s="37">
        <v>0.2</v>
      </c>
      <c r="J329" s="38">
        <v>5</v>
      </c>
      <c r="K329" s="25">
        <v>0</v>
      </c>
      <c r="L329" s="35">
        <v>550</v>
      </c>
      <c r="M329" s="35">
        <f t="shared" si="27"/>
        <v>0</v>
      </c>
      <c r="N329" s="35">
        <v>0</v>
      </c>
      <c r="O329" s="35">
        <v>0</v>
      </c>
      <c r="P329" s="35">
        <v>0</v>
      </c>
      <c r="Q329" s="35">
        <f t="shared" si="28"/>
        <v>9</v>
      </c>
      <c r="R329" s="35">
        <v>18</v>
      </c>
      <c r="S329" s="35">
        <f t="shared" si="29"/>
        <v>9</v>
      </c>
      <c r="T329" s="35">
        <v>18</v>
      </c>
      <c r="U329" s="37">
        <v>0</v>
      </c>
      <c r="V329" s="35">
        <v>0</v>
      </c>
      <c r="W329" s="35">
        <v>0</v>
      </c>
      <c r="X329" s="35">
        <v>0</v>
      </c>
      <c r="Y329" s="37">
        <v>0</v>
      </c>
      <c r="Z329" s="37">
        <v>0</v>
      </c>
      <c r="AA329" s="37">
        <v>0</v>
      </c>
      <c r="AB329" s="37">
        <v>0</v>
      </c>
      <c r="AC329" s="37">
        <v>0</v>
      </c>
      <c r="AD329" s="37">
        <v>0</v>
      </c>
      <c r="AE329" s="37"/>
      <c r="AF329" s="39"/>
      <c r="AG329" s="39"/>
      <c r="AH329" s="39"/>
      <c r="AI329" s="39"/>
      <c r="AJ329" s="39"/>
      <c r="AK329" s="39"/>
      <c r="AL329" s="39"/>
      <c r="AM329" s="39"/>
      <c r="AN329" s="39"/>
      <c r="AO329" s="39"/>
      <c r="AP329" s="39"/>
      <c r="AQ329" s="39"/>
      <c r="AR329" s="39"/>
      <c r="AS329" s="39"/>
      <c r="AT329" s="39"/>
      <c r="AU329" s="39"/>
      <c r="AV329" s="39"/>
      <c r="AW329" s="39"/>
      <c r="AX329" s="39"/>
      <c r="AY329" s="39"/>
      <c r="AZ329" s="39"/>
      <c r="BA329" s="39"/>
      <c r="BB329" s="39"/>
      <c r="BC329" s="39"/>
      <c r="BD329" s="39"/>
      <c r="BE329" s="39"/>
      <c r="BF329" s="39"/>
      <c r="BG329" s="39"/>
      <c r="BH329" s="39"/>
      <c r="BI329" s="39"/>
      <c r="BJ329" s="39"/>
      <c r="BK329" s="39"/>
      <c r="BL329" s="39"/>
      <c r="BM329" s="39"/>
      <c r="BN329" s="39"/>
      <c r="BO329" s="39"/>
      <c r="BP329" s="39"/>
      <c r="BQ329" s="39"/>
      <c r="BR329" s="39"/>
      <c r="BS329" s="39"/>
      <c r="BT329" s="39"/>
      <c r="BU329" s="39"/>
      <c r="BV329" s="39"/>
      <c r="BW329" s="39"/>
      <c r="BX329" s="39"/>
      <c r="BY329" s="39"/>
      <c r="BZ329" s="39"/>
      <c r="CA329" s="39"/>
      <c r="CB329" s="39"/>
      <c r="CC329" s="39"/>
      <c r="CD329" s="39"/>
      <c r="CE329" s="39"/>
      <c r="CF329" s="39"/>
      <c r="CG329" s="39"/>
      <c r="CH329" s="39"/>
      <c r="CI329" s="39"/>
      <c r="CJ329" s="39"/>
      <c r="CK329" s="39"/>
      <c r="CL329" s="39"/>
      <c r="CM329" s="39"/>
      <c r="CN329" s="39"/>
      <c r="CO329" s="39"/>
      <c r="CP329" s="39"/>
      <c r="CQ329" s="39"/>
      <c r="CR329" s="39"/>
      <c r="CS329" s="39"/>
      <c r="CT329" s="39"/>
      <c r="CU329" s="39"/>
      <c r="CV329" s="39"/>
      <c r="CW329" s="39"/>
      <c r="CX329" s="39"/>
      <c r="CY329" s="39"/>
      <c r="CZ329" s="39"/>
      <c r="DA329" s="39"/>
      <c r="DB329" s="39"/>
      <c r="DC329" s="39"/>
      <c r="DD329" s="39"/>
      <c r="DE329" s="39"/>
      <c r="DF329" s="39"/>
      <c r="DG329" s="39"/>
      <c r="DH329" s="39"/>
      <c r="DI329" s="39"/>
      <c r="DJ329" s="39"/>
      <c r="DK329" s="39"/>
      <c r="DL329" s="39"/>
      <c r="DM329" s="39"/>
      <c r="DN329" s="39"/>
      <c r="DO329" s="39"/>
      <c r="DP329" s="39"/>
      <c r="DQ329" s="39"/>
      <c r="DR329" s="39"/>
      <c r="DS329" s="39"/>
      <c r="DT329" s="39"/>
      <c r="DU329" s="39"/>
      <c r="DV329" s="39"/>
      <c r="DW329" s="39"/>
      <c r="DX329" s="39"/>
      <c r="DY329" s="39"/>
      <c r="DZ329" s="39"/>
      <c r="EA329" s="39"/>
      <c r="EB329" s="39"/>
      <c r="EC329" s="39"/>
      <c r="ED329" s="39"/>
      <c r="EE329" s="39"/>
      <c r="EF329" s="39"/>
      <c r="EG329" s="39"/>
      <c r="EH329" s="39"/>
      <c r="EI329" s="39"/>
      <c r="EJ329" s="39"/>
      <c r="EK329" s="39"/>
      <c r="EL329" s="39"/>
      <c r="EM329" s="39"/>
      <c r="EN329" s="39"/>
      <c r="EO329" s="39"/>
      <c r="EP329" s="39"/>
      <c r="EQ329" s="39"/>
      <c r="ER329" s="39"/>
      <c r="ES329" s="39"/>
      <c r="ET329" s="39"/>
      <c r="EU329" s="39"/>
      <c r="EV329" s="39"/>
      <c r="EW329" s="39"/>
      <c r="EX329" s="39"/>
      <c r="EY329" s="39"/>
      <c r="EZ329" s="39"/>
      <c r="FA329" s="39"/>
      <c r="FB329" s="39"/>
      <c r="FC329" s="39"/>
      <c r="FD329" s="39"/>
      <c r="FE329" s="39"/>
      <c r="FF329" s="39"/>
      <c r="FG329" s="39"/>
      <c r="FH329" s="39"/>
      <c r="FI329" s="39"/>
      <c r="FJ329" s="39"/>
      <c r="FK329" s="39"/>
      <c r="FL329" s="39"/>
      <c r="FM329" s="39"/>
      <c r="FN329" s="39"/>
      <c r="FO329" s="39"/>
      <c r="FP329" s="39"/>
      <c r="FQ329" s="39"/>
      <c r="FR329" s="39"/>
      <c r="FS329" s="39"/>
      <c r="FT329" s="39"/>
      <c r="FU329" s="39"/>
      <c r="FV329" s="39"/>
      <c r="FW329" s="39"/>
      <c r="FX329" s="39"/>
      <c r="FY329" s="39"/>
      <c r="FZ329" s="39"/>
      <c r="GA329" s="39"/>
      <c r="GB329" s="39"/>
      <c r="GC329" s="39"/>
      <c r="GD329" s="39"/>
      <c r="GE329" s="39"/>
      <c r="GF329" s="39"/>
      <c r="GG329" s="39"/>
      <c r="GH329" s="39"/>
      <c r="GI329" s="39"/>
      <c r="GJ329" s="39"/>
      <c r="GK329" s="39"/>
      <c r="GL329" s="39"/>
      <c r="GM329" s="39"/>
      <c r="GN329" s="39"/>
      <c r="GO329" s="39"/>
      <c r="GP329" s="39"/>
      <c r="GQ329" s="39"/>
      <c r="GR329" s="39"/>
      <c r="GS329" s="39"/>
      <c r="GT329" s="39"/>
      <c r="GU329" s="39"/>
      <c r="GV329" s="39"/>
      <c r="GW329" s="39"/>
      <c r="GX329" s="39"/>
      <c r="GY329" s="39"/>
      <c r="GZ329" s="39"/>
      <c r="HA329" s="39"/>
      <c r="HB329" s="39"/>
      <c r="HC329" s="39"/>
      <c r="HD329" s="39"/>
      <c r="HE329" s="39"/>
      <c r="HF329" s="39"/>
      <c r="HG329" s="39"/>
      <c r="HH329" s="39"/>
      <c r="HI329" s="39"/>
      <c r="HJ329" s="39"/>
      <c r="HK329" s="39"/>
      <c r="HL329" s="39"/>
      <c r="HM329" s="39"/>
      <c r="HN329" s="39"/>
      <c r="HO329" s="39"/>
      <c r="HP329" s="39"/>
    </row>
    <row r="330" spans="3:224" s="4" customFormat="1" ht="20.100000000000001" customHeight="1">
      <c r="C330" s="34">
        <v>14110007</v>
      </c>
      <c r="D330" s="34" t="s">
        <v>352</v>
      </c>
      <c r="E330" s="35">
        <v>11200003</v>
      </c>
      <c r="F330" s="35">
        <v>11022</v>
      </c>
      <c r="G330" s="35">
        <v>1</v>
      </c>
      <c r="H330" s="35">
        <v>20</v>
      </c>
      <c r="I330" s="37">
        <v>0.2</v>
      </c>
      <c r="J330" s="38">
        <v>5</v>
      </c>
      <c r="K330" s="25">
        <v>0</v>
      </c>
      <c r="L330" s="35">
        <v>650</v>
      </c>
      <c r="M330" s="35">
        <f t="shared" si="27"/>
        <v>0</v>
      </c>
      <c r="N330" s="35">
        <v>0</v>
      </c>
      <c r="O330" s="35">
        <v>0</v>
      </c>
      <c r="P330" s="35">
        <v>0</v>
      </c>
      <c r="Q330" s="35">
        <f t="shared" si="28"/>
        <v>11</v>
      </c>
      <c r="R330" s="35">
        <v>21</v>
      </c>
      <c r="S330" s="35">
        <f t="shared" si="29"/>
        <v>11</v>
      </c>
      <c r="T330" s="35">
        <v>21</v>
      </c>
      <c r="U330" s="37">
        <v>0</v>
      </c>
      <c r="V330" s="35">
        <v>0</v>
      </c>
      <c r="W330" s="35">
        <v>0</v>
      </c>
      <c r="X330" s="35">
        <v>0</v>
      </c>
      <c r="Y330" s="37">
        <v>0</v>
      </c>
      <c r="Z330" s="37">
        <v>0</v>
      </c>
      <c r="AA330" s="37">
        <v>0</v>
      </c>
      <c r="AB330" s="37">
        <v>0</v>
      </c>
      <c r="AC330" s="37">
        <v>0</v>
      </c>
      <c r="AD330" s="37">
        <v>0</v>
      </c>
      <c r="AE330" s="37"/>
      <c r="AF330" s="39"/>
      <c r="AG330" s="39"/>
      <c r="AH330" s="39"/>
      <c r="AI330" s="39"/>
      <c r="AJ330" s="39"/>
      <c r="AK330" s="39"/>
      <c r="AL330" s="39"/>
      <c r="AM330" s="39"/>
      <c r="AN330" s="39"/>
      <c r="AO330" s="39"/>
      <c r="AP330" s="39"/>
      <c r="AQ330" s="39"/>
      <c r="AR330" s="39"/>
      <c r="AS330" s="39"/>
      <c r="AT330" s="39"/>
      <c r="AU330" s="39"/>
      <c r="AV330" s="39"/>
      <c r="AW330" s="39"/>
      <c r="AX330" s="39"/>
      <c r="AY330" s="39"/>
      <c r="AZ330" s="39"/>
      <c r="BA330" s="39"/>
      <c r="BB330" s="39"/>
      <c r="BC330" s="39"/>
      <c r="BD330" s="39"/>
      <c r="BE330" s="39"/>
      <c r="BF330" s="39"/>
      <c r="BG330" s="39"/>
      <c r="BH330" s="39"/>
      <c r="BI330" s="39"/>
      <c r="BJ330" s="39"/>
      <c r="BK330" s="39"/>
      <c r="BL330" s="39"/>
      <c r="BM330" s="39"/>
      <c r="BN330" s="39"/>
      <c r="BO330" s="39"/>
      <c r="BP330" s="39"/>
      <c r="BQ330" s="39"/>
      <c r="BR330" s="39"/>
      <c r="BS330" s="39"/>
      <c r="BT330" s="39"/>
      <c r="BU330" s="39"/>
      <c r="BV330" s="39"/>
      <c r="BW330" s="39"/>
      <c r="BX330" s="39"/>
      <c r="BY330" s="39"/>
      <c r="BZ330" s="39"/>
      <c r="CA330" s="39"/>
      <c r="CB330" s="39"/>
      <c r="CC330" s="39"/>
      <c r="CD330" s="39"/>
      <c r="CE330" s="39"/>
      <c r="CF330" s="39"/>
      <c r="CG330" s="39"/>
      <c r="CH330" s="39"/>
      <c r="CI330" s="39"/>
      <c r="CJ330" s="39"/>
      <c r="CK330" s="39"/>
      <c r="CL330" s="39"/>
      <c r="CM330" s="39"/>
      <c r="CN330" s="39"/>
      <c r="CO330" s="39"/>
      <c r="CP330" s="39"/>
      <c r="CQ330" s="39"/>
      <c r="CR330" s="39"/>
      <c r="CS330" s="39"/>
      <c r="CT330" s="39"/>
      <c r="CU330" s="39"/>
      <c r="CV330" s="39"/>
      <c r="CW330" s="39"/>
      <c r="CX330" s="39"/>
      <c r="CY330" s="39"/>
      <c r="CZ330" s="39"/>
      <c r="DA330" s="39"/>
      <c r="DB330" s="39"/>
      <c r="DC330" s="39"/>
      <c r="DD330" s="39"/>
      <c r="DE330" s="39"/>
      <c r="DF330" s="39"/>
      <c r="DG330" s="39"/>
      <c r="DH330" s="39"/>
      <c r="DI330" s="39"/>
      <c r="DJ330" s="39"/>
      <c r="DK330" s="39"/>
      <c r="DL330" s="39"/>
      <c r="DM330" s="39"/>
      <c r="DN330" s="39"/>
      <c r="DO330" s="39"/>
      <c r="DP330" s="39"/>
      <c r="DQ330" s="39"/>
      <c r="DR330" s="39"/>
      <c r="DS330" s="39"/>
      <c r="DT330" s="39"/>
      <c r="DU330" s="39"/>
      <c r="DV330" s="39"/>
      <c r="DW330" s="39"/>
      <c r="DX330" s="39"/>
      <c r="DY330" s="39"/>
      <c r="DZ330" s="39"/>
      <c r="EA330" s="39"/>
      <c r="EB330" s="39"/>
      <c r="EC330" s="39"/>
      <c r="ED330" s="39"/>
      <c r="EE330" s="39"/>
      <c r="EF330" s="39"/>
      <c r="EG330" s="39"/>
      <c r="EH330" s="39"/>
      <c r="EI330" s="39"/>
      <c r="EJ330" s="39"/>
      <c r="EK330" s="39"/>
      <c r="EL330" s="39"/>
      <c r="EM330" s="39"/>
      <c r="EN330" s="39"/>
      <c r="EO330" s="39"/>
      <c r="EP330" s="39"/>
      <c r="EQ330" s="39"/>
      <c r="ER330" s="39"/>
      <c r="ES330" s="39"/>
      <c r="ET330" s="39"/>
      <c r="EU330" s="39"/>
      <c r="EV330" s="39"/>
      <c r="EW330" s="39"/>
      <c r="EX330" s="39"/>
      <c r="EY330" s="39"/>
      <c r="EZ330" s="39"/>
      <c r="FA330" s="39"/>
      <c r="FB330" s="39"/>
      <c r="FC330" s="39"/>
      <c r="FD330" s="39"/>
      <c r="FE330" s="39"/>
      <c r="FF330" s="39"/>
      <c r="FG330" s="39"/>
      <c r="FH330" s="39"/>
      <c r="FI330" s="39"/>
      <c r="FJ330" s="39"/>
      <c r="FK330" s="39"/>
      <c r="FL330" s="39"/>
      <c r="FM330" s="39"/>
      <c r="FN330" s="39"/>
      <c r="FO330" s="39"/>
      <c r="FP330" s="39"/>
      <c r="FQ330" s="39"/>
      <c r="FR330" s="39"/>
      <c r="FS330" s="39"/>
      <c r="FT330" s="39"/>
      <c r="FU330" s="39"/>
      <c r="FV330" s="39"/>
      <c r="FW330" s="39"/>
      <c r="FX330" s="39"/>
      <c r="FY330" s="39"/>
      <c r="FZ330" s="39"/>
      <c r="GA330" s="39"/>
      <c r="GB330" s="39"/>
      <c r="GC330" s="39"/>
      <c r="GD330" s="39"/>
      <c r="GE330" s="39"/>
      <c r="GF330" s="39"/>
      <c r="GG330" s="39"/>
      <c r="GH330" s="39"/>
      <c r="GI330" s="39"/>
      <c r="GJ330" s="39"/>
      <c r="GK330" s="39"/>
      <c r="GL330" s="39"/>
      <c r="GM330" s="39"/>
      <c r="GN330" s="39"/>
      <c r="GO330" s="39"/>
      <c r="GP330" s="39"/>
      <c r="GQ330" s="39"/>
      <c r="GR330" s="39"/>
      <c r="GS330" s="39"/>
      <c r="GT330" s="39"/>
      <c r="GU330" s="39"/>
      <c r="GV330" s="39"/>
      <c r="GW330" s="39"/>
      <c r="GX330" s="39"/>
      <c r="GY330" s="39"/>
      <c r="GZ330" s="39"/>
      <c r="HA330" s="39"/>
      <c r="HB330" s="39"/>
      <c r="HC330" s="39"/>
      <c r="HD330" s="39"/>
      <c r="HE330" s="39"/>
      <c r="HF330" s="39"/>
      <c r="HG330" s="39"/>
      <c r="HH330" s="39"/>
      <c r="HI330" s="39"/>
      <c r="HJ330" s="39"/>
      <c r="HK330" s="39"/>
      <c r="HL330" s="39"/>
      <c r="HM330" s="39"/>
      <c r="HN330" s="39"/>
      <c r="HO330" s="39"/>
      <c r="HP330" s="39"/>
    </row>
    <row r="331" spans="3:224" s="4" customFormat="1" ht="20.100000000000001" customHeight="1">
      <c r="C331" s="34">
        <v>14110008</v>
      </c>
      <c r="D331" s="34" t="s">
        <v>353</v>
      </c>
      <c r="E331" s="35">
        <v>11200003</v>
      </c>
      <c r="F331" s="35">
        <v>11042</v>
      </c>
      <c r="G331" s="35">
        <v>1</v>
      </c>
      <c r="H331" s="35">
        <v>20</v>
      </c>
      <c r="I331" s="37">
        <v>0.2</v>
      </c>
      <c r="J331" s="38">
        <v>10</v>
      </c>
      <c r="K331" s="25">
        <v>0</v>
      </c>
      <c r="L331" s="35">
        <v>790</v>
      </c>
      <c r="M331" s="35">
        <f t="shared" si="27"/>
        <v>0</v>
      </c>
      <c r="N331" s="35">
        <v>0</v>
      </c>
      <c r="O331" s="35">
        <v>0</v>
      </c>
      <c r="P331" s="35">
        <v>0</v>
      </c>
      <c r="Q331" s="35">
        <f t="shared" si="28"/>
        <v>15</v>
      </c>
      <c r="R331" s="35">
        <v>29</v>
      </c>
      <c r="S331" s="35">
        <f t="shared" si="29"/>
        <v>15</v>
      </c>
      <c r="T331" s="35">
        <v>29</v>
      </c>
      <c r="U331" s="37">
        <v>0</v>
      </c>
      <c r="V331" s="35">
        <v>0</v>
      </c>
      <c r="W331" s="35">
        <v>0</v>
      </c>
      <c r="X331" s="35">
        <v>0</v>
      </c>
      <c r="Y331" s="37">
        <v>0</v>
      </c>
      <c r="Z331" s="37">
        <v>0</v>
      </c>
      <c r="AA331" s="37">
        <v>0</v>
      </c>
      <c r="AB331" s="37">
        <v>0</v>
      </c>
      <c r="AC331" s="37">
        <v>0</v>
      </c>
      <c r="AD331" s="37">
        <v>0</v>
      </c>
      <c r="AE331" s="37"/>
      <c r="AF331" s="39"/>
      <c r="AG331" s="39"/>
      <c r="AH331" s="39"/>
      <c r="AI331" s="39"/>
      <c r="AJ331" s="39"/>
      <c r="AK331" s="39"/>
      <c r="AL331" s="39"/>
      <c r="AM331" s="39"/>
      <c r="AN331" s="39"/>
      <c r="AO331" s="39"/>
      <c r="AP331" s="39"/>
      <c r="AQ331" s="39"/>
      <c r="AR331" s="39"/>
      <c r="AS331" s="39"/>
      <c r="AT331" s="39"/>
      <c r="AU331" s="39"/>
      <c r="AV331" s="39"/>
      <c r="AW331" s="39"/>
      <c r="AX331" s="39"/>
      <c r="AY331" s="39"/>
      <c r="AZ331" s="39"/>
      <c r="BA331" s="39"/>
      <c r="BB331" s="39"/>
      <c r="BC331" s="39"/>
      <c r="BD331" s="39"/>
      <c r="BE331" s="39"/>
      <c r="BF331" s="39"/>
      <c r="BG331" s="39"/>
      <c r="BH331" s="39"/>
      <c r="BI331" s="39"/>
      <c r="BJ331" s="39"/>
      <c r="BK331" s="39"/>
      <c r="BL331" s="39"/>
      <c r="BM331" s="39"/>
      <c r="BN331" s="39"/>
      <c r="BO331" s="39"/>
      <c r="BP331" s="39"/>
      <c r="BQ331" s="39"/>
      <c r="BR331" s="39"/>
      <c r="BS331" s="39"/>
      <c r="BT331" s="39"/>
      <c r="BU331" s="39"/>
      <c r="BV331" s="39"/>
      <c r="BW331" s="39"/>
      <c r="BX331" s="39"/>
      <c r="BY331" s="39"/>
      <c r="BZ331" s="39"/>
      <c r="CA331" s="39"/>
      <c r="CB331" s="39"/>
      <c r="CC331" s="39"/>
      <c r="CD331" s="39"/>
      <c r="CE331" s="39"/>
      <c r="CF331" s="39"/>
      <c r="CG331" s="39"/>
      <c r="CH331" s="39"/>
      <c r="CI331" s="39"/>
      <c r="CJ331" s="39"/>
      <c r="CK331" s="39"/>
      <c r="CL331" s="39"/>
      <c r="CM331" s="39"/>
      <c r="CN331" s="39"/>
      <c r="CO331" s="39"/>
      <c r="CP331" s="39"/>
      <c r="CQ331" s="39"/>
      <c r="CR331" s="39"/>
      <c r="CS331" s="39"/>
      <c r="CT331" s="39"/>
      <c r="CU331" s="39"/>
      <c r="CV331" s="39"/>
      <c r="CW331" s="39"/>
      <c r="CX331" s="39"/>
      <c r="CY331" s="39"/>
      <c r="CZ331" s="39"/>
      <c r="DA331" s="39"/>
      <c r="DB331" s="39"/>
      <c r="DC331" s="39"/>
      <c r="DD331" s="39"/>
      <c r="DE331" s="39"/>
      <c r="DF331" s="39"/>
      <c r="DG331" s="39"/>
      <c r="DH331" s="39"/>
      <c r="DI331" s="39"/>
      <c r="DJ331" s="39"/>
      <c r="DK331" s="39"/>
      <c r="DL331" s="39"/>
      <c r="DM331" s="39"/>
      <c r="DN331" s="39"/>
      <c r="DO331" s="39"/>
      <c r="DP331" s="39"/>
      <c r="DQ331" s="39"/>
      <c r="DR331" s="39"/>
      <c r="DS331" s="39"/>
      <c r="DT331" s="39"/>
      <c r="DU331" s="39"/>
      <c r="DV331" s="39"/>
      <c r="DW331" s="39"/>
      <c r="DX331" s="39"/>
      <c r="DY331" s="39"/>
      <c r="DZ331" s="39"/>
      <c r="EA331" s="39"/>
      <c r="EB331" s="39"/>
      <c r="EC331" s="39"/>
      <c r="ED331" s="39"/>
      <c r="EE331" s="39"/>
      <c r="EF331" s="39"/>
      <c r="EG331" s="39"/>
      <c r="EH331" s="39"/>
      <c r="EI331" s="39"/>
      <c r="EJ331" s="39"/>
      <c r="EK331" s="39"/>
      <c r="EL331" s="39"/>
      <c r="EM331" s="39"/>
      <c r="EN331" s="39"/>
      <c r="EO331" s="39"/>
      <c r="EP331" s="39"/>
      <c r="EQ331" s="39"/>
      <c r="ER331" s="39"/>
      <c r="ES331" s="39"/>
      <c r="ET331" s="39"/>
      <c r="EU331" s="39"/>
      <c r="EV331" s="39"/>
      <c r="EW331" s="39"/>
      <c r="EX331" s="39"/>
      <c r="EY331" s="39"/>
      <c r="EZ331" s="39"/>
      <c r="FA331" s="39"/>
      <c r="FB331" s="39"/>
      <c r="FC331" s="39"/>
      <c r="FD331" s="39"/>
      <c r="FE331" s="39"/>
      <c r="FF331" s="39"/>
      <c r="FG331" s="39"/>
      <c r="FH331" s="39"/>
      <c r="FI331" s="39"/>
      <c r="FJ331" s="39"/>
      <c r="FK331" s="39"/>
      <c r="FL331" s="39"/>
      <c r="FM331" s="39"/>
      <c r="FN331" s="39"/>
      <c r="FO331" s="39"/>
      <c r="FP331" s="39"/>
      <c r="FQ331" s="39"/>
      <c r="FR331" s="39"/>
      <c r="FS331" s="39"/>
      <c r="FT331" s="39"/>
      <c r="FU331" s="39"/>
      <c r="FV331" s="39"/>
      <c r="FW331" s="39"/>
      <c r="FX331" s="39"/>
      <c r="FY331" s="39"/>
      <c r="FZ331" s="39"/>
      <c r="GA331" s="39"/>
      <c r="GB331" s="39"/>
      <c r="GC331" s="39"/>
      <c r="GD331" s="39"/>
      <c r="GE331" s="39"/>
      <c r="GF331" s="39"/>
      <c r="GG331" s="39"/>
      <c r="GH331" s="39"/>
      <c r="GI331" s="39"/>
      <c r="GJ331" s="39"/>
      <c r="GK331" s="39"/>
      <c r="GL331" s="39"/>
      <c r="GM331" s="39"/>
      <c r="GN331" s="39"/>
      <c r="GO331" s="39"/>
      <c r="GP331" s="39"/>
      <c r="GQ331" s="39"/>
      <c r="GR331" s="39"/>
      <c r="GS331" s="39"/>
      <c r="GT331" s="39"/>
      <c r="GU331" s="39"/>
      <c r="GV331" s="39"/>
      <c r="GW331" s="39"/>
      <c r="GX331" s="39"/>
      <c r="GY331" s="39"/>
      <c r="GZ331" s="39"/>
      <c r="HA331" s="39"/>
      <c r="HB331" s="39"/>
      <c r="HC331" s="39"/>
      <c r="HD331" s="39"/>
      <c r="HE331" s="39"/>
      <c r="HF331" s="39"/>
      <c r="HG331" s="39"/>
      <c r="HH331" s="39"/>
      <c r="HI331" s="39"/>
      <c r="HJ331" s="39"/>
      <c r="HK331" s="39"/>
      <c r="HL331" s="39"/>
      <c r="HM331" s="39"/>
      <c r="HN331" s="39"/>
      <c r="HO331" s="39"/>
      <c r="HP331" s="39"/>
    </row>
    <row r="332" spans="3:224" s="4" customFormat="1" ht="20.100000000000001" customHeight="1">
      <c r="C332" s="34">
        <v>14110009</v>
      </c>
      <c r="D332" s="34" t="s">
        <v>354</v>
      </c>
      <c r="E332" s="35">
        <v>11200003</v>
      </c>
      <c r="F332" s="35">
        <v>0</v>
      </c>
      <c r="G332" s="35">
        <v>1</v>
      </c>
      <c r="H332" s="35">
        <v>20</v>
      </c>
      <c r="I332" s="37">
        <v>0.2</v>
      </c>
      <c r="J332" s="38">
        <v>5</v>
      </c>
      <c r="K332" s="25">
        <v>0</v>
      </c>
      <c r="L332" s="35">
        <v>750</v>
      </c>
      <c r="M332" s="35">
        <f t="shared" si="27"/>
        <v>0</v>
      </c>
      <c r="N332" s="35">
        <v>0</v>
      </c>
      <c r="O332" s="35">
        <v>0</v>
      </c>
      <c r="P332" s="35">
        <v>0</v>
      </c>
      <c r="Q332" s="35">
        <f t="shared" si="28"/>
        <v>8</v>
      </c>
      <c r="R332" s="35">
        <v>15</v>
      </c>
      <c r="S332" s="35">
        <f t="shared" si="29"/>
        <v>8</v>
      </c>
      <c r="T332" s="35">
        <v>15</v>
      </c>
      <c r="U332" s="37">
        <v>0</v>
      </c>
      <c r="V332" s="35">
        <v>0</v>
      </c>
      <c r="W332" s="35">
        <v>0</v>
      </c>
      <c r="X332" s="35">
        <v>0</v>
      </c>
      <c r="Y332" s="37">
        <v>0</v>
      </c>
      <c r="Z332" s="37">
        <v>0</v>
      </c>
      <c r="AA332" s="37">
        <v>0</v>
      </c>
      <c r="AB332" s="37">
        <v>0</v>
      </c>
      <c r="AC332" s="37">
        <v>0</v>
      </c>
      <c r="AD332" s="37">
        <v>0</v>
      </c>
      <c r="AE332" s="37"/>
      <c r="AF332" s="39"/>
      <c r="AG332" s="39"/>
      <c r="AH332" s="39"/>
      <c r="AI332" s="39"/>
      <c r="AJ332" s="39"/>
      <c r="AK332" s="39"/>
      <c r="AL332" s="39"/>
      <c r="AM332" s="39"/>
      <c r="AN332" s="39"/>
      <c r="AO332" s="39"/>
      <c r="AP332" s="39"/>
      <c r="AQ332" s="39"/>
      <c r="AR332" s="39"/>
      <c r="AS332" s="39"/>
      <c r="AT332" s="39"/>
      <c r="AU332" s="39"/>
      <c r="AV332" s="39"/>
      <c r="AW332" s="39"/>
      <c r="AX332" s="39"/>
      <c r="AY332" s="39"/>
      <c r="AZ332" s="39"/>
      <c r="BA332" s="39"/>
      <c r="BB332" s="39"/>
      <c r="BC332" s="39"/>
      <c r="BD332" s="39"/>
      <c r="BE332" s="39"/>
      <c r="BF332" s="39"/>
      <c r="BG332" s="39"/>
      <c r="BH332" s="39"/>
      <c r="BI332" s="39"/>
      <c r="BJ332" s="39"/>
      <c r="BK332" s="39"/>
      <c r="BL332" s="39"/>
      <c r="BM332" s="39"/>
      <c r="BN332" s="39"/>
      <c r="BO332" s="39"/>
      <c r="BP332" s="39"/>
      <c r="BQ332" s="39"/>
      <c r="BR332" s="39"/>
      <c r="BS332" s="39"/>
      <c r="BT332" s="39"/>
      <c r="BU332" s="39"/>
      <c r="BV332" s="39"/>
      <c r="BW332" s="39"/>
      <c r="BX332" s="39"/>
      <c r="BY332" s="39"/>
      <c r="BZ332" s="39"/>
      <c r="CA332" s="39"/>
      <c r="CB332" s="39"/>
      <c r="CC332" s="39"/>
      <c r="CD332" s="39"/>
      <c r="CE332" s="39"/>
      <c r="CF332" s="39"/>
      <c r="CG332" s="39"/>
      <c r="CH332" s="39"/>
      <c r="CI332" s="39"/>
      <c r="CJ332" s="39"/>
      <c r="CK332" s="39"/>
      <c r="CL332" s="39"/>
      <c r="CM332" s="39"/>
      <c r="CN332" s="39"/>
      <c r="CO332" s="39"/>
      <c r="CP332" s="39"/>
      <c r="CQ332" s="39"/>
      <c r="CR332" s="39"/>
      <c r="CS332" s="39"/>
      <c r="CT332" s="39"/>
      <c r="CU332" s="39"/>
      <c r="CV332" s="39"/>
      <c r="CW332" s="39"/>
      <c r="CX332" s="39"/>
      <c r="CY332" s="39"/>
      <c r="CZ332" s="39"/>
      <c r="DA332" s="39"/>
      <c r="DB332" s="39"/>
      <c r="DC332" s="39"/>
      <c r="DD332" s="39"/>
      <c r="DE332" s="39"/>
      <c r="DF332" s="39"/>
      <c r="DG332" s="39"/>
      <c r="DH332" s="39"/>
      <c r="DI332" s="39"/>
      <c r="DJ332" s="39"/>
      <c r="DK332" s="39"/>
      <c r="DL332" s="39"/>
      <c r="DM332" s="39"/>
      <c r="DN332" s="39"/>
      <c r="DO332" s="39"/>
      <c r="DP332" s="39"/>
      <c r="DQ332" s="39"/>
      <c r="DR332" s="39"/>
      <c r="DS332" s="39"/>
      <c r="DT332" s="39"/>
      <c r="DU332" s="39"/>
      <c r="DV332" s="39"/>
      <c r="DW332" s="39"/>
      <c r="DX332" s="39"/>
      <c r="DY332" s="39"/>
      <c r="DZ332" s="39"/>
      <c r="EA332" s="39"/>
      <c r="EB332" s="39"/>
      <c r="EC332" s="39"/>
      <c r="ED332" s="39"/>
      <c r="EE332" s="39"/>
      <c r="EF332" s="39"/>
      <c r="EG332" s="39"/>
      <c r="EH332" s="39"/>
      <c r="EI332" s="39"/>
      <c r="EJ332" s="39"/>
      <c r="EK332" s="39"/>
      <c r="EL332" s="39"/>
      <c r="EM332" s="39"/>
      <c r="EN332" s="39"/>
      <c r="EO332" s="39"/>
      <c r="EP332" s="39"/>
      <c r="EQ332" s="39"/>
      <c r="ER332" s="39"/>
      <c r="ES332" s="39"/>
      <c r="ET332" s="39"/>
      <c r="EU332" s="39"/>
      <c r="EV332" s="39"/>
      <c r="EW332" s="39"/>
      <c r="EX332" s="39"/>
      <c r="EY332" s="39"/>
      <c r="EZ332" s="39"/>
      <c r="FA332" s="39"/>
      <c r="FB332" s="39"/>
      <c r="FC332" s="39"/>
      <c r="FD332" s="39"/>
      <c r="FE332" s="39"/>
      <c r="FF332" s="39"/>
      <c r="FG332" s="39"/>
      <c r="FH332" s="39"/>
      <c r="FI332" s="39"/>
      <c r="FJ332" s="39"/>
      <c r="FK332" s="39"/>
      <c r="FL332" s="39"/>
      <c r="FM332" s="39"/>
      <c r="FN332" s="39"/>
      <c r="FO332" s="39"/>
      <c r="FP332" s="39"/>
      <c r="FQ332" s="39"/>
      <c r="FR332" s="39"/>
      <c r="FS332" s="39"/>
      <c r="FT332" s="39"/>
      <c r="FU332" s="39"/>
      <c r="FV332" s="39"/>
      <c r="FW332" s="39"/>
      <c r="FX332" s="39"/>
      <c r="FY332" s="39"/>
      <c r="FZ332" s="39"/>
      <c r="GA332" s="39"/>
      <c r="GB332" s="39"/>
      <c r="GC332" s="39"/>
      <c r="GD332" s="39"/>
      <c r="GE332" s="39"/>
      <c r="GF332" s="39"/>
      <c r="GG332" s="39"/>
      <c r="GH332" s="39"/>
      <c r="GI332" s="39"/>
      <c r="GJ332" s="39"/>
      <c r="GK332" s="39"/>
      <c r="GL332" s="39"/>
      <c r="GM332" s="39"/>
      <c r="GN332" s="39"/>
      <c r="GO332" s="39"/>
      <c r="GP332" s="39"/>
      <c r="GQ332" s="39"/>
      <c r="GR332" s="39"/>
      <c r="GS332" s="39"/>
      <c r="GT332" s="39"/>
      <c r="GU332" s="39"/>
      <c r="GV332" s="39"/>
      <c r="GW332" s="39"/>
      <c r="GX332" s="39"/>
      <c r="GY332" s="39"/>
      <c r="GZ332" s="39"/>
      <c r="HA332" s="39"/>
      <c r="HB332" s="39"/>
      <c r="HC332" s="39"/>
      <c r="HD332" s="39"/>
      <c r="HE332" s="39"/>
      <c r="HF332" s="39"/>
      <c r="HG332" s="39"/>
      <c r="HH332" s="39"/>
      <c r="HI332" s="39"/>
      <c r="HJ332" s="39"/>
      <c r="HK332" s="39"/>
      <c r="HL332" s="39"/>
      <c r="HM332" s="39"/>
      <c r="HN332" s="39"/>
      <c r="HO332" s="39"/>
      <c r="HP332" s="39"/>
    </row>
    <row r="333" spans="3:224" s="4" customFormat="1" ht="20.100000000000001" customHeight="1">
      <c r="C333" s="34">
        <v>14110010</v>
      </c>
      <c r="D333" s="34" t="s">
        <v>355</v>
      </c>
      <c r="E333" s="35">
        <v>11200003</v>
      </c>
      <c r="F333" s="35">
        <v>0</v>
      </c>
      <c r="G333" s="35">
        <v>1</v>
      </c>
      <c r="H333" s="35">
        <v>20</v>
      </c>
      <c r="I333" s="37">
        <v>0.2</v>
      </c>
      <c r="J333" s="38">
        <v>5</v>
      </c>
      <c r="K333" s="25">
        <v>0</v>
      </c>
      <c r="L333" s="35">
        <v>1320</v>
      </c>
      <c r="M333" s="35">
        <f t="shared" si="27"/>
        <v>0</v>
      </c>
      <c r="N333" s="35">
        <v>0</v>
      </c>
      <c r="O333" s="35">
        <v>0</v>
      </c>
      <c r="P333" s="35">
        <v>0</v>
      </c>
      <c r="Q333" s="35">
        <f t="shared" si="28"/>
        <v>15</v>
      </c>
      <c r="R333" s="35">
        <v>30</v>
      </c>
      <c r="S333" s="35">
        <f t="shared" si="29"/>
        <v>15</v>
      </c>
      <c r="T333" s="35">
        <v>30</v>
      </c>
      <c r="U333" s="37">
        <v>0</v>
      </c>
      <c r="V333" s="35">
        <v>0</v>
      </c>
      <c r="W333" s="35">
        <v>0</v>
      </c>
      <c r="X333" s="35">
        <v>0</v>
      </c>
      <c r="Y333" s="37">
        <v>0</v>
      </c>
      <c r="Z333" s="37">
        <v>0</v>
      </c>
      <c r="AA333" s="37">
        <v>0</v>
      </c>
      <c r="AB333" s="37">
        <v>0</v>
      </c>
      <c r="AC333" s="37">
        <v>0</v>
      </c>
      <c r="AD333" s="37">
        <v>0</v>
      </c>
      <c r="AE333" s="37"/>
      <c r="AF333" s="39"/>
      <c r="AG333" s="39"/>
      <c r="AH333" s="39"/>
      <c r="AI333" s="39"/>
      <c r="AJ333" s="39"/>
      <c r="AK333" s="39"/>
      <c r="AL333" s="39"/>
      <c r="AM333" s="39"/>
      <c r="AN333" s="39"/>
      <c r="AO333" s="39"/>
      <c r="AP333" s="39"/>
      <c r="AQ333" s="39"/>
      <c r="AR333" s="39"/>
      <c r="AS333" s="39"/>
      <c r="AT333" s="39"/>
      <c r="AU333" s="39"/>
      <c r="AV333" s="39"/>
      <c r="AW333" s="39"/>
      <c r="AX333" s="39"/>
      <c r="AY333" s="39"/>
      <c r="AZ333" s="39"/>
      <c r="BA333" s="39"/>
      <c r="BB333" s="39"/>
      <c r="BC333" s="39"/>
      <c r="BD333" s="39"/>
      <c r="BE333" s="39"/>
      <c r="BF333" s="39"/>
      <c r="BG333" s="39"/>
      <c r="BH333" s="39"/>
      <c r="BI333" s="39"/>
      <c r="BJ333" s="39"/>
      <c r="BK333" s="39"/>
      <c r="BL333" s="39"/>
      <c r="BM333" s="39"/>
      <c r="BN333" s="39"/>
      <c r="BO333" s="39"/>
      <c r="BP333" s="39"/>
      <c r="BQ333" s="39"/>
      <c r="BR333" s="39"/>
      <c r="BS333" s="39"/>
      <c r="BT333" s="39"/>
      <c r="BU333" s="39"/>
      <c r="BV333" s="39"/>
      <c r="BW333" s="39"/>
      <c r="BX333" s="39"/>
      <c r="BY333" s="39"/>
      <c r="BZ333" s="39"/>
      <c r="CA333" s="39"/>
      <c r="CB333" s="39"/>
      <c r="CC333" s="39"/>
      <c r="CD333" s="39"/>
      <c r="CE333" s="39"/>
      <c r="CF333" s="39"/>
      <c r="CG333" s="39"/>
      <c r="CH333" s="39"/>
      <c r="CI333" s="39"/>
      <c r="CJ333" s="39"/>
      <c r="CK333" s="39"/>
      <c r="CL333" s="39"/>
      <c r="CM333" s="39"/>
      <c r="CN333" s="39"/>
      <c r="CO333" s="39"/>
      <c r="CP333" s="39"/>
      <c r="CQ333" s="39"/>
      <c r="CR333" s="39"/>
      <c r="CS333" s="39"/>
      <c r="CT333" s="39"/>
      <c r="CU333" s="39"/>
      <c r="CV333" s="39"/>
      <c r="CW333" s="39"/>
      <c r="CX333" s="39"/>
      <c r="CY333" s="39"/>
      <c r="CZ333" s="39"/>
      <c r="DA333" s="39"/>
      <c r="DB333" s="39"/>
      <c r="DC333" s="39"/>
      <c r="DD333" s="39"/>
      <c r="DE333" s="39"/>
      <c r="DF333" s="39"/>
      <c r="DG333" s="39"/>
      <c r="DH333" s="39"/>
      <c r="DI333" s="39"/>
      <c r="DJ333" s="39"/>
      <c r="DK333" s="39"/>
      <c r="DL333" s="39"/>
      <c r="DM333" s="39"/>
      <c r="DN333" s="39"/>
      <c r="DO333" s="39"/>
      <c r="DP333" s="39"/>
      <c r="DQ333" s="39"/>
      <c r="DR333" s="39"/>
      <c r="DS333" s="39"/>
      <c r="DT333" s="39"/>
      <c r="DU333" s="39"/>
      <c r="DV333" s="39"/>
      <c r="DW333" s="39"/>
      <c r="DX333" s="39"/>
      <c r="DY333" s="39"/>
      <c r="DZ333" s="39"/>
      <c r="EA333" s="39"/>
      <c r="EB333" s="39"/>
      <c r="EC333" s="39"/>
      <c r="ED333" s="39"/>
      <c r="EE333" s="39"/>
      <c r="EF333" s="39"/>
      <c r="EG333" s="39"/>
      <c r="EH333" s="39"/>
      <c r="EI333" s="39"/>
      <c r="EJ333" s="39"/>
      <c r="EK333" s="39"/>
      <c r="EL333" s="39"/>
      <c r="EM333" s="39"/>
      <c r="EN333" s="39"/>
      <c r="EO333" s="39"/>
      <c r="EP333" s="39"/>
      <c r="EQ333" s="39"/>
      <c r="ER333" s="39"/>
      <c r="ES333" s="39"/>
      <c r="ET333" s="39"/>
      <c r="EU333" s="39"/>
      <c r="EV333" s="39"/>
      <c r="EW333" s="39"/>
      <c r="EX333" s="39"/>
      <c r="EY333" s="39"/>
      <c r="EZ333" s="39"/>
      <c r="FA333" s="39"/>
      <c r="FB333" s="39"/>
      <c r="FC333" s="39"/>
      <c r="FD333" s="39"/>
      <c r="FE333" s="39"/>
      <c r="FF333" s="39"/>
      <c r="FG333" s="39"/>
      <c r="FH333" s="39"/>
      <c r="FI333" s="39"/>
      <c r="FJ333" s="39"/>
      <c r="FK333" s="39"/>
      <c r="FL333" s="39"/>
      <c r="FM333" s="39"/>
      <c r="FN333" s="39"/>
      <c r="FO333" s="39"/>
      <c r="FP333" s="39"/>
      <c r="FQ333" s="39"/>
      <c r="FR333" s="39"/>
      <c r="FS333" s="39"/>
      <c r="FT333" s="39"/>
      <c r="FU333" s="39"/>
      <c r="FV333" s="39"/>
      <c r="FW333" s="39"/>
      <c r="FX333" s="39"/>
      <c r="FY333" s="39"/>
      <c r="FZ333" s="39"/>
      <c r="GA333" s="39"/>
      <c r="GB333" s="39"/>
      <c r="GC333" s="39"/>
      <c r="GD333" s="39"/>
      <c r="GE333" s="39"/>
      <c r="GF333" s="39"/>
      <c r="GG333" s="39"/>
      <c r="GH333" s="39"/>
      <c r="GI333" s="39"/>
      <c r="GJ333" s="39"/>
      <c r="GK333" s="39"/>
      <c r="GL333" s="39"/>
      <c r="GM333" s="39"/>
      <c r="GN333" s="39"/>
      <c r="GO333" s="39"/>
      <c r="GP333" s="39"/>
      <c r="GQ333" s="39"/>
      <c r="GR333" s="39"/>
      <c r="GS333" s="39"/>
      <c r="GT333" s="39"/>
      <c r="GU333" s="39"/>
      <c r="GV333" s="39"/>
      <c r="GW333" s="39"/>
      <c r="GX333" s="39"/>
      <c r="GY333" s="39"/>
      <c r="GZ333" s="39"/>
      <c r="HA333" s="39"/>
      <c r="HB333" s="39"/>
      <c r="HC333" s="39"/>
      <c r="HD333" s="39"/>
      <c r="HE333" s="39"/>
      <c r="HF333" s="39"/>
      <c r="HG333" s="39"/>
      <c r="HH333" s="39"/>
      <c r="HI333" s="39"/>
      <c r="HJ333" s="39"/>
      <c r="HK333" s="39"/>
      <c r="HL333" s="39"/>
      <c r="HM333" s="39"/>
      <c r="HN333" s="39"/>
      <c r="HO333" s="39"/>
      <c r="HP333" s="39"/>
    </row>
    <row r="334" spans="3:224" s="4" customFormat="1" ht="20.100000000000001" customHeight="1">
      <c r="C334" s="34">
        <v>14110011</v>
      </c>
      <c r="D334" s="34" t="s">
        <v>356</v>
      </c>
      <c r="E334" s="35">
        <v>11200003</v>
      </c>
      <c r="F334" s="35">
        <v>11032</v>
      </c>
      <c r="G334" s="35">
        <v>1</v>
      </c>
      <c r="H334" s="35">
        <v>20</v>
      </c>
      <c r="I334" s="37">
        <v>0.2</v>
      </c>
      <c r="J334" s="38">
        <v>5</v>
      </c>
      <c r="K334" s="25">
        <v>0</v>
      </c>
      <c r="L334" s="35">
        <v>1560</v>
      </c>
      <c r="M334" s="35">
        <f t="shared" si="27"/>
        <v>0</v>
      </c>
      <c r="N334" s="35">
        <v>0</v>
      </c>
      <c r="O334" s="35">
        <v>0</v>
      </c>
      <c r="P334" s="35">
        <v>0</v>
      </c>
      <c r="Q334" s="35">
        <f t="shared" si="28"/>
        <v>18</v>
      </c>
      <c r="R334" s="35">
        <v>35</v>
      </c>
      <c r="S334" s="35">
        <f t="shared" si="29"/>
        <v>18</v>
      </c>
      <c r="T334" s="35">
        <v>35</v>
      </c>
      <c r="U334" s="37">
        <v>0</v>
      </c>
      <c r="V334" s="35">
        <v>0</v>
      </c>
      <c r="W334" s="35">
        <v>0</v>
      </c>
      <c r="X334" s="35">
        <v>0</v>
      </c>
      <c r="Y334" s="37">
        <v>0</v>
      </c>
      <c r="Z334" s="37">
        <v>0</v>
      </c>
      <c r="AA334" s="37">
        <v>0</v>
      </c>
      <c r="AB334" s="37">
        <v>0</v>
      </c>
      <c r="AC334" s="37">
        <v>0</v>
      </c>
      <c r="AD334" s="37">
        <v>0</v>
      </c>
      <c r="AE334" s="37"/>
      <c r="AF334" s="39"/>
      <c r="AG334" s="39"/>
      <c r="AH334" s="39"/>
      <c r="AI334" s="39"/>
      <c r="AJ334" s="39"/>
      <c r="AK334" s="39"/>
      <c r="AL334" s="39"/>
      <c r="AM334" s="39"/>
      <c r="AN334" s="39"/>
      <c r="AO334" s="39"/>
      <c r="AP334" s="39"/>
      <c r="AQ334" s="39"/>
      <c r="AR334" s="39"/>
      <c r="AS334" s="39"/>
      <c r="AT334" s="39"/>
      <c r="AU334" s="39"/>
      <c r="AV334" s="39"/>
      <c r="AW334" s="39"/>
      <c r="AX334" s="39"/>
      <c r="AY334" s="39"/>
      <c r="AZ334" s="39"/>
      <c r="BA334" s="39"/>
      <c r="BB334" s="39"/>
      <c r="BC334" s="39"/>
      <c r="BD334" s="39"/>
      <c r="BE334" s="39"/>
      <c r="BF334" s="39"/>
      <c r="BG334" s="39"/>
      <c r="BH334" s="39"/>
      <c r="BI334" s="39"/>
      <c r="BJ334" s="39"/>
      <c r="BK334" s="39"/>
      <c r="BL334" s="39"/>
      <c r="BM334" s="39"/>
      <c r="BN334" s="39"/>
      <c r="BO334" s="39"/>
      <c r="BP334" s="39"/>
      <c r="BQ334" s="39"/>
      <c r="BR334" s="39"/>
      <c r="BS334" s="39"/>
      <c r="BT334" s="39"/>
      <c r="BU334" s="39"/>
      <c r="BV334" s="39"/>
      <c r="BW334" s="39"/>
      <c r="BX334" s="39"/>
      <c r="BY334" s="39"/>
      <c r="BZ334" s="39"/>
      <c r="CA334" s="39"/>
      <c r="CB334" s="39"/>
      <c r="CC334" s="39"/>
      <c r="CD334" s="39"/>
      <c r="CE334" s="39"/>
      <c r="CF334" s="39"/>
      <c r="CG334" s="39"/>
      <c r="CH334" s="39"/>
      <c r="CI334" s="39"/>
      <c r="CJ334" s="39"/>
      <c r="CK334" s="39"/>
      <c r="CL334" s="39"/>
      <c r="CM334" s="39"/>
      <c r="CN334" s="39"/>
      <c r="CO334" s="39"/>
      <c r="CP334" s="39"/>
      <c r="CQ334" s="39"/>
      <c r="CR334" s="39"/>
      <c r="CS334" s="39"/>
      <c r="CT334" s="39"/>
      <c r="CU334" s="39"/>
      <c r="CV334" s="39"/>
      <c r="CW334" s="39"/>
      <c r="CX334" s="39"/>
      <c r="CY334" s="39"/>
      <c r="CZ334" s="39"/>
      <c r="DA334" s="39"/>
      <c r="DB334" s="39"/>
      <c r="DC334" s="39"/>
      <c r="DD334" s="39"/>
      <c r="DE334" s="39"/>
      <c r="DF334" s="39"/>
      <c r="DG334" s="39"/>
      <c r="DH334" s="39"/>
      <c r="DI334" s="39"/>
      <c r="DJ334" s="39"/>
      <c r="DK334" s="39"/>
      <c r="DL334" s="39"/>
      <c r="DM334" s="39"/>
      <c r="DN334" s="39"/>
      <c r="DO334" s="39"/>
      <c r="DP334" s="39"/>
      <c r="DQ334" s="39"/>
      <c r="DR334" s="39"/>
      <c r="DS334" s="39"/>
      <c r="DT334" s="39"/>
      <c r="DU334" s="39"/>
      <c r="DV334" s="39"/>
      <c r="DW334" s="39"/>
      <c r="DX334" s="39"/>
      <c r="DY334" s="39"/>
      <c r="DZ334" s="39"/>
      <c r="EA334" s="39"/>
      <c r="EB334" s="39"/>
      <c r="EC334" s="39"/>
      <c r="ED334" s="39"/>
      <c r="EE334" s="39"/>
      <c r="EF334" s="39"/>
      <c r="EG334" s="39"/>
      <c r="EH334" s="39"/>
      <c r="EI334" s="39"/>
      <c r="EJ334" s="39"/>
      <c r="EK334" s="39"/>
      <c r="EL334" s="39"/>
      <c r="EM334" s="39"/>
      <c r="EN334" s="39"/>
      <c r="EO334" s="39"/>
      <c r="EP334" s="39"/>
      <c r="EQ334" s="39"/>
      <c r="ER334" s="39"/>
      <c r="ES334" s="39"/>
      <c r="ET334" s="39"/>
      <c r="EU334" s="39"/>
      <c r="EV334" s="39"/>
      <c r="EW334" s="39"/>
      <c r="EX334" s="39"/>
      <c r="EY334" s="39"/>
      <c r="EZ334" s="39"/>
      <c r="FA334" s="39"/>
      <c r="FB334" s="39"/>
      <c r="FC334" s="39"/>
      <c r="FD334" s="39"/>
      <c r="FE334" s="39"/>
      <c r="FF334" s="39"/>
      <c r="FG334" s="39"/>
      <c r="FH334" s="39"/>
      <c r="FI334" s="39"/>
      <c r="FJ334" s="39"/>
      <c r="FK334" s="39"/>
      <c r="FL334" s="39"/>
      <c r="FM334" s="39"/>
      <c r="FN334" s="39"/>
      <c r="FO334" s="39"/>
      <c r="FP334" s="39"/>
      <c r="FQ334" s="39"/>
      <c r="FR334" s="39"/>
      <c r="FS334" s="39"/>
      <c r="FT334" s="39"/>
      <c r="FU334" s="39"/>
      <c r="FV334" s="39"/>
      <c r="FW334" s="39"/>
      <c r="FX334" s="39"/>
      <c r="FY334" s="39"/>
      <c r="FZ334" s="39"/>
      <c r="GA334" s="39"/>
      <c r="GB334" s="39"/>
      <c r="GC334" s="39"/>
      <c r="GD334" s="39"/>
      <c r="GE334" s="39"/>
      <c r="GF334" s="39"/>
      <c r="GG334" s="39"/>
      <c r="GH334" s="39"/>
      <c r="GI334" s="39"/>
      <c r="GJ334" s="39"/>
      <c r="GK334" s="39"/>
      <c r="GL334" s="39"/>
      <c r="GM334" s="39"/>
      <c r="GN334" s="39"/>
      <c r="GO334" s="39"/>
      <c r="GP334" s="39"/>
      <c r="GQ334" s="39"/>
      <c r="GR334" s="39"/>
      <c r="GS334" s="39"/>
      <c r="GT334" s="39"/>
      <c r="GU334" s="39"/>
      <c r="GV334" s="39"/>
      <c r="GW334" s="39"/>
      <c r="GX334" s="39"/>
      <c r="GY334" s="39"/>
      <c r="GZ334" s="39"/>
      <c r="HA334" s="39"/>
      <c r="HB334" s="39"/>
      <c r="HC334" s="39"/>
      <c r="HD334" s="39"/>
      <c r="HE334" s="39"/>
      <c r="HF334" s="39"/>
      <c r="HG334" s="39"/>
      <c r="HH334" s="39"/>
      <c r="HI334" s="39"/>
      <c r="HJ334" s="39"/>
      <c r="HK334" s="39"/>
      <c r="HL334" s="39"/>
      <c r="HM334" s="39"/>
      <c r="HN334" s="39"/>
      <c r="HO334" s="39"/>
      <c r="HP334" s="39"/>
    </row>
    <row r="335" spans="3:224" s="4" customFormat="1" ht="20.100000000000001" customHeight="1">
      <c r="C335" s="34">
        <v>14110012</v>
      </c>
      <c r="D335" s="34" t="s">
        <v>357</v>
      </c>
      <c r="E335" s="35">
        <v>11200003</v>
      </c>
      <c r="F335" s="35">
        <v>11043</v>
      </c>
      <c r="G335" s="35">
        <v>1</v>
      </c>
      <c r="H335" s="35">
        <v>20</v>
      </c>
      <c r="I335" s="37">
        <v>0.2</v>
      </c>
      <c r="J335" s="38">
        <v>10</v>
      </c>
      <c r="K335" s="25">
        <v>0</v>
      </c>
      <c r="L335" s="35">
        <v>1890</v>
      </c>
      <c r="M335" s="35">
        <f t="shared" si="27"/>
        <v>0</v>
      </c>
      <c r="N335" s="35">
        <v>0</v>
      </c>
      <c r="O335" s="35">
        <v>0</v>
      </c>
      <c r="P335" s="35">
        <v>0</v>
      </c>
      <c r="Q335" s="35">
        <f t="shared" si="28"/>
        <v>24</v>
      </c>
      <c r="R335" s="35">
        <v>48</v>
      </c>
      <c r="S335" s="35">
        <f t="shared" si="29"/>
        <v>24</v>
      </c>
      <c r="T335" s="35">
        <v>48</v>
      </c>
      <c r="U335" s="37">
        <v>0</v>
      </c>
      <c r="V335" s="35">
        <v>0</v>
      </c>
      <c r="W335" s="35">
        <v>0</v>
      </c>
      <c r="X335" s="35">
        <v>0</v>
      </c>
      <c r="Y335" s="37">
        <v>0</v>
      </c>
      <c r="Z335" s="37">
        <v>0</v>
      </c>
      <c r="AA335" s="37">
        <v>0</v>
      </c>
      <c r="AB335" s="37">
        <v>0</v>
      </c>
      <c r="AC335" s="37">
        <v>0</v>
      </c>
      <c r="AD335" s="37">
        <v>0</v>
      </c>
      <c r="AE335" s="37"/>
      <c r="AF335" s="39"/>
      <c r="AG335" s="39"/>
      <c r="AH335" s="39"/>
      <c r="AI335" s="39"/>
      <c r="AJ335" s="39"/>
      <c r="AK335" s="39"/>
      <c r="AL335" s="39"/>
      <c r="AM335" s="39"/>
      <c r="AN335" s="39"/>
      <c r="AO335" s="39"/>
      <c r="AP335" s="39"/>
      <c r="AQ335" s="39"/>
      <c r="AR335" s="39"/>
      <c r="AS335" s="39"/>
      <c r="AT335" s="39"/>
      <c r="AU335" s="39"/>
      <c r="AV335" s="39"/>
      <c r="AW335" s="39"/>
      <c r="AX335" s="39"/>
      <c r="AY335" s="39"/>
      <c r="AZ335" s="39"/>
      <c r="BA335" s="39"/>
      <c r="BB335" s="39"/>
      <c r="BC335" s="39"/>
      <c r="BD335" s="39"/>
      <c r="BE335" s="39"/>
      <c r="BF335" s="39"/>
      <c r="BG335" s="39"/>
      <c r="BH335" s="39"/>
      <c r="BI335" s="39"/>
      <c r="BJ335" s="39"/>
      <c r="BK335" s="39"/>
      <c r="BL335" s="39"/>
      <c r="BM335" s="39"/>
      <c r="BN335" s="39"/>
      <c r="BO335" s="39"/>
      <c r="BP335" s="39"/>
      <c r="BQ335" s="39"/>
      <c r="BR335" s="39"/>
      <c r="BS335" s="39"/>
      <c r="BT335" s="39"/>
      <c r="BU335" s="39"/>
      <c r="BV335" s="39"/>
      <c r="BW335" s="39"/>
      <c r="BX335" s="39"/>
      <c r="BY335" s="39"/>
      <c r="BZ335" s="39"/>
      <c r="CA335" s="39"/>
      <c r="CB335" s="39"/>
      <c r="CC335" s="39"/>
      <c r="CD335" s="39"/>
      <c r="CE335" s="39"/>
      <c r="CF335" s="39"/>
      <c r="CG335" s="39"/>
      <c r="CH335" s="39"/>
      <c r="CI335" s="39"/>
      <c r="CJ335" s="39"/>
      <c r="CK335" s="39"/>
      <c r="CL335" s="39"/>
      <c r="CM335" s="39"/>
      <c r="CN335" s="39"/>
      <c r="CO335" s="39"/>
      <c r="CP335" s="39"/>
      <c r="CQ335" s="39"/>
      <c r="CR335" s="39"/>
      <c r="CS335" s="39"/>
      <c r="CT335" s="39"/>
      <c r="CU335" s="39"/>
      <c r="CV335" s="39"/>
      <c r="CW335" s="39"/>
      <c r="CX335" s="39"/>
      <c r="CY335" s="39"/>
      <c r="CZ335" s="39"/>
      <c r="DA335" s="39"/>
      <c r="DB335" s="39"/>
      <c r="DC335" s="39"/>
      <c r="DD335" s="39"/>
      <c r="DE335" s="39"/>
      <c r="DF335" s="39"/>
      <c r="DG335" s="39"/>
      <c r="DH335" s="39"/>
      <c r="DI335" s="39"/>
      <c r="DJ335" s="39"/>
      <c r="DK335" s="39"/>
      <c r="DL335" s="39"/>
      <c r="DM335" s="39"/>
      <c r="DN335" s="39"/>
      <c r="DO335" s="39"/>
      <c r="DP335" s="39"/>
      <c r="DQ335" s="39"/>
      <c r="DR335" s="39"/>
      <c r="DS335" s="39"/>
      <c r="DT335" s="39"/>
      <c r="DU335" s="39"/>
      <c r="DV335" s="39"/>
      <c r="DW335" s="39"/>
      <c r="DX335" s="39"/>
      <c r="DY335" s="39"/>
      <c r="DZ335" s="39"/>
      <c r="EA335" s="39"/>
      <c r="EB335" s="39"/>
      <c r="EC335" s="39"/>
      <c r="ED335" s="39"/>
      <c r="EE335" s="39"/>
      <c r="EF335" s="39"/>
      <c r="EG335" s="39"/>
      <c r="EH335" s="39"/>
      <c r="EI335" s="39"/>
      <c r="EJ335" s="39"/>
      <c r="EK335" s="39"/>
      <c r="EL335" s="39"/>
      <c r="EM335" s="39"/>
      <c r="EN335" s="39"/>
      <c r="EO335" s="39"/>
      <c r="EP335" s="39"/>
      <c r="EQ335" s="39"/>
      <c r="ER335" s="39"/>
      <c r="ES335" s="39"/>
      <c r="ET335" s="39"/>
      <c r="EU335" s="39"/>
      <c r="EV335" s="39"/>
      <c r="EW335" s="39"/>
      <c r="EX335" s="39"/>
      <c r="EY335" s="39"/>
      <c r="EZ335" s="39"/>
      <c r="FA335" s="39"/>
      <c r="FB335" s="39"/>
      <c r="FC335" s="39"/>
      <c r="FD335" s="39"/>
      <c r="FE335" s="39"/>
      <c r="FF335" s="39"/>
      <c r="FG335" s="39"/>
      <c r="FH335" s="39"/>
      <c r="FI335" s="39"/>
      <c r="FJ335" s="39"/>
      <c r="FK335" s="39"/>
      <c r="FL335" s="39"/>
      <c r="FM335" s="39"/>
      <c r="FN335" s="39"/>
      <c r="FO335" s="39"/>
      <c r="FP335" s="39"/>
      <c r="FQ335" s="39"/>
      <c r="FR335" s="39"/>
      <c r="FS335" s="39"/>
      <c r="FT335" s="39"/>
      <c r="FU335" s="39"/>
      <c r="FV335" s="39"/>
      <c r="FW335" s="39"/>
      <c r="FX335" s="39"/>
      <c r="FY335" s="39"/>
      <c r="FZ335" s="39"/>
      <c r="GA335" s="39"/>
      <c r="GB335" s="39"/>
      <c r="GC335" s="39"/>
      <c r="GD335" s="39"/>
      <c r="GE335" s="39"/>
      <c r="GF335" s="39"/>
      <c r="GG335" s="39"/>
      <c r="GH335" s="39"/>
      <c r="GI335" s="39"/>
      <c r="GJ335" s="39"/>
      <c r="GK335" s="39"/>
      <c r="GL335" s="39"/>
      <c r="GM335" s="39"/>
      <c r="GN335" s="39"/>
      <c r="GO335" s="39"/>
      <c r="GP335" s="39"/>
      <c r="GQ335" s="39"/>
      <c r="GR335" s="39"/>
      <c r="GS335" s="39"/>
      <c r="GT335" s="39"/>
      <c r="GU335" s="39"/>
      <c r="GV335" s="39"/>
      <c r="GW335" s="39"/>
      <c r="GX335" s="39"/>
      <c r="GY335" s="39"/>
      <c r="GZ335" s="39"/>
      <c r="HA335" s="39"/>
      <c r="HB335" s="39"/>
      <c r="HC335" s="39"/>
      <c r="HD335" s="39"/>
      <c r="HE335" s="39"/>
      <c r="HF335" s="39"/>
      <c r="HG335" s="39"/>
      <c r="HH335" s="39"/>
      <c r="HI335" s="39"/>
      <c r="HJ335" s="39"/>
      <c r="HK335" s="39"/>
      <c r="HL335" s="39"/>
      <c r="HM335" s="39"/>
      <c r="HN335" s="39"/>
      <c r="HO335" s="39"/>
      <c r="HP335" s="39"/>
    </row>
    <row r="336" spans="3:224" ht="20.100000000000001" customHeight="1">
      <c r="C336" s="24">
        <v>14110021</v>
      </c>
      <c r="D336" s="36" t="s">
        <v>358</v>
      </c>
      <c r="E336" s="25">
        <v>11200003</v>
      </c>
      <c r="F336" s="25">
        <v>11041</v>
      </c>
      <c r="G336" s="25">
        <v>1</v>
      </c>
      <c r="H336" s="25">
        <v>20</v>
      </c>
      <c r="I336" s="29">
        <v>0.2</v>
      </c>
      <c r="J336" s="30">
        <v>10</v>
      </c>
      <c r="K336" s="25">
        <v>0</v>
      </c>
      <c r="L336" s="25">
        <v>2050</v>
      </c>
      <c r="M336" s="25">
        <f t="shared" si="27"/>
        <v>0</v>
      </c>
      <c r="N336" s="25">
        <v>0</v>
      </c>
      <c r="O336" s="25">
        <v>0</v>
      </c>
      <c r="P336" s="25">
        <v>0</v>
      </c>
      <c r="Q336" s="25">
        <v>25</v>
      </c>
      <c r="R336" s="25">
        <v>49</v>
      </c>
      <c r="S336" s="25">
        <v>25</v>
      </c>
      <c r="T336" s="25">
        <v>49</v>
      </c>
      <c r="U336" s="29">
        <v>0</v>
      </c>
      <c r="V336" s="25">
        <v>0</v>
      </c>
      <c r="W336" s="25">
        <v>0</v>
      </c>
      <c r="X336" s="25">
        <v>0</v>
      </c>
      <c r="Y336" s="29">
        <v>0</v>
      </c>
      <c r="Z336" s="29">
        <v>0</v>
      </c>
      <c r="AA336" s="29">
        <v>0</v>
      </c>
      <c r="AB336" s="29">
        <v>204603</v>
      </c>
      <c r="AC336" s="29">
        <v>500</v>
      </c>
      <c r="AD336" s="29">
        <v>1</v>
      </c>
      <c r="AE336" s="29"/>
      <c r="GR336" s="5"/>
      <c r="GS336" s="5"/>
      <c r="GT336" s="5"/>
      <c r="GU336" s="5"/>
      <c r="GV336" s="5"/>
      <c r="GW336" s="5"/>
      <c r="GX336" s="5"/>
      <c r="GY336" s="5"/>
      <c r="GZ336" s="5"/>
      <c r="HA336" s="5"/>
      <c r="HB336" s="5"/>
      <c r="HC336" s="5"/>
      <c r="HD336" s="5"/>
      <c r="HE336" s="5"/>
      <c r="HF336" s="5"/>
      <c r="HG336" s="5"/>
      <c r="HH336" s="5"/>
      <c r="HI336" s="5"/>
      <c r="HJ336" s="5"/>
      <c r="HK336" s="5"/>
      <c r="HL336" s="5"/>
      <c r="HM336" s="5"/>
      <c r="HN336" s="5"/>
      <c r="HO336" s="5"/>
      <c r="HP336" s="5"/>
    </row>
    <row r="337" spans="3:224" ht="20.100000000000001" customHeight="1">
      <c r="C337" s="24">
        <v>14110022</v>
      </c>
      <c r="D337" s="36" t="s">
        <v>359</v>
      </c>
      <c r="E337" s="25">
        <v>11200003</v>
      </c>
      <c r="F337" s="25">
        <v>11042</v>
      </c>
      <c r="G337" s="25">
        <v>1</v>
      </c>
      <c r="H337" s="25">
        <v>20</v>
      </c>
      <c r="I337" s="29">
        <v>0.2</v>
      </c>
      <c r="J337" s="30">
        <v>10</v>
      </c>
      <c r="K337" s="25">
        <v>0</v>
      </c>
      <c r="L337" s="25">
        <v>1030</v>
      </c>
      <c r="M337" s="25">
        <f t="shared" si="27"/>
        <v>0</v>
      </c>
      <c r="N337" s="25">
        <v>0</v>
      </c>
      <c r="O337" s="25">
        <v>0</v>
      </c>
      <c r="P337" s="25">
        <v>0</v>
      </c>
      <c r="Q337" s="25">
        <v>20</v>
      </c>
      <c r="R337" s="25">
        <v>38</v>
      </c>
      <c r="S337" s="25">
        <v>20</v>
      </c>
      <c r="T337" s="25">
        <v>38</v>
      </c>
      <c r="U337" s="29">
        <v>0</v>
      </c>
      <c r="V337" s="25">
        <v>0</v>
      </c>
      <c r="W337" s="25">
        <v>0</v>
      </c>
      <c r="X337" s="25">
        <v>0</v>
      </c>
      <c r="Y337" s="29">
        <v>0</v>
      </c>
      <c r="Z337" s="29">
        <v>0</v>
      </c>
      <c r="AA337" s="29">
        <v>0</v>
      </c>
      <c r="AB337" s="29">
        <v>204903</v>
      </c>
      <c r="AC337" s="29">
        <v>500</v>
      </c>
      <c r="AD337" s="29">
        <v>1</v>
      </c>
      <c r="AE337" s="29"/>
      <c r="GR337" s="5"/>
      <c r="GS337" s="5"/>
      <c r="GT337" s="5"/>
      <c r="GU337" s="5"/>
      <c r="GV337" s="5"/>
      <c r="GW337" s="5"/>
      <c r="GX337" s="5"/>
      <c r="GY337" s="5"/>
      <c r="GZ337" s="5"/>
      <c r="HA337" s="5"/>
      <c r="HB337" s="5"/>
      <c r="HC337" s="5"/>
      <c r="HD337" s="5"/>
      <c r="HE337" s="5"/>
      <c r="HF337" s="5"/>
      <c r="HG337" s="5"/>
      <c r="HH337" s="5"/>
      <c r="HI337" s="5"/>
      <c r="HJ337" s="5"/>
      <c r="HK337" s="5"/>
      <c r="HL337" s="5"/>
      <c r="HM337" s="5"/>
      <c r="HN337" s="5"/>
      <c r="HO337" s="5"/>
      <c r="HP337" s="5"/>
    </row>
    <row r="338" spans="3:224" ht="20.100000000000001" customHeight="1">
      <c r="C338" s="24">
        <v>14110023</v>
      </c>
      <c r="D338" s="36" t="s">
        <v>360</v>
      </c>
      <c r="E338" s="25">
        <v>11200003</v>
      </c>
      <c r="F338" s="25">
        <v>11043</v>
      </c>
      <c r="G338" s="25">
        <v>1</v>
      </c>
      <c r="H338" s="25">
        <v>20</v>
      </c>
      <c r="I338" s="29">
        <v>0.2</v>
      </c>
      <c r="J338" s="30">
        <v>10</v>
      </c>
      <c r="K338" s="25">
        <v>0</v>
      </c>
      <c r="L338" s="25">
        <v>3080</v>
      </c>
      <c r="M338" s="25">
        <f t="shared" si="27"/>
        <v>0</v>
      </c>
      <c r="N338" s="25">
        <v>0</v>
      </c>
      <c r="O338" s="25">
        <v>0</v>
      </c>
      <c r="P338" s="25">
        <v>0</v>
      </c>
      <c r="Q338" s="25">
        <v>31</v>
      </c>
      <c r="R338" s="25">
        <v>62</v>
      </c>
      <c r="S338" s="25">
        <v>31</v>
      </c>
      <c r="T338" s="25">
        <v>62</v>
      </c>
      <c r="U338" s="29">
        <v>0</v>
      </c>
      <c r="V338" s="25">
        <v>0</v>
      </c>
      <c r="W338" s="25">
        <v>0</v>
      </c>
      <c r="X338" s="25">
        <v>0</v>
      </c>
      <c r="Y338" s="29">
        <v>0</v>
      </c>
      <c r="Z338" s="29">
        <v>0</v>
      </c>
      <c r="AA338" s="29">
        <v>0</v>
      </c>
      <c r="AB338" s="29">
        <v>100202</v>
      </c>
      <c r="AC338" s="29">
        <v>500</v>
      </c>
      <c r="AD338" s="29">
        <v>1</v>
      </c>
      <c r="AE338" s="29"/>
      <c r="GR338" s="5"/>
      <c r="GS338" s="5"/>
      <c r="GT338" s="5"/>
      <c r="GU338" s="5"/>
      <c r="GV338" s="5"/>
      <c r="GW338" s="5"/>
      <c r="GX338" s="5"/>
      <c r="GY338" s="5"/>
      <c r="GZ338" s="5"/>
      <c r="HA338" s="5"/>
      <c r="HB338" s="5"/>
      <c r="HC338" s="5"/>
      <c r="HD338" s="5"/>
      <c r="HE338" s="5"/>
      <c r="HF338" s="5"/>
      <c r="HG338" s="5"/>
      <c r="HH338" s="5"/>
      <c r="HI338" s="5"/>
      <c r="HJ338" s="5"/>
      <c r="HK338" s="5"/>
      <c r="HL338" s="5"/>
      <c r="HM338" s="5"/>
      <c r="HN338" s="5"/>
      <c r="HO338" s="5"/>
      <c r="HP338" s="5"/>
    </row>
    <row r="339" spans="3:224" ht="20.100000000000001" customHeight="1">
      <c r="C339" s="24">
        <v>15201001</v>
      </c>
      <c r="D339" s="25" t="s">
        <v>361</v>
      </c>
      <c r="E339" s="25">
        <v>11200003</v>
      </c>
      <c r="F339" s="25">
        <v>0</v>
      </c>
      <c r="G339" s="25">
        <v>1</v>
      </c>
      <c r="H339" s="25">
        <v>30</v>
      </c>
      <c r="I339" s="29">
        <v>0.2</v>
      </c>
      <c r="J339" s="30">
        <v>10</v>
      </c>
      <c r="K339" s="25">
        <v>0</v>
      </c>
      <c r="L339" s="25">
        <v>0</v>
      </c>
      <c r="M339" s="25">
        <f t="shared" si="27"/>
        <v>15</v>
      </c>
      <c r="N339" s="25">
        <v>30</v>
      </c>
      <c r="O339" s="25">
        <v>0</v>
      </c>
      <c r="P339" s="25">
        <v>0</v>
      </c>
      <c r="Q339" s="25">
        <f t="shared" si="28"/>
        <v>9</v>
      </c>
      <c r="R339" s="25">
        <v>18</v>
      </c>
      <c r="S339" s="25">
        <f t="shared" si="29"/>
        <v>9</v>
      </c>
      <c r="T339" s="25">
        <v>18</v>
      </c>
      <c r="U339" s="29">
        <v>0</v>
      </c>
      <c r="V339" s="25">
        <v>0</v>
      </c>
      <c r="W339" s="25">
        <v>0</v>
      </c>
      <c r="X339" s="25">
        <v>0</v>
      </c>
      <c r="Y339" s="29">
        <v>0</v>
      </c>
      <c r="Z339" s="29">
        <v>0</v>
      </c>
      <c r="AA339" s="29">
        <v>0</v>
      </c>
      <c r="AB339" s="29">
        <v>0</v>
      </c>
      <c r="AC339" s="29">
        <v>0</v>
      </c>
      <c r="AD339" s="29">
        <v>0</v>
      </c>
      <c r="AE339" s="29"/>
      <c r="GR339" s="5"/>
      <c r="GS339" s="5"/>
      <c r="GT339" s="5"/>
      <c r="GU339" s="5"/>
      <c r="GV339" s="5"/>
      <c r="GW339" s="5"/>
      <c r="GX339" s="5"/>
      <c r="GY339" s="5"/>
      <c r="GZ339" s="5"/>
      <c r="HA339" s="5"/>
      <c r="HB339" s="5"/>
      <c r="HC339" s="5"/>
      <c r="HD339" s="5"/>
      <c r="HE339" s="5"/>
      <c r="HF339" s="5"/>
      <c r="HG339" s="5"/>
      <c r="HH339" s="5"/>
      <c r="HI339" s="5"/>
      <c r="HJ339" s="5"/>
      <c r="HK339" s="5"/>
      <c r="HL339" s="5"/>
      <c r="HM339" s="5"/>
      <c r="HN339" s="5"/>
      <c r="HO339" s="5"/>
      <c r="HP339" s="5"/>
    </row>
    <row r="340" spans="3:224" ht="20.100000000000001" customHeight="1">
      <c r="C340" s="24">
        <v>15201002</v>
      </c>
      <c r="D340" s="25" t="s">
        <v>362</v>
      </c>
      <c r="E340" s="25">
        <v>11200003</v>
      </c>
      <c r="F340" s="25">
        <v>12011</v>
      </c>
      <c r="G340" s="25">
        <v>1</v>
      </c>
      <c r="H340" s="25">
        <v>30</v>
      </c>
      <c r="I340" s="29">
        <v>0.2</v>
      </c>
      <c r="J340" s="30">
        <v>10</v>
      </c>
      <c r="K340" s="25">
        <v>0</v>
      </c>
      <c r="L340" s="25">
        <v>0</v>
      </c>
      <c r="M340" s="25">
        <f t="shared" si="27"/>
        <v>19</v>
      </c>
      <c r="N340" s="25">
        <v>38</v>
      </c>
      <c r="O340" s="25">
        <v>0</v>
      </c>
      <c r="P340" s="25">
        <v>0</v>
      </c>
      <c r="Q340" s="25">
        <f t="shared" si="28"/>
        <v>12</v>
      </c>
      <c r="R340" s="25">
        <v>23</v>
      </c>
      <c r="S340" s="25">
        <f t="shared" si="29"/>
        <v>12</v>
      </c>
      <c r="T340" s="25">
        <v>23</v>
      </c>
      <c r="U340" s="29">
        <v>0</v>
      </c>
      <c r="V340" s="25">
        <v>0</v>
      </c>
      <c r="W340" s="25">
        <v>0</v>
      </c>
      <c r="X340" s="25">
        <v>0</v>
      </c>
      <c r="Y340" s="29">
        <v>0</v>
      </c>
      <c r="Z340" s="29">
        <v>0</v>
      </c>
      <c r="AA340" s="29">
        <v>0</v>
      </c>
      <c r="AB340" s="29">
        <v>0</v>
      </c>
      <c r="AC340" s="29">
        <v>0</v>
      </c>
      <c r="AD340" s="29">
        <v>0</v>
      </c>
      <c r="AE340" s="29"/>
      <c r="GR340" s="5"/>
      <c r="GS340" s="5"/>
      <c r="GT340" s="5"/>
      <c r="GU340" s="5"/>
      <c r="GV340" s="5"/>
      <c r="GW340" s="5"/>
      <c r="GX340" s="5"/>
      <c r="GY340" s="5"/>
      <c r="GZ340" s="5"/>
      <c r="HA340" s="5"/>
      <c r="HB340" s="5"/>
      <c r="HC340" s="5"/>
      <c r="HD340" s="5"/>
      <c r="HE340" s="5"/>
      <c r="HF340" s="5"/>
      <c r="HG340" s="5"/>
      <c r="HH340" s="5"/>
      <c r="HI340" s="5"/>
      <c r="HJ340" s="5"/>
      <c r="HK340" s="5"/>
      <c r="HL340" s="5"/>
      <c r="HM340" s="5"/>
      <c r="HN340" s="5"/>
      <c r="HO340" s="5"/>
      <c r="HP340" s="5"/>
    </row>
    <row r="341" spans="3:224" ht="20.100000000000001" customHeight="1">
      <c r="C341" s="24">
        <v>15201003</v>
      </c>
      <c r="D341" s="25" t="s">
        <v>363</v>
      </c>
      <c r="E341" s="25">
        <v>11200003</v>
      </c>
      <c r="F341" s="25">
        <v>0</v>
      </c>
      <c r="G341" s="25">
        <v>1</v>
      </c>
      <c r="H341" s="25">
        <v>30</v>
      </c>
      <c r="I341" s="29">
        <v>0.2</v>
      </c>
      <c r="J341" s="30">
        <v>10</v>
      </c>
      <c r="K341" s="25">
        <v>0</v>
      </c>
      <c r="L341" s="25">
        <v>0</v>
      </c>
      <c r="M341" s="25">
        <f t="shared" si="27"/>
        <v>21</v>
      </c>
      <c r="N341" s="25">
        <v>41</v>
      </c>
      <c r="O341" s="25">
        <v>0</v>
      </c>
      <c r="P341" s="25">
        <v>0</v>
      </c>
      <c r="Q341" s="25">
        <f t="shared" si="28"/>
        <v>7</v>
      </c>
      <c r="R341" s="25">
        <v>14</v>
      </c>
      <c r="S341" s="25">
        <f t="shared" si="29"/>
        <v>7</v>
      </c>
      <c r="T341" s="25">
        <v>14</v>
      </c>
      <c r="U341" s="29">
        <v>0</v>
      </c>
      <c r="V341" s="25">
        <v>0</v>
      </c>
      <c r="W341" s="25">
        <v>0</v>
      </c>
      <c r="X341" s="25">
        <v>0</v>
      </c>
      <c r="Y341" s="29">
        <v>0</v>
      </c>
      <c r="Z341" s="29">
        <v>0</v>
      </c>
      <c r="AA341" s="29">
        <v>0</v>
      </c>
      <c r="AB341" s="29">
        <v>0</v>
      </c>
      <c r="AC341" s="29">
        <v>0</v>
      </c>
      <c r="AD341" s="29">
        <v>0</v>
      </c>
      <c r="AE341" s="29"/>
      <c r="GR341" s="5"/>
      <c r="GS341" s="5"/>
      <c r="GT341" s="5"/>
      <c r="GU341" s="5"/>
      <c r="GV341" s="5"/>
      <c r="GW341" s="5"/>
      <c r="GX341" s="5"/>
      <c r="GY341" s="5"/>
      <c r="GZ341" s="5"/>
      <c r="HA341" s="5"/>
      <c r="HB341" s="5"/>
      <c r="HC341" s="5"/>
      <c r="HD341" s="5"/>
      <c r="HE341" s="5"/>
      <c r="HF341" s="5"/>
      <c r="HG341" s="5"/>
      <c r="HH341" s="5"/>
      <c r="HI341" s="5"/>
      <c r="HJ341" s="5"/>
      <c r="HK341" s="5"/>
      <c r="HL341" s="5"/>
      <c r="HM341" s="5"/>
      <c r="HN341" s="5"/>
      <c r="HO341" s="5"/>
      <c r="HP341" s="5"/>
    </row>
    <row r="342" spans="3:224" ht="20.100000000000001" customHeight="1">
      <c r="C342" s="24">
        <v>15201004</v>
      </c>
      <c r="D342" s="25" t="s">
        <v>364</v>
      </c>
      <c r="E342" s="25">
        <v>11200003</v>
      </c>
      <c r="F342" s="25">
        <v>12021</v>
      </c>
      <c r="G342" s="25">
        <v>1</v>
      </c>
      <c r="H342" s="25">
        <v>30</v>
      </c>
      <c r="I342" s="29">
        <v>0.2</v>
      </c>
      <c r="J342" s="30">
        <v>10</v>
      </c>
      <c r="K342" s="25">
        <v>0</v>
      </c>
      <c r="L342" s="25">
        <v>0</v>
      </c>
      <c r="M342" s="25">
        <f t="shared" si="27"/>
        <v>26</v>
      </c>
      <c r="N342" s="25">
        <v>51</v>
      </c>
      <c r="O342" s="25">
        <v>0</v>
      </c>
      <c r="P342" s="25">
        <v>0</v>
      </c>
      <c r="Q342" s="25">
        <f t="shared" si="28"/>
        <v>9</v>
      </c>
      <c r="R342" s="25">
        <v>17</v>
      </c>
      <c r="S342" s="25">
        <f t="shared" si="29"/>
        <v>9</v>
      </c>
      <c r="T342" s="25">
        <v>17</v>
      </c>
      <c r="U342" s="29">
        <v>0</v>
      </c>
      <c r="V342" s="25">
        <v>0</v>
      </c>
      <c r="W342" s="25">
        <v>0</v>
      </c>
      <c r="X342" s="25">
        <v>0</v>
      </c>
      <c r="Y342" s="29">
        <v>0</v>
      </c>
      <c r="Z342" s="29">
        <v>0</v>
      </c>
      <c r="AA342" s="29">
        <v>0</v>
      </c>
      <c r="AB342" s="29">
        <v>0</v>
      </c>
      <c r="AC342" s="29">
        <v>0</v>
      </c>
      <c r="AD342" s="29">
        <v>0</v>
      </c>
      <c r="AE342" s="29"/>
      <c r="GR342" s="5"/>
      <c r="GS342" s="5"/>
      <c r="GT342" s="5"/>
      <c r="GU342" s="5"/>
      <c r="GV342" s="5"/>
      <c r="GW342" s="5"/>
      <c r="GX342" s="5"/>
      <c r="GY342" s="5"/>
      <c r="GZ342" s="5"/>
      <c r="HA342" s="5"/>
      <c r="HB342" s="5"/>
      <c r="HC342" s="5"/>
      <c r="HD342" s="5"/>
      <c r="HE342" s="5"/>
      <c r="HF342" s="5"/>
      <c r="HG342" s="5"/>
      <c r="HH342" s="5"/>
      <c r="HI342" s="5"/>
      <c r="HJ342" s="5"/>
      <c r="HK342" s="5"/>
      <c r="HL342" s="5"/>
      <c r="HM342" s="5"/>
      <c r="HN342" s="5"/>
      <c r="HO342" s="5"/>
      <c r="HP342" s="5"/>
    </row>
    <row r="343" spans="3:224" ht="20.100000000000001" customHeight="1">
      <c r="C343" s="24">
        <v>15201005</v>
      </c>
      <c r="D343" s="25" t="s">
        <v>365</v>
      </c>
      <c r="E343" s="25">
        <v>11200003</v>
      </c>
      <c r="F343" s="25">
        <v>0</v>
      </c>
      <c r="G343" s="25">
        <v>1</v>
      </c>
      <c r="H343" s="25">
        <v>30</v>
      </c>
      <c r="I343" s="29">
        <v>0.2</v>
      </c>
      <c r="J343" s="30">
        <v>10</v>
      </c>
      <c r="K343" s="25">
        <v>0</v>
      </c>
      <c r="L343" s="25">
        <v>0</v>
      </c>
      <c r="M343" s="25">
        <f t="shared" si="27"/>
        <v>12</v>
      </c>
      <c r="N343" s="25">
        <v>23</v>
      </c>
      <c r="O343" s="25">
        <v>0</v>
      </c>
      <c r="P343" s="25">
        <v>0</v>
      </c>
      <c r="Q343" s="25">
        <f t="shared" si="28"/>
        <v>12</v>
      </c>
      <c r="R343" s="25">
        <v>23</v>
      </c>
      <c r="S343" s="25">
        <f t="shared" si="29"/>
        <v>12</v>
      </c>
      <c r="T343" s="25">
        <v>23</v>
      </c>
      <c r="U343" s="29">
        <v>0</v>
      </c>
      <c r="V343" s="25">
        <v>0</v>
      </c>
      <c r="W343" s="25">
        <v>0</v>
      </c>
      <c r="X343" s="25">
        <v>0</v>
      </c>
      <c r="Y343" s="29">
        <v>0</v>
      </c>
      <c r="Z343" s="29">
        <v>0</v>
      </c>
      <c r="AA343" s="29">
        <v>0</v>
      </c>
      <c r="AB343" s="29">
        <v>0</v>
      </c>
      <c r="AC343" s="29">
        <v>0</v>
      </c>
      <c r="AD343" s="29">
        <v>0</v>
      </c>
      <c r="AE343" s="29"/>
      <c r="GR343" s="5"/>
      <c r="GS343" s="5"/>
      <c r="GT343" s="5"/>
      <c r="GU343" s="5"/>
      <c r="GV343" s="5"/>
      <c r="GW343" s="5"/>
      <c r="GX343" s="5"/>
      <c r="GY343" s="5"/>
      <c r="GZ343" s="5"/>
      <c r="HA343" s="5"/>
      <c r="HB343" s="5"/>
      <c r="HC343" s="5"/>
      <c r="HD343" s="5"/>
      <c r="HE343" s="5"/>
      <c r="HF343" s="5"/>
      <c r="HG343" s="5"/>
      <c r="HH343" s="5"/>
      <c r="HI343" s="5"/>
      <c r="HJ343" s="5"/>
      <c r="HK343" s="5"/>
      <c r="HL343" s="5"/>
      <c r="HM343" s="5"/>
      <c r="HN343" s="5"/>
      <c r="HO343" s="5"/>
      <c r="HP343" s="5"/>
    </row>
    <row r="344" spans="3:224" ht="20.100000000000001" customHeight="1">
      <c r="C344" s="24">
        <v>15201006</v>
      </c>
      <c r="D344" s="25" t="s">
        <v>366</v>
      </c>
      <c r="E344" s="25">
        <v>11200003</v>
      </c>
      <c r="F344" s="25">
        <v>12031</v>
      </c>
      <c r="G344" s="25">
        <v>1</v>
      </c>
      <c r="H344" s="25">
        <v>30</v>
      </c>
      <c r="I344" s="29">
        <v>0.2</v>
      </c>
      <c r="J344" s="30">
        <v>10</v>
      </c>
      <c r="K344" s="25">
        <v>0</v>
      </c>
      <c r="L344" s="25">
        <v>0</v>
      </c>
      <c r="M344" s="25">
        <f t="shared" si="27"/>
        <v>15</v>
      </c>
      <c r="N344" s="25">
        <v>29</v>
      </c>
      <c r="O344" s="25">
        <v>0</v>
      </c>
      <c r="P344" s="25">
        <v>0</v>
      </c>
      <c r="Q344" s="25">
        <f t="shared" si="28"/>
        <v>15</v>
      </c>
      <c r="R344" s="25">
        <v>29</v>
      </c>
      <c r="S344" s="25">
        <f t="shared" si="29"/>
        <v>15</v>
      </c>
      <c r="T344" s="25">
        <v>29</v>
      </c>
      <c r="U344" s="29">
        <v>0</v>
      </c>
      <c r="V344" s="25">
        <v>0</v>
      </c>
      <c r="W344" s="25">
        <v>0</v>
      </c>
      <c r="X344" s="25">
        <v>0</v>
      </c>
      <c r="Y344" s="29">
        <v>0</v>
      </c>
      <c r="Z344" s="29">
        <v>0</v>
      </c>
      <c r="AA344" s="29">
        <v>0</v>
      </c>
      <c r="AB344" s="29">
        <v>0</v>
      </c>
      <c r="AC344" s="29">
        <v>0</v>
      </c>
      <c r="AD344" s="29">
        <v>0</v>
      </c>
      <c r="AE344" s="29"/>
      <c r="GR344" s="5"/>
      <c r="GS344" s="5"/>
      <c r="GT344" s="5"/>
      <c r="GU344" s="5"/>
      <c r="GV344" s="5"/>
      <c r="GW344" s="5"/>
      <c r="GX344" s="5"/>
      <c r="GY344" s="5"/>
      <c r="GZ344" s="5"/>
      <c r="HA344" s="5"/>
      <c r="HB344" s="5"/>
      <c r="HC344" s="5"/>
      <c r="HD344" s="5"/>
      <c r="HE344" s="5"/>
      <c r="HF344" s="5"/>
      <c r="HG344" s="5"/>
      <c r="HH344" s="5"/>
      <c r="HI344" s="5"/>
      <c r="HJ344" s="5"/>
      <c r="HK344" s="5"/>
      <c r="HL344" s="5"/>
      <c r="HM344" s="5"/>
      <c r="HN344" s="5"/>
      <c r="HO344" s="5"/>
      <c r="HP344" s="5"/>
    </row>
    <row r="345" spans="3:224" ht="20.100000000000001" customHeight="1">
      <c r="C345" s="24">
        <v>15202001</v>
      </c>
      <c r="D345" s="25" t="s">
        <v>367</v>
      </c>
      <c r="E345" s="25">
        <v>11200003</v>
      </c>
      <c r="F345" s="25">
        <v>0</v>
      </c>
      <c r="G345" s="25">
        <v>1</v>
      </c>
      <c r="H345" s="25">
        <v>30</v>
      </c>
      <c r="I345" s="29">
        <v>0.2</v>
      </c>
      <c r="J345" s="30">
        <v>10</v>
      </c>
      <c r="K345" s="25">
        <v>0</v>
      </c>
      <c r="L345" s="25">
        <v>0</v>
      </c>
      <c r="M345" s="25">
        <f t="shared" si="27"/>
        <v>20</v>
      </c>
      <c r="N345" s="25">
        <v>40</v>
      </c>
      <c r="O345" s="25">
        <v>0</v>
      </c>
      <c r="P345" s="25">
        <v>0</v>
      </c>
      <c r="Q345" s="25">
        <f t="shared" si="28"/>
        <v>0</v>
      </c>
      <c r="R345" s="25">
        <v>0</v>
      </c>
      <c r="S345" s="25">
        <f t="shared" si="29"/>
        <v>28</v>
      </c>
      <c r="T345" s="25">
        <v>55</v>
      </c>
      <c r="U345" s="29">
        <v>0</v>
      </c>
      <c r="V345" s="25">
        <v>0</v>
      </c>
      <c r="W345" s="25">
        <v>0</v>
      </c>
      <c r="X345" s="25">
        <v>0</v>
      </c>
      <c r="Y345" s="29">
        <v>0</v>
      </c>
      <c r="Z345" s="29">
        <v>0</v>
      </c>
      <c r="AA345" s="29">
        <v>0</v>
      </c>
      <c r="AB345" s="29">
        <v>0</v>
      </c>
      <c r="AC345" s="29">
        <v>0</v>
      </c>
      <c r="AD345" s="29">
        <v>0</v>
      </c>
      <c r="AE345" s="29"/>
      <c r="GR345" s="5"/>
      <c r="GS345" s="5"/>
      <c r="GT345" s="5"/>
      <c r="GU345" s="5"/>
      <c r="GV345" s="5"/>
      <c r="GW345" s="5"/>
      <c r="GX345" s="5"/>
      <c r="GY345" s="5"/>
      <c r="GZ345" s="5"/>
      <c r="HA345" s="5"/>
      <c r="HB345" s="5"/>
      <c r="HC345" s="5"/>
      <c r="HD345" s="5"/>
      <c r="HE345" s="5"/>
      <c r="HF345" s="5"/>
      <c r="HG345" s="5"/>
      <c r="HH345" s="5"/>
      <c r="HI345" s="5"/>
      <c r="HJ345" s="5"/>
      <c r="HK345" s="5"/>
      <c r="HL345" s="5"/>
      <c r="HM345" s="5"/>
      <c r="HN345" s="5"/>
      <c r="HO345" s="5"/>
      <c r="HP345" s="5"/>
    </row>
    <row r="346" spans="3:224" ht="20.100000000000001" customHeight="1">
      <c r="C346" s="24">
        <v>15202002</v>
      </c>
      <c r="D346" s="25" t="s">
        <v>368</v>
      </c>
      <c r="E346" s="25">
        <v>11200003</v>
      </c>
      <c r="F346" s="25">
        <v>12011</v>
      </c>
      <c r="G346" s="25">
        <v>1</v>
      </c>
      <c r="H346" s="25">
        <v>30</v>
      </c>
      <c r="I346" s="29">
        <v>0.2</v>
      </c>
      <c r="J346" s="30">
        <v>10</v>
      </c>
      <c r="K346" s="25">
        <v>0</v>
      </c>
      <c r="L346" s="25">
        <v>0</v>
      </c>
      <c r="M346" s="25">
        <f t="shared" si="27"/>
        <v>25</v>
      </c>
      <c r="N346" s="25">
        <v>49</v>
      </c>
      <c r="O346" s="25">
        <v>0</v>
      </c>
      <c r="P346" s="25">
        <v>0</v>
      </c>
      <c r="Q346" s="25">
        <f t="shared" si="28"/>
        <v>0</v>
      </c>
      <c r="R346" s="25">
        <v>0</v>
      </c>
      <c r="S346" s="25">
        <f t="shared" si="29"/>
        <v>34</v>
      </c>
      <c r="T346" s="25">
        <v>68</v>
      </c>
      <c r="U346" s="29">
        <v>0</v>
      </c>
      <c r="V346" s="25">
        <v>0</v>
      </c>
      <c r="W346" s="25">
        <v>0</v>
      </c>
      <c r="X346" s="25">
        <v>0</v>
      </c>
      <c r="Y346" s="29">
        <v>0</v>
      </c>
      <c r="Z346" s="29">
        <v>0</v>
      </c>
      <c r="AA346" s="29">
        <v>0</v>
      </c>
      <c r="AB346" s="29">
        <v>0</v>
      </c>
      <c r="AC346" s="29">
        <v>0</v>
      </c>
      <c r="AD346" s="29">
        <v>0</v>
      </c>
      <c r="AE346" s="29"/>
      <c r="GR346" s="5"/>
      <c r="GS346" s="5"/>
      <c r="GT346" s="5"/>
      <c r="GU346" s="5"/>
      <c r="GV346" s="5"/>
      <c r="GW346" s="5"/>
      <c r="GX346" s="5"/>
      <c r="GY346" s="5"/>
      <c r="GZ346" s="5"/>
      <c r="HA346" s="5"/>
      <c r="HB346" s="5"/>
      <c r="HC346" s="5"/>
      <c r="HD346" s="5"/>
      <c r="HE346" s="5"/>
      <c r="HF346" s="5"/>
      <c r="HG346" s="5"/>
      <c r="HH346" s="5"/>
      <c r="HI346" s="5"/>
      <c r="HJ346" s="5"/>
      <c r="HK346" s="5"/>
      <c r="HL346" s="5"/>
      <c r="HM346" s="5"/>
      <c r="HN346" s="5"/>
      <c r="HO346" s="5"/>
      <c r="HP346" s="5"/>
    </row>
    <row r="347" spans="3:224" ht="20.100000000000001" customHeight="1">
      <c r="C347" s="24">
        <v>15202003</v>
      </c>
      <c r="D347" s="25" t="s">
        <v>369</v>
      </c>
      <c r="E347" s="25">
        <v>11200003</v>
      </c>
      <c r="F347" s="25">
        <v>0</v>
      </c>
      <c r="G347" s="25">
        <v>1</v>
      </c>
      <c r="H347" s="25">
        <v>30</v>
      </c>
      <c r="I347" s="29">
        <v>0.2</v>
      </c>
      <c r="J347" s="30">
        <v>10</v>
      </c>
      <c r="K347" s="25">
        <v>0</v>
      </c>
      <c r="L347" s="25">
        <v>0</v>
      </c>
      <c r="M347" s="25">
        <f t="shared" si="27"/>
        <v>27</v>
      </c>
      <c r="N347" s="25">
        <v>54</v>
      </c>
      <c r="O347" s="25">
        <v>0</v>
      </c>
      <c r="P347" s="25">
        <v>0</v>
      </c>
      <c r="Q347" s="25">
        <f t="shared" si="28"/>
        <v>0</v>
      </c>
      <c r="R347" s="25">
        <v>0</v>
      </c>
      <c r="S347" s="25">
        <f t="shared" si="29"/>
        <v>21</v>
      </c>
      <c r="T347" s="25">
        <v>41</v>
      </c>
      <c r="U347" s="29">
        <v>0</v>
      </c>
      <c r="V347" s="25">
        <v>0</v>
      </c>
      <c r="W347" s="25">
        <v>0</v>
      </c>
      <c r="X347" s="25">
        <v>0</v>
      </c>
      <c r="Y347" s="29">
        <v>0</v>
      </c>
      <c r="Z347" s="29">
        <v>0</v>
      </c>
      <c r="AA347" s="29">
        <v>0</v>
      </c>
      <c r="AB347" s="29">
        <v>0</v>
      </c>
      <c r="AC347" s="29">
        <v>0</v>
      </c>
      <c r="AD347" s="29">
        <v>0</v>
      </c>
      <c r="AE347" s="29"/>
      <c r="GR347" s="5"/>
      <c r="GS347" s="5"/>
      <c r="GT347" s="5"/>
      <c r="GU347" s="5"/>
      <c r="GV347" s="5"/>
      <c r="GW347" s="5"/>
      <c r="GX347" s="5"/>
      <c r="GY347" s="5"/>
      <c r="GZ347" s="5"/>
      <c r="HA347" s="5"/>
      <c r="HB347" s="5"/>
      <c r="HC347" s="5"/>
      <c r="HD347" s="5"/>
      <c r="HE347" s="5"/>
      <c r="HF347" s="5"/>
      <c r="HG347" s="5"/>
      <c r="HH347" s="5"/>
      <c r="HI347" s="5"/>
      <c r="HJ347" s="5"/>
      <c r="HK347" s="5"/>
      <c r="HL347" s="5"/>
      <c r="HM347" s="5"/>
      <c r="HN347" s="5"/>
      <c r="HO347" s="5"/>
      <c r="HP347" s="5"/>
    </row>
    <row r="348" spans="3:224" ht="20.100000000000001" customHeight="1">
      <c r="C348" s="24">
        <v>15202004</v>
      </c>
      <c r="D348" s="25" t="s">
        <v>370</v>
      </c>
      <c r="E348" s="25">
        <v>11200003</v>
      </c>
      <c r="F348" s="25">
        <v>12021</v>
      </c>
      <c r="G348" s="25">
        <v>1</v>
      </c>
      <c r="H348" s="25">
        <v>30</v>
      </c>
      <c r="I348" s="29">
        <v>0.2</v>
      </c>
      <c r="J348" s="30">
        <v>10</v>
      </c>
      <c r="K348" s="25">
        <v>0</v>
      </c>
      <c r="L348" s="25">
        <v>0</v>
      </c>
      <c r="M348" s="25">
        <f t="shared" si="27"/>
        <v>33</v>
      </c>
      <c r="N348" s="25">
        <v>66</v>
      </c>
      <c r="O348" s="25">
        <v>0</v>
      </c>
      <c r="P348" s="25">
        <v>0</v>
      </c>
      <c r="Q348" s="25">
        <f t="shared" si="28"/>
        <v>0</v>
      </c>
      <c r="R348" s="25">
        <v>0</v>
      </c>
      <c r="S348" s="25">
        <f t="shared" si="29"/>
        <v>26</v>
      </c>
      <c r="T348" s="25">
        <v>51</v>
      </c>
      <c r="U348" s="29">
        <v>0</v>
      </c>
      <c r="V348" s="25">
        <v>0</v>
      </c>
      <c r="W348" s="25">
        <v>0</v>
      </c>
      <c r="X348" s="25">
        <v>0</v>
      </c>
      <c r="Y348" s="29">
        <v>0</v>
      </c>
      <c r="Z348" s="29">
        <v>0</v>
      </c>
      <c r="AA348" s="29">
        <v>0</v>
      </c>
      <c r="AB348" s="29">
        <v>0</v>
      </c>
      <c r="AC348" s="29">
        <v>0</v>
      </c>
      <c r="AD348" s="29">
        <v>0</v>
      </c>
      <c r="AE348" s="29"/>
      <c r="GR348" s="5"/>
      <c r="GS348" s="5"/>
      <c r="GT348" s="5"/>
      <c r="GU348" s="5"/>
      <c r="GV348" s="5"/>
      <c r="GW348" s="5"/>
      <c r="GX348" s="5"/>
      <c r="GY348" s="5"/>
      <c r="GZ348" s="5"/>
      <c r="HA348" s="5"/>
      <c r="HB348" s="5"/>
      <c r="HC348" s="5"/>
      <c r="HD348" s="5"/>
      <c r="HE348" s="5"/>
      <c r="HF348" s="5"/>
      <c r="HG348" s="5"/>
      <c r="HH348" s="5"/>
      <c r="HI348" s="5"/>
      <c r="HJ348" s="5"/>
      <c r="HK348" s="5"/>
      <c r="HL348" s="5"/>
      <c r="HM348" s="5"/>
      <c r="HN348" s="5"/>
      <c r="HO348" s="5"/>
      <c r="HP348" s="5"/>
    </row>
    <row r="349" spans="3:224" ht="20.100000000000001" customHeight="1">
      <c r="C349" s="24">
        <v>15202005</v>
      </c>
      <c r="D349" s="25" t="s">
        <v>371</v>
      </c>
      <c r="E349" s="25">
        <v>11200003</v>
      </c>
      <c r="F349" s="25">
        <v>0</v>
      </c>
      <c r="G349" s="25">
        <v>1</v>
      </c>
      <c r="H349" s="25">
        <v>30</v>
      </c>
      <c r="I349" s="29">
        <v>0.2</v>
      </c>
      <c r="J349" s="30">
        <v>10</v>
      </c>
      <c r="K349" s="25">
        <v>0</v>
      </c>
      <c r="L349" s="25">
        <v>0</v>
      </c>
      <c r="M349" s="25">
        <f t="shared" si="27"/>
        <v>15</v>
      </c>
      <c r="N349" s="25">
        <v>30</v>
      </c>
      <c r="O349" s="25">
        <v>0</v>
      </c>
      <c r="P349" s="25">
        <v>0</v>
      </c>
      <c r="Q349" s="25">
        <f t="shared" si="28"/>
        <v>0</v>
      </c>
      <c r="R349" s="25">
        <v>0</v>
      </c>
      <c r="S349" s="25">
        <f t="shared" si="29"/>
        <v>35</v>
      </c>
      <c r="T349" s="25">
        <v>69</v>
      </c>
      <c r="U349" s="29">
        <v>0</v>
      </c>
      <c r="V349" s="25">
        <v>0</v>
      </c>
      <c r="W349" s="25">
        <v>0</v>
      </c>
      <c r="X349" s="25">
        <v>0</v>
      </c>
      <c r="Y349" s="29">
        <v>0</v>
      </c>
      <c r="Z349" s="29">
        <v>0</v>
      </c>
      <c r="AA349" s="29">
        <v>0</v>
      </c>
      <c r="AB349" s="29">
        <v>0</v>
      </c>
      <c r="AC349" s="29">
        <v>0</v>
      </c>
      <c r="AD349" s="29">
        <v>0</v>
      </c>
      <c r="AE349" s="29"/>
      <c r="GR349" s="5"/>
      <c r="GS349" s="5"/>
      <c r="GT349" s="5"/>
      <c r="GU349" s="5"/>
      <c r="GV349" s="5"/>
      <c r="GW349" s="5"/>
      <c r="GX349" s="5"/>
      <c r="GY349" s="5"/>
      <c r="GZ349" s="5"/>
      <c r="HA349" s="5"/>
      <c r="HB349" s="5"/>
      <c r="HC349" s="5"/>
      <c r="HD349" s="5"/>
      <c r="HE349" s="5"/>
      <c r="HF349" s="5"/>
      <c r="HG349" s="5"/>
      <c r="HH349" s="5"/>
      <c r="HI349" s="5"/>
      <c r="HJ349" s="5"/>
      <c r="HK349" s="5"/>
      <c r="HL349" s="5"/>
      <c r="HM349" s="5"/>
      <c r="HN349" s="5"/>
      <c r="HO349" s="5"/>
      <c r="HP349" s="5"/>
    </row>
    <row r="350" spans="3:224" ht="20.100000000000001" customHeight="1">
      <c r="C350" s="24">
        <v>15202006</v>
      </c>
      <c r="D350" s="25" t="s">
        <v>372</v>
      </c>
      <c r="E350" s="25">
        <v>11200003</v>
      </c>
      <c r="F350" s="25">
        <v>12031</v>
      </c>
      <c r="G350" s="25">
        <v>1</v>
      </c>
      <c r="H350" s="25">
        <v>30</v>
      </c>
      <c r="I350" s="29">
        <v>0.2</v>
      </c>
      <c r="J350" s="30">
        <v>10</v>
      </c>
      <c r="K350" s="25">
        <v>0</v>
      </c>
      <c r="L350" s="25">
        <v>0</v>
      </c>
      <c r="M350" s="25">
        <f t="shared" si="27"/>
        <v>19</v>
      </c>
      <c r="N350" s="25">
        <v>37</v>
      </c>
      <c r="O350" s="25">
        <v>0</v>
      </c>
      <c r="P350" s="25">
        <v>0</v>
      </c>
      <c r="Q350" s="25">
        <f t="shared" si="28"/>
        <v>0</v>
      </c>
      <c r="R350" s="25">
        <v>0</v>
      </c>
      <c r="S350" s="25">
        <f t="shared" si="29"/>
        <v>43</v>
      </c>
      <c r="T350" s="25">
        <v>85</v>
      </c>
      <c r="U350" s="29">
        <v>0</v>
      </c>
      <c r="V350" s="25">
        <v>0</v>
      </c>
      <c r="W350" s="25">
        <v>0</v>
      </c>
      <c r="X350" s="25">
        <v>0</v>
      </c>
      <c r="Y350" s="29">
        <v>0</v>
      </c>
      <c r="Z350" s="29">
        <v>0</v>
      </c>
      <c r="AA350" s="29">
        <v>0</v>
      </c>
      <c r="AB350" s="29">
        <v>0</v>
      </c>
      <c r="AC350" s="29">
        <v>0</v>
      </c>
      <c r="AD350" s="29">
        <v>0</v>
      </c>
      <c r="AE350" s="29"/>
      <c r="GR350" s="5"/>
      <c r="GS350" s="5"/>
      <c r="GT350" s="5"/>
      <c r="GU350" s="5"/>
      <c r="GV350" s="5"/>
      <c r="GW350" s="5"/>
      <c r="GX350" s="5"/>
      <c r="GY350" s="5"/>
      <c r="GZ350" s="5"/>
      <c r="HA350" s="5"/>
      <c r="HB350" s="5"/>
      <c r="HC350" s="5"/>
      <c r="HD350" s="5"/>
      <c r="HE350" s="5"/>
      <c r="HF350" s="5"/>
      <c r="HG350" s="5"/>
      <c r="HH350" s="5"/>
      <c r="HI350" s="5"/>
      <c r="HJ350" s="5"/>
      <c r="HK350" s="5"/>
      <c r="HL350" s="5"/>
      <c r="HM350" s="5"/>
      <c r="HN350" s="5"/>
      <c r="HO350" s="5"/>
      <c r="HP350" s="5"/>
    </row>
    <row r="351" spans="3:224" ht="20.100000000000001" customHeight="1">
      <c r="C351" s="24">
        <v>15203001</v>
      </c>
      <c r="D351" s="25" t="s">
        <v>373</v>
      </c>
      <c r="E351" s="25">
        <v>11200003</v>
      </c>
      <c r="F351" s="25">
        <v>0</v>
      </c>
      <c r="G351" s="25">
        <v>1</v>
      </c>
      <c r="H351" s="25">
        <v>30</v>
      </c>
      <c r="I351" s="29">
        <v>0.2</v>
      </c>
      <c r="J351" s="30">
        <v>10</v>
      </c>
      <c r="K351" s="25">
        <v>0</v>
      </c>
      <c r="L351" s="25">
        <v>650</v>
      </c>
      <c r="M351" s="25">
        <f t="shared" si="27"/>
        <v>11</v>
      </c>
      <c r="N351" s="25">
        <v>22</v>
      </c>
      <c r="O351" s="25">
        <v>0</v>
      </c>
      <c r="P351" s="25">
        <v>0</v>
      </c>
      <c r="Q351" s="25">
        <f t="shared" si="28"/>
        <v>18</v>
      </c>
      <c r="R351" s="25">
        <v>35</v>
      </c>
      <c r="S351" s="25">
        <f t="shared" si="29"/>
        <v>0</v>
      </c>
      <c r="T351" s="25">
        <v>0</v>
      </c>
      <c r="U351" s="29">
        <v>0</v>
      </c>
      <c r="V351" s="25">
        <v>0</v>
      </c>
      <c r="W351" s="25">
        <v>0</v>
      </c>
      <c r="X351" s="25">
        <v>0</v>
      </c>
      <c r="Y351" s="29">
        <v>0</v>
      </c>
      <c r="Z351" s="29">
        <v>0</v>
      </c>
      <c r="AA351" s="29">
        <v>0</v>
      </c>
      <c r="AB351" s="29">
        <v>0</v>
      </c>
      <c r="AC351" s="29">
        <v>0</v>
      </c>
      <c r="AD351" s="29">
        <v>0</v>
      </c>
      <c r="AE351" s="29"/>
      <c r="GR351" s="5"/>
      <c r="GS351" s="5"/>
      <c r="GT351" s="5"/>
      <c r="GU351" s="5"/>
      <c r="GV351" s="5"/>
      <c r="GW351" s="5"/>
      <c r="GX351" s="5"/>
      <c r="GY351" s="5"/>
      <c r="GZ351" s="5"/>
      <c r="HA351" s="5"/>
      <c r="HB351" s="5"/>
      <c r="HC351" s="5"/>
      <c r="HD351" s="5"/>
      <c r="HE351" s="5"/>
      <c r="HF351" s="5"/>
      <c r="HG351" s="5"/>
      <c r="HH351" s="5"/>
      <c r="HI351" s="5"/>
      <c r="HJ351" s="5"/>
      <c r="HK351" s="5"/>
      <c r="HL351" s="5"/>
      <c r="HM351" s="5"/>
      <c r="HN351" s="5"/>
      <c r="HO351" s="5"/>
      <c r="HP351" s="5"/>
    </row>
    <row r="352" spans="3:224" ht="20.100000000000001" customHeight="1">
      <c r="C352" s="24">
        <v>15203002</v>
      </c>
      <c r="D352" s="25" t="s">
        <v>374</v>
      </c>
      <c r="E352" s="25">
        <v>11200003</v>
      </c>
      <c r="F352" s="25">
        <v>12011</v>
      </c>
      <c r="G352" s="25">
        <v>1</v>
      </c>
      <c r="H352" s="25">
        <v>30</v>
      </c>
      <c r="I352" s="29">
        <v>0.2</v>
      </c>
      <c r="J352" s="30">
        <v>10</v>
      </c>
      <c r="K352" s="25">
        <v>0</v>
      </c>
      <c r="L352" s="25">
        <v>780</v>
      </c>
      <c r="M352" s="25">
        <f t="shared" si="27"/>
        <v>13</v>
      </c>
      <c r="N352" s="25">
        <v>26</v>
      </c>
      <c r="O352" s="25">
        <v>0</v>
      </c>
      <c r="P352" s="25">
        <v>0</v>
      </c>
      <c r="Q352" s="25">
        <f t="shared" si="28"/>
        <v>23</v>
      </c>
      <c r="R352" s="25">
        <v>45</v>
      </c>
      <c r="S352" s="25">
        <f t="shared" si="29"/>
        <v>0</v>
      </c>
      <c r="T352" s="25">
        <v>0</v>
      </c>
      <c r="U352" s="29">
        <v>0</v>
      </c>
      <c r="V352" s="25">
        <v>0</v>
      </c>
      <c r="W352" s="25">
        <v>0</v>
      </c>
      <c r="X352" s="25">
        <v>0</v>
      </c>
      <c r="Y352" s="29">
        <v>0</v>
      </c>
      <c r="Z352" s="29">
        <v>0</v>
      </c>
      <c r="AA352" s="29">
        <v>0</v>
      </c>
      <c r="AB352" s="29">
        <v>0</v>
      </c>
      <c r="AC352" s="29">
        <v>0</v>
      </c>
      <c r="AD352" s="29">
        <v>0</v>
      </c>
      <c r="AE352" s="29"/>
      <c r="GR352" s="5"/>
      <c r="GS352" s="5"/>
      <c r="GT352" s="5"/>
      <c r="GU352" s="5"/>
      <c r="GV352" s="5"/>
      <c r="GW352" s="5"/>
      <c r="GX352" s="5"/>
      <c r="GY352" s="5"/>
      <c r="GZ352" s="5"/>
      <c r="HA352" s="5"/>
      <c r="HB352" s="5"/>
      <c r="HC352" s="5"/>
      <c r="HD352" s="5"/>
      <c r="HE352" s="5"/>
      <c r="HF352" s="5"/>
      <c r="HG352" s="5"/>
      <c r="HH352" s="5"/>
      <c r="HI352" s="5"/>
      <c r="HJ352" s="5"/>
      <c r="HK352" s="5"/>
      <c r="HL352" s="5"/>
      <c r="HM352" s="5"/>
      <c r="HN352" s="5"/>
      <c r="HO352" s="5"/>
      <c r="HP352" s="5"/>
    </row>
    <row r="353" spans="3:224" ht="20.100000000000001" customHeight="1">
      <c r="C353" s="24">
        <v>15203003</v>
      </c>
      <c r="D353" s="25" t="s">
        <v>375</v>
      </c>
      <c r="E353" s="25">
        <v>11200003</v>
      </c>
      <c r="F353" s="25">
        <v>0</v>
      </c>
      <c r="G353" s="25">
        <v>1</v>
      </c>
      <c r="H353" s="25">
        <v>30</v>
      </c>
      <c r="I353" s="29">
        <v>0.2</v>
      </c>
      <c r="J353" s="30">
        <v>10</v>
      </c>
      <c r="K353" s="25">
        <v>0</v>
      </c>
      <c r="L353" s="25">
        <v>330</v>
      </c>
      <c r="M353" s="25">
        <f t="shared" si="27"/>
        <v>15</v>
      </c>
      <c r="N353" s="25">
        <v>30</v>
      </c>
      <c r="O353" s="25">
        <v>0</v>
      </c>
      <c r="P353" s="25">
        <v>0</v>
      </c>
      <c r="Q353" s="25">
        <f t="shared" si="28"/>
        <v>13</v>
      </c>
      <c r="R353" s="25">
        <v>26</v>
      </c>
      <c r="S353" s="25">
        <f t="shared" si="29"/>
        <v>0</v>
      </c>
      <c r="T353" s="25">
        <v>0</v>
      </c>
      <c r="U353" s="29">
        <v>0</v>
      </c>
      <c r="V353" s="25">
        <v>0</v>
      </c>
      <c r="W353" s="25">
        <v>0</v>
      </c>
      <c r="X353" s="25">
        <v>0</v>
      </c>
      <c r="Y353" s="29">
        <v>0</v>
      </c>
      <c r="Z353" s="29">
        <v>0</v>
      </c>
      <c r="AA353" s="29">
        <v>0</v>
      </c>
      <c r="AB353" s="29">
        <v>0</v>
      </c>
      <c r="AC353" s="29">
        <v>0</v>
      </c>
      <c r="AD353" s="29">
        <v>0</v>
      </c>
      <c r="AE353" s="29"/>
      <c r="GR353" s="5"/>
      <c r="GS353" s="5"/>
      <c r="GT353" s="5"/>
      <c r="GU353" s="5"/>
      <c r="GV353" s="5"/>
      <c r="GW353" s="5"/>
      <c r="GX353" s="5"/>
      <c r="GY353" s="5"/>
      <c r="GZ353" s="5"/>
      <c r="HA353" s="5"/>
      <c r="HB353" s="5"/>
      <c r="HC353" s="5"/>
      <c r="HD353" s="5"/>
      <c r="HE353" s="5"/>
      <c r="HF353" s="5"/>
      <c r="HG353" s="5"/>
      <c r="HH353" s="5"/>
      <c r="HI353" s="5"/>
      <c r="HJ353" s="5"/>
      <c r="HK353" s="5"/>
      <c r="HL353" s="5"/>
      <c r="HM353" s="5"/>
      <c r="HN353" s="5"/>
      <c r="HO353" s="5"/>
      <c r="HP353" s="5"/>
    </row>
    <row r="354" spans="3:224" ht="20.100000000000001" customHeight="1">
      <c r="C354" s="24">
        <v>15203004</v>
      </c>
      <c r="D354" s="25" t="s">
        <v>376</v>
      </c>
      <c r="E354" s="25">
        <v>11200003</v>
      </c>
      <c r="F354" s="25">
        <v>12021</v>
      </c>
      <c r="G354" s="25">
        <v>1</v>
      </c>
      <c r="H354" s="25">
        <v>30</v>
      </c>
      <c r="I354" s="29">
        <v>0.2</v>
      </c>
      <c r="J354" s="30">
        <v>10</v>
      </c>
      <c r="K354" s="25">
        <v>0</v>
      </c>
      <c r="L354" s="25">
        <v>390</v>
      </c>
      <c r="M354" s="25">
        <f t="shared" si="27"/>
        <v>18</v>
      </c>
      <c r="N354" s="25">
        <v>35</v>
      </c>
      <c r="O354" s="25">
        <v>0</v>
      </c>
      <c r="P354" s="25">
        <v>0</v>
      </c>
      <c r="Q354" s="25">
        <f t="shared" si="28"/>
        <v>17</v>
      </c>
      <c r="R354" s="25">
        <v>34</v>
      </c>
      <c r="S354" s="25">
        <f t="shared" si="29"/>
        <v>0</v>
      </c>
      <c r="T354" s="25">
        <v>0</v>
      </c>
      <c r="U354" s="29">
        <v>0</v>
      </c>
      <c r="V354" s="25">
        <v>0</v>
      </c>
      <c r="W354" s="25">
        <v>0</v>
      </c>
      <c r="X354" s="25">
        <v>0</v>
      </c>
      <c r="Y354" s="29">
        <v>0</v>
      </c>
      <c r="Z354" s="29">
        <v>0</v>
      </c>
      <c r="AA354" s="29">
        <v>0</v>
      </c>
      <c r="AB354" s="29">
        <v>0</v>
      </c>
      <c r="AC354" s="29">
        <v>0</v>
      </c>
      <c r="AD354" s="29">
        <v>0</v>
      </c>
      <c r="AE354" s="29"/>
      <c r="GR354" s="5"/>
      <c r="GS354" s="5"/>
      <c r="GT354" s="5"/>
      <c r="GU354" s="5"/>
      <c r="GV354" s="5"/>
      <c r="GW354" s="5"/>
      <c r="GX354" s="5"/>
      <c r="GY354" s="5"/>
      <c r="GZ354" s="5"/>
      <c r="HA354" s="5"/>
      <c r="HB354" s="5"/>
      <c r="HC354" s="5"/>
      <c r="HD354" s="5"/>
      <c r="HE354" s="5"/>
      <c r="HF354" s="5"/>
      <c r="HG354" s="5"/>
      <c r="HH354" s="5"/>
      <c r="HI354" s="5"/>
      <c r="HJ354" s="5"/>
      <c r="HK354" s="5"/>
      <c r="HL354" s="5"/>
      <c r="HM354" s="5"/>
      <c r="HN354" s="5"/>
      <c r="HO354" s="5"/>
      <c r="HP354" s="5"/>
    </row>
    <row r="355" spans="3:224" ht="20.100000000000001" customHeight="1">
      <c r="C355" s="24">
        <v>15203005</v>
      </c>
      <c r="D355" s="25" t="s">
        <v>377</v>
      </c>
      <c r="E355" s="25">
        <v>11200003</v>
      </c>
      <c r="F355" s="25">
        <v>0</v>
      </c>
      <c r="G355" s="25">
        <v>1</v>
      </c>
      <c r="H355" s="25">
        <v>30</v>
      </c>
      <c r="I355" s="29">
        <v>0.2</v>
      </c>
      <c r="J355" s="30">
        <v>10</v>
      </c>
      <c r="K355" s="25">
        <v>0</v>
      </c>
      <c r="L355" s="25">
        <v>980</v>
      </c>
      <c r="M355" s="25">
        <f t="shared" si="27"/>
        <v>9</v>
      </c>
      <c r="N355" s="25">
        <v>17</v>
      </c>
      <c r="O355" s="25">
        <v>0</v>
      </c>
      <c r="P355" s="25">
        <v>0</v>
      </c>
      <c r="Q355" s="25">
        <f t="shared" si="28"/>
        <v>22</v>
      </c>
      <c r="R355" s="25">
        <v>44</v>
      </c>
      <c r="S355" s="25">
        <f t="shared" si="29"/>
        <v>0</v>
      </c>
      <c r="T355" s="25">
        <v>0</v>
      </c>
      <c r="U355" s="29">
        <v>0</v>
      </c>
      <c r="V355" s="25">
        <v>0</v>
      </c>
      <c r="W355" s="25">
        <v>0</v>
      </c>
      <c r="X355" s="25">
        <v>0</v>
      </c>
      <c r="Y355" s="29">
        <v>0</v>
      </c>
      <c r="Z355" s="29">
        <v>0</v>
      </c>
      <c r="AA355" s="29">
        <v>0</v>
      </c>
      <c r="AB355" s="29">
        <v>0</v>
      </c>
      <c r="AC355" s="29">
        <v>0</v>
      </c>
      <c r="AD355" s="29">
        <v>0</v>
      </c>
      <c r="AE355" s="29"/>
      <c r="GR355" s="5"/>
      <c r="GS355" s="5"/>
      <c r="GT355" s="5"/>
      <c r="GU355" s="5"/>
      <c r="GV355" s="5"/>
      <c r="GW355" s="5"/>
      <c r="GX355" s="5"/>
      <c r="GY355" s="5"/>
      <c r="GZ355" s="5"/>
      <c r="HA355" s="5"/>
      <c r="HB355" s="5"/>
      <c r="HC355" s="5"/>
      <c r="HD355" s="5"/>
      <c r="HE355" s="5"/>
      <c r="HF355" s="5"/>
      <c r="HG355" s="5"/>
      <c r="HH355" s="5"/>
      <c r="HI355" s="5"/>
      <c r="HJ355" s="5"/>
      <c r="HK355" s="5"/>
      <c r="HL355" s="5"/>
      <c r="HM355" s="5"/>
      <c r="HN355" s="5"/>
      <c r="HO355" s="5"/>
      <c r="HP355" s="5"/>
    </row>
    <row r="356" spans="3:224" ht="20.100000000000001" customHeight="1">
      <c r="C356" s="24">
        <v>15203006</v>
      </c>
      <c r="D356" s="25" t="s">
        <v>378</v>
      </c>
      <c r="E356" s="25">
        <v>11200003</v>
      </c>
      <c r="F356" s="25">
        <v>12031</v>
      </c>
      <c r="G356" s="25">
        <v>1</v>
      </c>
      <c r="H356" s="25">
        <v>30</v>
      </c>
      <c r="I356" s="29">
        <v>0.2</v>
      </c>
      <c r="J356" s="30">
        <v>10</v>
      </c>
      <c r="K356" s="25">
        <v>0</v>
      </c>
      <c r="L356" s="25">
        <v>1170</v>
      </c>
      <c r="M356" s="25">
        <f t="shared" si="27"/>
        <v>10</v>
      </c>
      <c r="N356" s="25">
        <v>20</v>
      </c>
      <c r="O356" s="25">
        <v>0</v>
      </c>
      <c r="P356" s="25">
        <v>0</v>
      </c>
      <c r="Q356" s="25">
        <f t="shared" si="28"/>
        <v>28</v>
      </c>
      <c r="R356" s="25">
        <v>56</v>
      </c>
      <c r="S356" s="25">
        <f t="shared" si="29"/>
        <v>0</v>
      </c>
      <c r="T356" s="25">
        <v>0</v>
      </c>
      <c r="U356" s="29">
        <v>0</v>
      </c>
      <c r="V356" s="25">
        <v>0</v>
      </c>
      <c r="W356" s="25">
        <v>0</v>
      </c>
      <c r="X356" s="25">
        <v>0</v>
      </c>
      <c r="Y356" s="29">
        <v>0</v>
      </c>
      <c r="Z356" s="29">
        <v>0</v>
      </c>
      <c r="AA356" s="29">
        <v>0</v>
      </c>
      <c r="AB356" s="29">
        <v>0</v>
      </c>
      <c r="AC356" s="29">
        <v>0</v>
      </c>
      <c r="AD356" s="29">
        <v>0</v>
      </c>
      <c r="AE356" s="29"/>
      <c r="GR356" s="5"/>
      <c r="GS356" s="5"/>
      <c r="GT356" s="5"/>
      <c r="GU356" s="5"/>
      <c r="GV356" s="5"/>
      <c r="GW356" s="5"/>
      <c r="GX356" s="5"/>
      <c r="GY356" s="5"/>
      <c r="GZ356" s="5"/>
      <c r="HA356" s="5"/>
      <c r="HB356" s="5"/>
      <c r="HC356" s="5"/>
      <c r="HD356" s="5"/>
      <c r="HE356" s="5"/>
      <c r="HF356" s="5"/>
      <c r="HG356" s="5"/>
      <c r="HH356" s="5"/>
      <c r="HI356" s="5"/>
      <c r="HJ356" s="5"/>
      <c r="HK356" s="5"/>
      <c r="HL356" s="5"/>
      <c r="HM356" s="5"/>
      <c r="HN356" s="5"/>
      <c r="HO356" s="5"/>
      <c r="HP356" s="5"/>
    </row>
    <row r="357" spans="3:224" ht="20.100000000000001" customHeight="1">
      <c r="C357" s="24">
        <v>15204001</v>
      </c>
      <c r="D357" s="25" t="s">
        <v>379</v>
      </c>
      <c r="E357" s="25">
        <v>11200003</v>
      </c>
      <c r="F357" s="25">
        <v>0</v>
      </c>
      <c r="G357" s="25">
        <v>1</v>
      </c>
      <c r="H357" s="25">
        <v>30</v>
      </c>
      <c r="I357" s="29">
        <v>0.2</v>
      </c>
      <c r="J357" s="30">
        <v>10</v>
      </c>
      <c r="K357" s="25">
        <v>0</v>
      </c>
      <c r="L357" s="25">
        <v>0</v>
      </c>
      <c r="M357" s="25">
        <f t="shared" si="27"/>
        <v>18</v>
      </c>
      <c r="N357" s="25">
        <v>35</v>
      </c>
      <c r="O357" s="25">
        <v>0</v>
      </c>
      <c r="P357" s="25">
        <v>0</v>
      </c>
      <c r="Q357" s="25">
        <f t="shared" si="28"/>
        <v>18</v>
      </c>
      <c r="R357" s="25">
        <v>35</v>
      </c>
      <c r="S357" s="25">
        <f t="shared" si="29"/>
        <v>18</v>
      </c>
      <c r="T357" s="25">
        <v>35</v>
      </c>
      <c r="U357" s="29">
        <v>0</v>
      </c>
      <c r="V357" s="25">
        <v>0</v>
      </c>
      <c r="W357" s="25">
        <v>0</v>
      </c>
      <c r="X357" s="25">
        <v>0</v>
      </c>
      <c r="Y357" s="29">
        <v>0</v>
      </c>
      <c r="Z357" s="29">
        <v>0</v>
      </c>
      <c r="AA357" s="29">
        <v>0</v>
      </c>
      <c r="AB357" s="29">
        <v>0</v>
      </c>
      <c r="AC357" s="29">
        <v>0</v>
      </c>
      <c r="AD357" s="29">
        <v>0</v>
      </c>
      <c r="AE357" s="29"/>
      <c r="GR357" s="5"/>
      <c r="GS357" s="5"/>
      <c r="GT357" s="5"/>
      <c r="GU357" s="5"/>
      <c r="GV357" s="5"/>
      <c r="GW357" s="5"/>
      <c r="GX357" s="5"/>
      <c r="GY357" s="5"/>
      <c r="GZ357" s="5"/>
      <c r="HA357" s="5"/>
      <c r="HB357" s="5"/>
      <c r="HC357" s="5"/>
      <c r="HD357" s="5"/>
      <c r="HE357" s="5"/>
      <c r="HF357" s="5"/>
      <c r="HG357" s="5"/>
      <c r="HH357" s="5"/>
      <c r="HI357" s="5"/>
      <c r="HJ357" s="5"/>
      <c r="HK357" s="5"/>
      <c r="HL357" s="5"/>
      <c r="HM357" s="5"/>
      <c r="HN357" s="5"/>
      <c r="HO357" s="5"/>
      <c r="HP357" s="5"/>
    </row>
    <row r="358" spans="3:224" ht="20.100000000000001" customHeight="1">
      <c r="C358" s="24">
        <v>15204002</v>
      </c>
      <c r="D358" s="25" t="s">
        <v>380</v>
      </c>
      <c r="E358" s="25">
        <v>11200003</v>
      </c>
      <c r="F358" s="25">
        <v>12011</v>
      </c>
      <c r="G358" s="25">
        <v>1</v>
      </c>
      <c r="H358" s="25">
        <v>30</v>
      </c>
      <c r="I358" s="29">
        <v>0.2</v>
      </c>
      <c r="J358" s="30">
        <v>10</v>
      </c>
      <c r="K358" s="25">
        <v>0</v>
      </c>
      <c r="L358" s="25">
        <v>0</v>
      </c>
      <c r="M358" s="25">
        <f t="shared" si="27"/>
        <v>21</v>
      </c>
      <c r="N358" s="25">
        <v>41</v>
      </c>
      <c r="O358" s="25">
        <v>0</v>
      </c>
      <c r="P358" s="25">
        <v>0</v>
      </c>
      <c r="Q358" s="25">
        <f t="shared" si="28"/>
        <v>23</v>
      </c>
      <c r="R358" s="25">
        <v>45</v>
      </c>
      <c r="S358" s="25">
        <f t="shared" si="29"/>
        <v>23</v>
      </c>
      <c r="T358" s="25">
        <v>45</v>
      </c>
      <c r="U358" s="29">
        <v>0</v>
      </c>
      <c r="V358" s="25">
        <v>0</v>
      </c>
      <c r="W358" s="25">
        <v>0</v>
      </c>
      <c r="X358" s="25">
        <v>0</v>
      </c>
      <c r="Y358" s="29">
        <v>0</v>
      </c>
      <c r="Z358" s="29">
        <v>0</v>
      </c>
      <c r="AA358" s="29">
        <v>0</v>
      </c>
      <c r="AB358" s="29">
        <v>0</v>
      </c>
      <c r="AC358" s="29">
        <v>0</v>
      </c>
      <c r="AD358" s="29">
        <v>0</v>
      </c>
      <c r="AE358" s="29"/>
      <c r="GR358" s="5"/>
      <c r="GS358" s="5"/>
      <c r="GT358" s="5"/>
      <c r="GU358" s="5"/>
      <c r="GV358" s="5"/>
      <c r="GW358" s="5"/>
      <c r="GX358" s="5"/>
      <c r="GY358" s="5"/>
      <c r="GZ358" s="5"/>
      <c r="HA358" s="5"/>
      <c r="HB358" s="5"/>
      <c r="HC358" s="5"/>
      <c r="HD358" s="5"/>
      <c r="HE358" s="5"/>
      <c r="HF358" s="5"/>
      <c r="HG358" s="5"/>
      <c r="HH358" s="5"/>
      <c r="HI358" s="5"/>
      <c r="HJ358" s="5"/>
      <c r="HK358" s="5"/>
      <c r="HL358" s="5"/>
      <c r="HM358" s="5"/>
      <c r="HN358" s="5"/>
      <c r="HO358" s="5"/>
      <c r="HP358" s="5"/>
    </row>
    <row r="359" spans="3:224" ht="20.100000000000001" customHeight="1">
      <c r="C359" s="24">
        <v>15204003</v>
      </c>
      <c r="D359" s="25" t="s">
        <v>381</v>
      </c>
      <c r="E359" s="25">
        <v>11200003</v>
      </c>
      <c r="F359" s="25">
        <v>0</v>
      </c>
      <c r="G359" s="25">
        <v>1</v>
      </c>
      <c r="H359" s="25">
        <v>30</v>
      </c>
      <c r="I359" s="29">
        <v>0.2</v>
      </c>
      <c r="J359" s="30">
        <v>10</v>
      </c>
      <c r="K359" s="25">
        <v>0</v>
      </c>
      <c r="L359" s="25">
        <v>0</v>
      </c>
      <c r="M359" s="25">
        <f t="shared" si="27"/>
        <v>24</v>
      </c>
      <c r="N359" s="25">
        <v>47</v>
      </c>
      <c r="O359" s="25">
        <v>0</v>
      </c>
      <c r="P359" s="25">
        <v>0</v>
      </c>
      <c r="Q359" s="25">
        <f t="shared" si="28"/>
        <v>13</v>
      </c>
      <c r="R359" s="25">
        <v>26</v>
      </c>
      <c r="S359" s="25">
        <f t="shared" si="29"/>
        <v>13</v>
      </c>
      <c r="T359" s="25">
        <v>26</v>
      </c>
      <c r="U359" s="29">
        <v>0</v>
      </c>
      <c r="V359" s="25">
        <v>0</v>
      </c>
      <c r="W359" s="25">
        <v>0</v>
      </c>
      <c r="X359" s="25">
        <v>0</v>
      </c>
      <c r="Y359" s="29">
        <v>0</v>
      </c>
      <c r="Z359" s="29">
        <v>0</v>
      </c>
      <c r="AA359" s="29">
        <v>0</v>
      </c>
      <c r="AB359" s="29">
        <v>0</v>
      </c>
      <c r="AC359" s="29">
        <v>0</v>
      </c>
      <c r="AD359" s="29">
        <v>0</v>
      </c>
      <c r="AE359" s="29"/>
      <c r="GR359" s="5"/>
      <c r="GS359" s="5"/>
      <c r="GT359" s="5"/>
      <c r="GU359" s="5"/>
      <c r="GV359" s="5"/>
      <c r="GW359" s="5"/>
      <c r="GX359" s="5"/>
      <c r="GY359" s="5"/>
      <c r="GZ359" s="5"/>
      <c r="HA359" s="5"/>
      <c r="HB359" s="5"/>
      <c r="HC359" s="5"/>
      <c r="HD359" s="5"/>
      <c r="HE359" s="5"/>
      <c r="HF359" s="5"/>
      <c r="HG359" s="5"/>
      <c r="HH359" s="5"/>
      <c r="HI359" s="5"/>
      <c r="HJ359" s="5"/>
      <c r="HK359" s="5"/>
      <c r="HL359" s="5"/>
      <c r="HM359" s="5"/>
      <c r="HN359" s="5"/>
      <c r="HO359" s="5"/>
      <c r="HP359" s="5"/>
    </row>
    <row r="360" spans="3:224" ht="20.100000000000001" customHeight="1">
      <c r="C360" s="24">
        <v>15204004</v>
      </c>
      <c r="D360" s="25" t="s">
        <v>382</v>
      </c>
      <c r="E360" s="25">
        <v>11200003</v>
      </c>
      <c r="F360" s="25">
        <v>12021</v>
      </c>
      <c r="G360" s="25">
        <v>1</v>
      </c>
      <c r="H360" s="25">
        <v>30</v>
      </c>
      <c r="I360" s="29">
        <v>0.2</v>
      </c>
      <c r="J360" s="30">
        <v>10</v>
      </c>
      <c r="K360" s="25">
        <v>0</v>
      </c>
      <c r="L360" s="25">
        <v>0</v>
      </c>
      <c r="M360" s="25">
        <f t="shared" si="27"/>
        <v>28</v>
      </c>
      <c r="N360" s="25">
        <v>55</v>
      </c>
      <c r="O360" s="25">
        <v>0</v>
      </c>
      <c r="P360" s="25">
        <v>0</v>
      </c>
      <c r="Q360" s="25">
        <f t="shared" si="28"/>
        <v>17</v>
      </c>
      <c r="R360" s="25">
        <v>34</v>
      </c>
      <c r="S360" s="25">
        <f t="shared" si="29"/>
        <v>17</v>
      </c>
      <c r="T360" s="25">
        <v>34</v>
      </c>
      <c r="U360" s="29">
        <v>0</v>
      </c>
      <c r="V360" s="25">
        <v>0</v>
      </c>
      <c r="W360" s="25">
        <v>0</v>
      </c>
      <c r="X360" s="25">
        <v>0</v>
      </c>
      <c r="Y360" s="29">
        <v>0</v>
      </c>
      <c r="Z360" s="29">
        <v>0</v>
      </c>
      <c r="AA360" s="29">
        <v>0</v>
      </c>
      <c r="AB360" s="29">
        <v>0</v>
      </c>
      <c r="AC360" s="29">
        <v>0</v>
      </c>
      <c r="AD360" s="29">
        <v>0</v>
      </c>
      <c r="AE360" s="29"/>
      <c r="GR360" s="5"/>
      <c r="GS360" s="5"/>
      <c r="GT360" s="5"/>
      <c r="GU360" s="5"/>
      <c r="GV360" s="5"/>
      <c r="GW360" s="5"/>
      <c r="GX360" s="5"/>
      <c r="GY360" s="5"/>
      <c r="GZ360" s="5"/>
      <c r="HA360" s="5"/>
      <c r="HB360" s="5"/>
      <c r="HC360" s="5"/>
      <c r="HD360" s="5"/>
      <c r="HE360" s="5"/>
      <c r="HF360" s="5"/>
      <c r="HG360" s="5"/>
      <c r="HH360" s="5"/>
      <c r="HI360" s="5"/>
      <c r="HJ360" s="5"/>
      <c r="HK360" s="5"/>
      <c r="HL360" s="5"/>
      <c r="HM360" s="5"/>
      <c r="HN360" s="5"/>
      <c r="HO360" s="5"/>
      <c r="HP360" s="5"/>
    </row>
    <row r="361" spans="3:224" ht="20.100000000000001" customHeight="1">
      <c r="C361" s="24">
        <v>15204005</v>
      </c>
      <c r="D361" s="25" t="s">
        <v>383</v>
      </c>
      <c r="E361" s="25">
        <v>11200003</v>
      </c>
      <c r="F361" s="25">
        <v>0</v>
      </c>
      <c r="G361" s="25">
        <v>1</v>
      </c>
      <c r="H361" s="25">
        <v>30</v>
      </c>
      <c r="I361" s="29">
        <v>0.2</v>
      </c>
      <c r="J361" s="30">
        <v>10</v>
      </c>
      <c r="K361" s="25">
        <v>0</v>
      </c>
      <c r="L361" s="25">
        <v>0</v>
      </c>
      <c r="M361" s="25">
        <f t="shared" si="27"/>
        <v>13</v>
      </c>
      <c r="N361" s="25">
        <v>26</v>
      </c>
      <c r="O361" s="25">
        <v>0</v>
      </c>
      <c r="P361" s="25">
        <v>0</v>
      </c>
      <c r="Q361" s="25">
        <f t="shared" si="28"/>
        <v>22</v>
      </c>
      <c r="R361" s="25">
        <v>44</v>
      </c>
      <c r="S361" s="25">
        <f t="shared" si="29"/>
        <v>22</v>
      </c>
      <c r="T361" s="25">
        <v>44</v>
      </c>
      <c r="U361" s="29">
        <v>0</v>
      </c>
      <c r="V361" s="25">
        <v>0</v>
      </c>
      <c r="W361" s="25">
        <v>0</v>
      </c>
      <c r="X361" s="25">
        <v>0</v>
      </c>
      <c r="Y361" s="29">
        <v>0</v>
      </c>
      <c r="Z361" s="29">
        <v>0</v>
      </c>
      <c r="AA361" s="29">
        <v>0</v>
      </c>
      <c r="AB361" s="29">
        <v>0</v>
      </c>
      <c r="AC361" s="29">
        <v>0</v>
      </c>
      <c r="AD361" s="29">
        <v>0</v>
      </c>
      <c r="AE361" s="29"/>
      <c r="GR361" s="5"/>
      <c r="GS361" s="5"/>
      <c r="GT361" s="5"/>
      <c r="GU361" s="5"/>
      <c r="GV361" s="5"/>
      <c r="GW361" s="5"/>
      <c r="GX361" s="5"/>
      <c r="GY361" s="5"/>
      <c r="GZ361" s="5"/>
      <c r="HA361" s="5"/>
      <c r="HB361" s="5"/>
      <c r="HC361" s="5"/>
      <c r="HD361" s="5"/>
      <c r="HE361" s="5"/>
      <c r="HF361" s="5"/>
      <c r="HG361" s="5"/>
      <c r="HH361" s="5"/>
      <c r="HI361" s="5"/>
      <c r="HJ361" s="5"/>
      <c r="HK361" s="5"/>
      <c r="HL361" s="5"/>
      <c r="HM361" s="5"/>
      <c r="HN361" s="5"/>
      <c r="HO361" s="5"/>
      <c r="HP361" s="5"/>
    </row>
    <row r="362" spans="3:224" ht="20.100000000000001" customHeight="1">
      <c r="C362" s="24">
        <v>15204006</v>
      </c>
      <c r="D362" s="25" t="s">
        <v>384</v>
      </c>
      <c r="E362" s="25">
        <v>11200003</v>
      </c>
      <c r="F362" s="25">
        <v>12031</v>
      </c>
      <c r="G362" s="25">
        <v>1</v>
      </c>
      <c r="H362" s="25">
        <v>30</v>
      </c>
      <c r="I362" s="29">
        <v>0.2</v>
      </c>
      <c r="J362" s="30">
        <v>10</v>
      </c>
      <c r="K362" s="25">
        <v>0</v>
      </c>
      <c r="L362" s="25">
        <v>0</v>
      </c>
      <c r="M362" s="25">
        <f t="shared" si="27"/>
        <v>16</v>
      </c>
      <c r="N362" s="25">
        <v>31</v>
      </c>
      <c r="O362" s="25">
        <v>0</v>
      </c>
      <c r="P362" s="25">
        <v>0</v>
      </c>
      <c r="Q362" s="25">
        <f t="shared" si="28"/>
        <v>28</v>
      </c>
      <c r="R362" s="25">
        <v>56</v>
      </c>
      <c r="S362" s="25">
        <f t="shared" si="29"/>
        <v>28</v>
      </c>
      <c r="T362" s="25">
        <v>56</v>
      </c>
      <c r="U362" s="29">
        <v>0</v>
      </c>
      <c r="V362" s="25">
        <v>0</v>
      </c>
      <c r="W362" s="25">
        <v>0</v>
      </c>
      <c r="X362" s="25">
        <v>0</v>
      </c>
      <c r="Y362" s="29">
        <v>0</v>
      </c>
      <c r="Z362" s="29">
        <v>0</v>
      </c>
      <c r="AA362" s="29">
        <v>0</v>
      </c>
      <c r="AB362" s="29">
        <v>0</v>
      </c>
      <c r="AC362" s="29">
        <v>0</v>
      </c>
      <c r="AD362" s="29">
        <v>0</v>
      </c>
      <c r="AE362" s="29"/>
      <c r="GR362" s="5"/>
      <c r="GS362" s="5"/>
      <c r="GT362" s="5"/>
      <c r="GU362" s="5"/>
      <c r="GV362" s="5"/>
      <c r="GW362" s="5"/>
      <c r="GX362" s="5"/>
      <c r="GY362" s="5"/>
      <c r="GZ362" s="5"/>
      <c r="HA362" s="5"/>
      <c r="HB362" s="5"/>
      <c r="HC362" s="5"/>
      <c r="HD362" s="5"/>
      <c r="HE362" s="5"/>
      <c r="HF362" s="5"/>
      <c r="HG362" s="5"/>
      <c r="HH362" s="5"/>
      <c r="HI362" s="5"/>
      <c r="HJ362" s="5"/>
      <c r="HK362" s="5"/>
      <c r="HL362" s="5"/>
      <c r="HM362" s="5"/>
      <c r="HN362" s="5"/>
      <c r="HO362" s="5"/>
      <c r="HP362" s="5"/>
    </row>
    <row r="363" spans="3:224" s="4" customFormat="1" ht="20.100000000000001" customHeight="1">
      <c r="C363" s="34">
        <v>15205001</v>
      </c>
      <c r="D363" s="35" t="s">
        <v>385</v>
      </c>
      <c r="E363" s="35">
        <v>11200003</v>
      </c>
      <c r="F363" s="35">
        <v>0</v>
      </c>
      <c r="G363" s="35">
        <v>1</v>
      </c>
      <c r="H363" s="35">
        <v>30</v>
      </c>
      <c r="I363" s="37">
        <v>0.2</v>
      </c>
      <c r="J363" s="30">
        <v>10</v>
      </c>
      <c r="K363" s="35">
        <v>0</v>
      </c>
      <c r="L363" s="35">
        <v>1560</v>
      </c>
      <c r="M363" s="35">
        <f t="shared" si="27"/>
        <v>23</v>
      </c>
      <c r="N363" s="35">
        <v>45</v>
      </c>
      <c r="O363" s="35">
        <v>0</v>
      </c>
      <c r="P363" s="35">
        <v>0</v>
      </c>
      <c r="Q363" s="35">
        <f t="shared" si="28"/>
        <v>9</v>
      </c>
      <c r="R363" s="35">
        <v>18</v>
      </c>
      <c r="S363" s="35">
        <f t="shared" si="29"/>
        <v>0</v>
      </c>
      <c r="T363" s="35">
        <v>0</v>
      </c>
      <c r="U363" s="37">
        <v>0</v>
      </c>
      <c r="V363" s="35">
        <v>0</v>
      </c>
      <c r="W363" s="35">
        <v>0</v>
      </c>
      <c r="X363" s="35">
        <v>0</v>
      </c>
      <c r="Y363" s="37">
        <v>0</v>
      </c>
      <c r="Z363" s="37">
        <v>0</v>
      </c>
      <c r="AA363" s="37">
        <v>0</v>
      </c>
      <c r="AB363" s="37">
        <v>0</v>
      </c>
      <c r="AC363" s="37">
        <v>0</v>
      </c>
      <c r="AD363" s="37">
        <v>0</v>
      </c>
      <c r="AE363" s="37"/>
      <c r="AF363" s="39"/>
      <c r="AG363" s="39"/>
      <c r="AH363" s="39"/>
      <c r="AI363" s="39"/>
      <c r="AJ363" s="39"/>
      <c r="AK363" s="39"/>
      <c r="AL363" s="39"/>
      <c r="AM363" s="39"/>
      <c r="AN363" s="39"/>
      <c r="AO363" s="39"/>
      <c r="AP363" s="39"/>
      <c r="AQ363" s="39"/>
      <c r="AR363" s="39"/>
      <c r="AS363" s="39"/>
      <c r="AT363" s="39"/>
      <c r="AU363" s="39"/>
      <c r="AV363" s="39"/>
      <c r="AW363" s="39"/>
      <c r="AX363" s="39"/>
      <c r="AY363" s="39"/>
      <c r="AZ363" s="39"/>
      <c r="BA363" s="39"/>
      <c r="BB363" s="39"/>
      <c r="BC363" s="39"/>
      <c r="BD363" s="39"/>
      <c r="BE363" s="39"/>
      <c r="BF363" s="39"/>
      <c r="BG363" s="39"/>
      <c r="BH363" s="39"/>
      <c r="BI363" s="39"/>
      <c r="BJ363" s="39"/>
      <c r="BK363" s="39"/>
      <c r="BL363" s="39"/>
      <c r="BM363" s="39"/>
      <c r="BN363" s="39"/>
      <c r="BO363" s="39"/>
      <c r="BP363" s="39"/>
      <c r="BQ363" s="39"/>
      <c r="BR363" s="39"/>
      <c r="BS363" s="39"/>
      <c r="BT363" s="39"/>
      <c r="BU363" s="39"/>
      <c r="BV363" s="39"/>
      <c r="BW363" s="39"/>
      <c r="BX363" s="39"/>
      <c r="BY363" s="39"/>
      <c r="BZ363" s="39"/>
      <c r="CA363" s="39"/>
      <c r="CB363" s="39"/>
      <c r="CC363" s="39"/>
      <c r="CD363" s="39"/>
      <c r="CE363" s="39"/>
      <c r="CF363" s="39"/>
      <c r="CG363" s="39"/>
      <c r="CH363" s="39"/>
      <c r="CI363" s="39"/>
      <c r="CJ363" s="39"/>
      <c r="CK363" s="39"/>
      <c r="CL363" s="39"/>
      <c r="CM363" s="39"/>
      <c r="CN363" s="39"/>
      <c r="CO363" s="39"/>
      <c r="CP363" s="39"/>
      <c r="CQ363" s="39"/>
      <c r="CR363" s="39"/>
      <c r="CS363" s="39"/>
      <c r="CT363" s="39"/>
      <c r="CU363" s="39"/>
      <c r="CV363" s="39"/>
      <c r="CW363" s="39"/>
      <c r="CX363" s="39"/>
      <c r="CY363" s="39"/>
      <c r="CZ363" s="39"/>
      <c r="DA363" s="39"/>
      <c r="DB363" s="39"/>
      <c r="DC363" s="39"/>
      <c r="DD363" s="39"/>
      <c r="DE363" s="39"/>
      <c r="DF363" s="39"/>
      <c r="DG363" s="39"/>
      <c r="DH363" s="39"/>
      <c r="DI363" s="39"/>
      <c r="DJ363" s="39"/>
      <c r="DK363" s="39"/>
      <c r="DL363" s="39"/>
      <c r="DM363" s="39"/>
      <c r="DN363" s="39"/>
      <c r="DO363" s="39"/>
      <c r="DP363" s="39"/>
      <c r="DQ363" s="39"/>
      <c r="DR363" s="39"/>
      <c r="DS363" s="39"/>
      <c r="DT363" s="39"/>
      <c r="DU363" s="39"/>
      <c r="DV363" s="39"/>
      <c r="DW363" s="39"/>
      <c r="DX363" s="39"/>
      <c r="DY363" s="39"/>
      <c r="DZ363" s="39"/>
      <c r="EA363" s="39"/>
      <c r="EB363" s="39"/>
      <c r="EC363" s="39"/>
      <c r="ED363" s="39"/>
      <c r="EE363" s="39"/>
      <c r="EF363" s="39"/>
      <c r="EG363" s="39"/>
      <c r="EH363" s="39"/>
      <c r="EI363" s="39"/>
      <c r="EJ363" s="39"/>
      <c r="EK363" s="39"/>
      <c r="EL363" s="39"/>
      <c r="EM363" s="39"/>
      <c r="EN363" s="39"/>
      <c r="EO363" s="39"/>
      <c r="EP363" s="39"/>
      <c r="EQ363" s="39"/>
      <c r="ER363" s="39"/>
      <c r="ES363" s="39"/>
      <c r="ET363" s="39"/>
      <c r="EU363" s="39"/>
      <c r="EV363" s="39"/>
      <c r="EW363" s="39"/>
      <c r="EX363" s="39"/>
      <c r="EY363" s="39"/>
      <c r="EZ363" s="39"/>
      <c r="FA363" s="39"/>
      <c r="FB363" s="39"/>
      <c r="FC363" s="39"/>
      <c r="FD363" s="39"/>
      <c r="FE363" s="39"/>
      <c r="FF363" s="39"/>
      <c r="FG363" s="39"/>
      <c r="FH363" s="39"/>
      <c r="FI363" s="39"/>
      <c r="FJ363" s="39"/>
      <c r="FK363" s="39"/>
      <c r="FL363" s="39"/>
      <c r="FM363" s="39"/>
      <c r="FN363" s="39"/>
      <c r="FO363" s="39"/>
      <c r="FP363" s="39"/>
      <c r="FQ363" s="39"/>
      <c r="FR363" s="39"/>
      <c r="FS363" s="39"/>
      <c r="FT363" s="39"/>
      <c r="FU363" s="39"/>
      <c r="FV363" s="39"/>
      <c r="FW363" s="39"/>
      <c r="FX363" s="39"/>
      <c r="FY363" s="39"/>
      <c r="FZ363" s="39"/>
      <c r="GA363" s="39"/>
      <c r="GB363" s="39"/>
      <c r="GC363" s="39"/>
      <c r="GD363" s="39"/>
      <c r="GE363" s="39"/>
      <c r="GF363" s="39"/>
      <c r="GG363" s="39"/>
      <c r="GH363" s="39"/>
      <c r="GI363" s="39"/>
      <c r="GJ363" s="39"/>
      <c r="GK363" s="39"/>
      <c r="GL363" s="39"/>
      <c r="GM363" s="39"/>
      <c r="GN363" s="39"/>
      <c r="GO363" s="39"/>
      <c r="GP363" s="39"/>
      <c r="GQ363" s="39"/>
      <c r="GR363" s="39"/>
      <c r="GS363" s="39"/>
      <c r="GT363" s="39"/>
      <c r="GU363" s="39"/>
      <c r="GV363" s="39"/>
      <c r="GW363" s="39"/>
      <c r="GX363" s="39"/>
      <c r="GY363" s="39"/>
      <c r="GZ363" s="39"/>
      <c r="HA363" s="39"/>
      <c r="HB363" s="39"/>
      <c r="HC363" s="39"/>
      <c r="HD363" s="39"/>
      <c r="HE363" s="39"/>
      <c r="HF363" s="39"/>
      <c r="HG363" s="39"/>
      <c r="HH363" s="39"/>
      <c r="HI363" s="39"/>
      <c r="HJ363" s="39"/>
      <c r="HK363" s="39"/>
      <c r="HL363" s="39"/>
      <c r="HM363" s="39"/>
      <c r="HN363" s="39"/>
      <c r="HO363" s="39"/>
      <c r="HP363" s="39"/>
    </row>
    <row r="364" spans="3:224" s="4" customFormat="1" ht="20.100000000000001" customHeight="1">
      <c r="C364" s="34">
        <v>15205002</v>
      </c>
      <c r="D364" s="35" t="s">
        <v>386</v>
      </c>
      <c r="E364" s="35">
        <v>11200003</v>
      </c>
      <c r="F364" s="35">
        <v>12011</v>
      </c>
      <c r="G364" s="35">
        <v>1</v>
      </c>
      <c r="H364" s="35">
        <v>30</v>
      </c>
      <c r="I364" s="37">
        <v>0.2</v>
      </c>
      <c r="J364" s="30">
        <v>10</v>
      </c>
      <c r="K364" s="35">
        <v>0</v>
      </c>
      <c r="L364" s="35">
        <v>1950</v>
      </c>
      <c r="M364" s="35">
        <f t="shared" si="27"/>
        <v>28</v>
      </c>
      <c r="N364" s="35">
        <v>56</v>
      </c>
      <c r="O364" s="35">
        <v>0</v>
      </c>
      <c r="P364" s="35">
        <v>0</v>
      </c>
      <c r="Q364" s="35">
        <f t="shared" si="28"/>
        <v>12</v>
      </c>
      <c r="R364" s="35">
        <v>23</v>
      </c>
      <c r="S364" s="35">
        <f t="shared" si="29"/>
        <v>0</v>
      </c>
      <c r="T364" s="35">
        <v>0</v>
      </c>
      <c r="U364" s="37">
        <v>0</v>
      </c>
      <c r="V364" s="35">
        <v>0</v>
      </c>
      <c r="W364" s="35">
        <v>0</v>
      </c>
      <c r="X364" s="35">
        <v>0</v>
      </c>
      <c r="Y364" s="37">
        <v>0</v>
      </c>
      <c r="Z364" s="37">
        <v>0</v>
      </c>
      <c r="AA364" s="37">
        <v>0</v>
      </c>
      <c r="AB364" s="37">
        <v>0</v>
      </c>
      <c r="AC364" s="37">
        <v>0</v>
      </c>
      <c r="AD364" s="37">
        <v>0</v>
      </c>
      <c r="AE364" s="37"/>
      <c r="AF364" s="39"/>
      <c r="AG364" s="39"/>
      <c r="AH364" s="39"/>
      <c r="AI364" s="39"/>
      <c r="AJ364" s="39"/>
      <c r="AK364" s="39"/>
      <c r="AL364" s="39"/>
      <c r="AM364" s="39"/>
      <c r="AN364" s="39"/>
      <c r="AO364" s="39"/>
      <c r="AP364" s="39"/>
      <c r="AQ364" s="39"/>
      <c r="AR364" s="39"/>
      <c r="AS364" s="39"/>
      <c r="AT364" s="39"/>
      <c r="AU364" s="39"/>
      <c r="AV364" s="39"/>
      <c r="AW364" s="39"/>
      <c r="AX364" s="39"/>
      <c r="AY364" s="39"/>
      <c r="AZ364" s="39"/>
      <c r="BA364" s="39"/>
      <c r="BB364" s="39"/>
      <c r="BC364" s="39"/>
      <c r="BD364" s="39"/>
      <c r="BE364" s="39"/>
      <c r="BF364" s="39"/>
      <c r="BG364" s="39"/>
      <c r="BH364" s="39"/>
      <c r="BI364" s="39"/>
      <c r="BJ364" s="39"/>
      <c r="BK364" s="39"/>
      <c r="BL364" s="39"/>
      <c r="BM364" s="39"/>
      <c r="BN364" s="39"/>
      <c r="BO364" s="39"/>
      <c r="BP364" s="39"/>
      <c r="BQ364" s="39"/>
      <c r="BR364" s="39"/>
      <c r="BS364" s="39"/>
      <c r="BT364" s="39"/>
      <c r="BU364" s="39"/>
      <c r="BV364" s="39"/>
      <c r="BW364" s="39"/>
      <c r="BX364" s="39"/>
      <c r="BY364" s="39"/>
      <c r="BZ364" s="39"/>
      <c r="CA364" s="39"/>
      <c r="CB364" s="39"/>
      <c r="CC364" s="39"/>
      <c r="CD364" s="39"/>
      <c r="CE364" s="39"/>
      <c r="CF364" s="39"/>
      <c r="CG364" s="39"/>
      <c r="CH364" s="39"/>
      <c r="CI364" s="39"/>
      <c r="CJ364" s="39"/>
      <c r="CK364" s="39"/>
      <c r="CL364" s="39"/>
      <c r="CM364" s="39"/>
      <c r="CN364" s="39"/>
      <c r="CO364" s="39"/>
      <c r="CP364" s="39"/>
      <c r="CQ364" s="39"/>
      <c r="CR364" s="39"/>
      <c r="CS364" s="39"/>
      <c r="CT364" s="39"/>
      <c r="CU364" s="39"/>
      <c r="CV364" s="39"/>
      <c r="CW364" s="39"/>
      <c r="CX364" s="39"/>
      <c r="CY364" s="39"/>
      <c r="CZ364" s="39"/>
      <c r="DA364" s="39"/>
      <c r="DB364" s="39"/>
      <c r="DC364" s="39"/>
      <c r="DD364" s="39"/>
      <c r="DE364" s="39"/>
      <c r="DF364" s="39"/>
      <c r="DG364" s="39"/>
      <c r="DH364" s="39"/>
      <c r="DI364" s="39"/>
      <c r="DJ364" s="39"/>
      <c r="DK364" s="39"/>
      <c r="DL364" s="39"/>
      <c r="DM364" s="39"/>
      <c r="DN364" s="39"/>
      <c r="DO364" s="39"/>
      <c r="DP364" s="39"/>
      <c r="DQ364" s="39"/>
      <c r="DR364" s="39"/>
      <c r="DS364" s="39"/>
      <c r="DT364" s="39"/>
      <c r="DU364" s="39"/>
      <c r="DV364" s="39"/>
      <c r="DW364" s="39"/>
      <c r="DX364" s="39"/>
      <c r="DY364" s="39"/>
      <c r="DZ364" s="39"/>
      <c r="EA364" s="39"/>
      <c r="EB364" s="39"/>
      <c r="EC364" s="39"/>
      <c r="ED364" s="39"/>
      <c r="EE364" s="39"/>
      <c r="EF364" s="39"/>
      <c r="EG364" s="39"/>
      <c r="EH364" s="39"/>
      <c r="EI364" s="39"/>
      <c r="EJ364" s="39"/>
      <c r="EK364" s="39"/>
      <c r="EL364" s="39"/>
      <c r="EM364" s="39"/>
      <c r="EN364" s="39"/>
      <c r="EO364" s="39"/>
      <c r="EP364" s="39"/>
      <c r="EQ364" s="39"/>
      <c r="ER364" s="39"/>
      <c r="ES364" s="39"/>
      <c r="ET364" s="39"/>
      <c r="EU364" s="39"/>
      <c r="EV364" s="39"/>
      <c r="EW364" s="39"/>
      <c r="EX364" s="39"/>
      <c r="EY364" s="39"/>
      <c r="EZ364" s="39"/>
      <c r="FA364" s="39"/>
      <c r="FB364" s="39"/>
      <c r="FC364" s="39"/>
      <c r="FD364" s="39"/>
      <c r="FE364" s="39"/>
      <c r="FF364" s="39"/>
      <c r="FG364" s="39"/>
      <c r="FH364" s="39"/>
      <c r="FI364" s="39"/>
      <c r="FJ364" s="39"/>
      <c r="FK364" s="39"/>
      <c r="FL364" s="39"/>
      <c r="FM364" s="39"/>
      <c r="FN364" s="39"/>
      <c r="FO364" s="39"/>
      <c r="FP364" s="39"/>
      <c r="FQ364" s="39"/>
      <c r="FR364" s="39"/>
      <c r="FS364" s="39"/>
      <c r="FT364" s="39"/>
      <c r="FU364" s="39"/>
      <c r="FV364" s="39"/>
      <c r="FW364" s="39"/>
      <c r="FX364" s="39"/>
      <c r="FY364" s="39"/>
      <c r="FZ364" s="39"/>
      <c r="GA364" s="39"/>
      <c r="GB364" s="39"/>
      <c r="GC364" s="39"/>
      <c r="GD364" s="39"/>
      <c r="GE364" s="39"/>
      <c r="GF364" s="39"/>
      <c r="GG364" s="39"/>
      <c r="GH364" s="39"/>
      <c r="GI364" s="39"/>
      <c r="GJ364" s="39"/>
      <c r="GK364" s="39"/>
      <c r="GL364" s="39"/>
      <c r="GM364" s="39"/>
      <c r="GN364" s="39"/>
      <c r="GO364" s="39"/>
      <c r="GP364" s="39"/>
      <c r="GQ364" s="39"/>
      <c r="GR364" s="39"/>
      <c r="GS364" s="39"/>
      <c r="GT364" s="39"/>
      <c r="GU364" s="39"/>
      <c r="GV364" s="39"/>
      <c r="GW364" s="39"/>
      <c r="GX364" s="39"/>
      <c r="GY364" s="39"/>
      <c r="GZ364" s="39"/>
      <c r="HA364" s="39"/>
      <c r="HB364" s="39"/>
      <c r="HC364" s="39"/>
      <c r="HD364" s="39"/>
      <c r="HE364" s="39"/>
      <c r="HF364" s="39"/>
      <c r="HG364" s="39"/>
      <c r="HH364" s="39"/>
      <c r="HI364" s="39"/>
      <c r="HJ364" s="39"/>
      <c r="HK364" s="39"/>
      <c r="HL364" s="39"/>
      <c r="HM364" s="39"/>
      <c r="HN364" s="39"/>
      <c r="HO364" s="39"/>
      <c r="HP364" s="39"/>
    </row>
    <row r="365" spans="3:224" s="4" customFormat="1" ht="20.100000000000001" customHeight="1">
      <c r="C365" s="34">
        <v>15205003</v>
      </c>
      <c r="D365" s="35" t="s">
        <v>387</v>
      </c>
      <c r="E365" s="35">
        <v>11200003</v>
      </c>
      <c r="F365" s="35">
        <v>0</v>
      </c>
      <c r="G365" s="35">
        <v>1</v>
      </c>
      <c r="H365" s="35">
        <v>30</v>
      </c>
      <c r="I365" s="37">
        <v>0.2</v>
      </c>
      <c r="J365" s="30">
        <v>10</v>
      </c>
      <c r="K365" s="35">
        <v>0</v>
      </c>
      <c r="L365" s="35">
        <v>784</v>
      </c>
      <c r="M365" s="35">
        <f t="shared" si="27"/>
        <v>31</v>
      </c>
      <c r="N365" s="35">
        <v>61</v>
      </c>
      <c r="O365" s="35">
        <v>0</v>
      </c>
      <c r="P365" s="35">
        <v>0</v>
      </c>
      <c r="Q365" s="35">
        <f t="shared" si="28"/>
        <v>7</v>
      </c>
      <c r="R365" s="35">
        <v>14</v>
      </c>
      <c r="S365" s="35">
        <f t="shared" si="29"/>
        <v>0</v>
      </c>
      <c r="T365" s="35">
        <v>0</v>
      </c>
      <c r="U365" s="37">
        <v>0</v>
      </c>
      <c r="V365" s="35">
        <v>0</v>
      </c>
      <c r="W365" s="35">
        <v>0</v>
      </c>
      <c r="X365" s="35">
        <v>0</v>
      </c>
      <c r="Y365" s="37">
        <v>0</v>
      </c>
      <c r="Z365" s="37">
        <v>0</v>
      </c>
      <c r="AA365" s="37">
        <v>0</v>
      </c>
      <c r="AB365" s="37">
        <v>0</v>
      </c>
      <c r="AC365" s="37">
        <v>0</v>
      </c>
      <c r="AD365" s="37">
        <v>0</v>
      </c>
      <c r="AE365" s="37"/>
      <c r="AF365" s="39"/>
      <c r="AG365" s="39"/>
      <c r="AH365" s="39"/>
      <c r="AI365" s="39"/>
      <c r="AJ365" s="39"/>
      <c r="AK365" s="39"/>
      <c r="AL365" s="39"/>
      <c r="AM365" s="39"/>
      <c r="AN365" s="39"/>
      <c r="AO365" s="39"/>
      <c r="AP365" s="39"/>
      <c r="AQ365" s="39"/>
      <c r="AR365" s="39"/>
      <c r="AS365" s="39"/>
      <c r="AT365" s="39"/>
      <c r="AU365" s="39"/>
      <c r="AV365" s="39"/>
      <c r="AW365" s="39"/>
      <c r="AX365" s="39"/>
      <c r="AY365" s="39"/>
      <c r="AZ365" s="39"/>
      <c r="BA365" s="39"/>
      <c r="BB365" s="39"/>
      <c r="BC365" s="39"/>
      <c r="BD365" s="39"/>
      <c r="BE365" s="39"/>
      <c r="BF365" s="39"/>
      <c r="BG365" s="39"/>
      <c r="BH365" s="39"/>
      <c r="BI365" s="39"/>
      <c r="BJ365" s="39"/>
      <c r="BK365" s="39"/>
      <c r="BL365" s="39"/>
      <c r="BM365" s="39"/>
      <c r="BN365" s="39"/>
      <c r="BO365" s="39"/>
      <c r="BP365" s="39"/>
      <c r="BQ365" s="39"/>
      <c r="BR365" s="39"/>
      <c r="BS365" s="39"/>
      <c r="BT365" s="39"/>
      <c r="BU365" s="39"/>
      <c r="BV365" s="39"/>
      <c r="BW365" s="39"/>
      <c r="BX365" s="39"/>
      <c r="BY365" s="39"/>
      <c r="BZ365" s="39"/>
      <c r="CA365" s="39"/>
      <c r="CB365" s="39"/>
      <c r="CC365" s="39"/>
      <c r="CD365" s="39"/>
      <c r="CE365" s="39"/>
      <c r="CF365" s="39"/>
      <c r="CG365" s="39"/>
      <c r="CH365" s="39"/>
      <c r="CI365" s="39"/>
      <c r="CJ365" s="39"/>
      <c r="CK365" s="39"/>
      <c r="CL365" s="39"/>
      <c r="CM365" s="39"/>
      <c r="CN365" s="39"/>
      <c r="CO365" s="39"/>
      <c r="CP365" s="39"/>
      <c r="CQ365" s="39"/>
      <c r="CR365" s="39"/>
      <c r="CS365" s="39"/>
      <c r="CT365" s="39"/>
      <c r="CU365" s="39"/>
      <c r="CV365" s="39"/>
      <c r="CW365" s="39"/>
      <c r="CX365" s="39"/>
      <c r="CY365" s="39"/>
      <c r="CZ365" s="39"/>
      <c r="DA365" s="39"/>
      <c r="DB365" s="39"/>
      <c r="DC365" s="39"/>
      <c r="DD365" s="39"/>
      <c r="DE365" s="39"/>
      <c r="DF365" s="39"/>
      <c r="DG365" s="39"/>
      <c r="DH365" s="39"/>
      <c r="DI365" s="39"/>
      <c r="DJ365" s="39"/>
      <c r="DK365" s="39"/>
      <c r="DL365" s="39"/>
      <c r="DM365" s="39"/>
      <c r="DN365" s="39"/>
      <c r="DO365" s="39"/>
      <c r="DP365" s="39"/>
      <c r="DQ365" s="39"/>
      <c r="DR365" s="39"/>
      <c r="DS365" s="39"/>
      <c r="DT365" s="39"/>
      <c r="DU365" s="39"/>
      <c r="DV365" s="39"/>
      <c r="DW365" s="39"/>
      <c r="DX365" s="39"/>
      <c r="DY365" s="39"/>
      <c r="DZ365" s="39"/>
      <c r="EA365" s="39"/>
      <c r="EB365" s="39"/>
      <c r="EC365" s="39"/>
      <c r="ED365" s="39"/>
      <c r="EE365" s="39"/>
      <c r="EF365" s="39"/>
      <c r="EG365" s="39"/>
      <c r="EH365" s="39"/>
      <c r="EI365" s="39"/>
      <c r="EJ365" s="39"/>
      <c r="EK365" s="39"/>
      <c r="EL365" s="39"/>
      <c r="EM365" s="39"/>
      <c r="EN365" s="39"/>
      <c r="EO365" s="39"/>
      <c r="EP365" s="39"/>
      <c r="EQ365" s="39"/>
      <c r="ER365" s="39"/>
      <c r="ES365" s="39"/>
      <c r="ET365" s="39"/>
      <c r="EU365" s="39"/>
      <c r="EV365" s="39"/>
      <c r="EW365" s="39"/>
      <c r="EX365" s="39"/>
      <c r="EY365" s="39"/>
      <c r="EZ365" s="39"/>
      <c r="FA365" s="39"/>
      <c r="FB365" s="39"/>
      <c r="FC365" s="39"/>
      <c r="FD365" s="39"/>
      <c r="FE365" s="39"/>
      <c r="FF365" s="39"/>
      <c r="FG365" s="39"/>
      <c r="FH365" s="39"/>
      <c r="FI365" s="39"/>
      <c r="FJ365" s="39"/>
      <c r="FK365" s="39"/>
      <c r="FL365" s="39"/>
      <c r="FM365" s="39"/>
      <c r="FN365" s="39"/>
      <c r="FO365" s="39"/>
      <c r="FP365" s="39"/>
      <c r="FQ365" s="39"/>
      <c r="FR365" s="39"/>
      <c r="FS365" s="39"/>
      <c r="FT365" s="39"/>
      <c r="FU365" s="39"/>
      <c r="FV365" s="39"/>
      <c r="FW365" s="39"/>
      <c r="FX365" s="39"/>
      <c r="FY365" s="39"/>
      <c r="FZ365" s="39"/>
      <c r="GA365" s="39"/>
      <c r="GB365" s="39"/>
      <c r="GC365" s="39"/>
      <c r="GD365" s="39"/>
      <c r="GE365" s="39"/>
      <c r="GF365" s="39"/>
      <c r="GG365" s="39"/>
      <c r="GH365" s="39"/>
      <c r="GI365" s="39"/>
      <c r="GJ365" s="39"/>
      <c r="GK365" s="39"/>
      <c r="GL365" s="39"/>
      <c r="GM365" s="39"/>
      <c r="GN365" s="39"/>
      <c r="GO365" s="39"/>
      <c r="GP365" s="39"/>
      <c r="GQ365" s="39"/>
      <c r="GR365" s="39"/>
      <c r="GS365" s="39"/>
      <c r="GT365" s="39"/>
      <c r="GU365" s="39"/>
      <c r="GV365" s="39"/>
      <c r="GW365" s="39"/>
      <c r="GX365" s="39"/>
      <c r="GY365" s="39"/>
      <c r="GZ365" s="39"/>
      <c r="HA365" s="39"/>
      <c r="HB365" s="39"/>
      <c r="HC365" s="39"/>
      <c r="HD365" s="39"/>
      <c r="HE365" s="39"/>
      <c r="HF365" s="39"/>
      <c r="HG365" s="39"/>
      <c r="HH365" s="39"/>
      <c r="HI365" s="39"/>
      <c r="HJ365" s="39"/>
      <c r="HK365" s="39"/>
      <c r="HL365" s="39"/>
      <c r="HM365" s="39"/>
      <c r="HN365" s="39"/>
      <c r="HO365" s="39"/>
      <c r="HP365" s="39"/>
    </row>
    <row r="366" spans="3:224" s="4" customFormat="1" ht="20.100000000000001" customHeight="1">
      <c r="C366" s="34">
        <v>15205004</v>
      </c>
      <c r="D366" s="35" t="s">
        <v>388</v>
      </c>
      <c r="E366" s="35">
        <v>11200003</v>
      </c>
      <c r="F366" s="35">
        <v>12021</v>
      </c>
      <c r="G366" s="35">
        <v>1</v>
      </c>
      <c r="H366" s="35">
        <v>30</v>
      </c>
      <c r="I366" s="37">
        <v>0.2</v>
      </c>
      <c r="J366" s="30">
        <v>10</v>
      </c>
      <c r="K366" s="35">
        <v>0</v>
      </c>
      <c r="L366" s="35">
        <v>980</v>
      </c>
      <c r="M366" s="35">
        <f t="shared" si="27"/>
        <v>38</v>
      </c>
      <c r="N366" s="35">
        <v>76</v>
      </c>
      <c r="O366" s="35">
        <v>0</v>
      </c>
      <c r="P366" s="35">
        <v>0</v>
      </c>
      <c r="Q366" s="35">
        <f t="shared" si="28"/>
        <v>9</v>
      </c>
      <c r="R366" s="35">
        <v>17</v>
      </c>
      <c r="S366" s="35">
        <f t="shared" si="29"/>
        <v>0</v>
      </c>
      <c r="T366" s="35">
        <v>0</v>
      </c>
      <c r="U366" s="37">
        <v>0</v>
      </c>
      <c r="V366" s="35">
        <v>0</v>
      </c>
      <c r="W366" s="35">
        <v>0</v>
      </c>
      <c r="X366" s="35">
        <v>0</v>
      </c>
      <c r="Y366" s="37">
        <v>0</v>
      </c>
      <c r="Z366" s="37">
        <v>0</v>
      </c>
      <c r="AA366" s="37">
        <v>0</v>
      </c>
      <c r="AB366" s="37">
        <v>0</v>
      </c>
      <c r="AC366" s="37">
        <v>0</v>
      </c>
      <c r="AD366" s="37">
        <v>0</v>
      </c>
      <c r="AE366" s="37"/>
      <c r="AF366" s="39"/>
      <c r="AG366" s="39"/>
      <c r="AH366" s="39"/>
      <c r="AI366" s="39"/>
      <c r="AJ366" s="39"/>
      <c r="AK366" s="39"/>
      <c r="AL366" s="39"/>
      <c r="AM366" s="39"/>
      <c r="AN366" s="39"/>
      <c r="AO366" s="39"/>
      <c r="AP366" s="39"/>
      <c r="AQ366" s="39"/>
      <c r="AR366" s="39"/>
      <c r="AS366" s="39"/>
      <c r="AT366" s="39"/>
      <c r="AU366" s="39"/>
      <c r="AV366" s="39"/>
      <c r="AW366" s="39"/>
      <c r="AX366" s="39"/>
      <c r="AY366" s="39"/>
      <c r="AZ366" s="39"/>
      <c r="BA366" s="39"/>
      <c r="BB366" s="39"/>
      <c r="BC366" s="39"/>
      <c r="BD366" s="39"/>
      <c r="BE366" s="39"/>
      <c r="BF366" s="39"/>
      <c r="BG366" s="39"/>
      <c r="BH366" s="39"/>
      <c r="BI366" s="39"/>
      <c r="BJ366" s="39"/>
      <c r="BK366" s="39"/>
      <c r="BL366" s="39"/>
      <c r="BM366" s="39"/>
      <c r="BN366" s="39"/>
      <c r="BO366" s="39"/>
      <c r="BP366" s="39"/>
      <c r="BQ366" s="39"/>
      <c r="BR366" s="39"/>
      <c r="BS366" s="39"/>
      <c r="BT366" s="39"/>
      <c r="BU366" s="39"/>
      <c r="BV366" s="39"/>
      <c r="BW366" s="39"/>
      <c r="BX366" s="39"/>
      <c r="BY366" s="39"/>
      <c r="BZ366" s="39"/>
      <c r="CA366" s="39"/>
      <c r="CB366" s="39"/>
      <c r="CC366" s="39"/>
      <c r="CD366" s="39"/>
      <c r="CE366" s="39"/>
      <c r="CF366" s="39"/>
      <c r="CG366" s="39"/>
      <c r="CH366" s="39"/>
      <c r="CI366" s="39"/>
      <c r="CJ366" s="39"/>
      <c r="CK366" s="39"/>
      <c r="CL366" s="39"/>
      <c r="CM366" s="39"/>
      <c r="CN366" s="39"/>
      <c r="CO366" s="39"/>
      <c r="CP366" s="39"/>
      <c r="CQ366" s="39"/>
      <c r="CR366" s="39"/>
      <c r="CS366" s="39"/>
      <c r="CT366" s="39"/>
      <c r="CU366" s="39"/>
      <c r="CV366" s="39"/>
      <c r="CW366" s="39"/>
      <c r="CX366" s="39"/>
      <c r="CY366" s="39"/>
      <c r="CZ366" s="39"/>
      <c r="DA366" s="39"/>
      <c r="DB366" s="39"/>
      <c r="DC366" s="39"/>
      <c r="DD366" s="39"/>
      <c r="DE366" s="39"/>
      <c r="DF366" s="39"/>
      <c r="DG366" s="39"/>
      <c r="DH366" s="39"/>
      <c r="DI366" s="39"/>
      <c r="DJ366" s="39"/>
      <c r="DK366" s="39"/>
      <c r="DL366" s="39"/>
      <c r="DM366" s="39"/>
      <c r="DN366" s="39"/>
      <c r="DO366" s="39"/>
      <c r="DP366" s="39"/>
      <c r="DQ366" s="39"/>
      <c r="DR366" s="39"/>
      <c r="DS366" s="39"/>
      <c r="DT366" s="39"/>
      <c r="DU366" s="39"/>
      <c r="DV366" s="39"/>
      <c r="DW366" s="39"/>
      <c r="DX366" s="39"/>
      <c r="DY366" s="39"/>
      <c r="DZ366" s="39"/>
      <c r="EA366" s="39"/>
      <c r="EB366" s="39"/>
      <c r="EC366" s="39"/>
      <c r="ED366" s="39"/>
      <c r="EE366" s="39"/>
      <c r="EF366" s="39"/>
      <c r="EG366" s="39"/>
      <c r="EH366" s="39"/>
      <c r="EI366" s="39"/>
      <c r="EJ366" s="39"/>
      <c r="EK366" s="39"/>
      <c r="EL366" s="39"/>
      <c r="EM366" s="39"/>
      <c r="EN366" s="39"/>
      <c r="EO366" s="39"/>
      <c r="EP366" s="39"/>
      <c r="EQ366" s="39"/>
      <c r="ER366" s="39"/>
      <c r="ES366" s="39"/>
      <c r="ET366" s="39"/>
      <c r="EU366" s="39"/>
      <c r="EV366" s="39"/>
      <c r="EW366" s="39"/>
      <c r="EX366" s="39"/>
      <c r="EY366" s="39"/>
      <c r="EZ366" s="39"/>
      <c r="FA366" s="39"/>
      <c r="FB366" s="39"/>
      <c r="FC366" s="39"/>
      <c r="FD366" s="39"/>
      <c r="FE366" s="39"/>
      <c r="FF366" s="39"/>
      <c r="FG366" s="39"/>
      <c r="FH366" s="39"/>
      <c r="FI366" s="39"/>
      <c r="FJ366" s="39"/>
      <c r="FK366" s="39"/>
      <c r="FL366" s="39"/>
      <c r="FM366" s="39"/>
      <c r="FN366" s="39"/>
      <c r="FO366" s="39"/>
      <c r="FP366" s="39"/>
      <c r="FQ366" s="39"/>
      <c r="FR366" s="39"/>
      <c r="FS366" s="39"/>
      <c r="FT366" s="39"/>
      <c r="FU366" s="39"/>
      <c r="FV366" s="39"/>
      <c r="FW366" s="39"/>
      <c r="FX366" s="39"/>
      <c r="FY366" s="39"/>
      <c r="FZ366" s="39"/>
      <c r="GA366" s="39"/>
      <c r="GB366" s="39"/>
      <c r="GC366" s="39"/>
      <c r="GD366" s="39"/>
      <c r="GE366" s="39"/>
      <c r="GF366" s="39"/>
      <c r="GG366" s="39"/>
      <c r="GH366" s="39"/>
      <c r="GI366" s="39"/>
      <c r="GJ366" s="39"/>
      <c r="GK366" s="39"/>
      <c r="GL366" s="39"/>
      <c r="GM366" s="39"/>
      <c r="GN366" s="39"/>
      <c r="GO366" s="39"/>
      <c r="GP366" s="39"/>
      <c r="GQ366" s="39"/>
      <c r="GR366" s="39"/>
      <c r="GS366" s="39"/>
      <c r="GT366" s="39"/>
      <c r="GU366" s="39"/>
      <c r="GV366" s="39"/>
      <c r="GW366" s="39"/>
      <c r="GX366" s="39"/>
      <c r="GY366" s="39"/>
      <c r="GZ366" s="39"/>
      <c r="HA366" s="39"/>
      <c r="HB366" s="39"/>
      <c r="HC366" s="39"/>
      <c r="HD366" s="39"/>
      <c r="HE366" s="39"/>
      <c r="HF366" s="39"/>
      <c r="HG366" s="39"/>
      <c r="HH366" s="39"/>
      <c r="HI366" s="39"/>
      <c r="HJ366" s="39"/>
      <c r="HK366" s="39"/>
      <c r="HL366" s="39"/>
      <c r="HM366" s="39"/>
      <c r="HN366" s="39"/>
      <c r="HO366" s="39"/>
      <c r="HP366" s="39"/>
    </row>
    <row r="367" spans="3:224" s="4" customFormat="1" ht="19.5" customHeight="1">
      <c r="C367" s="34">
        <v>15205005</v>
      </c>
      <c r="D367" s="35" t="s">
        <v>389</v>
      </c>
      <c r="E367" s="35">
        <v>11200003</v>
      </c>
      <c r="F367" s="35">
        <v>0</v>
      </c>
      <c r="G367" s="35">
        <v>1</v>
      </c>
      <c r="H367" s="35">
        <v>30</v>
      </c>
      <c r="I367" s="37">
        <v>0.2</v>
      </c>
      <c r="J367" s="30">
        <v>10</v>
      </c>
      <c r="K367" s="35">
        <v>0</v>
      </c>
      <c r="L367" s="35">
        <f>L363*1.5</f>
        <v>2340</v>
      </c>
      <c r="M367" s="35">
        <f t="shared" si="27"/>
        <v>17</v>
      </c>
      <c r="N367" s="35">
        <v>34</v>
      </c>
      <c r="O367" s="35">
        <v>0</v>
      </c>
      <c r="P367" s="35">
        <v>0</v>
      </c>
      <c r="Q367" s="35">
        <f t="shared" si="28"/>
        <v>12</v>
      </c>
      <c r="R367" s="35">
        <v>23</v>
      </c>
      <c r="S367" s="35">
        <f t="shared" si="29"/>
        <v>0</v>
      </c>
      <c r="T367" s="35">
        <v>0</v>
      </c>
      <c r="U367" s="37">
        <v>0</v>
      </c>
      <c r="V367" s="35">
        <v>0</v>
      </c>
      <c r="W367" s="35">
        <v>0</v>
      </c>
      <c r="X367" s="35">
        <v>0</v>
      </c>
      <c r="Y367" s="37">
        <v>0</v>
      </c>
      <c r="Z367" s="37">
        <v>0</v>
      </c>
      <c r="AA367" s="37">
        <v>0</v>
      </c>
      <c r="AB367" s="37">
        <v>0</v>
      </c>
      <c r="AC367" s="37">
        <v>0</v>
      </c>
      <c r="AD367" s="37">
        <v>0</v>
      </c>
      <c r="AE367" s="37"/>
      <c r="AF367" s="39"/>
      <c r="AG367" s="39"/>
      <c r="AH367" s="39"/>
      <c r="AI367" s="39"/>
      <c r="AJ367" s="39"/>
      <c r="AK367" s="39"/>
      <c r="AL367" s="39"/>
      <c r="AM367" s="39"/>
      <c r="AN367" s="39"/>
      <c r="AO367" s="39"/>
      <c r="AP367" s="39"/>
      <c r="AQ367" s="39"/>
      <c r="AR367" s="39"/>
      <c r="AS367" s="39"/>
      <c r="AT367" s="39"/>
      <c r="AU367" s="39"/>
      <c r="AV367" s="39"/>
      <c r="AW367" s="39"/>
      <c r="AX367" s="39"/>
      <c r="AY367" s="39"/>
      <c r="AZ367" s="39"/>
      <c r="BA367" s="39"/>
      <c r="BB367" s="39"/>
      <c r="BC367" s="39"/>
      <c r="BD367" s="39"/>
      <c r="BE367" s="39"/>
      <c r="BF367" s="39"/>
      <c r="BG367" s="39"/>
      <c r="BH367" s="39"/>
      <c r="BI367" s="39"/>
      <c r="BJ367" s="39"/>
      <c r="BK367" s="39"/>
      <c r="BL367" s="39"/>
      <c r="BM367" s="39"/>
      <c r="BN367" s="39"/>
      <c r="BO367" s="39"/>
      <c r="BP367" s="39"/>
      <c r="BQ367" s="39"/>
      <c r="BR367" s="39"/>
      <c r="BS367" s="39"/>
      <c r="BT367" s="39"/>
      <c r="BU367" s="39"/>
      <c r="BV367" s="39"/>
      <c r="BW367" s="39"/>
      <c r="BX367" s="39"/>
      <c r="BY367" s="39"/>
      <c r="BZ367" s="39"/>
      <c r="CA367" s="39"/>
      <c r="CB367" s="39"/>
      <c r="CC367" s="39"/>
      <c r="CD367" s="39"/>
      <c r="CE367" s="39"/>
      <c r="CF367" s="39"/>
      <c r="CG367" s="39"/>
      <c r="CH367" s="39"/>
      <c r="CI367" s="39"/>
      <c r="CJ367" s="39"/>
      <c r="CK367" s="39"/>
      <c r="CL367" s="39"/>
      <c r="CM367" s="39"/>
      <c r="CN367" s="39"/>
      <c r="CO367" s="39"/>
      <c r="CP367" s="39"/>
      <c r="CQ367" s="39"/>
      <c r="CR367" s="39"/>
      <c r="CS367" s="39"/>
      <c r="CT367" s="39"/>
      <c r="CU367" s="39"/>
      <c r="CV367" s="39"/>
      <c r="CW367" s="39"/>
      <c r="CX367" s="39"/>
      <c r="CY367" s="39"/>
      <c r="CZ367" s="39"/>
      <c r="DA367" s="39"/>
      <c r="DB367" s="39"/>
      <c r="DC367" s="39"/>
      <c r="DD367" s="39"/>
      <c r="DE367" s="39"/>
      <c r="DF367" s="39"/>
      <c r="DG367" s="39"/>
      <c r="DH367" s="39"/>
      <c r="DI367" s="39"/>
      <c r="DJ367" s="39"/>
      <c r="DK367" s="39"/>
      <c r="DL367" s="39"/>
      <c r="DM367" s="39"/>
      <c r="DN367" s="39"/>
      <c r="DO367" s="39"/>
      <c r="DP367" s="39"/>
      <c r="DQ367" s="39"/>
      <c r="DR367" s="39"/>
      <c r="DS367" s="39"/>
      <c r="DT367" s="39"/>
      <c r="DU367" s="39"/>
      <c r="DV367" s="39"/>
      <c r="DW367" s="39"/>
      <c r="DX367" s="39"/>
      <c r="DY367" s="39"/>
      <c r="DZ367" s="39"/>
      <c r="EA367" s="39"/>
      <c r="EB367" s="39"/>
      <c r="EC367" s="39"/>
      <c r="ED367" s="39"/>
      <c r="EE367" s="39"/>
      <c r="EF367" s="39"/>
      <c r="EG367" s="39"/>
      <c r="EH367" s="39"/>
      <c r="EI367" s="39"/>
      <c r="EJ367" s="39"/>
      <c r="EK367" s="39"/>
      <c r="EL367" s="39"/>
      <c r="EM367" s="39"/>
      <c r="EN367" s="39"/>
      <c r="EO367" s="39"/>
      <c r="EP367" s="39"/>
      <c r="EQ367" s="39"/>
      <c r="ER367" s="39"/>
      <c r="ES367" s="39"/>
      <c r="ET367" s="39"/>
      <c r="EU367" s="39"/>
      <c r="EV367" s="39"/>
      <c r="EW367" s="39"/>
      <c r="EX367" s="39"/>
      <c r="EY367" s="39"/>
      <c r="EZ367" s="39"/>
      <c r="FA367" s="39"/>
      <c r="FB367" s="39"/>
      <c r="FC367" s="39"/>
      <c r="FD367" s="39"/>
      <c r="FE367" s="39"/>
      <c r="FF367" s="39"/>
      <c r="FG367" s="39"/>
      <c r="FH367" s="39"/>
      <c r="FI367" s="39"/>
      <c r="FJ367" s="39"/>
      <c r="FK367" s="39"/>
      <c r="FL367" s="39"/>
      <c r="FM367" s="39"/>
      <c r="FN367" s="39"/>
      <c r="FO367" s="39"/>
      <c r="FP367" s="39"/>
      <c r="FQ367" s="39"/>
      <c r="FR367" s="39"/>
      <c r="FS367" s="39"/>
      <c r="FT367" s="39"/>
      <c r="FU367" s="39"/>
      <c r="FV367" s="39"/>
      <c r="FW367" s="39"/>
      <c r="FX367" s="39"/>
      <c r="FY367" s="39"/>
      <c r="FZ367" s="39"/>
      <c r="GA367" s="39"/>
      <c r="GB367" s="39"/>
      <c r="GC367" s="39"/>
      <c r="GD367" s="39"/>
      <c r="GE367" s="39"/>
      <c r="GF367" s="39"/>
      <c r="GG367" s="39"/>
      <c r="GH367" s="39"/>
      <c r="GI367" s="39"/>
      <c r="GJ367" s="39"/>
      <c r="GK367" s="39"/>
      <c r="GL367" s="39"/>
      <c r="GM367" s="39"/>
      <c r="GN367" s="39"/>
      <c r="GO367" s="39"/>
      <c r="GP367" s="39"/>
      <c r="GQ367" s="39"/>
      <c r="GR367" s="39"/>
      <c r="GS367" s="39"/>
      <c r="GT367" s="39"/>
      <c r="GU367" s="39"/>
      <c r="GV367" s="39"/>
      <c r="GW367" s="39"/>
      <c r="GX367" s="39"/>
      <c r="GY367" s="39"/>
      <c r="GZ367" s="39"/>
      <c r="HA367" s="39"/>
      <c r="HB367" s="39"/>
      <c r="HC367" s="39"/>
      <c r="HD367" s="39"/>
      <c r="HE367" s="39"/>
      <c r="HF367" s="39"/>
      <c r="HG367" s="39"/>
      <c r="HH367" s="39"/>
      <c r="HI367" s="39"/>
      <c r="HJ367" s="39"/>
      <c r="HK367" s="39"/>
      <c r="HL367" s="39"/>
      <c r="HM367" s="39"/>
      <c r="HN367" s="39"/>
      <c r="HO367" s="39"/>
      <c r="HP367" s="39"/>
    </row>
    <row r="368" spans="3:224" s="4" customFormat="1" ht="20.100000000000001" customHeight="1">
      <c r="C368" s="34">
        <v>15205006</v>
      </c>
      <c r="D368" s="35" t="s">
        <v>390</v>
      </c>
      <c r="E368" s="35">
        <v>11200003</v>
      </c>
      <c r="F368" s="35">
        <v>12031</v>
      </c>
      <c r="G368" s="35">
        <v>1</v>
      </c>
      <c r="H368" s="35">
        <v>30</v>
      </c>
      <c r="I368" s="37">
        <v>0.2</v>
      </c>
      <c r="J368" s="30">
        <v>10</v>
      </c>
      <c r="K368" s="35">
        <v>0</v>
      </c>
      <c r="L368" s="35">
        <v>2930</v>
      </c>
      <c r="M368" s="35">
        <f t="shared" si="27"/>
        <v>21</v>
      </c>
      <c r="N368" s="35">
        <v>42</v>
      </c>
      <c r="O368" s="35">
        <v>0</v>
      </c>
      <c r="P368" s="35">
        <v>0</v>
      </c>
      <c r="Q368" s="35">
        <f t="shared" si="28"/>
        <v>15</v>
      </c>
      <c r="R368" s="35">
        <v>29</v>
      </c>
      <c r="S368" s="35">
        <f t="shared" si="29"/>
        <v>0</v>
      </c>
      <c r="T368" s="35">
        <v>0</v>
      </c>
      <c r="U368" s="37">
        <v>0</v>
      </c>
      <c r="V368" s="35">
        <v>0</v>
      </c>
      <c r="W368" s="35">
        <v>0</v>
      </c>
      <c r="X368" s="35">
        <v>0</v>
      </c>
      <c r="Y368" s="37">
        <v>0</v>
      </c>
      <c r="Z368" s="37">
        <v>0</v>
      </c>
      <c r="AA368" s="37">
        <v>0</v>
      </c>
      <c r="AB368" s="37">
        <v>0</v>
      </c>
      <c r="AC368" s="37">
        <v>0</v>
      </c>
      <c r="AD368" s="37">
        <v>0</v>
      </c>
      <c r="AE368" s="37"/>
      <c r="AF368" s="39"/>
      <c r="AG368" s="39"/>
      <c r="AH368" s="39"/>
      <c r="AI368" s="39"/>
      <c r="AJ368" s="39"/>
      <c r="AK368" s="39"/>
      <c r="AL368" s="39"/>
      <c r="AM368" s="39"/>
      <c r="AN368" s="39"/>
      <c r="AO368" s="39"/>
      <c r="AP368" s="39"/>
      <c r="AQ368" s="39"/>
      <c r="AR368" s="39"/>
      <c r="AS368" s="39"/>
      <c r="AT368" s="39"/>
      <c r="AU368" s="39"/>
      <c r="AV368" s="39"/>
      <c r="AW368" s="39"/>
      <c r="AX368" s="39"/>
      <c r="AY368" s="39"/>
      <c r="AZ368" s="39"/>
      <c r="BA368" s="39"/>
      <c r="BB368" s="39"/>
      <c r="BC368" s="39"/>
      <c r="BD368" s="39"/>
      <c r="BE368" s="39"/>
      <c r="BF368" s="39"/>
      <c r="BG368" s="39"/>
      <c r="BH368" s="39"/>
      <c r="BI368" s="39"/>
      <c r="BJ368" s="39"/>
      <c r="BK368" s="39"/>
      <c r="BL368" s="39"/>
      <c r="BM368" s="39"/>
      <c r="BN368" s="39"/>
      <c r="BO368" s="39"/>
      <c r="BP368" s="39"/>
      <c r="BQ368" s="39"/>
      <c r="BR368" s="39"/>
      <c r="BS368" s="39"/>
      <c r="BT368" s="39"/>
      <c r="BU368" s="39"/>
      <c r="BV368" s="39"/>
      <c r="BW368" s="39"/>
      <c r="BX368" s="39"/>
      <c r="BY368" s="39"/>
      <c r="BZ368" s="39"/>
      <c r="CA368" s="39"/>
      <c r="CB368" s="39"/>
      <c r="CC368" s="39"/>
      <c r="CD368" s="39"/>
      <c r="CE368" s="39"/>
      <c r="CF368" s="39"/>
      <c r="CG368" s="39"/>
      <c r="CH368" s="39"/>
      <c r="CI368" s="39"/>
      <c r="CJ368" s="39"/>
      <c r="CK368" s="39"/>
      <c r="CL368" s="39"/>
      <c r="CM368" s="39"/>
      <c r="CN368" s="39"/>
      <c r="CO368" s="39"/>
      <c r="CP368" s="39"/>
      <c r="CQ368" s="39"/>
      <c r="CR368" s="39"/>
      <c r="CS368" s="39"/>
      <c r="CT368" s="39"/>
      <c r="CU368" s="39"/>
      <c r="CV368" s="39"/>
      <c r="CW368" s="39"/>
      <c r="CX368" s="39"/>
      <c r="CY368" s="39"/>
      <c r="CZ368" s="39"/>
      <c r="DA368" s="39"/>
      <c r="DB368" s="39"/>
      <c r="DC368" s="39"/>
      <c r="DD368" s="39"/>
      <c r="DE368" s="39"/>
      <c r="DF368" s="39"/>
      <c r="DG368" s="39"/>
      <c r="DH368" s="39"/>
      <c r="DI368" s="39"/>
      <c r="DJ368" s="39"/>
      <c r="DK368" s="39"/>
      <c r="DL368" s="39"/>
      <c r="DM368" s="39"/>
      <c r="DN368" s="39"/>
      <c r="DO368" s="39"/>
      <c r="DP368" s="39"/>
      <c r="DQ368" s="39"/>
      <c r="DR368" s="39"/>
      <c r="DS368" s="39"/>
      <c r="DT368" s="39"/>
      <c r="DU368" s="39"/>
      <c r="DV368" s="39"/>
      <c r="DW368" s="39"/>
      <c r="DX368" s="39"/>
      <c r="DY368" s="39"/>
      <c r="DZ368" s="39"/>
      <c r="EA368" s="39"/>
      <c r="EB368" s="39"/>
      <c r="EC368" s="39"/>
      <c r="ED368" s="39"/>
      <c r="EE368" s="39"/>
      <c r="EF368" s="39"/>
      <c r="EG368" s="39"/>
      <c r="EH368" s="39"/>
      <c r="EI368" s="39"/>
      <c r="EJ368" s="39"/>
      <c r="EK368" s="39"/>
      <c r="EL368" s="39"/>
      <c r="EM368" s="39"/>
      <c r="EN368" s="39"/>
      <c r="EO368" s="39"/>
      <c r="EP368" s="39"/>
      <c r="EQ368" s="39"/>
      <c r="ER368" s="39"/>
      <c r="ES368" s="39"/>
      <c r="ET368" s="39"/>
      <c r="EU368" s="39"/>
      <c r="EV368" s="39"/>
      <c r="EW368" s="39"/>
      <c r="EX368" s="39"/>
      <c r="EY368" s="39"/>
      <c r="EZ368" s="39"/>
      <c r="FA368" s="39"/>
      <c r="FB368" s="39"/>
      <c r="FC368" s="39"/>
      <c r="FD368" s="39"/>
      <c r="FE368" s="39"/>
      <c r="FF368" s="39"/>
      <c r="FG368" s="39"/>
      <c r="FH368" s="39"/>
      <c r="FI368" s="39"/>
      <c r="FJ368" s="39"/>
      <c r="FK368" s="39"/>
      <c r="FL368" s="39"/>
      <c r="FM368" s="39"/>
      <c r="FN368" s="39"/>
      <c r="FO368" s="39"/>
      <c r="FP368" s="39"/>
      <c r="FQ368" s="39"/>
      <c r="FR368" s="39"/>
      <c r="FS368" s="39"/>
      <c r="FT368" s="39"/>
      <c r="FU368" s="39"/>
      <c r="FV368" s="39"/>
      <c r="FW368" s="39"/>
      <c r="FX368" s="39"/>
      <c r="FY368" s="39"/>
      <c r="FZ368" s="39"/>
      <c r="GA368" s="39"/>
      <c r="GB368" s="39"/>
      <c r="GC368" s="39"/>
      <c r="GD368" s="39"/>
      <c r="GE368" s="39"/>
      <c r="GF368" s="39"/>
      <c r="GG368" s="39"/>
      <c r="GH368" s="39"/>
      <c r="GI368" s="39"/>
      <c r="GJ368" s="39"/>
      <c r="GK368" s="39"/>
      <c r="GL368" s="39"/>
      <c r="GM368" s="39"/>
      <c r="GN368" s="39"/>
      <c r="GO368" s="39"/>
      <c r="GP368" s="39"/>
      <c r="GQ368" s="39"/>
      <c r="GR368" s="39"/>
      <c r="GS368" s="39"/>
      <c r="GT368" s="39"/>
      <c r="GU368" s="39"/>
      <c r="GV368" s="39"/>
      <c r="GW368" s="39"/>
      <c r="GX368" s="39"/>
      <c r="GY368" s="39"/>
      <c r="GZ368" s="39"/>
      <c r="HA368" s="39"/>
      <c r="HB368" s="39"/>
      <c r="HC368" s="39"/>
      <c r="HD368" s="39"/>
      <c r="HE368" s="39"/>
      <c r="HF368" s="39"/>
      <c r="HG368" s="39"/>
      <c r="HH368" s="39"/>
      <c r="HI368" s="39"/>
      <c r="HJ368" s="39"/>
      <c r="HK368" s="39"/>
      <c r="HL368" s="39"/>
      <c r="HM368" s="39"/>
      <c r="HN368" s="39"/>
      <c r="HO368" s="39"/>
      <c r="HP368" s="39"/>
    </row>
    <row r="369" spans="3:224" s="3" customFormat="1" ht="20.100000000000001" customHeight="1">
      <c r="C369" s="26">
        <v>15205007</v>
      </c>
      <c r="D369" s="40" t="s">
        <v>391</v>
      </c>
      <c r="E369" s="28">
        <v>11200003</v>
      </c>
      <c r="F369" s="28">
        <v>0</v>
      </c>
      <c r="G369" s="28">
        <v>1</v>
      </c>
      <c r="H369" s="28">
        <v>30</v>
      </c>
      <c r="I369" s="31">
        <v>0.2</v>
      </c>
      <c r="J369" s="30">
        <v>10</v>
      </c>
      <c r="K369" s="28">
        <v>0</v>
      </c>
      <c r="L369" s="28">
        <v>3350</v>
      </c>
      <c r="M369" s="28">
        <f t="shared" ref="M369" si="41">ROUND(N369/2,0)</f>
        <v>25</v>
      </c>
      <c r="N369" s="28">
        <v>50</v>
      </c>
      <c r="O369" s="28">
        <v>0</v>
      </c>
      <c r="P369" s="28">
        <v>0</v>
      </c>
      <c r="Q369" s="28">
        <f t="shared" ref="Q369" si="42">ROUND(R369/2,0)</f>
        <v>18</v>
      </c>
      <c r="R369" s="28">
        <v>36</v>
      </c>
      <c r="S369" s="28">
        <f t="shared" ref="S369" si="43">ROUND(T369/2,0)</f>
        <v>0</v>
      </c>
      <c r="T369" s="28">
        <v>0</v>
      </c>
      <c r="U369" s="31">
        <v>0</v>
      </c>
      <c r="V369" s="28">
        <v>0</v>
      </c>
      <c r="W369" s="28">
        <v>0</v>
      </c>
      <c r="X369" s="28">
        <v>0</v>
      </c>
      <c r="Y369" s="31">
        <v>0</v>
      </c>
      <c r="Z369" s="31">
        <v>0</v>
      </c>
      <c r="AA369" s="31">
        <v>0</v>
      </c>
      <c r="AB369" s="31">
        <v>120501</v>
      </c>
      <c r="AC369" s="31">
        <v>1</v>
      </c>
      <c r="AD369" s="31">
        <v>1</v>
      </c>
      <c r="AE369" s="31"/>
      <c r="AF369" s="33"/>
      <c r="AG369" s="33"/>
      <c r="AH369" s="33"/>
      <c r="AI369" s="33"/>
      <c r="AJ369" s="33"/>
      <c r="AK369" s="33"/>
      <c r="AL369" s="33"/>
      <c r="AM369" s="33"/>
      <c r="AN369" s="33"/>
      <c r="AO369" s="33"/>
      <c r="AP369" s="33"/>
      <c r="AQ369" s="33"/>
      <c r="AR369" s="33"/>
      <c r="AS369" s="33"/>
      <c r="AT369" s="33"/>
      <c r="AU369" s="33"/>
      <c r="AV369" s="33"/>
      <c r="AW369" s="33"/>
      <c r="AX369" s="33"/>
      <c r="AY369" s="33"/>
      <c r="AZ369" s="33"/>
      <c r="BA369" s="33"/>
      <c r="BB369" s="33"/>
      <c r="BC369" s="33"/>
      <c r="BD369" s="33"/>
      <c r="BE369" s="33"/>
      <c r="BF369" s="33"/>
      <c r="BG369" s="33"/>
      <c r="BH369" s="33"/>
      <c r="BI369" s="33"/>
      <c r="BJ369" s="33"/>
      <c r="BK369" s="33"/>
      <c r="BL369" s="33"/>
      <c r="BM369" s="33"/>
      <c r="BN369" s="33"/>
      <c r="BO369" s="33"/>
      <c r="BP369" s="33"/>
      <c r="BQ369" s="33"/>
      <c r="BR369" s="33"/>
      <c r="BS369" s="33"/>
      <c r="BT369" s="33"/>
      <c r="BU369" s="33"/>
      <c r="BV369" s="33"/>
      <c r="BW369" s="33"/>
      <c r="BX369" s="33"/>
      <c r="BY369" s="33"/>
      <c r="BZ369" s="33"/>
      <c r="CA369" s="33"/>
      <c r="CB369" s="33"/>
      <c r="CC369" s="33"/>
      <c r="CD369" s="33"/>
      <c r="CE369" s="33"/>
      <c r="CF369" s="33"/>
      <c r="CG369" s="33"/>
      <c r="CH369" s="33"/>
      <c r="CI369" s="33"/>
      <c r="CJ369" s="33"/>
      <c r="CK369" s="33"/>
      <c r="CL369" s="33"/>
      <c r="CM369" s="33"/>
      <c r="CN369" s="33"/>
      <c r="CO369" s="33"/>
      <c r="CP369" s="33"/>
      <c r="CQ369" s="33"/>
      <c r="CR369" s="33"/>
      <c r="CS369" s="33"/>
      <c r="CT369" s="33"/>
      <c r="CU369" s="33"/>
      <c r="CV369" s="33"/>
      <c r="CW369" s="33"/>
      <c r="CX369" s="33"/>
      <c r="CY369" s="33"/>
      <c r="CZ369" s="33"/>
      <c r="DA369" s="33"/>
      <c r="DB369" s="33"/>
      <c r="DC369" s="33"/>
      <c r="DD369" s="33"/>
      <c r="DE369" s="33"/>
      <c r="DF369" s="33"/>
      <c r="DG369" s="33"/>
      <c r="DH369" s="33"/>
      <c r="DI369" s="33"/>
      <c r="DJ369" s="33"/>
      <c r="DK369" s="33"/>
      <c r="DL369" s="33"/>
      <c r="DM369" s="33"/>
      <c r="DN369" s="33"/>
      <c r="DO369" s="33"/>
      <c r="DP369" s="33"/>
      <c r="DQ369" s="33"/>
      <c r="DR369" s="33"/>
      <c r="DS369" s="33"/>
      <c r="DT369" s="33"/>
      <c r="DU369" s="33"/>
      <c r="DV369" s="33"/>
      <c r="DW369" s="33"/>
      <c r="DX369" s="33"/>
      <c r="DY369" s="33"/>
      <c r="DZ369" s="33"/>
      <c r="EA369" s="33"/>
      <c r="EB369" s="33"/>
      <c r="EC369" s="33"/>
      <c r="ED369" s="33"/>
      <c r="EE369" s="33"/>
      <c r="EF369" s="33"/>
      <c r="EG369" s="33"/>
      <c r="EH369" s="33"/>
      <c r="EI369" s="33"/>
      <c r="EJ369" s="33"/>
      <c r="EK369" s="33"/>
      <c r="EL369" s="33"/>
      <c r="EM369" s="33"/>
      <c r="EN369" s="33"/>
      <c r="EO369" s="33"/>
      <c r="EP369" s="33"/>
      <c r="EQ369" s="33"/>
      <c r="ER369" s="33"/>
      <c r="ES369" s="33"/>
      <c r="ET369" s="33"/>
      <c r="EU369" s="33"/>
      <c r="EV369" s="33"/>
      <c r="EW369" s="33"/>
      <c r="EX369" s="33"/>
      <c r="EY369" s="33"/>
      <c r="EZ369" s="33"/>
      <c r="FA369" s="33"/>
      <c r="FB369" s="33"/>
      <c r="FC369" s="33"/>
      <c r="FD369" s="33"/>
      <c r="FE369" s="33"/>
      <c r="FF369" s="33"/>
      <c r="FG369" s="33"/>
      <c r="FH369" s="33"/>
      <c r="FI369" s="33"/>
      <c r="FJ369" s="33"/>
      <c r="FK369" s="33"/>
      <c r="FL369" s="33"/>
      <c r="FM369" s="33"/>
      <c r="FN369" s="33"/>
      <c r="FO369" s="33"/>
      <c r="FP369" s="33"/>
      <c r="FQ369" s="33"/>
      <c r="FR369" s="33"/>
      <c r="FS369" s="33"/>
      <c r="FT369" s="33"/>
      <c r="FU369" s="33"/>
      <c r="FV369" s="33"/>
      <c r="FW369" s="33"/>
      <c r="FX369" s="33"/>
      <c r="FY369" s="33"/>
      <c r="FZ369" s="33"/>
      <c r="GA369" s="33"/>
      <c r="GB369" s="33"/>
      <c r="GC369" s="33"/>
      <c r="GD369" s="33"/>
      <c r="GE369" s="33"/>
      <c r="GF369" s="33"/>
      <c r="GG369" s="33"/>
      <c r="GH369" s="33"/>
      <c r="GI369" s="33"/>
      <c r="GJ369" s="33"/>
      <c r="GK369" s="33"/>
      <c r="GL369" s="33"/>
      <c r="GM369" s="33"/>
      <c r="GN369" s="33"/>
      <c r="GO369" s="33"/>
      <c r="GP369" s="33"/>
      <c r="GQ369" s="33"/>
      <c r="GR369" s="33"/>
      <c r="GS369" s="33"/>
      <c r="GT369" s="33"/>
      <c r="GU369" s="33"/>
      <c r="GV369" s="33"/>
      <c r="GW369" s="33"/>
      <c r="GX369" s="33"/>
      <c r="GY369" s="33"/>
      <c r="GZ369" s="33"/>
      <c r="HA369" s="33"/>
      <c r="HB369" s="33"/>
      <c r="HC369" s="33"/>
      <c r="HD369" s="33"/>
      <c r="HE369" s="33"/>
      <c r="HF369" s="33"/>
      <c r="HG369" s="33"/>
      <c r="HH369" s="33"/>
      <c r="HI369" s="33"/>
      <c r="HJ369" s="33"/>
      <c r="HK369" s="33"/>
      <c r="HL369" s="33"/>
      <c r="HM369" s="33"/>
      <c r="HN369" s="33"/>
      <c r="HO369" s="33"/>
      <c r="HP369" s="33"/>
    </row>
    <row r="370" spans="3:224" ht="20.100000000000001" customHeight="1">
      <c r="C370" s="24">
        <v>15206001</v>
      </c>
      <c r="D370" s="25" t="s">
        <v>392</v>
      </c>
      <c r="E370" s="25">
        <v>11200002</v>
      </c>
      <c r="F370" s="25">
        <v>0</v>
      </c>
      <c r="G370" s="25">
        <v>1</v>
      </c>
      <c r="H370" s="25">
        <v>30</v>
      </c>
      <c r="I370" s="29">
        <v>0.2</v>
      </c>
      <c r="J370" s="30">
        <v>10</v>
      </c>
      <c r="K370" s="25">
        <v>0</v>
      </c>
      <c r="L370" s="25">
        <v>0</v>
      </c>
      <c r="M370" s="25">
        <f t="shared" si="27"/>
        <v>45</v>
      </c>
      <c r="N370" s="25">
        <v>90</v>
      </c>
      <c r="O370" s="25">
        <v>0</v>
      </c>
      <c r="P370" s="25">
        <v>0</v>
      </c>
      <c r="Q370" s="25">
        <f t="shared" si="28"/>
        <v>13</v>
      </c>
      <c r="R370" s="25">
        <v>25</v>
      </c>
      <c r="S370" s="25">
        <f t="shared" si="29"/>
        <v>0</v>
      </c>
      <c r="T370" s="25">
        <v>0</v>
      </c>
      <c r="U370" s="29">
        <v>0</v>
      </c>
      <c r="V370" s="25">
        <v>0</v>
      </c>
      <c r="W370" s="25">
        <v>0</v>
      </c>
      <c r="X370" s="25">
        <v>0</v>
      </c>
      <c r="Y370" s="29">
        <v>0</v>
      </c>
      <c r="Z370" s="29">
        <v>0</v>
      </c>
      <c r="AA370" s="29">
        <v>0</v>
      </c>
      <c r="AB370" s="29">
        <v>0</v>
      </c>
      <c r="AC370" s="29">
        <v>0</v>
      </c>
      <c r="AD370" s="29">
        <v>0</v>
      </c>
      <c r="AE370" s="29"/>
      <c r="GR370" s="5"/>
      <c r="GS370" s="5"/>
      <c r="GT370" s="5"/>
      <c r="GU370" s="5"/>
      <c r="GV370" s="5"/>
      <c r="GW370" s="5"/>
      <c r="GX370" s="5"/>
      <c r="GY370" s="5"/>
      <c r="GZ370" s="5"/>
      <c r="HA370" s="5"/>
      <c r="HB370" s="5"/>
      <c r="HC370" s="5"/>
      <c r="HD370" s="5"/>
      <c r="HE370" s="5"/>
      <c r="HF370" s="5"/>
      <c r="HG370" s="5"/>
      <c r="HH370" s="5"/>
      <c r="HI370" s="5"/>
      <c r="HJ370" s="5"/>
      <c r="HK370" s="5"/>
      <c r="HL370" s="5"/>
      <c r="HM370" s="5"/>
      <c r="HN370" s="5"/>
      <c r="HO370" s="5"/>
      <c r="HP370" s="5"/>
    </row>
    <row r="371" spans="3:224" ht="20.100000000000001" customHeight="1">
      <c r="C371" s="24">
        <v>15206002</v>
      </c>
      <c r="D371" s="25" t="s">
        <v>393</v>
      </c>
      <c r="E371" s="25">
        <v>11200002</v>
      </c>
      <c r="F371" s="25">
        <v>0</v>
      </c>
      <c r="G371" s="25">
        <v>1</v>
      </c>
      <c r="H371" s="25">
        <v>30</v>
      </c>
      <c r="I371" s="29">
        <v>0.2</v>
      </c>
      <c r="J371" s="30">
        <v>10</v>
      </c>
      <c r="K371" s="25">
        <v>0</v>
      </c>
      <c r="L371" s="25">
        <v>0</v>
      </c>
      <c r="M371" s="25">
        <f t="shared" si="27"/>
        <v>55</v>
      </c>
      <c r="N371" s="25">
        <v>110</v>
      </c>
      <c r="O371" s="25">
        <v>0</v>
      </c>
      <c r="P371" s="25">
        <v>0</v>
      </c>
      <c r="Q371" s="25">
        <f t="shared" si="28"/>
        <v>17</v>
      </c>
      <c r="R371" s="25">
        <v>34</v>
      </c>
      <c r="S371" s="25">
        <f t="shared" si="29"/>
        <v>0</v>
      </c>
      <c r="T371" s="25">
        <v>0</v>
      </c>
      <c r="U371" s="29">
        <v>0</v>
      </c>
      <c r="V371" s="25">
        <v>0</v>
      </c>
      <c r="W371" s="25">
        <v>0</v>
      </c>
      <c r="X371" s="25">
        <v>0</v>
      </c>
      <c r="Y371" s="29">
        <v>0</v>
      </c>
      <c r="Z371" s="29">
        <v>0</v>
      </c>
      <c r="AA371" s="29">
        <v>0</v>
      </c>
      <c r="AB371" s="29">
        <v>0</v>
      </c>
      <c r="AC371" s="29">
        <v>0</v>
      </c>
      <c r="AD371" s="29">
        <v>0</v>
      </c>
      <c r="AE371" s="29"/>
      <c r="GR371" s="5"/>
      <c r="GS371" s="5"/>
      <c r="GT371" s="5"/>
      <c r="GU371" s="5"/>
      <c r="GV371" s="5"/>
      <c r="GW371" s="5"/>
      <c r="GX371" s="5"/>
      <c r="GY371" s="5"/>
      <c r="GZ371" s="5"/>
      <c r="HA371" s="5"/>
      <c r="HB371" s="5"/>
      <c r="HC371" s="5"/>
      <c r="HD371" s="5"/>
      <c r="HE371" s="5"/>
      <c r="HF371" s="5"/>
      <c r="HG371" s="5"/>
      <c r="HH371" s="5"/>
      <c r="HI371" s="5"/>
      <c r="HJ371" s="5"/>
      <c r="HK371" s="5"/>
      <c r="HL371" s="5"/>
      <c r="HM371" s="5"/>
      <c r="HN371" s="5"/>
      <c r="HO371" s="5"/>
      <c r="HP371" s="5"/>
    </row>
    <row r="372" spans="3:224" ht="20.100000000000001" customHeight="1">
      <c r="C372" s="24">
        <v>15206003</v>
      </c>
      <c r="D372" s="36" t="s">
        <v>394</v>
      </c>
      <c r="E372" s="25">
        <v>11200002</v>
      </c>
      <c r="F372" s="25">
        <v>12051</v>
      </c>
      <c r="G372" s="25">
        <v>1</v>
      </c>
      <c r="H372" s="25">
        <v>30</v>
      </c>
      <c r="I372" s="29">
        <v>0.2</v>
      </c>
      <c r="J372" s="30">
        <v>10</v>
      </c>
      <c r="K372" s="25">
        <v>0</v>
      </c>
      <c r="L372" s="25">
        <v>0</v>
      </c>
      <c r="M372" s="25">
        <f t="shared" ref="M372" si="44">ROUND(N372/2,0)</f>
        <v>75</v>
      </c>
      <c r="N372" s="25">
        <v>150</v>
      </c>
      <c r="O372" s="25">
        <v>0</v>
      </c>
      <c r="P372" s="25">
        <v>0</v>
      </c>
      <c r="Q372" s="25">
        <f t="shared" ref="Q372" si="45">ROUND(R372/2,0)</f>
        <v>23</v>
      </c>
      <c r="R372" s="25">
        <v>45</v>
      </c>
      <c r="S372" s="25">
        <f t="shared" ref="S372" si="46">ROUND(T372/2,0)</f>
        <v>0</v>
      </c>
      <c r="T372" s="25">
        <v>0</v>
      </c>
      <c r="U372" s="29">
        <v>0</v>
      </c>
      <c r="V372" s="25">
        <v>0</v>
      </c>
      <c r="W372" s="25">
        <v>0</v>
      </c>
      <c r="X372" s="25">
        <v>0</v>
      </c>
      <c r="Y372" s="29">
        <v>0</v>
      </c>
      <c r="Z372" s="29">
        <v>0</v>
      </c>
      <c r="AA372" s="29">
        <v>0</v>
      </c>
      <c r="AB372" s="29">
        <v>100403</v>
      </c>
      <c r="AC372" s="29">
        <v>100</v>
      </c>
      <c r="AD372" s="29">
        <v>1</v>
      </c>
      <c r="AE372" s="29"/>
      <c r="GR372" s="5"/>
      <c r="GS372" s="5"/>
      <c r="GT372" s="5"/>
      <c r="GU372" s="5"/>
      <c r="GV372" s="5"/>
      <c r="GW372" s="5"/>
      <c r="GX372" s="5"/>
      <c r="GY372" s="5"/>
      <c r="GZ372" s="5"/>
      <c r="HA372" s="5"/>
      <c r="HB372" s="5"/>
      <c r="HC372" s="5"/>
      <c r="HD372" s="5"/>
      <c r="HE372" s="5"/>
      <c r="HF372" s="5"/>
      <c r="HG372" s="5"/>
      <c r="HH372" s="5"/>
      <c r="HI372" s="5"/>
      <c r="HJ372" s="5"/>
      <c r="HK372" s="5"/>
      <c r="HL372" s="5"/>
      <c r="HM372" s="5"/>
      <c r="HN372" s="5"/>
      <c r="HO372" s="5"/>
      <c r="HP372" s="5"/>
    </row>
    <row r="373" spans="3:224" ht="20.100000000000001" customHeight="1">
      <c r="C373" s="24">
        <v>15207001</v>
      </c>
      <c r="D373" s="25" t="s">
        <v>395</v>
      </c>
      <c r="E373" s="25">
        <v>11200002</v>
      </c>
      <c r="F373" s="25">
        <v>0</v>
      </c>
      <c r="G373" s="25">
        <v>1</v>
      </c>
      <c r="H373" s="25">
        <v>30</v>
      </c>
      <c r="I373" s="29">
        <v>0.2</v>
      </c>
      <c r="J373" s="30">
        <v>10</v>
      </c>
      <c r="K373" s="25">
        <v>0</v>
      </c>
      <c r="L373" s="25">
        <v>0</v>
      </c>
      <c r="M373" s="25">
        <f t="shared" si="27"/>
        <v>45</v>
      </c>
      <c r="N373" s="25">
        <v>90</v>
      </c>
      <c r="O373" s="25">
        <v>0</v>
      </c>
      <c r="P373" s="25">
        <v>0</v>
      </c>
      <c r="Q373" s="25">
        <f t="shared" si="28"/>
        <v>0</v>
      </c>
      <c r="R373" s="25">
        <v>0</v>
      </c>
      <c r="S373" s="25">
        <f t="shared" si="29"/>
        <v>13</v>
      </c>
      <c r="T373" s="25">
        <v>25</v>
      </c>
      <c r="U373" s="29">
        <v>0</v>
      </c>
      <c r="V373" s="25">
        <v>0</v>
      </c>
      <c r="W373" s="25">
        <v>0</v>
      </c>
      <c r="X373" s="25">
        <v>0</v>
      </c>
      <c r="Y373" s="29">
        <v>0</v>
      </c>
      <c r="Z373" s="29">
        <v>0</v>
      </c>
      <c r="AA373" s="29">
        <v>0</v>
      </c>
      <c r="AB373" s="29">
        <v>0</v>
      </c>
      <c r="AC373" s="29">
        <v>0</v>
      </c>
      <c r="AD373" s="29">
        <v>0</v>
      </c>
      <c r="AE373" s="29"/>
      <c r="GR373" s="5"/>
      <c r="GS373" s="5"/>
      <c r="GT373" s="5"/>
      <c r="GU373" s="5"/>
      <c r="GV373" s="5"/>
      <c r="GW373" s="5"/>
      <c r="GX373" s="5"/>
      <c r="GY373" s="5"/>
      <c r="GZ373" s="5"/>
      <c r="HA373" s="5"/>
      <c r="HB373" s="5"/>
      <c r="HC373" s="5"/>
      <c r="HD373" s="5"/>
      <c r="HE373" s="5"/>
      <c r="HF373" s="5"/>
      <c r="HG373" s="5"/>
      <c r="HH373" s="5"/>
      <c r="HI373" s="5"/>
      <c r="HJ373" s="5"/>
      <c r="HK373" s="5"/>
      <c r="HL373" s="5"/>
      <c r="HM373" s="5"/>
      <c r="HN373" s="5"/>
      <c r="HO373" s="5"/>
      <c r="HP373" s="5"/>
    </row>
    <row r="374" spans="3:224" ht="20.100000000000001" customHeight="1">
      <c r="C374" s="24">
        <v>15207002</v>
      </c>
      <c r="D374" s="25" t="s">
        <v>396</v>
      </c>
      <c r="E374" s="25">
        <v>11200002</v>
      </c>
      <c r="F374" s="25">
        <v>0</v>
      </c>
      <c r="G374" s="25">
        <v>1</v>
      </c>
      <c r="H374" s="25">
        <v>30</v>
      </c>
      <c r="I374" s="29">
        <v>0.2</v>
      </c>
      <c r="J374" s="30">
        <v>10</v>
      </c>
      <c r="K374" s="25">
        <v>0</v>
      </c>
      <c r="L374" s="25">
        <v>0</v>
      </c>
      <c r="M374" s="25">
        <f t="shared" si="27"/>
        <v>55</v>
      </c>
      <c r="N374" s="25">
        <v>110</v>
      </c>
      <c r="O374" s="25">
        <v>0</v>
      </c>
      <c r="P374" s="25">
        <v>0</v>
      </c>
      <c r="Q374" s="25">
        <f t="shared" si="28"/>
        <v>0</v>
      </c>
      <c r="R374" s="25">
        <v>0</v>
      </c>
      <c r="S374" s="25">
        <f t="shared" si="29"/>
        <v>17</v>
      </c>
      <c r="T374" s="25">
        <v>34</v>
      </c>
      <c r="U374" s="29">
        <v>0</v>
      </c>
      <c r="V374" s="25">
        <v>0</v>
      </c>
      <c r="W374" s="25">
        <v>0</v>
      </c>
      <c r="X374" s="25">
        <v>0</v>
      </c>
      <c r="Y374" s="29">
        <v>0</v>
      </c>
      <c r="Z374" s="29">
        <v>0</v>
      </c>
      <c r="AA374" s="29">
        <v>0</v>
      </c>
      <c r="AB374" s="29">
        <v>0</v>
      </c>
      <c r="AC374" s="29">
        <v>0</v>
      </c>
      <c r="AD374" s="29">
        <v>0</v>
      </c>
      <c r="AE374" s="29"/>
      <c r="GR374" s="5"/>
      <c r="GS374" s="5"/>
      <c r="GT374" s="5"/>
      <c r="GU374" s="5"/>
      <c r="GV374" s="5"/>
      <c r="GW374" s="5"/>
      <c r="GX374" s="5"/>
      <c r="GY374" s="5"/>
      <c r="GZ374" s="5"/>
      <c r="HA374" s="5"/>
      <c r="HB374" s="5"/>
      <c r="HC374" s="5"/>
      <c r="HD374" s="5"/>
      <c r="HE374" s="5"/>
      <c r="HF374" s="5"/>
      <c r="HG374" s="5"/>
      <c r="HH374" s="5"/>
      <c r="HI374" s="5"/>
      <c r="HJ374" s="5"/>
      <c r="HK374" s="5"/>
      <c r="HL374" s="5"/>
      <c r="HM374" s="5"/>
      <c r="HN374" s="5"/>
      <c r="HO374" s="5"/>
      <c r="HP374" s="5"/>
    </row>
    <row r="375" spans="3:224" s="3" customFormat="1" ht="20.100000000000001" customHeight="1">
      <c r="C375" s="26">
        <v>15207003</v>
      </c>
      <c r="D375" s="28" t="s">
        <v>397</v>
      </c>
      <c r="E375" s="28">
        <v>11200002</v>
      </c>
      <c r="F375" s="28">
        <v>0</v>
      </c>
      <c r="G375" s="28">
        <v>1</v>
      </c>
      <c r="H375" s="28">
        <v>30</v>
      </c>
      <c r="I375" s="31">
        <v>0.2</v>
      </c>
      <c r="J375" s="30">
        <v>10</v>
      </c>
      <c r="K375" s="28">
        <v>0</v>
      </c>
      <c r="L375" s="28">
        <v>0</v>
      </c>
      <c r="M375" s="28">
        <f t="shared" ref="M375" si="47">ROUND(N375/2,0)</f>
        <v>65</v>
      </c>
      <c r="N375" s="28">
        <v>130</v>
      </c>
      <c r="O375" s="28">
        <v>0</v>
      </c>
      <c r="P375" s="28">
        <v>0</v>
      </c>
      <c r="Q375" s="28">
        <f t="shared" ref="Q375" si="48">ROUND(R375/2,0)</f>
        <v>0</v>
      </c>
      <c r="R375" s="28">
        <v>0</v>
      </c>
      <c r="S375" s="28">
        <f t="shared" ref="S375" si="49">ROUND(T375/2,0)</f>
        <v>23</v>
      </c>
      <c r="T375" s="28">
        <v>46</v>
      </c>
      <c r="U375" s="31">
        <v>0</v>
      </c>
      <c r="V375" s="28">
        <v>0</v>
      </c>
      <c r="W375" s="28">
        <v>0</v>
      </c>
      <c r="X375" s="28">
        <v>0</v>
      </c>
      <c r="Y375" s="31">
        <v>0</v>
      </c>
      <c r="Z375" s="31">
        <v>0</v>
      </c>
      <c r="AA375" s="31">
        <v>0</v>
      </c>
      <c r="AB375" s="31">
        <v>100902</v>
      </c>
      <c r="AC375" s="31">
        <v>300</v>
      </c>
      <c r="AD375" s="31">
        <v>1</v>
      </c>
      <c r="AE375" s="31"/>
      <c r="AF375" s="33"/>
      <c r="AG375" s="33"/>
      <c r="AH375" s="33"/>
      <c r="AI375" s="33"/>
      <c r="AJ375" s="33"/>
      <c r="AK375" s="33"/>
      <c r="AL375" s="33"/>
      <c r="AM375" s="33"/>
      <c r="AN375" s="33"/>
      <c r="AO375" s="33"/>
      <c r="AP375" s="33"/>
      <c r="AQ375" s="33"/>
      <c r="AR375" s="33"/>
      <c r="AS375" s="33"/>
      <c r="AT375" s="33"/>
      <c r="AU375" s="33"/>
      <c r="AV375" s="33"/>
      <c r="AW375" s="33"/>
      <c r="AX375" s="33"/>
      <c r="AY375" s="33"/>
      <c r="AZ375" s="33"/>
      <c r="BA375" s="33"/>
      <c r="BB375" s="33"/>
      <c r="BC375" s="33"/>
      <c r="BD375" s="33"/>
      <c r="BE375" s="33"/>
      <c r="BF375" s="33"/>
      <c r="BG375" s="33"/>
      <c r="BH375" s="33"/>
      <c r="BI375" s="33"/>
      <c r="BJ375" s="33"/>
      <c r="BK375" s="33"/>
      <c r="BL375" s="33"/>
      <c r="BM375" s="33"/>
      <c r="BN375" s="33"/>
      <c r="BO375" s="33"/>
      <c r="BP375" s="33"/>
      <c r="BQ375" s="33"/>
      <c r="BR375" s="33"/>
      <c r="BS375" s="33"/>
      <c r="BT375" s="33"/>
      <c r="BU375" s="33"/>
      <c r="BV375" s="33"/>
      <c r="BW375" s="33"/>
      <c r="BX375" s="33"/>
      <c r="BY375" s="33"/>
      <c r="BZ375" s="33"/>
      <c r="CA375" s="33"/>
      <c r="CB375" s="33"/>
      <c r="CC375" s="33"/>
      <c r="CD375" s="33"/>
      <c r="CE375" s="33"/>
      <c r="CF375" s="33"/>
      <c r="CG375" s="33"/>
      <c r="CH375" s="33"/>
      <c r="CI375" s="33"/>
      <c r="CJ375" s="33"/>
      <c r="CK375" s="33"/>
      <c r="CL375" s="33"/>
      <c r="CM375" s="33"/>
      <c r="CN375" s="33"/>
      <c r="CO375" s="33"/>
      <c r="CP375" s="33"/>
      <c r="CQ375" s="33"/>
      <c r="CR375" s="33"/>
      <c r="CS375" s="33"/>
      <c r="CT375" s="33"/>
      <c r="CU375" s="33"/>
      <c r="CV375" s="33"/>
      <c r="CW375" s="33"/>
      <c r="CX375" s="33"/>
      <c r="CY375" s="33"/>
      <c r="CZ375" s="33"/>
      <c r="DA375" s="33"/>
      <c r="DB375" s="33"/>
      <c r="DC375" s="33"/>
      <c r="DD375" s="33"/>
      <c r="DE375" s="33"/>
      <c r="DF375" s="33"/>
      <c r="DG375" s="33"/>
      <c r="DH375" s="33"/>
      <c r="DI375" s="33"/>
      <c r="DJ375" s="33"/>
      <c r="DK375" s="33"/>
      <c r="DL375" s="33"/>
      <c r="DM375" s="33"/>
      <c r="DN375" s="33"/>
      <c r="DO375" s="33"/>
      <c r="DP375" s="33"/>
      <c r="DQ375" s="33"/>
      <c r="DR375" s="33"/>
      <c r="DS375" s="33"/>
      <c r="DT375" s="33"/>
      <c r="DU375" s="33"/>
      <c r="DV375" s="33"/>
      <c r="DW375" s="33"/>
      <c r="DX375" s="33"/>
      <c r="DY375" s="33"/>
      <c r="DZ375" s="33"/>
      <c r="EA375" s="33"/>
      <c r="EB375" s="33"/>
      <c r="EC375" s="33"/>
      <c r="ED375" s="33"/>
      <c r="EE375" s="33"/>
      <c r="EF375" s="33"/>
      <c r="EG375" s="33"/>
      <c r="EH375" s="33"/>
      <c r="EI375" s="33"/>
      <c r="EJ375" s="33"/>
      <c r="EK375" s="33"/>
      <c r="EL375" s="33"/>
      <c r="EM375" s="33"/>
      <c r="EN375" s="33"/>
      <c r="EO375" s="33"/>
      <c r="EP375" s="33"/>
      <c r="EQ375" s="33"/>
      <c r="ER375" s="33"/>
      <c r="ES375" s="33"/>
      <c r="ET375" s="33"/>
      <c r="EU375" s="33"/>
      <c r="EV375" s="33"/>
      <c r="EW375" s="33"/>
      <c r="EX375" s="33"/>
      <c r="EY375" s="33"/>
      <c r="EZ375" s="33"/>
      <c r="FA375" s="33"/>
      <c r="FB375" s="33"/>
      <c r="FC375" s="33"/>
      <c r="FD375" s="33"/>
      <c r="FE375" s="33"/>
      <c r="FF375" s="33"/>
      <c r="FG375" s="33"/>
      <c r="FH375" s="33"/>
      <c r="FI375" s="33"/>
      <c r="FJ375" s="33"/>
      <c r="FK375" s="33"/>
      <c r="FL375" s="33"/>
      <c r="FM375" s="33"/>
      <c r="FN375" s="33"/>
      <c r="FO375" s="33"/>
      <c r="FP375" s="33"/>
      <c r="FQ375" s="33"/>
      <c r="FR375" s="33"/>
      <c r="FS375" s="33"/>
      <c r="FT375" s="33"/>
      <c r="FU375" s="33"/>
      <c r="FV375" s="33"/>
      <c r="FW375" s="33"/>
      <c r="FX375" s="33"/>
      <c r="FY375" s="33"/>
      <c r="FZ375" s="33"/>
      <c r="GA375" s="33"/>
      <c r="GB375" s="33"/>
      <c r="GC375" s="33"/>
      <c r="GD375" s="33"/>
      <c r="GE375" s="33"/>
      <c r="GF375" s="33"/>
      <c r="GG375" s="33"/>
      <c r="GH375" s="33"/>
      <c r="GI375" s="33"/>
      <c r="GJ375" s="33"/>
      <c r="GK375" s="33"/>
      <c r="GL375" s="33"/>
      <c r="GM375" s="33"/>
      <c r="GN375" s="33"/>
      <c r="GO375" s="33"/>
      <c r="GP375" s="33"/>
      <c r="GQ375" s="33"/>
      <c r="GR375" s="33"/>
      <c r="GS375" s="33"/>
      <c r="GT375" s="33"/>
      <c r="GU375" s="33"/>
      <c r="GV375" s="33"/>
      <c r="GW375" s="33"/>
      <c r="GX375" s="33"/>
      <c r="GY375" s="33"/>
      <c r="GZ375" s="33"/>
      <c r="HA375" s="33"/>
      <c r="HB375" s="33"/>
      <c r="HC375" s="33"/>
      <c r="HD375" s="33"/>
      <c r="HE375" s="33"/>
      <c r="HF375" s="33"/>
      <c r="HG375" s="33"/>
      <c r="HH375" s="33"/>
      <c r="HI375" s="33"/>
      <c r="HJ375" s="33"/>
      <c r="HK375" s="33"/>
      <c r="HL375" s="33"/>
      <c r="HM375" s="33"/>
      <c r="HN375" s="33"/>
      <c r="HO375" s="33"/>
      <c r="HP375" s="33"/>
    </row>
    <row r="376" spans="3:224" ht="20.100000000000001" customHeight="1">
      <c r="C376" s="24">
        <v>15208001</v>
      </c>
      <c r="D376" s="25" t="s">
        <v>329</v>
      </c>
      <c r="E376" s="25">
        <v>11200002</v>
      </c>
      <c r="F376" s="25">
        <v>0</v>
      </c>
      <c r="G376" s="25">
        <v>1</v>
      </c>
      <c r="H376" s="25">
        <v>30</v>
      </c>
      <c r="I376" s="29">
        <v>0.2</v>
      </c>
      <c r="J376" s="30">
        <v>10</v>
      </c>
      <c r="K376" s="25">
        <v>0</v>
      </c>
      <c r="L376" s="25">
        <v>0</v>
      </c>
      <c r="M376" s="25">
        <f t="shared" si="27"/>
        <v>10</v>
      </c>
      <c r="N376" s="25">
        <v>20</v>
      </c>
      <c r="O376" s="25">
        <v>0</v>
      </c>
      <c r="P376" s="25">
        <v>0</v>
      </c>
      <c r="Q376" s="25">
        <f t="shared" si="28"/>
        <v>0</v>
      </c>
      <c r="R376" s="25">
        <v>0</v>
      </c>
      <c r="S376" s="25">
        <f t="shared" si="29"/>
        <v>0</v>
      </c>
      <c r="T376" s="25">
        <v>0</v>
      </c>
      <c r="U376" s="29">
        <v>0</v>
      </c>
      <c r="V376" s="25">
        <v>0</v>
      </c>
      <c r="W376" s="25">
        <v>0</v>
      </c>
      <c r="X376" s="25">
        <v>0</v>
      </c>
      <c r="Y376" s="29">
        <v>0</v>
      </c>
      <c r="Z376" s="29">
        <v>0</v>
      </c>
      <c r="AA376" s="29">
        <v>0</v>
      </c>
      <c r="AB376" s="29">
        <v>0</v>
      </c>
      <c r="AC376" s="29">
        <v>0</v>
      </c>
      <c r="AD376" s="29">
        <v>0</v>
      </c>
      <c r="AE376" s="29"/>
      <c r="GR376" s="5"/>
      <c r="GS376" s="5"/>
      <c r="GT376" s="5"/>
      <c r="GU376" s="5"/>
      <c r="GV376" s="5"/>
      <c r="GW376" s="5"/>
      <c r="GX376" s="5"/>
      <c r="GY376" s="5"/>
      <c r="GZ376" s="5"/>
      <c r="HA376" s="5"/>
      <c r="HB376" s="5"/>
      <c r="HC376" s="5"/>
      <c r="HD376" s="5"/>
      <c r="HE376" s="5"/>
      <c r="HF376" s="5"/>
      <c r="HG376" s="5"/>
      <c r="HH376" s="5"/>
      <c r="HI376" s="5"/>
      <c r="HJ376" s="5"/>
      <c r="HK376" s="5"/>
      <c r="HL376" s="5"/>
      <c r="HM376" s="5"/>
      <c r="HN376" s="5"/>
      <c r="HO376" s="5"/>
      <c r="HP376" s="5"/>
    </row>
    <row r="377" spans="3:224" ht="20.100000000000001" customHeight="1">
      <c r="C377" s="24">
        <v>15208002</v>
      </c>
      <c r="D377" s="25" t="s">
        <v>398</v>
      </c>
      <c r="E377" s="25">
        <v>11200002</v>
      </c>
      <c r="F377" s="25">
        <v>0</v>
      </c>
      <c r="G377" s="25">
        <v>1</v>
      </c>
      <c r="H377" s="25">
        <v>30</v>
      </c>
      <c r="I377" s="29">
        <v>0.2</v>
      </c>
      <c r="J377" s="30">
        <v>10</v>
      </c>
      <c r="K377" s="25">
        <v>0</v>
      </c>
      <c r="L377" s="25">
        <v>0</v>
      </c>
      <c r="M377" s="25">
        <f t="shared" ref="M377:M466" si="50">ROUND(N377/2,0)</f>
        <v>13</v>
      </c>
      <c r="N377" s="25">
        <v>25</v>
      </c>
      <c r="O377" s="25">
        <v>0</v>
      </c>
      <c r="P377" s="25">
        <v>0</v>
      </c>
      <c r="Q377" s="25">
        <f t="shared" ref="Q377:Q466" si="51">ROUND(R377/2,0)</f>
        <v>0</v>
      </c>
      <c r="R377" s="25">
        <v>0</v>
      </c>
      <c r="S377" s="25">
        <f t="shared" ref="S377:S466" si="52">ROUND(T377/2,0)</f>
        <v>0</v>
      </c>
      <c r="T377" s="25">
        <v>0</v>
      </c>
      <c r="U377" s="29">
        <v>0</v>
      </c>
      <c r="V377" s="25">
        <v>0</v>
      </c>
      <c r="W377" s="25">
        <v>0</v>
      </c>
      <c r="X377" s="25">
        <v>0</v>
      </c>
      <c r="Y377" s="29">
        <v>0</v>
      </c>
      <c r="Z377" s="29">
        <v>0</v>
      </c>
      <c r="AA377" s="29">
        <v>0</v>
      </c>
      <c r="AB377" s="29">
        <v>0</v>
      </c>
      <c r="AC377" s="29">
        <v>0</v>
      </c>
      <c r="AD377" s="29">
        <v>0</v>
      </c>
      <c r="AE377" s="29"/>
      <c r="GR377" s="5"/>
      <c r="GS377" s="5"/>
      <c r="GT377" s="5"/>
      <c r="GU377" s="5"/>
      <c r="GV377" s="5"/>
      <c r="GW377" s="5"/>
      <c r="GX377" s="5"/>
      <c r="GY377" s="5"/>
      <c r="GZ377" s="5"/>
      <c r="HA377" s="5"/>
      <c r="HB377" s="5"/>
      <c r="HC377" s="5"/>
      <c r="HD377" s="5"/>
      <c r="HE377" s="5"/>
      <c r="HF377" s="5"/>
      <c r="HG377" s="5"/>
      <c r="HH377" s="5"/>
      <c r="HI377" s="5"/>
      <c r="HJ377" s="5"/>
      <c r="HK377" s="5"/>
      <c r="HL377" s="5"/>
      <c r="HM377" s="5"/>
      <c r="HN377" s="5"/>
      <c r="HO377" s="5"/>
      <c r="HP377" s="5"/>
    </row>
    <row r="378" spans="3:224" s="3" customFormat="1" ht="20.100000000000001" customHeight="1">
      <c r="C378" s="26">
        <v>15208003</v>
      </c>
      <c r="D378" s="40" t="s">
        <v>399</v>
      </c>
      <c r="E378" s="28">
        <v>11200002</v>
      </c>
      <c r="F378" s="28">
        <v>0</v>
      </c>
      <c r="G378" s="28">
        <v>1</v>
      </c>
      <c r="H378" s="28">
        <v>30</v>
      </c>
      <c r="I378" s="31">
        <v>0.2</v>
      </c>
      <c r="J378" s="30">
        <v>10</v>
      </c>
      <c r="K378" s="28">
        <v>0</v>
      </c>
      <c r="L378" s="28">
        <v>0</v>
      </c>
      <c r="M378" s="28">
        <f t="shared" ref="M378" si="53">ROUND(N378/2,0)</f>
        <v>15</v>
      </c>
      <c r="N378" s="28">
        <v>30</v>
      </c>
      <c r="O378" s="28">
        <v>0</v>
      </c>
      <c r="P378" s="28">
        <v>0</v>
      </c>
      <c r="Q378" s="28">
        <f t="shared" ref="Q378" si="54">ROUND(R378/2,0)</f>
        <v>0</v>
      </c>
      <c r="R378" s="28">
        <v>0</v>
      </c>
      <c r="S378" s="28">
        <f t="shared" ref="S378" si="55">ROUND(T378/2,0)</f>
        <v>0</v>
      </c>
      <c r="T378" s="28">
        <v>0</v>
      </c>
      <c r="U378" s="31">
        <v>0</v>
      </c>
      <c r="V378" s="28">
        <v>0</v>
      </c>
      <c r="W378" s="28">
        <v>0</v>
      </c>
      <c r="X378" s="28">
        <v>0</v>
      </c>
      <c r="Y378" s="31">
        <v>0</v>
      </c>
      <c r="Z378" s="31">
        <v>0</v>
      </c>
      <c r="AA378" s="31">
        <v>0</v>
      </c>
      <c r="AB378" s="31">
        <v>0</v>
      </c>
      <c r="AC378" s="31">
        <v>0</v>
      </c>
      <c r="AD378" s="31">
        <v>0</v>
      </c>
      <c r="AE378" s="31"/>
      <c r="AF378" s="33"/>
      <c r="AG378" s="33"/>
      <c r="AH378" s="33"/>
      <c r="AI378" s="33"/>
      <c r="AJ378" s="33"/>
      <c r="AK378" s="33"/>
      <c r="AL378" s="33"/>
      <c r="AM378" s="33"/>
      <c r="AN378" s="33"/>
      <c r="AO378" s="33"/>
      <c r="AP378" s="33"/>
      <c r="AQ378" s="33"/>
      <c r="AR378" s="33"/>
      <c r="AS378" s="33"/>
      <c r="AT378" s="33"/>
      <c r="AU378" s="33"/>
      <c r="AV378" s="33"/>
      <c r="AW378" s="33"/>
      <c r="AX378" s="33"/>
      <c r="AY378" s="33"/>
      <c r="AZ378" s="33"/>
      <c r="BA378" s="33"/>
      <c r="BB378" s="33"/>
      <c r="BC378" s="33"/>
      <c r="BD378" s="33"/>
      <c r="BE378" s="33"/>
      <c r="BF378" s="33"/>
      <c r="BG378" s="33"/>
      <c r="BH378" s="33"/>
      <c r="BI378" s="33"/>
      <c r="BJ378" s="33"/>
      <c r="BK378" s="33"/>
      <c r="BL378" s="33"/>
      <c r="BM378" s="33"/>
      <c r="BN378" s="33"/>
      <c r="BO378" s="33"/>
      <c r="BP378" s="33"/>
      <c r="BQ378" s="33"/>
      <c r="BR378" s="33"/>
      <c r="BS378" s="33"/>
      <c r="BT378" s="33"/>
      <c r="BU378" s="33"/>
      <c r="BV378" s="33"/>
      <c r="BW378" s="33"/>
      <c r="BX378" s="33"/>
      <c r="BY378" s="33"/>
      <c r="BZ378" s="33"/>
      <c r="CA378" s="33"/>
      <c r="CB378" s="33"/>
      <c r="CC378" s="33"/>
      <c r="CD378" s="33"/>
      <c r="CE378" s="33"/>
      <c r="CF378" s="33"/>
      <c r="CG378" s="33"/>
      <c r="CH378" s="33"/>
      <c r="CI378" s="33"/>
      <c r="CJ378" s="33"/>
      <c r="CK378" s="33"/>
      <c r="CL378" s="33"/>
      <c r="CM378" s="33"/>
      <c r="CN378" s="33"/>
      <c r="CO378" s="33"/>
      <c r="CP378" s="33"/>
      <c r="CQ378" s="33"/>
      <c r="CR378" s="33"/>
      <c r="CS378" s="33"/>
      <c r="CT378" s="33"/>
      <c r="CU378" s="33"/>
      <c r="CV378" s="33"/>
      <c r="CW378" s="33"/>
      <c r="CX378" s="33"/>
      <c r="CY378" s="33"/>
      <c r="CZ378" s="33"/>
      <c r="DA378" s="33"/>
      <c r="DB378" s="33"/>
      <c r="DC378" s="33"/>
      <c r="DD378" s="33"/>
      <c r="DE378" s="33"/>
      <c r="DF378" s="33"/>
      <c r="DG378" s="33"/>
      <c r="DH378" s="33"/>
      <c r="DI378" s="33"/>
      <c r="DJ378" s="33"/>
      <c r="DK378" s="33"/>
      <c r="DL378" s="33"/>
      <c r="DM378" s="33"/>
      <c r="DN378" s="33"/>
      <c r="DO378" s="33"/>
      <c r="DP378" s="33"/>
      <c r="DQ378" s="33"/>
      <c r="DR378" s="33"/>
      <c r="DS378" s="33"/>
      <c r="DT378" s="33"/>
      <c r="DU378" s="33"/>
      <c r="DV378" s="33"/>
      <c r="DW378" s="33"/>
      <c r="DX378" s="33"/>
      <c r="DY378" s="33"/>
      <c r="DZ378" s="33"/>
      <c r="EA378" s="33"/>
      <c r="EB378" s="33"/>
      <c r="EC378" s="33"/>
      <c r="ED378" s="33"/>
      <c r="EE378" s="33"/>
      <c r="EF378" s="33"/>
      <c r="EG378" s="33"/>
      <c r="EH378" s="33"/>
      <c r="EI378" s="33"/>
      <c r="EJ378" s="33"/>
      <c r="EK378" s="33"/>
      <c r="EL378" s="33"/>
      <c r="EM378" s="33"/>
      <c r="EN378" s="33"/>
      <c r="EO378" s="33"/>
      <c r="EP378" s="33"/>
      <c r="EQ378" s="33"/>
      <c r="ER378" s="33"/>
      <c r="ES378" s="33"/>
      <c r="ET378" s="33"/>
      <c r="EU378" s="33"/>
      <c r="EV378" s="33"/>
      <c r="EW378" s="33"/>
      <c r="EX378" s="33"/>
      <c r="EY378" s="33"/>
      <c r="EZ378" s="33"/>
      <c r="FA378" s="33"/>
      <c r="FB378" s="33"/>
      <c r="FC378" s="33"/>
      <c r="FD378" s="33"/>
      <c r="FE378" s="33"/>
      <c r="FF378" s="33"/>
      <c r="FG378" s="33"/>
      <c r="FH378" s="33"/>
      <c r="FI378" s="33"/>
      <c r="FJ378" s="33"/>
      <c r="FK378" s="33"/>
      <c r="FL378" s="33"/>
      <c r="FM378" s="33"/>
      <c r="FN378" s="33"/>
      <c r="FO378" s="33"/>
      <c r="FP378" s="33"/>
      <c r="FQ378" s="33"/>
      <c r="FR378" s="33"/>
      <c r="FS378" s="33"/>
      <c r="FT378" s="33"/>
      <c r="FU378" s="33"/>
      <c r="FV378" s="33"/>
      <c r="FW378" s="33"/>
      <c r="FX378" s="33"/>
      <c r="FY378" s="33"/>
      <c r="FZ378" s="33"/>
      <c r="GA378" s="33"/>
      <c r="GB378" s="33"/>
      <c r="GC378" s="33"/>
      <c r="GD378" s="33"/>
      <c r="GE378" s="33"/>
      <c r="GF378" s="33"/>
      <c r="GG378" s="33"/>
      <c r="GH378" s="33"/>
      <c r="GI378" s="33"/>
      <c r="GJ378" s="33"/>
      <c r="GK378" s="33"/>
      <c r="GL378" s="33"/>
      <c r="GM378" s="33"/>
      <c r="GN378" s="33"/>
      <c r="GO378" s="33"/>
      <c r="GP378" s="33"/>
      <c r="GQ378" s="33"/>
      <c r="GR378" s="33"/>
      <c r="GS378" s="33"/>
      <c r="GT378" s="33"/>
      <c r="GU378" s="33"/>
      <c r="GV378" s="33"/>
      <c r="GW378" s="33"/>
      <c r="GX378" s="33"/>
      <c r="GY378" s="33"/>
      <c r="GZ378" s="33"/>
      <c r="HA378" s="33"/>
      <c r="HB378" s="33"/>
      <c r="HC378" s="33"/>
      <c r="HD378" s="33"/>
      <c r="HE378" s="33"/>
      <c r="HF378" s="33"/>
      <c r="HG378" s="33"/>
      <c r="HH378" s="33"/>
      <c r="HI378" s="33"/>
      <c r="HJ378" s="33"/>
      <c r="HK378" s="33"/>
      <c r="HL378" s="33"/>
      <c r="HM378" s="33"/>
      <c r="HN378" s="33"/>
      <c r="HO378" s="33"/>
      <c r="HP378" s="33"/>
    </row>
    <row r="379" spans="3:224" ht="20.100000000000001" customHeight="1">
      <c r="C379" s="24">
        <v>15209001</v>
      </c>
      <c r="D379" s="25" t="s">
        <v>400</v>
      </c>
      <c r="E379" s="25">
        <v>11200001</v>
      </c>
      <c r="F379" s="25">
        <v>0</v>
      </c>
      <c r="G379" s="25">
        <v>1</v>
      </c>
      <c r="H379" s="25">
        <v>30</v>
      </c>
      <c r="I379" s="29">
        <v>0.2</v>
      </c>
      <c r="J379" s="30">
        <v>10</v>
      </c>
      <c r="K379" s="25">
        <v>0</v>
      </c>
      <c r="L379" s="25">
        <v>2650</v>
      </c>
      <c r="M379" s="25">
        <f t="shared" si="50"/>
        <v>0</v>
      </c>
      <c r="N379" s="25">
        <v>0</v>
      </c>
      <c r="O379" s="25">
        <v>0</v>
      </c>
      <c r="P379" s="25">
        <v>0</v>
      </c>
      <c r="Q379" s="25">
        <f t="shared" si="51"/>
        <v>0</v>
      </c>
      <c r="R379" s="25">
        <v>0</v>
      </c>
      <c r="S379" s="25">
        <f t="shared" si="52"/>
        <v>0</v>
      </c>
      <c r="T379" s="25">
        <v>0</v>
      </c>
      <c r="U379" s="29">
        <v>0</v>
      </c>
      <c r="V379" s="25">
        <v>0</v>
      </c>
      <c r="W379" s="25">
        <v>0</v>
      </c>
      <c r="X379" s="25">
        <v>0</v>
      </c>
      <c r="Y379" s="29">
        <v>0</v>
      </c>
      <c r="Z379" s="29">
        <v>0</v>
      </c>
      <c r="AA379" s="29">
        <v>0</v>
      </c>
      <c r="AB379" s="29">
        <v>0</v>
      </c>
      <c r="AC379" s="29">
        <v>0</v>
      </c>
      <c r="AD379" s="29">
        <v>0</v>
      </c>
      <c r="AE379" s="29"/>
      <c r="GR379" s="5"/>
      <c r="GS379" s="5"/>
      <c r="GT379" s="5"/>
      <c r="GU379" s="5"/>
      <c r="GV379" s="5"/>
      <c r="GW379" s="5"/>
      <c r="GX379" s="5"/>
      <c r="GY379" s="5"/>
      <c r="GZ379" s="5"/>
      <c r="HA379" s="5"/>
      <c r="HB379" s="5"/>
      <c r="HC379" s="5"/>
      <c r="HD379" s="5"/>
      <c r="HE379" s="5"/>
      <c r="HF379" s="5"/>
      <c r="HG379" s="5"/>
      <c r="HH379" s="5"/>
      <c r="HI379" s="5"/>
      <c r="HJ379" s="5"/>
      <c r="HK379" s="5"/>
      <c r="HL379" s="5"/>
      <c r="HM379" s="5"/>
      <c r="HN379" s="5"/>
      <c r="HO379" s="5"/>
      <c r="HP379" s="5"/>
    </row>
    <row r="380" spans="3:224" ht="20.100000000000001" customHeight="1">
      <c r="C380" s="24">
        <v>15209002</v>
      </c>
      <c r="D380" s="25" t="s">
        <v>401</v>
      </c>
      <c r="E380" s="25">
        <v>11200001</v>
      </c>
      <c r="F380" s="25">
        <v>0</v>
      </c>
      <c r="G380" s="25">
        <v>1</v>
      </c>
      <c r="H380" s="25">
        <v>30</v>
      </c>
      <c r="I380" s="29">
        <v>0.2</v>
      </c>
      <c r="J380" s="30">
        <v>10</v>
      </c>
      <c r="K380" s="25">
        <v>0</v>
      </c>
      <c r="L380" s="25">
        <v>3150</v>
      </c>
      <c r="M380" s="25">
        <f t="shared" si="50"/>
        <v>0</v>
      </c>
      <c r="N380" s="25">
        <v>0</v>
      </c>
      <c r="O380" s="25">
        <v>0</v>
      </c>
      <c r="P380" s="25">
        <v>0</v>
      </c>
      <c r="Q380" s="25">
        <f t="shared" si="51"/>
        <v>0</v>
      </c>
      <c r="R380" s="25">
        <v>0</v>
      </c>
      <c r="S380" s="25">
        <f t="shared" si="52"/>
        <v>0</v>
      </c>
      <c r="T380" s="25">
        <v>0</v>
      </c>
      <c r="U380" s="29">
        <v>0</v>
      </c>
      <c r="V380" s="25">
        <v>0</v>
      </c>
      <c r="W380" s="25">
        <v>0</v>
      </c>
      <c r="X380" s="25">
        <v>0</v>
      </c>
      <c r="Y380" s="29">
        <v>0</v>
      </c>
      <c r="Z380" s="29">
        <v>0</v>
      </c>
      <c r="AA380" s="29">
        <v>0</v>
      </c>
      <c r="AB380" s="29">
        <v>0</v>
      </c>
      <c r="AC380" s="29">
        <v>0</v>
      </c>
      <c r="AD380" s="29">
        <v>0</v>
      </c>
      <c r="AE380" s="29"/>
      <c r="GR380" s="5"/>
      <c r="GS380" s="5"/>
      <c r="GT380" s="5"/>
      <c r="GU380" s="5"/>
      <c r="GV380" s="5"/>
      <c r="GW380" s="5"/>
      <c r="GX380" s="5"/>
      <c r="GY380" s="5"/>
      <c r="GZ380" s="5"/>
      <c r="HA380" s="5"/>
      <c r="HB380" s="5"/>
      <c r="HC380" s="5"/>
      <c r="HD380" s="5"/>
      <c r="HE380" s="5"/>
      <c r="HF380" s="5"/>
      <c r="HG380" s="5"/>
      <c r="HH380" s="5"/>
      <c r="HI380" s="5"/>
      <c r="HJ380" s="5"/>
      <c r="HK380" s="5"/>
      <c r="HL380" s="5"/>
      <c r="HM380" s="5"/>
      <c r="HN380" s="5"/>
      <c r="HO380" s="5"/>
      <c r="HP380" s="5"/>
    </row>
    <row r="381" spans="3:224" s="3" customFormat="1" ht="20.100000000000001" customHeight="1">
      <c r="C381" s="26">
        <v>15209003</v>
      </c>
      <c r="D381" s="28" t="s">
        <v>402</v>
      </c>
      <c r="E381" s="28">
        <v>11200001</v>
      </c>
      <c r="F381" s="28">
        <v>0</v>
      </c>
      <c r="G381" s="28">
        <v>1</v>
      </c>
      <c r="H381" s="28">
        <v>30</v>
      </c>
      <c r="I381" s="31">
        <v>0.2</v>
      </c>
      <c r="J381" s="30">
        <v>10</v>
      </c>
      <c r="K381" s="28">
        <v>0</v>
      </c>
      <c r="L381" s="28">
        <v>5250</v>
      </c>
      <c r="M381" s="28">
        <f t="shared" ref="M381" si="56">ROUND(N381/2,0)</f>
        <v>0</v>
      </c>
      <c r="N381" s="28">
        <v>0</v>
      </c>
      <c r="O381" s="28">
        <v>0</v>
      </c>
      <c r="P381" s="28">
        <v>0</v>
      </c>
      <c r="Q381" s="28">
        <f t="shared" ref="Q381" si="57">ROUND(R381/2,0)</f>
        <v>0</v>
      </c>
      <c r="R381" s="28">
        <v>0</v>
      </c>
      <c r="S381" s="28">
        <f t="shared" ref="S381" si="58">ROUND(T381/2,0)</f>
        <v>0</v>
      </c>
      <c r="T381" s="28">
        <v>0</v>
      </c>
      <c r="U381" s="31">
        <v>0</v>
      </c>
      <c r="V381" s="28">
        <v>0</v>
      </c>
      <c r="W381" s="28">
        <v>0</v>
      </c>
      <c r="X381" s="28">
        <v>0</v>
      </c>
      <c r="Y381" s="31">
        <v>0</v>
      </c>
      <c r="Z381" s="31">
        <v>0</v>
      </c>
      <c r="AA381" s="31">
        <v>0</v>
      </c>
      <c r="AB381" s="31">
        <v>200301</v>
      </c>
      <c r="AC381" s="31">
        <v>300</v>
      </c>
      <c r="AD381" s="31">
        <v>1</v>
      </c>
      <c r="AE381" s="31"/>
      <c r="AF381" s="33"/>
      <c r="AG381" s="33"/>
      <c r="AH381" s="33"/>
      <c r="AI381" s="33"/>
      <c r="AJ381" s="33"/>
      <c r="AK381" s="33"/>
      <c r="AL381" s="33"/>
      <c r="AM381" s="33"/>
      <c r="AN381" s="33"/>
      <c r="AO381" s="33"/>
      <c r="AP381" s="33"/>
      <c r="AQ381" s="33"/>
      <c r="AR381" s="33"/>
      <c r="AS381" s="33"/>
      <c r="AT381" s="33"/>
      <c r="AU381" s="33"/>
      <c r="AV381" s="33"/>
      <c r="AW381" s="33"/>
      <c r="AX381" s="33"/>
      <c r="AY381" s="33"/>
      <c r="AZ381" s="33"/>
      <c r="BA381" s="33"/>
      <c r="BB381" s="33"/>
      <c r="BC381" s="33"/>
      <c r="BD381" s="33"/>
      <c r="BE381" s="33"/>
      <c r="BF381" s="33"/>
      <c r="BG381" s="33"/>
      <c r="BH381" s="33"/>
      <c r="BI381" s="33"/>
      <c r="BJ381" s="33"/>
      <c r="BK381" s="33"/>
      <c r="BL381" s="33"/>
      <c r="BM381" s="33"/>
      <c r="BN381" s="33"/>
      <c r="BO381" s="33"/>
      <c r="BP381" s="33"/>
      <c r="BQ381" s="33"/>
      <c r="BR381" s="33"/>
      <c r="BS381" s="33"/>
      <c r="BT381" s="33"/>
      <c r="BU381" s="33"/>
      <c r="BV381" s="33"/>
      <c r="BW381" s="33"/>
      <c r="BX381" s="33"/>
      <c r="BY381" s="33"/>
      <c r="BZ381" s="33"/>
      <c r="CA381" s="33"/>
      <c r="CB381" s="33"/>
      <c r="CC381" s="33"/>
      <c r="CD381" s="33"/>
      <c r="CE381" s="33"/>
      <c r="CF381" s="33"/>
      <c r="CG381" s="33"/>
      <c r="CH381" s="33"/>
      <c r="CI381" s="33"/>
      <c r="CJ381" s="33"/>
      <c r="CK381" s="33"/>
      <c r="CL381" s="33"/>
      <c r="CM381" s="33"/>
      <c r="CN381" s="33"/>
      <c r="CO381" s="33"/>
      <c r="CP381" s="33"/>
      <c r="CQ381" s="33"/>
      <c r="CR381" s="33"/>
      <c r="CS381" s="33"/>
      <c r="CT381" s="33"/>
      <c r="CU381" s="33"/>
      <c r="CV381" s="33"/>
      <c r="CW381" s="33"/>
      <c r="CX381" s="33"/>
      <c r="CY381" s="33"/>
      <c r="CZ381" s="33"/>
      <c r="DA381" s="33"/>
      <c r="DB381" s="33"/>
      <c r="DC381" s="33"/>
      <c r="DD381" s="33"/>
      <c r="DE381" s="33"/>
      <c r="DF381" s="33"/>
      <c r="DG381" s="33"/>
      <c r="DH381" s="33"/>
      <c r="DI381" s="33"/>
      <c r="DJ381" s="33"/>
      <c r="DK381" s="33"/>
      <c r="DL381" s="33"/>
      <c r="DM381" s="33"/>
      <c r="DN381" s="33"/>
      <c r="DO381" s="33"/>
      <c r="DP381" s="33"/>
      <c r="DQ381" s="33"/>
      <c r="DR381" s="33"/>
      <c r="DS381" s="33"/>
      <c r="DT381" s="33"/>
      <c r="DU381" s="33"/>
      <c r="DV381" s="33"/>
      <c r="DW381" s="33"/>
      <c r="DX381" s="33"/>
      <c r="DY381" s="33"/>
      <c r="DZ381" s="33"/>
      <c r="EA381" s="33"/>
      <c r="EB381" s="33"/>
      <c r="EC381" s="33"/>
      <c r="ED381" s="33"/>
      <c r="EE381" s="33"/>
      <c r="EF381" s="33"/>
      <c r="EG381" s="33"/>
      <c r="EH381" s="33"/>
      <c r="EI381" s="33"/>
      <c r="EJ381" s="33"/>
      <c r="EK381" s="33"/>
      <c r="EL381" s="33"/>
      <c r="EM381" s="33"/>
      <c r="EN381" s="33"/>
      <c r="EO381" s="33"/>
      <c r="EP381" s="33"/>
      <c r="EQ381" s="33"/>
      <c r="ER381" s="33"/>
      <c r="ES381" s="33"/>
      <c r="ET381" s="33"/>
      <c r="EU381" s="33"/>
      <c r="EV381" s="33"/>
      <c r="EW381" s="33"/>
      <c r="EX381" s="33"/>
      <c r="EY381" s="33"/>
      <c r="EZ381" s="33"/>
      <c r="FA381" s="33"/>
      <c r="FB381" s="33"/>
      <c r="FC381" s="33"/>
      <c r="FD381" s="33"/>
      <c r="FE381" s="33"/>
      <c r="FF381" s="33"/>
      <c r="FG381" s="33"/>
      <c r="FH381" s="33"/>
      <c r="FI381" s="33"/>
      <c r="FJ381" s="33"/>
      <c r="FK381" s="33"/>
      <c r="FL381" s="33"/>
      <c r="FM381" s="33"/>
      <c r="FN381" s="33"/>
      <c r="FO381" s="33"/>
      <c r="FP381" s="33"/>
      <c r="FQ381" s="33"/>
      <c r="FR381" s="33"/>
      <c r="FS381" s="33"/>
      <c r="FT381" s="33"/>
      <c r="FU381" s="33"/>
      <c r="FV381" s="33"/>
      <c r="FW381" s="33"/>
      <c r="FX381" s="33"/>
      <c r="FY381" s="33"/>
      <c r="FZ381" s="33"/>
      <c r="GA381" s="33"/>
      <c r="GB381" s="33"/>
      <c r="GC381" s="33"/>
      <c r="GD381" s="33"/>
      <c r="GE381" s="33"/>
      <c r="GF381" s="33"/>
      <c r="GG381" s="33"/>
      <c r="GH381" s="33"/>
      <c r="GI381" s="33"/>
      <c r="GJ381" s="33"/>
      <c r="GK381" s="33"/>
      <c r="GL381" s="33"/>
      <c r="GM381" s="33"/>
      <c r="GN381" s="33"/>
      <c r="GO381" s="33"/>
      <c r="GP381" s="33"/>
      <c r="GQ381" s="33"/>
      <c r="GR381" s="33"/>
      <c r="GS381" s="33"/>
      <c r="GT381" s="33"/>
      <c r="GU381" s="33"/>
      <c r="GV381" s="33"/>
      <c r="GW381" s="33"/>
      <c r="GX381" s="33"/>
      <c r="GY381" s="33"/>
      <c r="GZ381" s="33"/>
      <c r="HA381" s="33"/>
      <c r="HB381" s="33"/>
      <c r="HC381" s="33"/>
      <c r="HD381" s="33"/>
      <c r="HE381" s="33"/>
      <c r="HF381" s="33"/>
      <c r="HG381" s="33"/>
      <c r="HH381" s="33"/>
      <c r="HI381" s="33"/>
      <c r="HJ381" s="33"/>
      <c r="HK381" s="33"/>
      <c r="HL381" s="33"/>
      <c r="HM381" s="33"/>
      <c r="HN381" s="33"/>
      <c r="HO381" s="33"/>
      <c r="HP381" s="33"/>
    </row>
    <row r="382" spans="3:224" ht="20.100000000000001" customHeight="1">
      <c r="C382" s="24">
        <v>15210001</v>
      </c>
      <c r="D382" s="25" t="s">
        <v>403</v>
      </c>
      <c r="E382" s="25">
        <v>11200001</v>
      </c>
      <c r="F382" s="25">
        <v>0</v>
      </c>
      <c r="G382" s="25">
        <v>1</v>
      </c>
      <c r="H382" s="25">
        <v>30</v>
      </c>
      <c r="I382" s="29">
        <v>0.2</v>
      </c>
      <c r="J382" s="30">
        <v>10</v>
      </c>
      <c r="K382" s="25">
        <v>0</v>
      </c>
      <c r="L382" s="25">
        <v>0</v>
      </c>
      <c r="M382" s="25">
        <f t="shared" si="50"/>
        <v>128</v>
      </c>
      <c r="N382" s="25">
        <v>255</v>
      </c>
      <c r="O382" s="25">
        <v>0</v>
      </c>
      <c r="P382" s="25">
        <v>0</v>
      </c>
      <c r="Q382" s="25">
        <f t="shared" si="51"/>
        <v>0</v>
      </c>
      <c r="R382" s="25">
        <v>0</v>
      </c>
      <c r="S382" s="25">
        <f t="shared" si="52"/>
        <v>0</v>
      </c>
      <c r="T382" s="25">
        <v>0</v>
      </c>
      <c r="U382" s="29">
        <v>0</v>
      </c>
      <c r="V382" s="25">
        <v>0</v>
      </c>
      <c r="W382" s="25">
        <v>0</v>
      </c>
      <c r="X382" s="25">
        <v>0</v>
      </c>
      <c r="Y382" s="29">
        <v>0</v>
      </c>
      <c r="Z382" s="29">
        <v>0</v>
      </c>
      <c r="AA382" s="29">
        <v>0</v>
      </c>
      <c r="AB382" s="29">
        <v>0</v>
      </c>
      <c r="AC382" s="29">
        <v>0</v>
      </c>
      <c r="AD382" s="29">
        <v>0</v>
      </c>
      <c r="AE382" s="29"/>
      <c r="GR382" s="5"/>
      <c r="GS382" s="5"/>
      <c r="GT382" s="5"/>
      <c r="GU382" s="5"/>
      <c r="GV382" s="5"/>
      <c r="GW382" s="5"/>
      <c r="GX382" s="5"/>
      <c r="GY382" s="5"/>
      <c r="GZ382" s="5"/>
      <c r="HA382" s="5"/>
      <c r="HB382" s="5"/>
      <c r="HC382" s="5"/>
      <c r="HD382" s="5"/>
      <c r="HE382" s="5"/>
      <c r="HF382" s="5"/>
      <c r="HG382" s="5"/>
      <c r="HH382" s="5"/>
      <c r="HI382" s="5"/>
      <c r="HJ382" s="5"/>
      <c r="HK382" s="5"/>
      <c r="HL382" s="5"/>
      <c r="HM382" s="5"/>
      <c r="HN382" s="5"/>
      <c r="HO382" s="5"/>
      <c r="HP382" s="5"/>
    </row>
    <row r="383" spans="3:224" ht="20.100000000000001" customHeight="1">
      <c r="C383" s="24">
        <v>15210002</v>
      </c>
      <c r="D383" s="25" t="s">
        <v>404</v>
      </c>
      <c r="E383" s="25">
        <v>11200001</v>
      </c>
      <c r="F383" s="25">
        <v>0</v>
      </c>
      <c r="G383" s="25">
        <v>1</v>
      </c>
      <c r="H383" s="25">
        <v>30</v>
      </c>
      <c r="I383" s="29">
        <v>0.2</v>
      </c>
      <c r="J383" s="30">
        <v>10</v>
      </c>
      <c r="K383" s="25">
        <v>0</v>
      </c>
      <c r="L383" s="25">
        <v>0</v>
      </c>
      <c r="M383" s="25">
        <f t="shared" si="50"/>
        <v>158</v>
      </c>
      <c r="N383" s="25">
        <v>315</v>
      </c>
      <c r="O383" s="25">
        <v>0</v>
      </c>
      <c r="P383" s="25">
        <v>0</v>
      </c>
      <c r="Q383" s="25">
        <f t="shared" si="51"/>
        <v>0</v>
      </c>
      <c r="R383" s="25">
        <v>0</v>
      </c>
      <c r="S383" s="25">
        <f t="shared" si="52"/>
        <v>0</v>
      </c>
      <c r="T383" s="25">
        <v>0</v>
      </c>
      <c r="U383" s="29">
        <v>0</v>
      </c>
      <c r="V383" s="25">
        <v>0</v>
      </c>
      <c r="W383" s="25">
        <v>0</v>
      </c>
      <c r="X383" s="25">
        <v>0</v>
      </c>
      <c r="Y383" s="29">
        <v>0</v>
      </c>
      <c r="Z383" s="29">
        <v>0</v>
      </c>
      <c r="AA383" s="29">
        <v>0</v>
      </c>
      <c r="AB383" s="29">
        <v>0</v>
      </c>
      <c r="AC383" s="29">
        <v>0</v>
      </c>
      <c r="AD383" s="29">
        <v>0</v>
      </c>
      <c r="AE383" s="29"/>
      <c r="GR383" s="5"/>
      <c r="GS383" s="5"/>
      <c r="GT383" s="5"/>
      <c r="GU383" s="5"/>
      <c r="GV383" s="5"/>
      <c r="GW383" s="5"/>
      <c r="GX383" s="5"/>
      <c r="GY383" s="5"/>
      <c r="GZ383" s="5"/>
      <c r="HA383" s="5"/>
      <c r="HB383" s="5"/>
      <c r="HC383" s="5"/>
      <c r="HD383" s="5"/>
      <c r="HE383" s="5"/>
      <c r="HF383" s="5"/>
      <c r="HG383" s="5"/>
      <c r="HH383" s="5"/>
      <c r="HI383" s="5"/>
      <c r="HJ383" s="5"/>
      <c r="HK383" s="5"/>
      <c r="HL383" s="5"/>
      <c r="HM383" s="5"/>
      <c r="HN383" s="5"/>
      <c r="HO383" s="5"/>
      <c r="HP383" s="5"/>
    </row>
    <row r="384" spans="3:224" ht="20.100000000000001" customHeight="1">
      <c r="C384" s="24">
        <v>15210003</v>
      </c>
      <c r="D384" s="25" t="s">
        <v>405</v>
      </c>
      <c r="E384" s="25">
        <v>11200001</v>
      </c>
      <c r="F384" s="25">
        <v>0</v>
      </c>
      <c r="G384" s="25">
        <v>1</v>
      </c>
      <c r="H384" s="25">
        <v>30</v>
      </c>
      <c r="I384" s="29">
        <v>0.2</v>
      </c>
      <c r="J384" s="30">
        <v>10</v>
      </c>
      <c r="K384" s="25">
        <v>0</v>
      </c>
      <c r="L384" s="25">
        <v>0</v>
      </c>
      <c r="M384" s="25">
        <f t="shared" si="50"/>
        <v>128</v>
      </c>
      <c r="N384" s="25">
        <v>255</v>
      </c>
      <c r="O384" s="25">
        <v>0</v>
      </c>
      <c r="P384" s="25">
        <v>0</v>
      </c>
      <c r="Q384" s="25">
        <f t="shared" si="51"/>
        <v>0</v>
      </c>
      <c r="R384" s="25">
        <v>0</v>
      </c>
      <c r="S384" s="25">
        <f t="shared" si="52"/>
        <v>0</v>
      </c>
      <c r="T384" s="25">
        <v>0</v>
      </c>
      <c r="U384" s="29">
        <v>0</v>
      </c>
      <c r="V384" s="25">
        <v>0</v>
      </c>
      <c r="W384" s="25">
        <v>0</v>
      </c>
      <c r="X384" s="25">
        <v>0</v>
      </c>
      <c r="Y384" s="29">
        <v>0</v>
      </c>
      <c r="Z384" s="29">
        <v>0</v>
      </c>
      <c r="AA384" s="29">
        <v>0</v>
      </c>
      <c r="AB384" s="29">
        <v>0</v>
      </c>
      <c r="AC384" s="29">
        <v>0</v>
      </c>
      <c r="AD384" s="29">
        <v>0</v>
      </c>
      <c r="AE384" s="29"/>
      <c r="GR384" s="5"/>
      <c r="GS384" s="5"/>
      <c r="GT384" s="5"/>
      <c r="GU384" s="5"/>
      <c r="GV384" s="5"/>
      <c r="GW384" s="5"/>
      <c r="GX384" s="5"/>
      <c r="GY384" s="5"/>
      <c r="GZ384" s="5"/>
      <c r="HA384" s="5"/>
      <c r="HB384" s="5"/>
      <c r="HC384" s="5"/>
      <c r="HD384" s="5"/>
      <c r="HE384" s="5"/>
      <c r="HF384" s="5"/>
      <c r="HG384" s="5"/>
      <c r="HH384" s="5"/>
      <c r="HI384" s="5"/>
      <c r="HJ384" s="5"/>
      <c r="HK384" s="5"/>
      <c r="HL384" s="5"/>
      <c r="HM384" s="5"/>
      <c r="HN384" s="5"/>
      <c r="HO384" s="5"/>
      <c r="HP384" s="5"/>
    </row>
    <row r="385" spans="3:224" ht="20.100000000000001" customHeight="1">
      <c r="C385" s="24">
        <v>15210004</v>
      </c>
      <c r="D385" s="25" t="s">
        <v>406</v>
      </c>
      <c r="E385" s="25">
        <v>11200001</v>
      </c>
      <c r="F385" s="25">
        <v>0</v>
      </c>
      <c r="G385" s="25">
        <v>1</v>
      </c>
      <c r="H385" s="25">
        <v>30</v>
      </c>
      <c r="I385" s="29">
        <v>0.2</v>
      </c>
      <c r="J385" s="30">
        <v>10</v>
      </c>
      <c r="K385" s="25">
        <v>0</v>
      </c>
      <c r="L385" s="25">
        <v>0</v>
      </c>
      <c r="M385" s="25">
        <f t="shared" si="50"/>
        <v>158</v>
      </c>
      <c r="N385" s="25">
        <v>315</v>
      </c>
      <c r="O385" s="25">
        <v>0</v>
      </c>
      <c r="P385" s="25">
        <v>0</v>
      </c>
      <c r="Q385" s="25">
        <f t="shared" si="51"/>
        <v>0</v>
      </c>
      <c r="R385" s="25">
        <v>0</v>
      </c>
      <c r="S385" s="25">
        <f t="shared" si="52"/>
        <v>0</v>
      </c>
      <c r="T385" s="25">
        <v>0</v>
      </c>
      <c r="U385" s="29">
        <v>0</v>
      </c>
      <c r="V385" s="25">
        <v>0</v>
      </c>
      <c r="W385" s="25">
        <v>0</v>
      </c>
      <c r="X385" s="25">
        <v>0</v>
      </c>
      <c r="Y385" s="29">
        <v>0</v>
      </c>
      <c r="Z385" s="29">
        <v>0</v>
      </c>
      <c r="AA385" s="29">
        <v>0</v>
      </c>
      <c r="AB385" s="29">
        <v>0</v>
      </c>
      <c r="AC385" s="29">
        <v>0</v>
      </c>
      <c r="AD385" s="29">
        <v>0</v>
      </c>
      <c r="AE385" s="29"/>
      <c r="GR385" s="5"/>
      <c r="GS385" s="5"/>
      <c r="GT385" s="5"/>
      <c r="GU385" s="5"/>
      <c r="GV385" s="5"/>
      <c r="GW385" s="5"/>
      <c r="GX385" s="5"/>
      <c r="GY385" s="5"/>
      <c r="GZ385" s="5"/>
      <c r="HA385" s="5"/>
      <c r="HB385" s="5"/>
      <c r="HC385" s="5"/>
      <c r="HD385" s="5"/>
      <c r="HE385" s="5"/>
      <c r="HF385" s="5"/>
      <c r="HG385" s="5"/>
      <c r="HH385" s="5"/>
      <c r="HI385" s="5"/>
      <c r="HJ385" s="5"/>
      <c r="HK385" s="5"/>
      <c r="HL385" s="5"/>
      <c r="HM385" s="5"/>
      <c r="HN385" s="5"/>
      <c r="HO385" s="5"/>
      <c r="HP385" s="5"/>
    </row>
    <row r="386" spans="3:224" ht="20.100000000000001" customHeight="1">
      <c r="C386" s="24">
        <v>15210011</v>
      </c>
      <c r="D386" s="36" t="s">
        <v>407</v>
      </c>
      <c r="E386" s="25">
        <v>11200001</v>
      </c>
      <c r="F386" s="25">
        <v>12051</v>
      </c>
      <c r="G386" s="25">
        <v>1</v>
      </c>
      <c r="H386" s="25">
        <v>30</v>
      </c>
      <c r="I386" s="29">
        <v>0.2</v>
      </c>
      <c r="J386" s="30">
        <v>10</v>
      </c>
      <c r="K386" s="25">
        <v>0</v>
      </c>
      <c r="L386" s="25">
        <v>0</v>
      </c>
      <c r="M386" s="25">
        <f t="shared" ref="M386:M387" si="59">ROUND(N386/2,0)</f>
        <v>200</v>
      </c>
      <c r="N386" s="25">
        <v>400</v>
      </c>
      <c r="O386" s="25">
        <v>0</v>
      </c>
      <c r="P386" s="25">
        <v>0</v>
      </c>
      <c r="Q386" s="25">
        <f t="shared" ref="Q386:Q387" si="60">ROUND(R386/2,0)</f>
        <v>0</v>
      </c>
      <c r="R386" s="25">
        <v>0</v>
      </c>
      <c r="S386" s="25">
        <f t="shared" ref="S386:S387" si="61">ROUND(T386/2,0)</f>
        <v>0</v>
      </c>
      <c r="T386" s="25">
        <v>0</v>
      </c>
      <c r="U386" s="29">
        <v>0</v>
      </c>
      <c r="V386" s="25">
        <v>0</v>
      </c>
      <c r="W386" s="25">
        <v>0</v>
      </c>
      <c r="X386" s="25">
        <v>0</v>
      </c>
      <c r="Y386" s="29">
        <v>0</v>
      </c>
      <c r="Z386" s="29">
        <v>0</v>
      </c>
      <c r="AA386" s="29">
        <v>0</v>
      </c>
      <c r="AB386" s="29">
        <v>0</v>
      </c>
      <c r="AC386" s="29">
        <v>0</v>
      </c>
      <c r="AD386" s="29">
        <v>1</v>
      </c>
      <c r="AE386" s="29">
        <v>100001</v>
      </c>
      <c r="GR386" s="5"/>
      <c r="GS386" s="5"/>
      <c r="GT386" s="5"/>
      <c r="GU386" s="5"/>
      <c r="GV386" s="5"/>
      <c r="GW386" s="5"/>
      <c r="GX386" s="5"/>
      <c r="GY386" s="5"/>
      <c r="GZ386" s="5"/>
      <c r="HA386" s="5"/>
      <c r="HB386" s="5"/>
      <c r="HC386" s="5"/>
      <c r="HD386" s="5"/>
      <c r="HE386" s="5"/>
      <c r="HF386" s="5"/>
      <c r="HG386" s="5"/>
      <c r="HH386" s="5"/>
      <c r="HI386" s="5"/>
      <c r="HJ386" s="5"/>
      <c r="HK386" s="5"/>
      <c r="HL386" s="5"/>
      <c r="HM386" s="5"/>
      <c r="HN386" s="5"/>
      <c r="HO386" s="5"/>
      <c r="HP386" s="5"/>
    </row>
    <row r="387" spans="3:224" ht="20.100000000000001" customHeight="1">
      <c r="C387" s="24">
        <v>15210012</v>
      </c>
      <c r="D387" s="36" t="s">
        <v>408</v>
      </c>
      <c r="E387" s="25">
        <v>11200001</v>
      </c>
      <c r="F387" s="25">
        <v>12051</v>
      </c>
      <c r="G387" s="25">
        <v>1</v>
      </c>
      <c r="H387" s="25">
        <v>30</v>
      </c>
      <c r="I387" s="29">
        <v>0.2</v>
      </c>
      <c r="J387" s="30">
        <v>10</v>
      </c>
      <c r="K387" s="25">
        <v>0</v>
      </c>
      <c r="L387" s="25">
        <v>0</v>
      </c>
      <c r="M387" s="25">
        <f t="shared" si="59"/>
        <v>200</v>
      </c>
      <c r="N387" s="25">
        <v>400</v>
      </c>
      <c r="O387" s="25">
        <v>0</v>
      </c>
      <c r="P387" s="25">
        <v>0</v>
      </c>
      <c r="Q387" s="25">
        <f t="shared" si="60"/>
        <v>0</v>
      </c>
      <c r="R387" s="25">
        <v>0</v>
      </c>
      <c r="S387" s="25">
        <f t="shared" si="61"/>
        <v>0</v>
      </c>
      <c r="T387" s="25">
        <v>0</v>
      </c>
      <c r="U387" s="29">
        <v>0</v>
      </c>
      <c r="V387" s="25">
        <v>0</v>
      </c>
      <c r="W387" s="25">
        <v>0</v>
      </c>
      <c r="X387" s="25">
        <v>0</v>
      </c>
      <c r="Y387" s="29">
        <v>0</v>
      </c>
      <c r="Z387" s="29">
        <v>0</v>
      </c>
      <c r="AA387" s="29">
        <v>0</v>
      </c>
      <c r="AB387" s="29">
        <v>200103</v>
      </c>
      <c r="AC387" s="29">
        <v>500</v>
      </c>
      <c r="AD387" s="29">
        <v>0</v>
      </c>
      <c r="AE387" s="29">
        <v>0</v>
      </c>
      <c r="GR387" s="5"/>
      <c r="GS387" s="5"/>
      <c r="GT387" s="5"/>
      <c r="GU387" s="5"/>
      <c r="GV387" s="5"/>
      <c r="GW387" s="5"/>
      <c r="GX387" s="5"/>
      <c r="GY387" s="5"/>
      <c r="GZ387" s="5"/>
      <c r="HA387" s="5"/>
      <c r="HB387" s="5"/>
      <c r="HC387" s="5"/>
      <c r="HD387" s="5"/>
      <c r="HE387" s="5"/>
      <c r="HF387" s="5"/>
      <c r="HG387" s="5"/>
      <c r="HH387" s="5"/>
      <c r="HI387" s="5"/>
      <c r="HJ387" s="5"/>
      <c r="HK387" s="5"/>
      <c r="HL387" s="5"/>
      <c r="HM387" s="5"/>
      <c r="HN387" s="5"/>
      <c r="HO387" s="5"/>
      <c r="HP387" s="5"/>
    </row>
    <row r="388" spans="3:224" ht="20.100000000000001" customHeight="1">
      <c r="C388" s="24">
        <v>15210111</v>
      </c>
      <c r="D388" s="36" t="s">
        <v>407</v>
      </c>
      <c r="E388" s="25">
        <v>11200001</v>
      </c>
      <c r="F388" s="25">
        <v>12051</v>
      </c>
      <c r="G388" s="25">
        <v>1</v>
      </c>
      <c r="H388" s="25">
        <v>30</v>
      </c>
      <c r="I388" s="29">
        <v>0.2</v>
      </c>
      <c r="J388" s="30">
        <v>10</v>
      </c>
      <c r="K388" s="25">
        <v>0</v>
      </c>
      <c r="L388" s="25">
        <v>0</v>
      </c>
      <c r="M388" s="25">
        <f t="shared" ref="M388:M392" si="62">ROUND(N388/2,0)</f>
        <v>200</v>
      </c>
      <c r="N388" s="25">
        <v>400</v>
      </c>
      <c r="O388" s="25">
        <v>0</v>
      </c>
      <c r="P388" s="25">
        <v>0</v>
      </c>
      <c r="Q388" s="25">
        <f t="shared" ref="Q388:Q392" si="63">ROUND(R388/2,0)</f>
        <v>0</v>
      </c>
      <c r="R388" s="25">
        <v>0</v>
      </c>
      <c r="S388" s="25">
        <f t="shared" ref="S388:S392" si="64">ROUND(T388/2,0)</f>
        <v>0</v>
      </c>
      <c r="T388" s="25">
        <v>0</v>
      </c>
      <c r="U388" s="29">
        <v>0</v>
      </c>
      <c r="V388" s="25">
        <v>0</v>
      </c>
      <c r="W388" s="25">
        <v>0</v>
      </c>
      <c r="X388" s="25">
        <v>0</v>
      </c>
      <c r="Y388" s="29">
        <v>0</v>
      </c>
      <c r="Z388" s="29">
        <v>0</v>
      </c>
      <c r="AA388" s="29">
        <v>0</v>
      </c>
      <c r="AB388" s="29">
        <v>200103</v>
      </c>
      <c r="AC388" s="29">
        <v>500</v>
      </c>
      <c r="AD388" s="29">
        <v>1</v>
      </c>
      <c r="AE388" s="29">
        <v>100002</v>
      </c>
      <c r="GR388" s="5"/>
      <c r="GS388" s="5"/>
      <c r="GT388" s="5"/>
      <c r="GU388" s="5"/>
      <c r="GV388" s="5"/>
      <c r="GW388" s="5"/>
      <c r="GX388" s="5"/>
      <c r="GY388" s="5"/>
      <c r="GZ388" s="5"/>
      <c r="HA388" s="5"/>
      <c r="HB388" s="5"/>
      <c r="HC388" s="5"/>
      <c r="HD388" s="5"/>
      <c r="HE388" s="5"/>
      <c r="HF388" s="5"/>
      <c r="HG388" s="5"/>
      <c r="HH388" s="5"/>
      <c r="HI388" s="5"/>
      <c r="HJ388" s="5"/>
      <c r="HK388" s="5"/>
      <c r="HL388" s="5"/>
      <c r="HM388" s="5"/>
      <c r="HN388" s="5"/>
      <c r="HO388" s="5"/>
      <c r="HP388" s="5"/>
    </row>
    <row r="389" spans="3:224" ht="20.100000000000001" customHeight="1">
      <c r="C389" s="24">
        <v>15210112</v>
      </c>
      <c r="D389" s="36" t="s">
        <v>408</v>
      </c>
      <c r="E389" s="25">
        <v>11200001</v>
      </c>
      <c r="F389" s="25">
        <v>12051</v>
      </c>
      <c r="G389" s="25">
        <v>1</v>
      </c>
      <c r="H389" s="25">
        <v>30</v>
      </c>
      <c r="I389" s="29">
        <v>0.2</v>
      </c>
      <c r="J389" s="30">
        <v>10</v>
      </c>
      <c r="K389" s="25">
        <v>0</v>
      </c>
      <c r="L389" s="25">
        <v>0</v>
      </c>
      <c r="M389" s="25">
        <f t="shared" si="62"/>
        <v>200</v>
      </c>
      <c r="N389" s="25">
        <v>400</v>
      </c>
      <c r="O389" s="25">
        <v>0</v>
      </c>
      <c r="P389" s="25">
        <v>0</v>
      </c>
      <c r="Q389" s="25">
        <f t="shared" si="63"/>
        <v>0</v>
      </c>
      <c r="R389" s="25">
        <v>0</v>
      </c>
      <c r="S389" s="25">
        <f t="shared" si="64"/>
        <v>0</v>
      </c>
      <c r="T389" s="25">
        <v>0</v>
      </c>
      <c r="U389" s="29">
        <v>0</v>
      </c>
      <c r="V389" s="25">
        <v>0</v>
      </c>
      <c r="W389" s="25">
        <v>0</v>
      </c>
      <c r="X389" s="25">
        <v>0</v>
      </c>
      <c r="Y389" s="29">
        <v>0</v>
      </c>
      <c r="Z389" s="29">
        <v>0</v>
      </c>
      <c r="AA389" s="29">
        <v>0</v>
      </c>
      <c r="AB389" s="29">
        <v>202203</v>
      </c>
      <c r="AC389" s="29">
        <v>500</v>
      </c>
      <c r="AD389" s="29">
        <v>1</v>
      </c>
      <c r="AE389" s="43"/>
      <c r="GR389" s="5"/>
      <c r="GS389" s="5"/>
      <c r="GT389" s="5"/>
      <c r="GU389" s="5"/>
      <c r="GV389" s="5"/>
      <c r="GW389" s="5"/>
      <c r="GX389" s="5"/>
      <c r="GY389" s="5"/>
      <c r="GZ389" s="5"/>
      <c r="HA389" s="5"/>
      <c r="HB389" s="5"/>
      <c r="HC389" s="5"/>
      <c r="HD389" s="5"/>
      <c r="HE389" s="5"/>
      <c r="HF389" s="5"/>
      <c r="HG389" s="5"/>
      <c r="HH389" s="5"/>
      <c r="HI389" s="5"/>
      <c r="HJ389" s="5"/>
      <c r="HK389" s="5"/>
      <c r="HL389" s="5"/>
      <c r="HM389" s="5"/>
      <c r="HN389" s="5"/>
      <c r="HO389" s="5"/>
      <c r="HP389" s="5"/>
    </row>
    <row r="390" spans="3:224" ht="20.100000000000001" customHeight="1">
      <c r="C390" s="24">
        <v>15210201</v>
      </c>
      <c r="D390" s="25" t="s">
        <v>654</v>
      </c>
      <c r="E390" s="25">
        <v>11200001</v>
      </c>
      <c r="F390" s="25">
        <v>0</v>
      </c>
      <c r="G390" s="25">
        <v>1</v>
      </c>
      <c r="H390" s="25">
        <v>30</v>
      </c>
      <c r="I390" s="29">
        <v>0.2</v>
      </c>
      <c r="J390" s="30">
        <v>10</v>
      </c>
      <c r="K390" s="25">
        <v>0</v>
      </c>
      <c r="L390" s="25">
        <v>0</v>
      </c>
      <c r="M390" s="25">
        <f t="shared" si="62"/>
        <v>128</v>
      </c>
      <c r="N390" s="25">
        <v>255</v>
      </c>
      <c r="O390" s="25">
        <v>0</v>
      </c>
      <c r="P390" s="25">
        <v>0</v>
      </c>
      <c r="Q390" s="25">
        <f t="shared" si="63"/>
        <v>0</v>
      </c>
      <c r="R390" s="25">
        <v>0</v>
      </c>
      <c r="S390" s="25">
        <f t="shared" si="64"/>
        <v>0</v>
      </c>
      <c r="T390" s="25">
        <v>0</v>
      </c>
      <c r="U390" s="29">
        <v>0</v>
      </c>
      <c r="V390" s="25">
        <v>0</v>
      </c>
      <c r="W390" s="25">
        <v>0</v>
      </c>
      <c r="X390" s="25">
        <v>0</v>
      </c>
      <c r="Y390" s="29">
        <v>0</v>
      </c>
      <c r="Z390" s="29">
        <v>0</v>
      </c>
      <c r="AA390" s="29">
        <v>0</v>
      </c>
      <c r="AB390" s="29">
        <v>0</v>
      </c>
      <c r="AC390" s="29">
        <v>0</v>
      </c>
      <c r="AD390" s="29">
        <v>0</v>
      </c>
      <c r="AE390" s="29"/>
      <c r="GR390" s="5"/>
      <c r="GS390" s="5"/>
      <c r="GT390" s="5"/>
      <c r="GU390" s="5"/>
      <c r="GV390" s="5"/>
      <c r="GW390" s="5"/>
      <c r="GX390" s="5"/>
      <c r="GY390" s="5"/>
      <c r="GZ390" s="5"/>
      <c r="HA390" s="5"/>
      <c r="HB390" s="5"/>
      <c r="HC390" s="5"/>
      <c r="HD390" s="5"/>
      <c r="HE390" s="5"/>
      <c r="HF390" s="5"/>
      <c r="HG390" s="5"/>
      <c r="HH390" s="5"/>
      <c r="HI390" s="5"/>
      <c r="HJ390" s="5"/>
      <c r="HK390" s="5"/>
      <c r="HL390" s="5"/>
      <c r="HM390" s="5"/>
      <c r="HN390" s="5"/>
      <c r="HO390" s="5"/>
      <c r="HP390" s="5"/>
    </row>
    <row r="391" spans="3:224" ht="20.100000000000001" customHeight="1">
      <c r="C391" s="24">
        <v>15210202</v>
      </c>
      <c r="D391" s="25" t="s">
        <v>655</v>
      </c>
      <c r="E391" s="25">
        <v>11200001</v>
      </c>
      <c r="F391" s="25">
        <v>0</v>
      </c>
      <c r="G391" s="25">
        <v>1</v>
      </c>
      <c r="H391" s="25">
        <v>30</v>
      </c>
      <c r="I391" s="29">
        <v>0.2</v>
      </c>
      <c r="J391" s="30">
        <v>10</v>
      </c>
      <c r="K391" s="25">
        <v>0</v>
      </c>
      <c r="L391" s="25">
        <v>0</v>
      </c>
      <c r="M391" s="25">
        <f t="shared" si="62"/>
        <v>158</v>
      </c>
      <c r="N391" s="25">
        <v>315</v>
      </c>
      <c r="O391" s="25">
        <v>0</v>
      </c>
      <c r="P391" s="25">
        <v>0</v>
      </c>
      <c r="Q391" s="25">
        <f t="shared" si="63"/>
        <v>0</v>
      </c>
      <c r="R391" s="25">
        <v>0</v>
      </c>
      <c r="S391" s="25">
        <f t="shared" si="64"/>
        <v>0</v>
      </c>
      <c r="T391" s="25">
        <v>0</v>
      </c>
      <c r="U391" s="29">
        <v>0</v>
      </c>
      <c r="V391" s="25">
        <v>0</v>
      </c>
      <c r="W391" s="25">
        <v>0</v>
      </c>
      <c r="X391" s="25">
        <v>0</v>
      </c>
      <c r="Y391" s="29">
        <v>0</v>
      </c>
      <c r="Z391" s="29">
        <v>0</v>
      </c>
      <c r="AA391" s="29">
        <v>0</v>
      </c>
      <c r="AB391" s="29">
        <v>0</v>
      </c>
      <c r="AC391" s="29">
        <v>0</v>
      </c>
      <c r="AD391" s="29">
        <v>0</v>
      </c>
      <c r="AE391" s="29"/>
      <c r="GR391" s="5"/>
      <c r="GS391" s="5"/>
      <c r="GT391" s="5"/>
      <c r="GU391" s="5"/>
      <c r="GV391" s="5"/>
      <c r="GW391" s="5"/>
      <c r="GX391" s="5"/>
      <c r="GY391" s="5"/>
      <c r="GZ391" s="5"/>
      <c r="HA391" s="5"/>
      <c r="HB391" s="5"/>
      <c r="HC391" s="5"/>
      <c r="HD391" s="5"/>
      <c r="HE391" s="5"/>
      <c r="HF391" s="5"/>
      <c r="HG391" s="5"/>
      <c r="HH391" s="5"/>
      <c r="HI391" s="5"/>
      <c r="HJ391" s="5"/>
      <c r="HK391" s="5"/>
      <c r="HL391" s="5"/>
      <c r="HM391" s="5"/>
      <c r="HN391" s="5"/>
      <c r="HO391" s="5"/>
      <c r="HP391" s="5"/>
    </row>
    <row r="392" spans="3:224" ht="20.100000000000001" customHeight="1">
      <c r="C392" s="24">
        <v>15210211</v>
      </c>
      <c r="D392" s="36" t="s">
        <v>656</v>
      </c>
      <c r="E392" s="25">
        <v>11200001</v>
      </c>
      <c r="F392" s="25">
        <v>12051</v>
      </c>
      <c r="G392" s="25">
        <v>1</v>
      </c>
      <c r="H392" s="25">
        <v>30</v>
      </c>
      <c r="I392" s="29">
        <v>0.2</v>
      </c>
      <c r="J392" s="30">
        <v>10</v>
      </c>
      <c r="K392" s="25">
        <v>0</v>
      </c>
      <c r="L392" s="25">
        <v>0</v>
      </c>
      <c r="M392" s="25">
        <f t="shared" si="62"/>
        <v>200</v>
      </c>
      <c r="N392" s="25">
        <v>400</v>
      </c>
      <c r="O392" s="25">
        <v>0</v>
      </c>
      <c r="P392" s="25">
        <v>0</v>
      </c>
      <c r="Q392" s="25">
        <f t="shared" si="63"/>
        <v>0</v>
      </c>
      <c r="R392" s="25">
        <v>0</v>
      </c>
      <c r="S392" s="25">
        <f t="shared" si="64"/>
        <v>0</v>
      </c>
      <c r="T392" s="25">
        <v>0</v>
      </c>
      <c r="U392" s="29">
        <v>0</v>
      </c>
      <c r="V392" s="25">
        <v>0</v>
      </c>
      <c r="W392" s="25">
        <v>0</v>
      </c>
      <c r="X392" s="25">
        <v>0</v>
      </c>
      <c r="Y392" s="29">
        <v>0</v>
      </c>
      <c r="Z392" s="29">
        <v>0</v>
      </c>
      <c r="AA392" s="29">
        <v>0</v>
      </c>
      <c r="AB392" s="29">
        <v>0</v>
      </c>
      <c r="AC392" s="29">
        <v>0</v>
      </c>
      <c r="AD392" s="29">
        <v>1</v>
      </c>
      <c r="AE392" s="29"/>
      <c r="GR392" s="5"/>
      <c r="GS392" s="5"/>
      <c r="GT392" s="5"/>
      <c r="GU392" s="5"/>
      <c r="GV392" s="5"/>
      <c r="GW392" s="5"/>
      <c r="GX392" s="5"/>
      <c r="GY392" s="5"/>
      <c r="GZ392" s="5"/>
      <c r="HA392" s="5"/>
      <c r="HB392" s="5"/>
      <c r="HC392" s="5"/>
      <c r="HD392" s="5"/>
      <c r="HE392" s="5"/>
      <c r="HF392" s="5"/>
      <c r="HG392" s="5"/>
      <c r="HH392" s="5"/>
      <c r="HI392" s="5"/>
      <c r="HJ392" s="5"/>
      <c r="HK392" s="5"/>
      <c r="HL392" s="5"/>
      <c r="HM392" s="5"/>
      <c r="HN392" s="5"/>
      <c r="HO392" s="5"/>
      <c r="HP392" s="5"/>
    </row>
    <row r="393" spans="3:224" s="4" customFormat="1" ht="20.100000000000001" customHeight="1">
      <c r="C393" s="34">
        <v>15211001</v>
      </c>
      <c r="D393" s="35" t="s">
        <v>409</v>
      </c>
      <c r="E393" s="35">
        <v>11200003</v>
      </c>
      <c r="F393" s="35">
        <v>0</v>
      </c>
      <c r="G393" s="35">
        <v>1</v>
      </c>
      <c r="H393" s="35">
        <v>30</v>
      </c>
      <c r="I393" s="37">
        <v>0.2</v>
      </c>
      <c r="J393" s="30">
        <v>10</v>
      </c>
      <c r="K393" s="25">
        <v>0</v>
      </c>
      <c r="L393" s="35">
        <v>1940</v>
      </c>
      <c r="M393" s="35">
        <f t="shared" si="50"/>
        <v>0</v>
      </c>
      <c r="N393" s="35">
        <v>0</v>
      </c>
      <c r="O393" s="35">
        <v>0</v>
      </c>
      <c r="P393" s="35">
        <v>0</v>
      </c>
      <c r="Q393" s="35">
        <f t="shared" si="51"/>
        <v>23</v>
      </c>
      <c r="R393" s="35">
        <v>45</v>
      </c>
      <c r="S393" s="35">
        <f t="shared" si="52"/>
        <v>23</v>
      </c>
      <c r="T393" s="35">
        <v>45</v>
      </c>
      <c r="U393" s="37">
        <v>0</v>
      </c>
      <c r="V393" s="35">
        <v>0</v>
      </c>
      <c r="W393" s="35">
        <v>0</v>
      </c>
      <c r="X393" s="35">
        <v>0</v>
      </c>
      <c r="Y393" s="37">
        <v>0</v>
      </c>
      <c r="Z393" s="37">
        <v>0</v>
      </c>
      <c r="AA393" s="37">
        <v>0</v>
      </c>
      <c r="AB393" s="37">
        <v>0</v>
      </c>
      <c r="AC393" s="37">
        <v>0</v>
      </c>
      <c r="AD393" s="37">
        <v>0</v>
      </c>
      <c r="AE393" s="44"/>
      <c r="AF393" s="39"/>
      <c r="AG393" s="39"/>
      <c r="AH393" s="39"/>
      <c r="AI393" s="39"/>
      <c r="AJ393" s="39"/>
      <c r="AK393" s="39"/>
      <c r="AL393" s="39"/>
      <c r="AM393" s="39"/>
      <c r="AN393" s="39"/>
      <c r="AO393" s="39"/>
      <c r="AP393" s="39"/>
      <c r="AQ393" s="39"/>
      <c r="AR393" s="39"/>
      <c r="AS393" s="39"/>
      <c r="AT393" s="39"/>
      <c r="AU393" s="39"/>
      <c r="AV393" s="39"/>
      <c r="AW393" s="39"/>
      <c r="AX393" s="39"/>
      <c r="AY393" s="39"/>
      <c r="AZ393" s="39"/>
      <c r="BA393" s="39"/>
      <c r="BB393" s="39"/>
      <c r="BC393" s="39"/>
      <c r="BD393" s="39"/>
      <c r="BE393" s="39"/>
      <c r="BF393" s="39"/>
      <c r="BG393" s="39"/>
      <c r="BH393" s="39"/>
      <c r="BI393" s="39"/>
      <c r="BJ393" s="39"/>
      <c r="BK393" s="39"/>
      <c r="BL393" s="39"/>
      <c r="BM393" s="39"/>
      <c r="BN393" s="39"/>
      <c r="BO393" s="39"/>
      <c r="BP393" s="39"/>
      <c r="BQ393" s="39"/>
      <c r="BR393" s="39"/>
      <c r="BS393" s="39"/>
      <c r="BT393" s="39"/>
      <c r="BU393" s="39"/>
      <c r="BV393" s="39"/>
      <c r="BW393" s="39"/>
      <c r="BX393" s="39"/>
      <c r="BY393" s="39"/>
      <c r="BZ393" s="39"/>
      <c r="CA393" s="39"/>
      <c r="CB393" s="39"/>
      <c r="CC393" s="39"/>
      <c r="CD393" s="39"/>
      <c r="CE393" s="39"/>
      <c r="CF393" s="39"/>
      <c r="CG393" s="39"/>
      <c r="CH393" s="39"/>
      <c r="CI393" s="39"/>
      <c r="CJ393" s="39"/>
      <c r="CK393" s="39"/>
      <c r="CL393" s="39"/>
      <c r="CM393" s="39"/>
      <c r="CN393" s="39"/>
      <c r="CO393" s="39"/>
      <c r="CP393" s="39"/>
      <c r="CQ393" s="39"/>
      <c r="CR393" s="39"/>
      <c r="CS393" s="39"/>
      <c r="CT393" s="39"/>
      <c r="CU393" s="39"/>
      <c r="CV393" s="39"/>
      <c r="CW393" s="39"/>
      <c r="CX393" s="39"/>
      <c r="CY393" s="39"/>
      <c r="CZ393" s="39"/>
      <c r="DA393" s="39"/>
      <c r="DB393" s="39"/>
      <c r="DC393" s="39"/>
      <c r="DD393" s="39"/>
      <c r="DE393" s="39"/>
      <c r="DF393" s="39"/>
      <c r="DG393" s="39"/>
      <c r="DH393" s="39"/>
      <c r="DI393" s="39"/>
      <c r="DJ393" s="39"/>
      <c r="DK393" s="39"/>
      <c r="DL393" s="39"/>
      <c r="DM393" s="39"/>
      <c r="DN393" s="39"/>
      <c r="DO393" s="39"/>
      <c r="DP393" s="39"/>
      <c r="DQ393" s="39"/>
      <c r="DR393" s="39"/>
      <c r="DS393" s="39"/>
      <c r="DT393" s="39"/>
      <c r="DU393" s="39"/>
      <c r="DV393" s="39"/>
      <c r="DW393" s="39"/>
      <c r="DX393" s="39"/>
      <c r="DY393" s="39"/>
      <c r="DZ393" s="39"/>
      <c r="EA393" s="39"/>
      <c r="EB393" s="39"/>
      <c r="EC393" s="39"/>
      <c r="ED393" s="39"/>
      <c r="EE393" s="39"/>
      <c r="EF393" s="39"/>
      <c r="EG393" s="39"/>
      <c r="EH393" s="39"/>
      <c r="EI393" s="39"/>
      <c r="EJ393" s="39"/>
      <c r="EK393" s="39"/>
      <c r="EL393" s="39"/>
      <c r="EM393" s="39"/>
      <c r="EN393" s="39"/>
      <c r="EO393" s="39"/>
      <c r="EP393" s="39"/>
      <c r="EQ393" s="39"/>
      <c r="ER393" s="39"/>
      <c r="ES393" s="39"/>
      <c r="ET393" s="39"/>
      <c r="EU393" s="39"/>
      <c r="EV393" s="39"/>
      <c r="EW393" s="39"/>
      <c r="EX393" s="39"/>
      <c r="EY393" s="39"/>
      <c r="EZ393" s="39"/>
      <c r="FA393" s="39"/>
      <c r="FB393" s="39"/>
      <c r="FC393" s="39"/>
      <c r="FD393" s="39"/>
      <c r="FE393" s="39"/>
      <c r="FF393" s="39"/>
      <c r="FG393" s="39"/>
      <c r="FH393" s="39"/>
      <c r="FI393" s="39"/>
      <c r="FJ393" s="39"/>
      <c r="FK393" s="39"/>
      <c r="FL393" s="39"/>
      <c r="FM393" s="39"/>
      <c r="FN393" s="39"/>
      <c r="FO393" s="39"/>
      <c r="FP393" s="39"/>
      <c r="FQ393" s="39"/>
      <c r="FR393" s="39"/>
      <c r="FS393" s="39"/>
      <c r="FT393" s="39"/>
      <c r="FU393" s="39"/>
      <c r="FV393" s="39"/>
      <c r="FW393" s="39"/>
      <c r="FX393" s="39"/>
      <c r="FY393" s="39"/>
      <c r="FZ393" s="39"/>
      <c r="GA393" s="39"/>
      <c r="GB393" s="39"/>
      <c r="GC393" s="39"/>
      <c r="GD393" s="39"/>
      <c r="GE393" s="39"/>
      <c r="GF393" s="39"/>
      <c r="GG393" s="39"/>
      <c r="GH393" s="39"/>
      <c r="GI393" s="39"/>
      <c r="GJ393" s="39"/>
      <c r="GK393" s="39"/>
      <c r="GL393" s="39"/>
      <c r="GM393" s="39"/>
      <c r="GN393" s="39"/>
      <c r="GO393" s="39"/>
      <c r="GP393" s="39"/>
      <c r="GQ393" s="39"/>
      <c r="GR393" s="39"/>
      <c r="GS393" s="39"/>
      <c r="GT393" s="39"/>
      <c r="GU393" s="39"/>
      <c r="GV393" s="39"/>
      <c r="GW393" s="39"/>
      <c r="GX393" s="39"/>
      <c r="GY393" s="39"/>
      <c r="GZ393" s="39"/>
      <c r="HA393" s="39"/>
      <c r="HB393" s="39"/>
      <c r="HC393" s="39"/>
      <c r="HD393" s="39"/>
      <c r="HE393" s="39"/>
      <c r="HF393" s="39"/>
      <c r="HG393" s="39"/>
      <c r="HH393" s="39"/>
      <c r="HI393" s="39"/>
      <c r="HJ393" s="39"/>
      <c r="HK393" s="39"/>
      <c r="HL393" s="39"/>
      <c r="HM393" s="39"/>
      <c r="HN393" s="39"/>
      <c r="HO393" s="39"/>
      <c r="HP393" s="39"/>
    </row>
    <row r="394" spans="3:224" s="4" customFormat="1" ht="20.100000000000001" customHeight="1">
      <c r="C394" s="34">
        <v>15211002</v>
      </c>
      <c r="D394" s="35" t="s">
        <v>410</v>
      </c>
      <c r="E394" s="35">
        <v>11200003</v>
      </c>
      <c r="F394" s="35">
        <v>12011</v>
      </c>
      <c r="G394" s="35">
        <v>1</v>
      </c>
      <c r="H394" s="35">
        <v>30</v>
      </c>
      <c r="I394" s="37">
        <v>0.2</v>
      </c>
      <c r="J394" s="30">
        <v>10</v>
      </c>
      <c r="K394" s="25">
        <v>0</v>
      </c>
      <c r="L394" s="35">
        <v>2340</v>
      </c>
      <c r="M394" s="35">
        <f t="shared" si="50"/>
        <v>0</v>
      </c>
      <c r="N394" s="35">
        <v>0</v>
      </c>
      <c r="O394" s="35">
        <v>0</v>
      </c>
      <c r="P394" s="35">
        <v>0</v>
      </c>
      <c r="Q394" s="35">
        <f t="shared" si="51"/>
        <v>28</v>
      </c>
      <c r="R394" s="35">
        <v>56</v>
      </c>
      <c r="S394" s="35">
        <f t="shared" si="52"/>
        <v>28</v>
      </c>
      <c r="T394" s="35">
        <v>56</v>
      </c>
      <c r="U394" s="37">
        <v>0</v>
      </c>
      <c r="V394" s="35">
        <v>0</v>
      </c>
      <c r="W394" s="35">
        <v>0</v>
      </c>
      <c r="X394" s="35">
        <v>0</v>
      </c>
      <c r="Y394" s="37">
        <v>0</v>
      </c>
      <c r="Z394" s="37">
        <v>0</v>
      </c>
      <c r="AA394" s="37">
        <v>0</v>
      </c>
      <c r="AB394" s="37">
        <v>0</v>
      </c>
      <c r="AC394" s="37">
        <v>0</v>
      </c>
      <c r="AD394" s="37">
        <v>0</v>
      </c>
      <c r="AE394" s="44"/>
      <c r="AF394" s="39"/>
      <c r="AG394" s="39"/>
      <c r="AH394" s="39"/>
      <c r="AI394" s="39"/>
      <c r="AJ394" s="39"/>
      <c r="AK394" s="39"/>
      <c r="AL394" s="39"/>
      <c r="AM394" s="39"/>
      <c r="AN394" s="39"/>
      <c r="AO394" s="39"/>
      <c r="AP394" s="39"/>
      <c r="AQ394" s="39"/>
      <c r="AR394" s="39"/>
      <c r="AS394" s="39"/>
      <c r="AT394" s="39"/>
      <c r="AU394" s="39"/>
      <c r="AV394" s="39"/>
      <c r="AW394" s="39"/>
      <c r="AX394" s="39"/>
      <c r="AY394" s="39"/>
      <c r="AZ394" s="39"/>
      <c r="BA394" s="39"/>
      <c r="BB394" s="39"/>
      <c r="BC394" s="39"/>
      <c r="BD394" s="39"/>
      <c r="BE394" s="39"/>
      <c r="BF394" s="39"/>
      <c r="BG394" s="39"/>
      <c r="BH394" s="39"/>
      <c r="BI394" s="39"/>
      <c r="BJ394" s="39"/>
      <c r="BK394" s="39"/>
      <c r="BL394" s="39"/>
      <c r="BM394" s="39"/>
      <c r="BN394" s="39"/>
      <c r="BO394" s="39"/>
      <c r="BP394" s="39"/>
      <c r="BQ394" s="39"/>
      <c r="BR394" s="39"/>
      <c r="BS394" s="39"/>
      <c r="BT394" s="39"/>
      <c r="BU394" s="39"/>
      <c r="BV394" s="39"/>
      <c r="BW394" s="39"/>
      <c r="BX394" s="39"/>
      <c r="BY394" s="39"/>
      <c r="BZ394" s="39"/>
      <c r="CA394" s="39"/>
      <c r="CB394" s="39"/>
      <c r="CC394" s="39"/>
      <c r="CD394" s="39"/>
      <c r="CE394" s="39"/>
      <c r="CF394" s="39"/>
      <c r="CG394" s="39"/>
      <c r="CH394" s="39"/>
      <c r="CI394" s="39"/>
      <c r="CJ394" s="39"/>
      <c r="CK394" s="39"/>
      <c r="CL394" s="39"/>
      <c r="CM394" s="39"/>
      <c r="CN394" s="39"/>
      <c r="CO394" s="39"/>
      <c r="CP394" s="39"/>
      <c r="CQ394" s="39"/>
      <c r="CR394" s="39"/>
      <c r="CS394" s="39"/>
      <c r="CT394" s="39"/>
      <c r="CU394" s="39"/>
      <c r="CV394" s="39"/>
      <c r="CW394" s="39"/>
      <c r="CX394" s="39"/>
      <c r="CY394" s="39"/>
      <c r="CZ394" s="39"/>
      <c r="DA394" s="39"/>
      <c r="DB394" s="39"/>
      <c r="DC394" s="39"/>
      <c r="DD394" s="39"/>
      <c r="DE394" s="39"/>
      <c r="DF394" s="39"/>
      <c r="DG394" s="39"/>
      <c r="DH394" s="39"/>
      <c r="DI394" s="39"/>
      <c r="DJ394" s="39"/>
      <c r="DK394" s="39"/>
      <c r="DL394" s="39"/>
      <c r="DM394" s="39"/>
      <c r="DN394" s="39"/>
      <c r="DO394" s="39"/>
      <c r="DP394" s="39"/>
      <c r="DQ394" s="39"/>
      <c r="DR394" s="39"/>
      <c r="DS394" s="39"/>
      <c r="DT394" s="39"/>
      <c r="DU394" s="39"/>
      <c r="DV394" s="39"/>
      <c r="DW394" s="39"/>
      <c r="DX394" s="39"/>
      <c r="DY394" s="39"/>
      <c r="DZ394" s="39"/>
      <c r="EA394" s="39"/>
      <c r="EB394" s="39"/>
      <c r="EC394" s="39"/>
      <c r="ED394" s="39"/>
      <c r="EE394" s="39"/>
      <c r="EF394" s="39"/>
      <c r="EG394" s="39"/>
      <c r="EH394" s="39"/>
      <c r="EI394" s="39"/>
      <c r="EJ394" s="39"/>
      <c r="EK394" s="39"/>
      <c r="EL394" s="39"/>
      <c r="EM394" s="39"/>
      <c r="EN394" s="39"/>
      <c r="EO394" s="39"/>
      <c r="EP394" s="39"/>
      <c r="EQ394" s="39"/>
      <c r="ER394" s="39"/>
      <c r="ES394" s="39"/>
      <c r="ET394" s="39"/>
      <c r="EU394" s="39"/>
      <c r="EV394" s="39"/>
      <c r="EW394" s="39"/>
      <c r="EX394" s="39"/>
      <c r="EY394" s="39"/>
      <c r="EZ394" s="39"/>
      <c r="FA394" s="39"/>
      <c r="FB394" s="39"/>
      <c r="FC394" s="39"/>
      <c r="FD394" s="39"/>
      <c r="FE394" s="39"/>
      <c r="FF394" s="39"/>
      <c r="FG394" s="39"/>
      <c r="FH394" s="39"/>
      <c r="FI394" s="39"/>
      <c r="FJ394" s="39"/>
      <c r="FK394" s="39"/>
      <c r="FL394" s="39"/>
      <c r="FM394" s="39"/>
      <c r="FN394" s="39"/>
      <c r="FO394" s="39"/>
      <c r="FP394" s="39"/>
      <c r="FQ394" s="39"/>
      <c r="FR394" s="39"/>
      <c r="FS394" s="39"/>
      <c r="FT394" s="39"/>
      <c r="FU394" s="39"/>
      <c r="FV394" s="39"/>
      <c r="FW394" s="39"/>
      <c r="FX394" s="39"/>
      <c r="FY394" s="39"/>
      <c r="FZ394" s="39"/>
      <c r="GA394" s="39"/>
      <c r="GB394" s="39"/>
      <c r="GC394" s="39"/>
      <c r="GD394" s="39"/>
      <c r="GE394" s="39"/>
      <c r="GF394" s="39"/>
      <c r="GG394" s="39"/>
      <c r="GH394" s="39"/>
      <c r="GI394" s="39"/>
      <c r="GJ394" s="39"/>
      <c r="GK394" s="39"/>
      <c r="GL394" s="39"/>
      <c r="GM394" s="39"/>
      <c r="GN394" s="39"/>
      <c r="GO394" s="39"/>
      <c r="GP394" s="39"/>
      <c r="GQ394" s="39"/>
      <c r="GR394" s="39"/>
      <c r="GS394" s="39"/>
      <c r="GT394" s="39"/>
      <c r="GU394" s="39"/>
      <c r="GV394" s="39"/>
      <c r="GW394" s="39"/>
      <c r="GX394" s="39"/>
      <c r="GY394" s="39"/>
      <c r="GZ394" s="39"/>
      <c r="HA394" s="39"/>
      <c r="HB394" s="39"/>
      <c r="HC394" s="39"/>
      <c r="HD394" s="39"/>
      <c r="HE394" s="39"/>
      <c r="HF394" s="39"/>
      <c r="HG394" s="39"/>
      <c r="HH394" s="39"/>
      <c r="HI394" s="39"/>
      <c r="HJ394" s="39"/>
      <c r="HK394" s="39"/>
      <c r="HL394" s="39"/>
      <c r="HM394" s="39"/>
      <c r="HN394" s="39"/>
      <c r="HO394" s="39"/>
      <c r="HP394" s="39"/>
    </row>
    <row r="395" spans="3:224" s="4" customFormat="1" ht="20.100000000000001" customHeight="1">
      <c r="C395" s="34">
        <v>15211003</v>
      </c>
      <c r="D395" s="35" t="s">
        <v>411</v>
      </c>
      <c r="E395" s="35">
        <v>11200003</v>
      </c>
      <c r="F395" s="35">
        <v>0</v>
      </c>
      <c r="G395" s="35">
        <v>1</v>
      </c>
      <c r="H395" s="35">
        <v>30</v>
      </c>
      <c r="I395" s="37">
        <v>0.2</v>
      </c>
      <c r="J395" s="30">
        <v>10</v>
      </c>
      <c r="K395" s="25">
        <v>0</v>
      </c>
      <c r="L395" s="35">
        <v>970</v>
      </c>
      <c r="M395" s="35">
        <f t="shared" si="50"/>
        <v>0</v>
      </c>
      <c r="N395" s="35">
        <v>0</v>
      </c>
      <c r="O395" s="35">
        <v>0</v>
      </c>
      <c r="P395" s="35">
        <v>0</v>
      </c>
      <c r="Q395" s="35">
        <f t="shared" si="51"/>
        <v>17</v>
      </c>
      <c r="R395" s="35">
        <v>34</v>
      </c>
      <c r="S395" s="35">
        <f t="shared" si="52"/>
        <v>17</v>
      </c>
      <c r="T395" s="35">
        <v>34</v>
      </c>
      <c r="U395" s="37">
        <v>0</v>
      </c>
      <c r="V395" s="35">
        <v>0</v>
      </c>
      <c r="W395" s="35">
        <v>0</v>
      </c>
      <c r="X395" s="35">
        <v>0</v>
      </c>
      <c r="Y395" s="37">
        <v>0</v>
      </c>
      <c r="Z395" s="37">
        <v>0</v>
      </c>
      <c r="AA395" s="37">
        <v>0</v>
      </c>
      <c r="AB395" s="37">
        <v>0</v>
      </c>
      <c r="AC395" s="37">
        <v>0</v>
      </c>
      <c r="AD395" s="37">
        <v>0</v>
      </c>
      <c r="AE395" s="44"/>
      <c r="AF395" s="39"/>
      <c r="AG395" s="39"/>
      <c r="AH395" s="39"/>
      <c r="AI395" s="39"/>
      <c r="AJ395" s="39"/>
      <c r="AK395" s="39"/>
      <c r="AL395" s="39"/>
      <c r="AM395" s="39"/>
      <c r="AN395" s="39"/>
      <c r="AO395" s="39"/>
      <c r="AP395" s="39"/>
      <c r="AQ395" s="39"/>
      <c r="AR395" s="39"/>
      <c r="AS395" s="39"/>
      <c r="AT395" s="39"/>
      <c r="AU395" s="39"/>
      <c r="AV395" s="39"/>
      <c r="AW395" s="39"/>
      <c r="AX395" s="39"/>
      <c r="AY395" s="39"/>
      <c r="AZ395" s="39"/>
      <c r="BA395" s="39"/>
      <c r="BB395" s="39"/>
      <c r="BC395" s="39"/>
      <c r="BD395" s="39"/>
      <c r="BE395" s="39"/>
      <c r="BF395" s="39"/>
      <c r="BG395" s="39"/>
      <c r="BH395" s="39"/>
      <c r="BI395" s="39"/>
      <c r="BJ395" s="39"/>
      <c r="BK395" s="39"/>
      <c r="BL395" s="39"/>
      <c r="BM395" s="39"/>
      <c r="BN395" s="39"/>
      <c r="BO395" s="39"/>
      <c r="BP395" s="39"/>
      <c r="BQ395" s="39"/>
      <c r="BR395" s="39"/>
      <c r="BS395" s="39"/>
      <c r="BT395" s="39"/>
      <c r="BU395" s="39"/>
      <c r="BV395" s="39"/>
      <c r="BW395" s="39"/>
      <c r="BX395" s="39"/>
      <c r="BY395" s="39"/>
      <c r="BZ395" s="39"/>
      <c r="CA395" s="39"/>
      <c r="CB395" s="39"/>
      <c r="CC395" s="39"/>
      <c r="CD395" s="39"/>
      <c r="CE395" s="39"/>
      <c r="CF395" s="39"/>
      <c r="CG395" s="39"/>
      <c r="CH395" s="39"/>
      <c r="CI395" s="39"/>
      <c r="CJ395" s="39"/>
      <c r="CK395" s="39"/>
      <c r="CL395" s="39"/>
      <c r="CM395" s="39"/>
      <c r="CN395" s="39"/>
      <c r="CO395" s="39"/>
      <c r="CP395" s="39"/>
      <c r="CQ395" s="39"/>
      <c r="CR395" s="39"/>
      <c r="CS395" s="39"/>
      <c r="CT395" s="39"/>
      <c r="CU395" s="39"/>
      <c r="CV395" s="39"/>
      <c r="CW395" s="39"/>
      <c r="CX395" s="39"/>
      <c r="CY395" s="39"/>
      <c r="CZ395" s="39"/>
      <c r="DA395" s="39"/>
      <c r="DB395" s="39"/>
      <c r="DC395" s="39"/>
      <c r="DD395" s="39"/>
      <c r="DE395" s="39"/>
      <c r="DF395" s="39"/>
      <c r="DG395" s="39"/>
      <c r="DH395" s="39"/>
      <c r="DI395" s="39"/>
      <c r="DJ395" s="39"/>
      <c r="DK395" s="39"/>
      <c r="DL395" s="39"/>
      <c r="DM395" s="39"/>
      <c r="DN395" s="39"/>
      <c r="DO395" s="39"/>
      <c r="DP395" s="39"/>
      <c r="DQ395" s="39"/>
      <c r="DR395" s="39"/>
      <c r="DS395" s="39"/>
      <c r="DT395" s="39"/>
      <c r="DU395" s="39"/>
      <c r="DV395" s="39"/>
      <c r="DW395" s="39"/>
      <c r="DX395" s="39"/>
      <c r="DY395" s="39"/>
      <c r="DZ395" s="39"/>
      <c r="EA395" s="39"/>
      <c r="EB395" s="39"/>
      <c r="EC395" s="39"/>
      <c r="ED395" s="39"/>
      <c r="EE395" s="39"/>
      <c r="EF395" s="39"/>
      <c r="EG395" s="39"/>
      <c r="EH395" s="39"/>
      <c r="EI395" s="39"/>
      <c r="EJ395" s="39"/>
      <c r="EK395" s="39"/>
      <c r="EL395" s="39"/>
      <c r="EM395" s="39"/>
      <c r="EN395" s="39"/>
      <c r="EO395" s="39"/>
      <c r="EP395" s="39"/>
      <c r="EQ395" s="39"/>
      <c r="ER395" s="39"/>
      <c r="ES395" s="39"/>
      <c r="ET395" s="39"/>
      <c r="EU395" s="39"/>
      <c r="EV395" s="39"/>
      <c r="EW395" s="39"/>
      <c r="EX395" s="39"/>
      <c r="EY395" s="39"/>
      <c r="EZ395" s="39"/>
      <c r="FA395" s="39"/>
      <c r="FB395" s="39"/>
      <c r="FC395" s="39"/>
      <c r="FD395" s="39"/>
      <c r="FE395" s="39"/>
      <c r="FF395" s="39"/>
      <c r="FG395" s="39"/>
      <c r="FH395" s="39"/>
      <c r="FI395" s="39"/>
      <c r="FJ395" s="39"/>
      <c r="FK395" s="39"/>
      <c r="FL395" s="39"/>
      <c r="FM395" s="39"/>
      <c r="FN395" s="39"/>
      <c r="FO395" s="39"/>
      <c r="FP395" s="39"/>
      <c r="FQ395" s="39"/>
      <c r="FR395" s="39"/>
      <c r="FS395" s="39"/>
      <c r="FT395" s="39"/>
      <c r="FU395" s="39"/>
      <c r="FV395" s="39"/>
      <c r="FW395" s="39"/>
      <c r="FX395" s="39"/>
      <c r="FY395" s="39"/>
      <c r="FZ395" s="39"/>
      <c r="GA395" s="39"/>
      <c r="GB395" s="39"/>
      <c r="GC395" s="39"/>
      <c r="GD395" s="39"/>
      <c r="GE395" s="39"/>
      <c r="GF395" s="39"/>
      <c r="GG395" s="39"/>
      <c r="GH395" s="39"/>
      <c r="GI395" s="39"/>
      <c r="GJ395" s="39"/>
      <c r="GK395" s="39"/>
      <c r="GL395" s="39"/>
      <c r="GM395" s="39"/>
      <c r="GN395" s="39"/>
      <c r="GO395" s="39"/>
      <c r="GP395" s="39"/>
      <c r="GQ395" s="39"/>
      <c r="GR395" s="39"/>
      <c r="GS395" s="39"/>
      <c r="GT395" s="39"/>
      <c r="GU395" s="39"/>
      <c r="GV395" s="39"/>
      <c r="GW395" s="39"/>
      <c r="GX395" s="39"/>
      <c r="GY395" s="39"/>
      <c r="GZ395" s="39"/>
      <c r="HA395" s="39"/>
      <c r="HB395" s="39"/>
      <c r="HC395" s="39"/>
      <c r="HD395" s="39"/>
      <c r="HE395" s="39"/>
      <c r="HF395" s="39"/>
      <c r="HG395" s="39"/>
      <c r="HH395" s="39"/>
      <c r="HI395" s="39"/>
      <c r="HJ395" s="39"/>
      <c r="HK395" s="39"/>
      <c r="HL395" s="39"/>
      <c r="HM395" s="39"/>
      <c r="HN395" s="39"/>
      <c r="HO395" s="39"/>
      <c r="HP395" s="39"/>
    </row>
    <row r="396" spans="3:224" s="4" customFormat="1" ht="20.100000000000001" customHeight="1">
      <c r="C396" s="34">
        <v>15211004</v>
      </c>
      <c r="D396" s="35" t="s">
        <v>412</v>
      </c>
      <c r="E396" s="35">
        <v>11200003</v>
      </c>
      <c r="F396" s="35">
        <v>12021</v>
      </c>
      <c r="G396" s="35">
        <v>1</v>
      </c>
      <c r="H396" s="35">
        <v>30</v>
      </c>
      <c r="I396" s="37">
        <v>0.2</v>
      </c>
      <c r="J396" s="30">
        <v>10</v>
      </c>
      <c r="K396" s="25">
        <v>0</v>
      </c>
      <c r="L396" s="35">
        <v>1180</v>
      </c>
      <c r="M396" s="35">
        <f t="shared" si="50"/>
        <v>0</v>
      </c>
      <c r="N396" s="35">
        <v>0</v>
      </c>
      <c r="O396" s="35">
        <v>0</v>
      </c>
      <c r="P396" s="35">
        <v>0</v>
      </c>
      <c r="Q396" s="35">
        <f t="shared" si="51"/>
        <v>21</v>
      </c>
      <c r="R396" s="35">
        <v>42</v>
      </c>
      <c r="S396" s="35">
        <f t="shared" si="52"/>
        <v>21</v>
      </c>
      <c r="T396" s="35">
        <v>42</v>
      </c>
      <c r="U396" s="37">
        <v>0</v>
      </c>
      <c r="V396" s="35">
        <v>0</v>
      </c>
      <c r="W396" s="35">
        <v>0</v>
      </c>
      <c r="X396" s="35">
        <v>0</v>
      </c>
      <c r="Y396" s="37">
        <v>0</v>
      </c>
      <c r="Z396" s="37">
        <v>0</v>
      </c>
      <c r="AA396" s="37">
        <v>0</v>
      </c>
      <c r="AB396" s="37">
        <v>0</v>
      </c>
      <c r="AC396" s="37">
        <v>0</v>
      </c>
      <c r="AD396" s="37">
        <v>0</v>
      </c>
      <c r="AE396" s="44"/>
      <c r="AF396" s="39"/>
      <c r="AG396" s="39"/>
      <c r="AH396" s="39"/>
      <c r="AI396" s="39"/>
      <c r="AJ396" s="39"/>
      <c r="AK396" s="39"/>
      <c r="AL396" s="39"/>
      <c r="AM396" s="39"/>
      <c r="AN396" s="39"/>
      <c r="AO396" s="39"/>
      <c r="AP396" s="39"/>
      <c r="AQ396" s="39"/>
      <c r="AR396" s="39"/>
      <c r="AS396" s="39"/>
      <c r="AT396" s="39"/>
      <c r="AU396" s="39"/>
      <c r="AV396" s="39"/>
      <c r="AW396" s="39"/>
      <c r="AX396" s="39"/>
      <c r="AY396" s="39"/>
      <c r="AZ396" s="39"/>
      <c r="BA396" s="39"/>
      <c r="BB396" s="39"/>
      <c r="BC396" s="39"/>
      <c r="BD396" s="39"/>
      <c r="BE396" s="39"/>
      <c r="BF396" s="39"/>
      <c r="BG396" s="39"/>
      <c r="BH396" s="39"/>
      <c r="BI396" s="39"/>
      <c r="BJ396" s="39"/>
      <c r="BK396" s="39"/>
      <c r="BL396" s="39"/>
      <c r="BM396" s="39"/>
      <c r="BN396" s="39"/>
      <c r="BO396" s="39"/>
      <c r="BP396" s="39"/>
      <c r="BQ396" s="39"/>
      <c r="BR396" s="39"/>
      <c r="BS396" s="39"/>
      <c r="BT396" s="39"/>
      <c r="BU396" s="39"/>
      <c r="BV396" s="39"/>
      <c r="BW396" s="39"/>
      <c r="BX396" s="39"/>
      <c r="BY396" s="39"/>
      <c r="BZ396" s="39"/>
      <c r="CA396" s="39"/>
      <c r="CB396" s="39"/>
      <c r="CC396" s="39"/>
      <c r="CD396" s="39"/>
      <c r="CE396" s="39"/>
      <c r="CF396" s="39"/>
      <c r="CG396" s="39"/>
      <c r="CH396" s="39"/>
      <c r="CI396" s="39"/>
      <c r="CJ396" s="39"/>
      <c r="CK396" s="39"/>
      <c r="CL396" s="39"/>
      <c r="CM396" s="39"/>
      <c r="CN396" s="39"/>
      <c r="CO396" s="39"/>
      <c r="CP396" s="39"/>
      <c r="CQ396" s="39"/>
      <c r="CR396" s="39"/>
      <c r="CS396" s="39"/>
      <c r="CT396" s="39"/>
      <c r="CU396" s="39"/>
      <c r="CV396" s="39"/>
      <c r="CW396" s="39"/>
      <c r="CX396" s="39"/>
      <c r="CY396" s="39"/>
      <c r="CZ396" s="39"/>
      <c r="DA396" s="39"/>
      <c r="DB396" s="39"/>
      <c r="DC396" s="39"/>
      <c r="DD396" s="39"/>
      <c r="DE396" s="39"/>
      <c r="DF396" s="39"/>
      <c r="DG396" s="39"/>
      <c r="DH396" s="39"/>
      <c r="DI396" s="39"/>
      <c r="DJ396" s="39"/>
      <c r="DK396" s="39"/>
      <c r="DL396" s="39"/>
      <c r="DM396" s="39"/>
      <c r="DN396" s="39"/>
      <c r="DO396" s="39"/>
      <c r="DP396" s="39"/>
      <c r="DQ396" s="39"/>
      <c r="DR396" s="39"/>
      <c r="DS396" s="39"/>
      <c r="DT396" s="39"/>
      <c r="DU396" s="39"/>
      <c r="DV396" s="39"/>
      <c r="DW396" s="39"/>
      <c r="DX396" s="39"/>
      <c r="DY396" s="39"/>
      <c r="DZ396" s="39"/>
      <c r="EA396" s="39"/>
      <c r="EB396" s="39"/>
      <c r="EC396" s="39"/>
      <c r="ED396" s="39"/>
      <c r="EE396" s="39"/>
      <c r="EF396" s="39"/>
      <c r="EG396" s="39"/>
      <c r="EH396" s="39"/>
      <c r="EI396" s="39"/>
      <c r="EJ396" s="39"/>
      <c r="EK396" s="39"/>
      <c r="EL396" s="39"/>
      <c r="EM396" s="39"/>
      <c r="EN396" s="39"/>
      <c r="EO396" s="39"/>
      <c r="EP396" s="39"/>
      <c r="EQ396" s="39"/>
      <c r="ER396" s="39"/>
      <c r="ES396" s="39"/>
      <c r="ET396" s="39"/>
      <c r="EU396" s="39"/>
      <c r="EV396" s="39"/>
      <c r="EW396" s="39"/>
      <c r="EX396" s="39"/>
      <c r="EY396" s="39"/>
      <c r="EZ396" s="39"/>
      <c r="FA396" s="39"/>
      <c r="FB396" s="39"/>
      <c r="FC396" s="39"/>
      <c r="FD396" s="39"/>
      <c r="FE396" s="39"/>
      <c r="FF396" s="39"/>
      <c r="FG396" s="39"/>
      <c r="FH396" s="39"/>
      <c r="FI396" s="39"/>
      <c r="FJ396" s="39"/>
      <c r="FK396" s="39"/>
      <c r="FL396" s="39"/>
      <c r="FM396" s="39"/>
      <c r="FN396" s="39"/>
      <c r="FO396" s="39"/>
      <c r="FP396" s="39"/>
      <c r="FQ396" s="39"/>
      <c r="FR396" s="39"/>
      <c r="FS396" s="39"/>
      <c r="FT396" s="39"/>
      <c r="FU396" s="39"/>
      <c r="FV396" s="39"/>
      <c r="FW396" s="39"/>
      <c r="FX396" s="39"/>
      <c r="FY396" s="39"/>
      <c r="FZ396" s="39"/>
      <c r="GA396" s="39"/>
      <c r="GB396" s="39"/>
      <c r="GC396" s="39"/>
      <c r="GD396" s="39"/>
      <c r="GE396" s="39"/>
      <c r="GF396" s="39"/>
      <c r="GG396" s="39"/>
      <c r="GH396" s="39"/>
      <c r="GI396" s="39"/>
      <c r="GJ396" s="39"/>
      <c r="GK396" s="39"/>
      <c r="GL396" s="39"/>
      <c r="GM396" s="39"/>
      <c r="GN396" s="39"/>
      <c r="GO396" s="39"/>
      <c r="GP396" s="39"/>
      <c r="GQ396" s="39"/>
      <c r="GR396" s="39"/>
      <c r="GS396" s="39"/>
      <c r="GT396" s="39"/>
      <c r="GU396" s="39"/>
      <c r="GV396" s="39"/>
      <c r="GW396" s="39"/>
      <c r="GX396" s="39"/>
      <c r="GY396" s="39"/>
      <c r="GZ396" s="39"/>
      <c r="HA396" s="39"/>
      <c r="HB396" s="39"/>
      <c r="HC396" s="39"/>
      <c r="HD396" s="39"/>
      <c r="HE396" s="39"/>
      <c r="HF396" s="39"/>
      <c r="HG396" s="39"/>
      <c r="HH396" s="39"/>
      <c r="HI396" s="39"/>
      <c r="HJ396" s="39"/>
      <c r="HK396" s="39"/>
      <c r="HL396" s="39"/>
      <c r="HM396" s="39"/>
      <c r="HN396" s="39"/>
      <c r="HO396" s="39"/>
      <c r="HP396" s="39"/>
    </row>
    <row r="397" spans="3:224" s="4" customFormat="1" ht="20.100000000000001" customHeight="1">
      <c r="C397" s="34">
        <v>15211005</v>
      </c>
      <c r="D397" s="35" t="s">
        <v>413</v>
      </c>
      <c r="E397" s="35">
        <v>11200003</v>
      </c>
      <c r="F397" s="35">
        <v>0</v>
      </c>
      <c r="G397" s="35">
        <v>1</v>
      </c>
      <c r="H397" s="35">
        <v>30</v>
      </c>
      <c r="I397" s="37">
        <v>0.2</v>
      </c>
      <c r="J397" s="30">
        <v>10</v>
      </c>
      <c r="K397" s="25">
        <v>0</v>
      </c>
      <c r="L397" s="35">
        <v>2920</v>
      </c>
      <c r="M397" s="35">
        <f t="shared" si="50"/>
        <v>0</v>
      </c>
      <c r="N397" s="35">
        <v>0</v>
      </c>
      <c r="O397" s="35">
        <v>0</v>
      </c>
      <c r="P397" s="35">
        <v>0</v>
      </c>
      <c r="Q397" s="35">
        <f t="shared" si="51"/>
        <v>28</v>
      </c>
      <c r="R397" s="35">
        <v>56</v>
      </c>
      <c r="S397" s="35">
        <f t="shared" si="52"/>
        <v>28</v>
      </c>
      <c r="T397" s="35">
        <v>56</v>
      </c>
      <c r="U397" s="37">
        <v>0</v>
      </c>
      <c r="V397" s="35">
        <v>0</v>
      </c>
      <c r="W397" s="35">
        <v>0</v>
      </c>
      <c r="X397" s="35">
        <v>0</v>
      </c>
      <c r="Y397" s="37">
        <v>0</v>
      </c>
      <c r="Z397" s="37">
        <v>0</v>
      </c>
      <c r="AA397" s="37">
        <v>0</v>
      </c>
      <c r="AB397" s="37">
        <v>0</v>
      </c>
      <c r="AC397" s="37">
        <v>0</v>
      </c>
      <c r="AD397" s="37">
        <v>0</v>
      </c>
      <c r="AE397" s="44"/>
      <c r="AF397" s="39"/>
      <c r="AG397" s="39"/>
      <c r="AH397" s="39"/>
      <c r="AI397" s="39"/>
      <c r="AJ397" s="39"/>
      <c r="AK397" s="39"/>
      <c r="AL397" s="39"/>
      <c r="AM397" s="39"/>
      <c r="AN397" s="39"/>
      <c r="AO397" s="39"/>
      <c r="AP397" s="39"/>
      <c r="AQ397" s="39"/>
      <c r="AR397" s="39"/>
      <c r="AS397" s="39"/>
      <c r="AT397" s="39"/>
      <c r="AU397" s="39"/>
      <c r="AV397" s="39"/>
      <c r="AW397" s="39"/>
      <c r="AX397" s="39"/>
      <c r="AY397" s="39"/>
      <c r="AZ397" s="39"/>
      <c r="BA397" s="39"/>
      <c r="BB397" s="39"/>
      <c r="BC397" s="39"/>
      <c r="BD397" s="39"/>
      <c r="BE397" s="39"/>
      <c r="BF397" s="39"/>
      <c r="BG397" s="39"/>
      <c r="BH397" s="39"/>
      <c r="BI397" s="39"/>
      <c r="BJ397" s="39"/>
      <c r="BK397" s="39"/>
      <c r="BL397" s="39"/>
      <c r="BM397" s="39"/>
      <c r="BN397" s="39"/>
      <c r="BO397" s="39"/>
      <c r="BP397" s="39"/>
      <c r="BQ397" s="39"/>
      <c r="BR397" s="39"/>
      <c r="BS397" s="39"/>
      <c r="BT397" s="39"/>
      <c r="BU397" s="39"/>
      <c r="BV397" s="39"/>
      <c r="BW397" s="39"/>
      <c r="BX397" s="39"/>
      <c r="BY397" s="39"/>
      <c r="BZ397" s="39"/>
      <c r="CA397" s="39"/>
      <c r="CB397" s="39"/>
      <c r="CC397" s="39"/>
      <c r="CD397" s="39"/>
      <c r="CE397" s="39"/>
      <c r="CF397" s="39"/>
      <c r="CG397" s="39"/>
      <c r="CH397" s="39"/>
      <c r="CI397" s="39"/>
      <c r="CJ397" s="39"/>
      <c r="CK397" s="39"/>
      <c r="CL397" s="39"/>
      <c r="CM397" s="39"/>
      <c r="CN397" s="39"/>
      <c r="CO397" s="39"/>
      <c r="CP397" s="39"/>
      <c r="CQ397" s="39"/>
      <c r="CR397" s="39"/>
      <c r="CS397" s="39"/>
      <c r="CT397" s="39"/>
      <c r="CU397" s="39"/>
      <c r="CV397" s="39"/>
      <c r="CW397" s="39"/>
      <c r="CX397" s="39"/>
      <c r="CY397" s="39"/>
      <c r="CZ397" s="39"/>
      <c r="DA397" s="39"/>
      <c r="DB397" s="39"/>
      <c r="DC397" s="39"/>
      <c r="DD397" s="39"/>
      <c r="DE397" s="39"/>
      <c r="DF397" s="39"/>
      <c r="DG397" s="39"/>
      <c r="DH397" s="39"/>
      <c r="DI397" s="39"/>
      <c r="DJ397" s="39"/>
      <c r="DK397" s="39"/>
      <c r="DL397" s="39"/>
      <c r="DM397" s="39"/>
      <c r="DN397" s="39"/>
      <c r="DO397" s="39"/>
      <c r="DP397" s="39"/>
      <c r="DQ397" s="39"/>
      <c r="DR397" s="39"/>
      <c r="DS397" s="39"/>
      <c r="DT397" s="39"/>
      <c r="DU397" s="39"/>
      <c r="DV397" s="39"/>
      <c r="DW397" s="39"/>
      <c r="DX397" s="39"/>
      <c r="DY397" s="39"/>
      <c r="DZ397" s="39"/>
      <c r="EA397" s="39"/>
      <c r="EB397" s="39"/>
      <c r="EC397" s="39"/>
      <c r="ED397" s="39"/>
      <c r="EE397" s="39"/>
      <c r="EF397" s="39"/>
      <c r="EG397" s="39"/>
      <c r="EH397" s="39"/>
      <c r="EI397" s="39"/>
      <c r="EJ397" s="39"/>
      <c r="EK397" s="39"/>
      <c r="EL397" s="39"/>
      <c r="EM397" s="39"/>
      <c r="EN397" s="39"/>
      <c r="EO397" s="39"/>
      <c r="EP397" s="39"/>
      <c r="EQ397" s="39"/>
      <c r="ER397" s="39"/>
      <c r="ES397" s="39"/>
      <c r="ET397" s="39"/>
      <c r="EU397" s="39"/>
      <c r="EV397" s="39"/>
      <c r="EW397" s="39"/>
      <c r="EX397" s="39"/>
      <c r="EY397" s="39"/>
      <c r="EZ397" s="39"/>
      <c r="FA397" s="39"/>
      <c r="FB397" s="39"/>
      <c r="FC397" s="39"/>
      <c r="FD397" s="39"/>
      <c r="FE397" s="39"/>
      <c r="FF397" s="39"/>
      <c r="FG397" s="39"/>
      <c r="FH397" s="39"/>
      <c r="FI397" s="39"/>
      <c r="FJ397" s="39"/>
      <c r="FK397" s="39"/>
      <c r="FL397" s="39"/>
      <c r="FM397" s="39"/>
      <c r="FN397" s="39"/>
      <c r="FO397" s="39"/>
      <c r="FP397" s="39"/>
      <c r="FQ397" s="39"/>
      <c r="FR397" s="39"/>
      <c r="FS397" s="39"/>
      <c r="FT397" s="39"/>
      <c r="FU397" s="39"/>
      <c r="FV397" s="39"/>
      <c r="FW397" s="39"/>
      <c r="FX397" s="39"/>
      <c r="FY397" s="39"/>
      <c r="FZ397" s="39"/>
      <c r="GA397" s="39"/>
      <c r="GB397" s="39"/>
      <c r="GC397" s="39"/>
      <c r="GD397" s="39"/>
      <c r="GE397" s="39"/>
      <c r="GF397" s="39"/>
      <c r="GG397" s="39"/>
      <c r="GH397" s="39"/>
      <c r="GI397" s="39"/>
      <c r="GJ397" s="39"/>
      <c r="GK397" s="39"/>
      <c r="GL397" s="39"/>
      <c r="GM397" s="39"/>
      <c r="GN397" s="39"/>
      <c r="GO397" s="39"/>
      <c r="GP397" s="39"/>
      <c r="GQ397" s="39"/>
      <c r="GR397" s="39"/>
      <c r="GS397" s="39"/>
      <c r="GT397" s="39"/>
      <c r="GU397" s="39"/>
      <c r="GV397" s="39"/>
      <c r="GW397" s="39"/>
      <c r="GX397" s="39"/>
      <c r="GY397" s="39"/>
      <c r="GZ397" s="39"/>
      <c r="HA397" s="39"/>
      <c r="HB397" s="39"/>
      <c r="HC397" s="39"/>
      <c r="HD397" s="39"/>
      <c r="HE397" s="39"/>
      <c r="HF397" s="39"/>
      <c r="HG397" s="39"/>
      <c r="HH397" s="39"/>
      <c r="HI397" s="39"/>
      <c r="HJ397" s="39"/>
      <c r="HK397" s="39"/>
      <c r="HL397" s="39"/>
      <c r="HM397" s="39"/>
      <c r="HN397" s="39"/>
      <c r="HO397" s="39"/>
      <c r="HP397" s="39"/>
    </row>
    <row r="398" spans="3:224" s="4" customFormat="1" ht="20.100000000000001" customHeight="1">
      <c r="C398" s="34">
        <v>15211006</v>
      </c>
      <c r="D398" s="35" t="s">
        <v>414</v>
      </c>
      <c r="E398" s="35">
        <v>11200003</v>
      </c>
      <c r="F398" s="35">
        <v>12031</v>
      </c>
      <c r="G398" s="35">
        <v>1</v>
      </c>
      <c r="H398" s="35">
        <v>30</v>
      </c>
      <c r="I398" s="37">
        <v>0.2</v>
      </c>
      <c r="J398" s="30">
        <v>10</v>
      </c>
      <c r="K398" s="25">
        <v>0</v>
      </c>
      <c r="L398" s="35">
        <v>3510</v>
      </c>
      <c r="M398" s="35">
        <f t="shared" si="50"/>
        <v>0</v>
      </c>
      <c r="N398" s="35">
        <v>0</v>
      </c>
      <c r="O398" s="35">
        <v>0</v>
      </c>
      <c r="P398" s="35">
        <v>0</v>
      </c>
      <c r="Q398" s="35">
        <f t="shared" si="51"/>
        <v>35</v>
      </c>
      <c r="R398" s="35">
        <v>70</v>
      </c>
      <c r="S398" s="35">
        <f t="shared" si="52"/>
        <v>35</v>
      </c>
      <c r="T398" s="35">
        <v>70</v>
      </c>
      <c r="U398" s="37">
        <v>0</v>
      </c>
      <c r="V398" s="35">
        <v>0</v>
      </c>
      <c r="W398" s="35">
        <v>0</v>
      </c>
      <c r="X398" s="35">
        <v>0</v>
      </c>
      <c r="Y398" s="37">
        <v>0</v>
      </c>
      <c r="Z398" s="37">
        <v>0</v>
      </c>
      <c r="AA398" s="37">
        <v>0</v>
      </c>
      <c r="AB398" s="37">
        <v>0</v>
      </c>
      <c r="AC398" s="37">
        <v>0</v>
      </c>
      <c r="AD398" s="37">
        <v>0</v>
      </c>
      <c r="AE398" s="44"/>
      <c r="AF398" s="39"/>
      <c r="AG398" s="39"/>
      <c r="AH398" s="39"/>
      <c r="AI398" s="39"/>
      <c r="AJ398" s="39"/>
      <c r="AK398" s="39"/>
      <c r="AL398" s="39"/>
      <c r="AM398" s="39"/>
      <c r="AN398" s="39"/>
      <c r="AO398" s="39"/>
      <c r="AP398" s="39"/>
      <c r="AQ398" s="39"/>
      <c r="AR398" s="39"/>
      <c r="AS398" s="39"/>
      <c r="AT398" s="39"/>
      <c r="AU398" s="39"/>
      <c r="AV398" s="39"/>
      <c r="AW398" s="39"/>
      <c r="AX398" s="39"/>
      <c r="AY398" s="39"/>
      <c r="AZ398" s="39"/>
      <c r="BA398" s="39"/>
      <c r="BB398" s="39"/>
      <c r="BC398" s="39"/>
      <c r="BD398" s="39"/>
      <c r="BE398" s="39"/>
      <c r="BF398" s="39"/>
      <c r="BG398" s="39"/>
      <c r="BH398" s="39"/>
      <c r="BI398" s="39"/>
      <c r="BJ398" s="39"/>
      <c r="BK398" s="39"/>
      <c r="BL398" s="39"/>
      <c r="BM398" s="39"/>
      <c r="BN398" s="39"/>
      <c r="BO398" s="39"/>
      <c r="BP398" s="39"/>
      <c r="BQ398" s="39"/>
      <c r="BR398" s="39"/>
      <c r="BS398" s="39"/>
      <c r="BT398" s="39"/>
      <c r="BU398" s="39"/>
      <c r="BV398" s="39"/>
      <c r="BW398" s="39"/>
      <c r="BX398" s="39"/>
      <c r="BY398" s="39"/>
      <c r="BZ398" s="39"/>
      <c r="CA398" s="39"/>
      <c r="CB398" s="39"/>
      <c r="CC398" s="39"/>
      <c r="CD398" s="39"/>
      <c r="CE398" s="39"/>
      <c r="CF398" s="39"/>
      <c r="CG398" s="39"/>
      <c r="CH398" s="39"/>
      <c r="CI398" s="39"/>
      <c r="CJ398" s="39"/>
      <c r="CK398" s="39"/>
      <c r="CL398" s="39"/>
      <c r="CM398" s="39"/>
      <c r="CN398" s="39"/>
      <c r="CO398" s="39"/>
      <c r="CP398" s="39"/>
      <c r="CQ398" s="39"/>
      <c r="CR398" s="39"/>
      <c r="CS398" s="39"/>
      <c r="CT398" s="39"/>
      <c r="CU398" s="39"/>
      <c r="CV398" s="39"/>
      <c r="CW398" s="39"/>
      <c r="CX398" s="39"/>
      <c r="CY398" s="39"/>
      <c r="CZ398" s="39"/>
      <c r="DA398" s="39"/>
      <c r="DB398" s="39"/>
      <c r="DC398" s="39"/>
      <c r="DD398" s="39"/>
      <c r="DE398" s="39"/>
      <c r="DF398" s="39"/>
      <c r="DG398" s="39"/>
      <c r="DH398" s="39"/>
      <c r="DI398" s="39"/>
      <c r="DJ398" s="39"/>
      <c r="DK398" s="39"/>
      <c r="DL398" s="39"/>
      <c r="DM398" s="39"/>
      <c r="DN398" s="39"/>
      <c r="DO398" s="39"/>
      <c r="DP398" s="39"/>
      <c r="DQ398" s="39"/>
      <c r="DR398" s="39"/>
      <c r="DS398" s="39"/>
      <c r="DT398" s="39"/>
      <c r="DU398" s="39"/>
      <c r="DV398" s="39"/>
      <c r="DW398" s="39"/>
      <c r="DX398" s="39"/>
      <c r="DY398" s="39"/>
      <c r="DZ398" s="39"/>
      <c r="EA398" s="39"/>
      <c r="EB398" s="39"/>
      <c r="EC398" s="39"/>
      <c r="ED398" s="39"/>
      <c r="EE398" s="39"/>
      <c r="EF398" s="39"/>
      <c r="EG398" s="39"/>
      <c r="EH398" s="39"/>
      <c r="EI398" s="39"/>
      <c r="EJ398" s="39"/>
      <c r="EK398" s="39"/>
      <c r="EL398" s="39"/>
      <c r="EM398" s="39"/>
      <c r="EN398" s="39"/>
      <c r="EO398" s="39"/>
      <c r="EP398" s="39"/>
      <c r="EQ398" s="39"/>
      <c r="ER398" s="39"/>
      <c r="ES398" s="39"/>
      <c r="ET398" s="39"/>
      <c r="EU398" s="39"/>
      <c r="EV398" s="39"/>
      <c r="EW398" s="39"/>
      <c r="EX398" s="39"/>
      <c r="EY398" s="39"/>
      <c r="EZ398" s="39"/>
      <c r="FA398" s="39"/>
      <c r="FB398" s="39"/>
      <c r="FC398" s="39"/>
      <c r="FD398" s="39"/>
      <c r="FE398" s="39"/>
      <c r="FF398" s="39"/>
      <c r="FG398" s="39"/>
      <c r="FH398" s="39"/>
      <c r="FI398" s="39"/>
      <c r="FJ398" s="39"/>
      <c r="FK398" s="39"/>
      <c r="FL398" s="39"/>
      <c r="FM398" s="39"/>
      <c r="FN398" s="39"/>
      <c r="FO398" s="39"/>
      <c r="FP398" s="39"/>
      <c r="FQ398" s="39"/>
      <c r="FR398" s="39"/>
      <c r="FS398" s="39"/>
      <c r="FT398" s="39"/>
      <c r="FU398" s="39"/>
      <c r="FV398" s="39"/>
      <c r="FW398" s="39"/>
      <c r="FX398" s="39"/>
      <c r="FY398" s="39"/>
      <c r="FZ398" s="39"/>
      <c r="GA398" s="39"/>
      <c r="GB398" s="39"/>
      <c r="GC398" s="39"/>
      <c r="GD398" s="39"/>
      <c r="GE398" s="39"/>
      <c r="GF398" s="39"/>
      <c r="GG398" s="39"/>
      <c r="GH398" s="39"/>
      <c r="GI398" s="39"/>
      <c r="GJ398" s="39"/>
      <c r="GK398" s="39"/>
      <c r="GL398" s="39"/>
      <c r="GM398" s="39"/>
      <c r="GN398" s="39"/>
      <c r="GO398" s="39"/>
      <c r="GP398" s="39"/>
      <c r="GQ398" s="39"/>
      <c r="GR398" s="39"/>
      <c r="GS398" s="39"/>
      <c r="GT398" s="39"/>
      <c r="GU398" s="39"/>
      <c r="GV398" s="39"/>
      <c r="GW398" s="39"/>
      <c r="GX398" s="39"/>
      <c r="GY398" s="39"/>
      <c r="GZ398" s="39"/>
      <c r="HA398" s="39"/>
      <c r="HB398" s="39"/>
      <c r="HC398" s="39"/>
      <c r="HD398" s="39"/>
      <c r="HE398" s="39"/>
      <c r="HF398" s="39"/>
      <c r="HG398" s="39"/>
      <c r="HH398" s="39"/>
      <c r="HI398" s="39"/>
      <c r="HJ398" s="39"/>
      <c r="HK398" s="39"/>
      <c r="HL398" s="39"/>
      <c r="HM398" s="39"/>
      <c r="HN398" s="39"/>
      <c r="HO398" s="39"/>
      <c r="HP398" s="39"/>
    </row>
    <row r="399" spans="3:224" ht="20.100000000000001" customHeight="1">
      <c r="C399" s="24">
        <v>15211011</v>
      </c>
      <c r="D399" s="36" t="s">
        <v>415</v>
      </c>
      <c r="E399" s="25">
        <v>11200003</v>
      </c>
      <c r="F399" s="25">
        <v>12011</v>
      </c>
      <c r="G399" s="25">
        <v>1</v>
      </c>
      <c r="H399" s="25">
        <v>30</v>
      </c>
      <c r="I399" s="29">
        <v>0.2</v>
      </c>
      <c r="J399" s="30">
        <v>10</v>
      </c>
      <c r="K399" s="25">
        <v>0</v>
      </c>
      <c r="L399" s="25">
        <v>2690</v>
      </c>
      <c r="M399" s="25">
        <f t="shared" si="50"/>
        <v>0</v>
      </c>
      <c r="N399" s="25">
        <v>0</v>
      </c>
      <c r="O399" s="25">
        <v>0</v>
      </c>
      <c r="P399" s="25">
        <v>0</v>
      </c>
      <c r="Q399" s="25">
        <v>36</v>
      </c>
      <c r="R399" s="25">
        <v>73</v>
      </c>
      <c r="S399" s="25">
        <v>36</v>
      </c>
      <c r="T399" s="25">
        <v>73</v>
      </c>
      <c r="U399" s="29">
        <v>0</v>
      </c>
      <c r="V399" s="25">
        <v>0</v>
      </c>
      <c r="W399" s="25">
        <v>0</v>
      </c>
      <c r="X399" s="25">
        <v>0</v>
      </c>
      <c r="Y399" s="29">
        <v>0</v>
      </c>
      <c r="Z399" s="29">
        <v>0</v>
      </c>
      <c r="AA399" s="29">
        <v>0</v>
      </c>
      <c r="AB399" s="29">
        <v>203603</v>
      </c>
      <c r="AC399" s="29">
        <v>500</v>
      </c>
      <c r="AD399" s="29">
        <v>1</v>
      </c>
      <c r="AE399" s="43"/>
      <c r="GR399" s="5"/>
      <c r="GS399" s="5"/>
      <c r="GT399" s="5"/>
      <c r="GU399" s="5"/>
      <c r="GV399" s="5"/>
      <c r="GW399" s="5"/>
      <c r="GX399" s="5"/>
      <c r="GY399" s="5"/>
      <c r="GZ399" s="5"/>
      <c r="HA399" s="5"/>
      <c r="HB399" s="5"/>
      <c r="HC399" s="5"/>
      <c r="HD399" s="5"/>
      <c r="HE399" s="5"/>
      <c r="HF399" s="5"/>
      <c r="HG399" s="5"/>
      <c r="HH399" s="5"/>
      <c r="HI399" s="5"/>
      <c r="HJ399" s="5"/>
      <c r="HK399" s="5"/>
      <c r="HL399" s="5"/>
      <c r="HM399" s="5"/>
      <c r="HN399" s="5"/>
      <c r="HO399" s="5"/>
      <c r="HP399" s="5"/>
    </row>
    <row r="400" spans="3:224" ht="20.100000000000001" customHeight="1">
      <c r="C400" s="24">
        <v>15211012</v>
      </c>
      <c r="D400" s="36" t="s">
        <v>416</v>
      </c>
      <c r="E400" s="25">
        <v>11200003</v>
      </c>
      <c r="F400" s="25">
        <v>12021</v>
      </c>
      <c r="G400" s="25">
        <v>1</v>
      </c>
      <c r="H400" s="25">
        <v>30</v>
      </c>
      <c r="I400" s="29">
        <v>0.2</v>
      </c>
      <c r="J400" s="30">
        <v>10</v>
      </c>
      <c r="K400" s="25">
        <v>0</v>
      </c>
      <c r="L400" s="25">
        <v>1360</v>
      </c>
      <c r="M400" s="25">
        <f t="shared" si="50"/>
        <v>0</v>
      </c>
      <c r="N400" s="25">
        <v>0</v>
      </c>
      <c r="O400" s="25">
        <v>0</v>
      </c>
      <c r="P400" s="25">
        <v>0</v>
      </c>
      <c r="Q400" s="25">
        <v>27</v>
      </c>
      <c r="R400" s="25">
        <v>55</v>
      </c>
      <c r="S400" s="25">
        <v>27</v>
      </c>
      <c r="T400" s="25">
        <v>55</v>
      </c>
      <c r="U400" s="29">
        <v>0</v>
      </c>
      <c r="V400" s="25">
        <v>0</v>
      </c>
      <c r="W400" s="25">
        <v>0</v>
      </c>
      <c r="X400" s="25">
        <v>0</v>
      </c>
      <c r="Y400" s="29">
        <v>0</v>
      </c>
      <c r="Z400" s="29">
        <v>0</v>
      </c>
      <c r="AA400" s="29">
        <v>0</v>
      </c>
      <c r="AB400" s="29">
        <v>202703</v>
      </c>
      <c r="AC400" s="29">
        <v>1000</v>
      </c>
      <c r="AD400" s="29">
        <v>1</v>
      </c>
      <c r="AE400" s="43"/>
      <c r="GR400" s="5"/>
      <c r="GS400" s="5"/>
      <c r="GT400" s="5"/>
      <c r="GU400" s="5"/>
      <c r="GV400" s="5"/>
      <c r="GW400" s="5"/>
      <c r="GX400" s="5"/>
      <c r="GY400" s="5"/>
      <c r="GZ400" s="5"/>
      <c r="HA400" s="5"/>
      <c r="HB400" s="5"/>
      <c r="HC400" s="5"/>
      <c r="HD400" s="5"/>
      <c r="HE400" s="5"/>
      <c r="HF400" s="5"/>
      <c r="HG400" s="5"/>
      <c r="HH400" s="5"/>
      <c r="HI400" s="5"/>
      <c r="HJ400" s="5"/>
      <c r="HK400" s="5"/>
      <c r="HL400" s="5"/>
      <c r="HM400" s="5"/>
      <c r="HN400" s="5"/>
      <c r="HO400" s="5"/>
      <c r="HP400" s="5"/>
    </row>
    <row r="401" spans="3:224" ht="20.100000000000001" customHeight="1">
      <c r="C401" s="24">
        <v>15211013</v>
      </c>
      <c r="D401" s="36" t="s">
        <v>417</v>
      </c>
      <c r="E401" s="25">
        <v>11200003</v>
      </c>
      <c r="F401" s="25">
        <v>12031</v>
      </c>
      <c r="G401" s="25">
        <v>1</v>
      </c>
      <c r="H401" s="25">
        <v>30</v>
      </c>
      <c r="I401" s="29">
        <v>0.2</v>
      </c>
      <c r="J401" s="30">
        <v>10</v>
      </c>
      <c r="K401" s="25">
        <v>0</v>
      </c>
      <c r="L401" s="25">
        <v>4030</v>
      </c>
      <c r="M401" s="25">
        <f t="shared" si="50"/>
        <v>0</v>
      </c>
      <c r="N401" s="25">
        <v>0</v>
      </c>
      <c r="O401" s="25">
        <v>0</v>
      </c>
      <c r="P401" s="25">
        <v>0</v>
      </c>
      <c r="Q401" s="25">
        <v>46</v>
      </c>
      <c r="R401" s="25">
        <v>91</v>
      </c>
      <c r="S401" s="25">
        <v>46</v>
      </c>
      <c r="T401" s="25">
        <v>91</v>
      </c>
      <c r="U401" s="29">
        <v>0</v>
      </c>
      <c r="V401" s="25">
        <v>0</v>
      </c>
      <c r="W401" s="25">
        <v>0</v>
      </c>
      <c r="X401" s="25">
        <v>0</v>
      </c>
      <c r="Y401" s="29">
        <v>0</v>
      </c>
      <c r="Z401" s="29">
        <v>0</v>
      </c>
      <c r="AA401" s="29">
        <v>0</v>
      </c>
      <c r="AB401" s="29">
        <v>0</v>
      </c>
      <c r="AC401" s="29">
        <v>0</v>
      </c>
      <c r="AD401" s="29">
        <v>0</v>
      </c>
      <c r="AE401" s="43"/>
      <c r="GR401" s="5"/>
      <c r="GS401" s="5"/>
      <c r="GT401" s="5"/>
      <c r="GU401" s="5"/>
      <c r="GV401" s="5"/>
      <c r="GW401" s="5"/>
      <c r="GX401" s="5"/>
      <c r="GY401" s="5"/>
      <c r="GZ401" s="5"/>
      <c r="HA401" s="5"/>
      <c r="HB401" s="5"/>
      <c r="HC401" s="5"/>
      <c r="HD401" s="5"/>
      <c r="HE401" s="5"/>
      <c r="HF401" s="5"/>
      <c r="HG401" s="5"/>
      <c r="HH401" s="5"/>
      <c r="HI401" s="5"/>
      <c r="HJ401" s="5"/>
      <c r="HK401" s="5"/>
      <c r="HL401" s="5"/>
      <c r="HM401" s="5"/>
      <c r="HN401" s="5"/>
      <c r="HO401" s="5"/>
      <c r="HP401" s="5"/>
    </row>
    <row r="402" spans="3:224" ht="20.100000000000001" customHeight="1">
      <c r="C402" s="24">
        <v>15301001</v>
      </c>
      <c r="D402" s="25" t="s">
        <v>418</v>
      </c>
      <c r="E402" s="25">
        <v>11200003</v>
      </c>
      <c r="F402" s="25">
        <v>0</v>
      </c>
      <c r="G402" s="25">
        <v>1</v>
      </c>
      <c r="H402" s="25">
        <v>40</v>
      </c>
      <c r="I402" s="29">
        <v>0.2</v>
      </c>
      <c r="J402" s="30">
        <v>15</v>
      </c>
      <c r="K402" s="25">
        <v>0</v>
      </c>
      <c r="L402" s="25">
        <v>0</v>
      </c>
      <c r="M402" s="25">
        <f t="shared" si="50"/>
        <v>23</v>
      </c>
      <c r="N402" s="25">
        <v>45</v>
      </c>
      <c r="O402" s="25">
        <v>0</v>
      </c>
      <c r="P402" s="25">
        <v>0</v>
      </c>
      <c r="Q402" s="25">
        <f t="shared" si="51"/>
        <v>14</v>
      </c>
      <c r="R402" s="25">
        <v>28</v>
      </c>
      <c r="S402" s="25">
        <f t="shared" si="52"/>
        <v>14</v>
      </c>
      <c r="T402" s="25">
        <v>28</v>
      </c>
      <c r="U402" s="29">
        <v>0</v>
      </c>
      <c r="V402" s="25">
        <v>0</v>
      </c>
      <c r="W402" s="25">
        <v>0</v>
      </c>
      <c r="X402" s="25">
        <v>0</v>
      </c>
      <c r="Y402" s="29">
        <v>0</v>
      </c>
      <c r="Z402" s="29">
        <v>0</v>
      </c>
      <c r="AA402" s="29">
        <v>0</v>
      </c>
      <c r="AB402" s="29">
        <v>0</v>
      </c>
      <c r="AC402" s="29">
        <v>0</v>
      </c>
      <c r="AD402" s="29">
        <v>0</v>
      </c>
      <c r="AE402" s="43"/>
      <c r="GR402" s="5"/>
      <c r="GS402" s="5"/>
      <c r="GT402" s="5"/>
      <c r="GU402" s="5"/>
      <c r="GV402" s="5"/>
      <c r="GW402" s="5"/>
      <c r="GX402" s="5"/>
      <c r="GY402" s="5"/>
      <c r="GZ402" s="5"/>
      <c r="HA402" s="5"/>
      <c r="HB402" s="5"/>
      <c r="HC402" s="5"/>
      <c r="HD402" s="5"/>
      <c r="HE402" s="5"/>
      <c r="HF402" s="5"/>
      <c r="HG402" s="5"/>
      <c r="HH402" s="5"/>
      <c r="HI402" s="5"/>
      <c r="HJ402" s="5"/>
      <c r="HK402" s="5"/>
      <c r="HL402" s="5"/>
      <c r="HM402" s="5"/>
      <c r="HN402" s="5"/>
      <c r="HO402" s="5"/>
      <c r="HP402" s="5"/>
    </row>
    <row r="403" spans="3:224" ht="20.100000000000001" customHeight="1">
      <c r="C403" s="24">
        <v>15301002</v>
      </c>
      <c r="D403" s="41" t="s">
        <v>419</v>
      </c>
      <c r="E403" s="25">
        <v>11200003</v>
      </c>
      <c r="F403" s="25">
        <v>13011</v>
      </c>
      <c r="G403" s="25">
        <v>1</v>
      </c>
      <c r="H403" s="25">
        <v>40</v>
      </c>
      <c r="I403" s="29">
        <v>0.2</v>
      </c>
      <c r="J403" s="30">
        <v>15</v>
      </c>
      <c r="K403" s="25">
        <v>0</v>
      </c>
      <c r="L403" s="25">
        <v>0</v>
      </c>
      <c r="M403" s="25">
        <f t="shared" si="50"/>
        <v>28</v>
      </c>
      <c r="N403" s="25">
        <v>55</v>
      </c>
      <c r="O403" s="25">
        <v>0</v>
      </c>
      <c r="P403" s="25">
        <v>0</v>
      </c>
      <c r="Q403" s="25">
        <f t="shared" si="51"/>
        <v>17</v>
      </c>
      <c r="R403" s="25">
        <v>33</v>
      </c>
      <c r="S403" s="25">
        <f t="shared" si="52"/>
        <v>17</v>
      </c>
      <c r="T403" s="25">
        <v>33</v>
      </c>
      <c r="U403" s="29">
        <v>0</v>
      </c>
      <c r="V403" s="25">
        <v>0</v>
      </c>
      <c r="W403" s="25">
        <v>0</v>
      </c>
      <c r="X403" s="25">
        <v>0</v>
      </c>
      <c r="Y403" s="29">
        <v>0</v>
      </c>
      <c r="Z403" s="29">
        <v>0</v>
      </c>
      <c r="AA403" s="29">
        <v>0</v>
      </c>
      <c r="AB403" s="29">
        <v>0</v>
      </c>
      <c r="AC403" s="29">
        <v>0</v>
      </c>
      <c r="AD403" s="29">
        <v>0</v>
      </c>
      <c r="AE403" s="43"/>
      <c r="GR403" s="5"/>
      <c r="GS403" s="5"/>
      <c r="GT403" s="5"/>
      <c r="GU403" s="5"/>
      <c r="GV403" s="5"/>
      <c r="GW403" s="5"/>
      <c r="GX403" s="5"/>
      <c r="GY403" s="5"/>
      <c r="GZ403" s="5"/>
      <c r="HA403" s="5"/>
      <c r="HB403" s="5"/>
      <c r="HC403" s="5"/>
      <c r="HD403" s="5"/>
      <c r="HE403" s="5"/>
      <c r="HF403" s="5"/>
      <c r="HG403" s="5"/>
      <c r="HH403" s="5"/>
      <c r="HI403" s="5"/>
      <c r="HJ403" s="5"/>
      <c r="HK403" s="5"/>
      <c r="HL403" s="5"/>
      <c r="HM403" s="5"/>
      <c r="HN403" s="5"/>
      <c r="HO403" s="5"/>
      <c r="HP403" s="5"/>
    </row>
    <row r="404" spans="3:224" ht="20.100000000000001" customHeight="1">
      <c r="C404" s="24">
        <v>15301003</v>
      </c>
      <c r="D404" s="25" t="s">
        <v>420</v>
      </c>
      <c r="E404" s="25">
        <v>11200003</v>
      </c>
      <c r="F404" s="25">
        <v>0</v>
      </c>
      <c r="G404" s="25">
        <v>1</v>
      </c>
      <c r="H404" s="25">
        <v>40</v>
      </c>
      <c r="I404" s="29">
        <v>0.2</v>
      </c>
      <c r="J404" s="30">
        <v>15</v>
      </c>
      <c r="K404" s="25">
        <v>0</v>
      </c>
      <c r="L404" s="25">
        <v>0</v>
      </c>
      <c r="M404" s="25">
        <f t="shared" si="50"/>
        <v>31</v>
      </c>
      <c r="N404" s="25">
        <v>61</v>
      </c>
      <c r="O404" s="25">
        <v>0</v>
      </c>
      <c r="P404" s="25">
        <v>0</v>
      </c>
      <c r="Q404" s="25">
        <f t="shared" si="51"/>
        <v>11</v>
      </c>
      <c r="R404" s="25">
        <v>21</v>
      </c>
      <c r="S404" s="25">
        <f t="shared" si="52"/>
        <v>11</v>
      </c>
      <c r="T404" s="25">
        <v>21</v>
      </c>
      <c r="U404" s="29">
        <v>0</v>
      </c>
      <c r="V404" s="25">
        <v>0</v>
      </c>
      <c r="W404" s="25">
        <v>0</v>
      </c>
      <c r="X404" s="25">
        <v>0</v>
      </c>
      <c r="Y404" s="29">
        <v>0</v>
      </c>
      <c r="Z404" s="29">
        <v>0</v>
      </c>
      <c r="AA404" s="29">
        <v>0</v>
      </c>
      <c r="AB404" s="29">
        <v>0</v>
      </c>
      <c r="AC404" s="29">
        <v>0</v>
      </c>
      <c r="AD404" s="29">
        <v>0</v>
      </c>
      <c r="AE404" s="43"/>
      <c r="GR404" s="5"/>
      <c r="GS404" s="5"/>
      <c r="GT404" s="5"/>
      <c r="GU404" s="5"/>
      <c r="GV404" s="5"/>
      <c r="GW404" s="5"/>
      <c r="GX404" s="5"/>
      <c r="GY404" s="5"/>
      <c r="GZ404" s="5"/>
      <c r="HA404" s="5"/>
      <c r="HB404" s="5"/>
      <c r="HC404" s="5"/>
      <c r="HD404" s="5"/>
      <c r="HE404" s="5"/>
      <c r="HF404" s="5"/>
      <c r="HG404" s="5"/>
      <c r="HH404" s="5"/>
      <c r="HI404" s="5"/>
      <c r="HJ404" s="5"/>
      <c r="HK404" s="5"/>
      <c r="HL404" s="5"/>
      <c r="HM404" s="5"/>
      <c r="HN404" s="5"/>
      <c r="HO404" s="5"/>
      <c r="HP404" s="5"/>
    </row>
    <row r="405" spans="3:224" ht="20.100000000000001" customHeight="1">
      <c r="C405" s="24">
        <v>15301004</v>
      </c>
      <c r="D405" s="41" t="s">
        <v>421</v>
      </c>
      <c r="E405" s="25">
        <v>11200003</v>
      </c>
      <c r="F405" s="25">
        <v>13021</v>
      </c>
      <c r="G405" s="25">
        <v>1</v>
      </c>
      <c r="H405" s="25">
        <v>40</v>
      </c>
      <c r="I405" s="29">
        <v>0.2</v>
      </c>
      <c r="J405" s="30">
        <v>15</v>
      </c>
      <c r="K405" s="25">
        <v>0</v>
      </c>
      <c r="L405" s="25">
        <v>0</v>
      </c>
      <c r="M405" s="25">
        <f t="shared" si="50"/>
        <v>37</v>
      </c>
      <c r="N405" s="25">
        <v>74</v>
      </c>
      <c r="O405" s="25">
        <v>0</v>
      </c>
      <c r="P405" s="25">
        <v>0</v>
      </c>
      <c r="Q405" s="25">
        <f t="shared" si="51"/>
        <v>13</v>
      </c>
      <c r="R405" s="25">
        <v>25</v>
      </c>
      <c r="S405" s="25">
        <f t="shared" si="52"/>
        <v>13</v>
      </c>
      <c r="T405" s="25">
        <v>25</v>
      </c>
      <c r="U405" s="29">
        <v>0</v>
      </c>
      <c r="V405" s="25">
        <v>0</v>
      </c>
      <c r="W405" s="25">
        <v>0</v>
      </c>
      <c r="X405" s="25">
        <v>0</v>
      </c>
      <c r="Y405" s="29">
        <v>0</v>
      </c>
      <c r="Z405" s="29">
        <v>0</v>
      </c>
      <c r="AA405" s="29">
        <v>0</v>
      </c>
      <c r="AB405" s="29">
        <v>0</v>
      </c>
      <c r="AC405" s="29">
        <v>0</v>
      </c>
      <c r="AD405" s="29">
        <v>0</v>
      </c>
      <c r="AE405" s="43"/>
      <c r="GR405" s="5"/>
      <c r="GS405" s="5"/>
      <c r="GT405" s="5"/>
      <c r="GU405" s="5"/>
      <c r="GV405" s="5"/>
      <c r="GW405" s="5"/>
      <c r="GX405" s="5"/>
      <c r="GY405" s="5"/>
      <c r="GZ405" s="5"/>
      <c r="HA405" s="5"/>
      <c r="HB405" s="5"/>
      <c r="HC405" s="5"/>
      <c r="HD405" s="5"/>
      <c r="HE405" s="5"/>
      <c r="HF405" s="5"/>
      <c r="HG405" s="5"/>
      <c r="HH405" s="5"/>
      <c r="HI405" s="5"/>
      <c r="HJ405" s="5"/>
      <c r="HK405" s="5"/>
      <c r="HL405" s="5"/>
      <c r="HM405" s="5"/>
      <c r="HN405" s="5"/>
      <c r="HO405" s="5"/>
      <c r="HP405" s="5"/>
    </row>
    <row r="406" spans="3:224" ht="20.100000000000001" customHeight="1">
      <c r="C406" s="24">
        <v>15301005</v>
      </c>
      <c r="D406" s="25" t="s">
        <v>422</v>
      </c>
      <c r="E406" s="25">
        <v>11200003</v>
      </c>
      <c r="F406" s="25">
        <v>0</v>
      </c>
      <c r="G406" s="25">
        <v>1</v>
      </c>
      <c r="H406" s="25">
        <v>40</v>
      </c>
      <c r="I406" s="29">
        <v>0.2</v>
      </c>
      <c r="J406" s="30">
        <v>15</v>
      </c>
      <c r="K406" s="25">
        <v>0</v>
      </c>
      <c r="L406" s="25">
        <v>0</v>
      </c>
      <c r="M406" s="25">
        <f t="shared" si="50"/>
        <v>17</v>
      </c>
      <c r="N406" s="25">
        <v>34</v>
      </c>
      <c r="O406" s="25">
        <v>0</v>
      </c>
      <c r="P406" s="25">
        <v>0</v>
      </c>
      <c r="Q406" s="25">
        <f t="shared" si="51"/>
        <v>18</v>
      </c>
      <c r="R406" s="25">
        <v>35</v>
      </c>
      <c r="S406" s="25">
        <f t="shared" si="52"/>
        <v>18</v>
      </c>
      <c r="T406" s="25">
        <v>35</v>
      </c>
      <c r="U406" s="29">
        <v>0</v>
      </c>
      <c r="V406" s="25">
        <v>0</v>
      </c>
      <c r="W406" s="25">
        <v>0</v>
      </c>
      <c r="X406" s="25">
        <v>0</v>
      </c>
      <c r="Y406" s="29">
        <v>0</v>
      </c>
      <c r="Z406" s="29">
        <v>0</v>
      </c>
      <c r="AA406" s="29">
        <v>0</v>
      </c>
      <c r="AB406" s="29">
        <v>0</v>
      </c>
      <c r="AC406" s="29">
        <v>0</v>
      </c>
      <c r="AD406" s="29">
        <v>0</v>
      </c>
      <c r="AE406" s="43"/>
      <c r="GR406" s="5"/>
      <c r="GS406" s="5"/>
      <c r="GT406" s="5"/>
      <c r="GU406" s="5"/>
      <c r="GV406" s="5"/>
      <c r="GW406" s="5"/>
      <c r="GX406" s="5"/>
      <c r="GY406" s="5"/>
      <c r="GZ406" s="5"/>
      <c r="HA406" s="5"/>
      <c r="HB406" s="5"/>
      <c r="HC406" s="5"/>
      <c r="HD406" s="5"/>
      <c r="HE406" s="5"/>
      <c r="HF406" s="5"/>
      <c r="HG406" s="5"/>
      <c r="HH406" s="5"/>
      <c r="HI406" s="5"/>
      <c r="HJ406" s="5"/>
      <c r="HK406" s="5"/>
      <c r="HL406" s="5"/>
      <c r="HM406" s="5"/>
      <c r="HN406" s="5"/>
      <c r="HO406" s="5"/>
      <c r="HP406" s="5"/>
    </row>
    <row r="407" spans="3:224" ht="20.100000000000001" customHeight="1">
      <c r="C407" s="24">
        <v>15301006</v>
      </c>
      <c r="D407" s="41" t="s">
        <v>423</v>
      </c>
      <c r="E407" s="25">
        <v>11200003</v>
      </c>
      <c r="F407" s="25">
        <v>13031</v>
      </c>
      <c r="G407" s="25">
        <v>1</v>
      </c>
      <c r="H407" s="25">
        <v>40</v>
      </c>
      <c r="I407" s="29">
        <v>0.2</v>
      </c>
      <c r="J407" s="30">
        <v>15</v>
      </c>
      <c r="K407" s="25">
        <v>0</v>
      </c>
      <c r="L407" s="25">
        <v>0</v>
      </c>
      <c r="M407" s="25">
        <f t="shared" si="50"/>
        <v>21</v>
      </c>
      <c r="N407" s="25">
        <v>41</v>
      </c>
      <c r="O407" s="25">
        <v>0</v>
      </c>
      <c r="P407" s="25">
        <v>0</v>
      </c>
      <c r="Q407" s="25">
        <f t="shared" si="51"/>
        <v>21</v>
      </c>
      <c r="R407" s="25">
        <v>41</v>
      </c>
      <c r="S407" s="25">
        <f t="shared" si="52"/>
        <v>21</v>
      </c>
      <c r="T407" s="25">
        <v>41</v>
      </c>
      <c r="U407" s="29">
        <v>0</v>
      </c>
      <c r="V407" s="25">
        <v>0</v>
      </c>
      <c r="W407" s="25">
        <v>0</v>
      </c>
      <c r="X407" s="25">
        <v>0</v>
      </c>
      <c r="Y407" s="29">
        <v>0</v>
      </c>
      <c r="Z407" s="29">
        <v>0</v>
      </c>
      <c r="AA407" s="29">
        <v>0</v>
      </c>
      <c r="AB407" s="29">
        <v>0</v>
      </c>
      <c r="AC407" s="29">
        <v>0</v>
      </c>
      <c r="AD407" s="29">
        <v>0</v>
      </c>
      <c r="AE407" s="43"/>
      <c r="GR407" s="5"/>
      <c r="GS407" s="5"/>
      <c r="GT407" s="5"/>
      <c r="GU407" s="5"/>
      <c r="GV407" s="5"/>
      <c r="GW407" s="5"/>
      <c r="GX407" s="5"/>
      <c r="GY407" s="5"/>
      <c r="GZ407" s="5"/>
      <c r="HA407" s="5"/>
      <c r="HB407" s="5"/>
      <c r="HC407" s="5"/>
      <c r="HD407" s="5"/>
      <c r="HE407" s="5"/>
      <c r="HF407" s="5"/>
      <c r="HG407" s="5"/>
      <c r="HH407" s="5"/>
      <c r="HI407" s="5"/>
      <c r="HJ407" s="5"/>
      <c r="HK407" s="5"/>
      <c r="HL407" s="5"/>
      <c r="HM407" s="5"/>
      <c r="HN407" s="5"/>
      <c r="HO407" s="5"/>
      <c r="HP407" s="5"/>
    </row>
    <row r="408" spans="3:224" ht="20.100000000000001" customHeight="1">
      <c r="C408" s="24">
        <v>15302001</v>
      </c>
      <c r="D408" s="25" t="s">
        <v>424</v>
      </c>
      <c r="E408" s="25">
        <v>11200003</v>
      </c>
      <c r="F408" s="25">
        <v>0</v>
      </c>
      <c r="G408" s="25">
        <v>1</v>
      </c>
      <c r="H408" s="25">
        <v>40</v>
      </c>
      <c r="I408" s="29">
        <v>0.2</v>
      </c>
      <c r="J408" s="30">
        <v>15</v>
      </c>
      <c r="K408" s="25">
        <v>0</v>
      </c>
      <c r="L408" s="25">
        <v>0</v>
      </c>
      <c r="M408" s="25">
        <f t="shared" si="50"/>
        <v>28</v>
      </c>
      <c r="N408" s="25">
        <v>55</v>
      </c>
      <c r="O408" s="25">
        <v>0</v>
      </c>
      <c r="P408" s="25">
        <v>0</v>
      </c>
      <c r="Q408" s="25">
        <f t="shared" si="51"/>
        <v>0</v>
      </c>
      <c r="R408" s="25">
        <v>0</v>
      </c>
      <c r="S408" s="25">
        <f t="shared" si="52"/>
        <v>39</v>
      </c>
      <c r="T408" s="25">
        <v>78</v>
      </c>
      <c r="U408" s="29">
        <v>0</v>
      </c>
      <c r="V408" s="25">
        <v>0</v>
      </c>
      <c r="W408" s="25">
        <v>0</v>
      </c>
      <c r="X408" s="25">
        <v>0</v>
      </c>
      <c r="Y408" s="29">
        <v>0</v>
      </c>
      <c r="Z408" s="29">
        <v>0</v>
      </c>
      <c r="AA408" s="29">
        <v>0</v>
      </c>
      <c r="AB408" s="29">
        <v>0</v>
      </c>
      <c r="AC408" s="29">
        <v>0</v>
      </c>
      <c r="AD408" s="29">
        <v>0</v>
      </c>
      <c r="AE408" s="43"/>
      <c r="GR408" s="5"/>
      <c r="GS408" s="5"/>
      <c r="GT408" s="5"/>
      <c r="GU408" s="5"/>
      <c r="GV408" s="5"/>
      <c r="GW408" s="5"/>
      <c r="GX408" s="5"/>
      <c r="GY408" s="5"/>
      <c r="GZ408" s="5"/>
      <c r="HA408" s="5"/>
      <c r="HB408" s="5"/>
      <c r="HC408" s="5"/>
      <c r="HD408" s="5"/>
      <c r="HE408" s="5"/>
      <c r="HF408" s="5"/>
      <c r="HG408" s="5"/>
      <c r="HH408" s="5"/>
      <c r="HI408" s="5"/>
      <c r="HJ408" s="5"/>
      <c r="HK408" s="5"/>
      <c r="HL408" s="5"/>
      <c r="HM408" s="5"/>
      <c r="HN408" s="5"/>
      <c r="HO408" s="5"/>
      <c r="HP408" s="5"/>
    </row>
    <row r="409" spans="3:224" ht="20.100000000000001" customHeight="1">
      <c r="C409" s="24">
        <v>15302002</v>
      </c>
      <c r="D409" s="25" t="s">
        <v>425</v>
      </c>
      <c r="E409" s="25">
        <v>11200003</v>
      </c>
      <c r="F409" s="25">
        <v>13011</v>
      </c>
      <c r="G409" s="25">
        <v>1</v>
      </c>
      <c r="H409" s="25">
        <v>40</v>
      </c>
      <c r="I409" s="29">
        <v>0.2</v>
      </c>
      <c r="J409" s="30">
        <v>15</v>
      </c>
      <c r="K409" s="25">
        <v>0</v>
      </c>
      <c r="L409" s="25">
        <v>0</v>
      </c>
      <c r="M409" s="25">
        <f t="shared" si="50"/>
        <v>36</v>
      </c>
      <c r="N409" s="25">
        <v>72</v>
      </c>
      <c r="O409" s="25">
        <v>0</v>
      </c>
      <c r="P409" s="25">
        <v>0</v>
      </c>
      <c r="Q409" s="25">
        <f t="shared" si="51"/>
        <v>0</v>
      </c>
      <c r="R409" s="25">
        <v>0</v>
      </c>
      <c r="S409" s="25">
        <f t="shared" si="52"/>
        <v>50</v>
      </c>
      <c r="T409" s="25">
        <v>99</v>
      </c>
      <c r="U409" s="29">
        <v>0</v>
      </c>
      <c r="V409" s="25">
        <v>0</v>
      </c>
      <c r="W409" s="25">
        <v>0</v>
      </c>
      <c r="X409" s="25">
        <v>0</v>
      </c>
      <c r="Y409" s="29">
        <v>0</v>
      </c>
      <c r="Z409" s="29">
        <v>0</v>
      </c>
      <c r="AA409" s="29">
        <v>0</v>
      </c>
      <c r="AB409" s="29">
        <v>0</v>
      </c>
      <c r="AC409" s="29">
        <v>0</v>
      </c>
      <c r="AD409" s="29">
        <v>0</v>
      </c>
      <c r="AE409" s="43"/>
      <c r="GR409" s="5"/>
      <c r="GS409" s="5"/>
      <c r="GT409" s="5"/>
      <c r="GU409" s="5"/>
      <c r="GV409" s="5"/>
      <c r="GW409" s="5"/>
      <c r="GX409" s="5"/>
      <c r="GY409" s="5"/>
      <c r="GZ409" s="5"/>
      <c r="HA409" s="5"/>
      <c r="HB409" s="5"/>
      <c r="HC409" s="5"/>
      <c r="HD409" s="5"/>
      <c r="HE409" s="5"/>
      <c r="HF409" s="5"/>
      <c r="HG409" s="5"/>
      <c r="HH409" s="5"/>
      <c r="HI409" s="5"/>
      <c r="HJ409" s="5"/>
      <c r="HK409" s="5"/>
      <c r="HL409" s="5"/>
      <c r="HM409" s="5"/>
      <c r="HN409" s="5"/>
      <c r="HO409" s="5"/>
      <c r="HP409" s="5"/>
    </row>
    <row r="410" spans="3:224" ht="20.100000000000001" customHeight="1">
      <c r="C410" s="24">
        <v>15302003</v>
      </c>
      <c r="D410" s="25" t="s">
        <v>426</v>
      </c>
      <c r="E410" s="25">
        <v>11200003</v>
      </c>
      <c r="F410" s="25">
        <v>0</v>
      </c>
      <c r="G410" s="25">
        <v>1</v>
      </c>
      <c r="H410" s="25">
        <v>40</v>
      </c>
      <c r="I410" s="29">
        <v>0.2</v>
      </c>
      <c r="J410" s="30">
        <v>15</v>
      </c>
      <c r="K410" s="25">
        <v>0</v>
      </c>
      <c r="L410" s="25">
        <v>0</v>
      </c>
      <c r="M410" s="25">
        <f t="shared" si="50"/>
        <v>37</v>
      </c>
      <c r="N410" s="25">
        <v>74</v>
      </c>
      <c r="O410" s="25">
        <v>0</v>
      </c>
      <c r="P410" s="25">
        <v>0</v>
      </c>
      <c r="Q410" s="25">
        <f t="shared" si="51"/>
        <v>0</v>
      </c>
      <c r="R410" s="25">
        <v>0</v>
      </c>
      <c r="S410" s="25">
        <f t="shared" si="52"/>
        <v>30</v>
      </c>
      <c r="T410" s="25">
        <v>59</v>
      </c>
      <c r="U410" s="29">
        <v>0</v>
      </c>
      <c r="V410" s="25">
        <v>0</v>
      </c>
      <c r="W410" s="25">
        <v>0</v>
      </c>
      <c r="X410" s="25">
        <v>0</v>
      </c>
      <c r="Y410" s="29">
        <v>0</v>
      </c>
      <c r="Z410" s="29">
        <v>0</v>
      </c>
      <c r="AA410" s="29">
        <v>0</v>
      </c>
      <c r="AB410" s="29">
        <v>0</v>
      </c>
      <c r="AC410" s="29">
        <v>0</v>
      </c>
      <c r="AD410" s="29">
        <v>0</v>
      </c>
      <c r="AE410" s="43"/>
      <c r="GR410" s="5"/>
      <c r="GS410" s="5"/>
      <c r="GT410" s="5"/>
      <c r="GU410" s="5"/>
      <c r="GV410" s="5"/>
      <c r="GW410" s="5"/>
      <c r="GX410" s="5"/>
      <c r="GY410" s="5"/>
      <c r="GZ410" s="5"/>
      <c r="HA410" s="5"/>
      <c r="HB410" s="5"/>
      <c r="HC410" s="5"/>
      <c r="HD410" s="5"/>
      <c r="HE410" s="5"/>
      <c r="HF410" s="5"/>
      <c r="HG410" s="5"/>
      <c r="HH410" s="5"/>
      <c r="HI410" s="5"/>
      <c r="HJ410" s="5"/>
      <c r="HK410" s="5"/>
      <c r="HL410" s="5"/>
      <c r="HM410" s="5"/>
      <c r="HN410" s="5"/>
      <c r="HO410" s="5"/>
      <c r="HP410" s="5"/>
    </row>
    <row r="411" spans="3:224" ht="20.100000000000001" customHeight="1">
      <c r="C411" s="24">
        <v>15302004</v>
      </c>
      <c r="D411" s="25" t="s">
        <v>427</v>
      </c>
      <c r="E411" s="25">
        <v>11200003</v>
      </c>
      <c r="F411" s="25">
        <v>13021</v>
      </c>
      <c r="G411" s="25">
        <v>1</v>
      </c>
      <c r="H411" s="25">
        <v>40</v>
      </c>
      <c r="I411" s="29">
        <v>0.2</v>
      </c>
      <c r="J411" s="30">
        <v>15</v>
      </c>
      <c r="K411" s="25">
        <v>0</v>
      </c>
      <c r="L411" s="25">
        <v>0</v>
      </c>
      <c r="M411" s="25">
        <f t="shared" si="50"/>
        <v>49</v>
      </c>
      <c r="N411" s="25">
        <v>97</v>
      </c>
      <c r="O411" s="25">
        <v>0</v>
      </c>
      <c r="P411" s="25">
        <v>0</v>
      </c>
      <c r="Q411" s="25">
        <f t="shared" si="51"/>
        <v>0</v>
      </c>
      <c r="R411" s="25">
        <v>0</v>
      </c>
      <c r="S411" s="25">
        <f t="shared" si="52"/>
        <v>37</v>
      </c>
      <c r="T411" s="25">
        <v>74</v>
      </c>
      <c r="U411" s="29">
        <v>0</v>
      </c>
      <c r="V411" s="25">
        <v>0</v>
      </c>
      <c r="W411" s="25">
        <v>0</v>
      </c>
      <c r="X411" s="25">
        <v>0</v>
      </c>
      <c r="Y411" s="29">
        <v>0</v>
      </c>
      <c r="Z411" s="29">
        <v>0</v>
      </c>
      <c r="AA411" s="29">
        <v>0</v>
      </c>
      <c r="AB411" s="29">
        <v>0</v>
      </c>
      <c r="AC411" s="29">
        <v>0</v>
      </c>
      <c r="AD411" s="29">
        <v>0</v>
      </c>
      <c r="AE411" s="43"/>
      <c r="GR411" s="5"/>
      <c r="GS411" s="5"/>
      <c r="GT411" s="5"/>
      <c r="GU411" s="5"/>
      <c r="GV411" s="5"/>
      <c r="GW411" s="5"/>
      <c r="GX411" s="5"/>
      <c r="GY411" s="5"/>
      <c r="GZ411" s="5"/>
      <c r="HA411" s="5"/>
      <c r="HB411" s="5"/>
      <c r="HC411" s="5"/>
      <c r="HD411" s="5"/>
      <c r="HE411" s="5"/>
      <c r="HF411" s="5"/>
      <c r="HG411" s="5"/>
      <c r="HH411" s="5"/>
      <c r="HI411" s="5"/>
      <c r="HJ411" s="5"/>
      <c r="HK411" s="5"/>
      <c r="HL411" s="5"/>
      <c r="HM411" s="5"/>
      <c r="HN411" s="5"/>
      <c r="HO411" s="5"/>
      <c r="HP411" s="5"/>
    </row>
    <row r="412" spans="3:224" ht="20.100000000000001" customHeight="1">
      <c r="C412" s="24">
        <v>15302005</v>
      </c>
      <c r="D412" s="25" t="s">
        <v>428</v>
      </c>
      <c r="E412" s="25">
        <v>11200003</v>
      </c>
      <c r="F412" s="25">
        <v>0</v>
      </c>
      <c r="G412" s="25">
        <v>1</v>
      </c>
      <c r="H412" s="25">
        <v>40</v>
      </c>
      <c r="I412" s="29">
        <v>0.2</v>
      </c>
      <c r="J412" s="30">
        <v>15</v>
      </c>
      <c r="K412" s="25">
        <v>0</v>
      </c>
      <c r="L412" s="25">
        <v>0</v>
      </c>
      <c r="M412" s="25">
        <f t="shared" si="50"/>
        <v>21</v>
      </c>
      <c r="N412" s="25">
        <v>41</v>
      </c>
      <c r="O412" s="25">
        <v>0</v>
      </c>
      <c r="P412" s="25">
        <v>0</v>
      </c>
      <c r="Q412" s="25">
        <f t="shared" si="51"/>
        <v>0</v>
      </c>
      <c r="R412" s="25">
        <v>0</v>
      </c>
      <c r="S412" s="25">
        <f t="shared" si="52"/>
        <v>49</v>
      </c>
      <c r="T412" s="25">
        <v>98</v>
      </c>
      <c r="U412" s="29">
        <v>0</v>
      </c>
      <c r="V412" s="25">
        <v>0</v>
      </c>
      <c r="W412" s="25">
        <v>0</v>
      </c>
      <c r="X412" s="25">
        <v>0</v>
      </c>
      <c r="Y412" s="29">
        <v>0</v>
      </c>
      <c r="Z412" s="29">
        <v>0</v>
      </c>
      <c r="AA412" s="29">
        <v>0</v>
      </c>
      <c r="AB412" s="29">
        <v>0</v>
      </c>
      <c r="AC412" s="29">
        <v>0</v>
      </c>
      <c r="AD412" s="29">
        <v>0</v>
      </c>
      <c r="AE412" s="43"/>
      <c r="GR412" s="5"/>
      <c r="GS412" s="5"/>
      <c r="GT412" s="5"/>
      <c r="GU412" s="5"/>
      <c r="GV412" s="5"/>
      <c r="GW412" s="5"/>
      <c r="GX412" s="5"/>
      <c r="GY412" s="5"/>
      <c r="GZ412" s="5"/>
      <c r="HA412" s="5"/>
      <c r="HB412" s="5"/>
      <c r="HC412" s="5"/>
      <c r="HD412" s="5"/>
      <c r="HE412" s="5"/>
      <c r="HF412" s="5"/>
      <c r="HG412" s="5"/>
      <c r="HH412" s="5"/>
      <c r="HI412" s="5"/>
      <c r="HJ412" s="5"/>
      <c r="HK412" s="5"/>
      <c r="HL412" s="5"/>
      <c r="HM412" s="5"/>
      <c r="HN412" s="5"/>
      <c r="HO412" s="5"/>
      <c r="HP412" s="5"/>
    </row>
    <row r="413" spans="3:224" ht="20.100000000000001" customHeight="1">
      <c r="C413" s="24">
        <v>15302006</v>
      </c>
      <c r="D413" s="25" t="s">
        <v>429</v>
      </c>
      <c r="E413" s="25">
        <v>11200003</v>
      </c>
      <c r="F413" s="25">
        <v>13031</v>
      </c>
      <c r="G413" s="25">
        <v>1</v>
      </c>
      <c r="H413" s="25">
        <v>40</v>
      </c>
      <c r="I413" s="29">
        <v>0.2</v>
      </c>
      <c r="J413" s="30">
        <v>15</v>
      </c>
      <c r="K413" s="25">
        <v>0</v>
      </c>
      <c r="L413" s="25">
        <v>0</v>
      </c>
      <c r="M413" s="25">
        <f t="shared" si="50"/>
        <v>27</v>
      </c>
      <c r="N413" s="25">
        <v>54</v>
      </c>
      <c r="O413" s="25">
        <v>0</v>
      </c>
      <c r="P413" s="25">
        <v>0</v>
      </c>
      <c r="Q413" s="25">
        <f t="shared" si="51"/>
        <v>0</v>
      </c>
      <c r="R413" s="25">
        <v>0</v>
      </c>
      <c r="S413" s="25">
        <f t="shared" si="52"/>
        <v>62</v>
      </c>
      <c r="T413" s="25">
        <v>124</v>
      </c>
      <c r="U413" s="29">
        <v>0</v>
      </c>
      <c r="V413" s="25">
        <v>0</v>
      </c>
      <c r="W413" s="25">
        <v>0</v>
      </c>
      <c r="X413" s="25">
        <v>0</v>
      </c>
      <c r="Y413" s="29">
        <v>0</v>
      </c>
      <c r="Z413" s="29">
        <v>0</v>
      </c>
      <c r="AA413" s="29">
        <v>0</v>
      </c>
      <c r="AB413" s="29">
        <v>0</v>
      </c>
      <c r="AC413" s="29">
        <v>0</v>
      </c>
      <c r="AD413" s="29">
        <v>0</v>
      </c>
      <c r="AE413" s="43"/>
      <c r="GR413" s="5"/>
      <c r="GS413" s="5"/>
      <c r="GT413" s="5"/>
      <c r="GU413" s="5"/>
      <c r="GV413" s="5"/>
      <c r="GW413" s="5"/>
      <c r="GX413" s="5"/>
      <c r="GY413" s="5"/>
      <c r="GZ413" s="5"/>
      <c r="HA413" s="5"/>
      <c r="HB413" s="5"/>
      <c r="HC413" s="5"/>
      <c r="HD413" s="5"/>
      <c r="HE413" s="5"/>
      <c r="HF413" s="5"/>
      <c r="HG413" s="5"/>
      <c r="HH413" s="5"/>
      <c r="HI413" s="5"/>
      <c r="HJ413" s="5"/>
      <c r="HK413" s="5"/>
      <c r="HL413" s="5"/>
      <c r="HM413" s="5"/>
      <c r="HN413" s="5"/>
      <c r="HO413" s="5"/>
      <c r="HP413" s="5"/>
    </row>
    <row r="414" spans="3:224" s="3" customFormat="1" ht="20.100000000000001" customHeight="1">
      <c r="C414" s="26">
        <v>15302007</v>
      </c>
      <c r="D414" s="40" t="s">
        <v>430</v>
      </c>
      <c r="E414" s="28">
        <v>11200003</v>
      </c>
      <c r="F414" s="28">
        <v>0</v>
      </c>
      <c r="G414" s="28">
        <v>1</v>
      </c>
      <c r="H414" s="28">
        <v>40</v>
      </c>
      <c r="I414" s="31">
        <v>0.2</v>
      </c>
      <c r="J414" s="30">
        <v>15</v>
      </c>
      <c r="K414" s="28">
        <v>0</v>
      </c>
      <c r="L414" s="28">
        <v>0</v>
      </c>
      <c r="M414" s="28">
        <f t="shared" ref="M414" si="65">ROUND(N414/2,0)</f>
        <v>31</v>
      </c>
      <c r="N414" s="28">
        <v>62</v>
      </c>
      <c r="O414" s="28">
        <v>0</v>
      </c>
      <c r="P414" s="28">
        <v>0</v>
      </c>
      <c r="Q414" s="28">
        <f t="shared" ref="Q414" si="66">ROUND(R414/2,0)</f>
        <v>0</v>
      </c>
      <c r="R414" s="28">
        <v>0</v>
      </c>
      <c r="S414" s="28">
        <f t="shared" ref="S414" si="67">ROUND(T414/2,0)</f>
        <v>70</v>
      </c>
      <c r="T414" s="28">
        <v>140</v>
      </c>
      <c r="U414" s="31">
        <v>0</v>
      </c>
      <c r="V414" s="28">
        <v>0</v>
      </c>
      <c r="W414" s="28">
        <v>0</v>
      </c>
      <c r="X414" s="28">
        <v>0</v>
      </c>
      <c r="Y414" s="31">
        <v>0</v>
      </c>
      <c r="Z414" s="31">
        <v>0</v>
      </c>
      <c r="AA414" s="31">
        <v>0</v>
      </c>
      <c r="AB414" s="31">
        <v>205001</v>
      </c>
      <c r="AC414" s="31">
        <v>300</v>
      </c>
      <c r="AD414" s="31">
        <v>1</v>
      </c>
      <c r="AE414" s="45"/>
      <c r="AF414" s="33"/>
      <c r="AG414" s="33"/>
      <c r="AH414" s="33"/>
      <c r="AI414" s="33"/>
      <c r="AJ414" s="33"/>
      <c r="AK414" s="33"/>
      <c r="AL414" s="33"/>
      <c r="AM414" s="33"/>
      <c r="AN414" s="33"/>
      <c r="AO414" s="33"/>
      <c r="AP414" s="33"/>
      <c r="AQ414" s="33"/>
      <c r="AR414" s="33"/>
      <c r="AS414" s="33"/>
      <c r="AT414" s="33"/>
      <c r="AU414" s="33"/>
      <c r="AV414" s="33"/>
      <c r="AW414" s="33"/>
      <c r="AX414" s="33"/>
      <c r="AY414" s="33"/>
      <c r="AZ414" s="33"/>
      <c r="BA414" s="33"/>
      <c r="BB414" s="33"/>
      <c r="BC414" s="33"/>
      <c r="BD414" s="33"/>
      <c r="BE414" s="33"/>
      <c r="BF414" s="33"/>
      <c r="BG414" s="33"/>
      <c r="BH414" s="33"/>
      <c r="BI414" s="33"/>
      <c r="BJ414" s="33"/>
      <c r="BK414" s="33"/>
      <c r="BL414" s="33"/>
      <c r="BM414" s="33"/>
      <c r="BN414" s="33"/>
      <c r="BO414" s="33"/>
      <c r="BP414" s="33"/>
      <c r="BQ414" s="33"/>
      <c r="BR414" s="33"/>
      <c r="BS414" s="33"/>
      <c r="BT414" s="33"/>
      <c r="BU414" s="33"/>
      <c r="BV414" s="33"/>
      <c r="BW414" s="33"/>
      <c r="BX414" s="33"/>
      <c r="BY414" s="33"/>
      <c r="BZ414" s="33"/>
      <c r="CA414" s="33"/>
      <c r="CB414" s="33"/>
      <c r="CC414" s="33"/>
      <c r="CD414" s="33"/>
      <c r="CE414" s="33"/>
      <c r="CF414" s="33"/>
      <c r="CG414" s="33"/>
      <c r="CH414" s="33"/>
      <c r="CI414" s="33"/>
      <c r="CJ414" s="33"/>
      <c r="CK414" s="33"/>
      <c r="CL414" s="33"/>
      <c r="CM414" s="33"/>
      <c r="CN414" s="33"/>
      <c r="CO414" s="33"/>
      <c r="CP414" s="33"/>
      <c r="CQ414" s="33"/>
      <c r="CR414" s="33"/>
      <c r="CS414" s="33"/>
      <c r="CT414" s="33"/>
      <c r="CU414" s="33"/>
      <c r="CV414" s="33"/>
      <c r="CW414" s="33"/>
      <c r="CX414" s="33"/>
      <c r="CY414" s="33"/>
      <c r="CZ414" s="33"/>
      <c r="DA414" s="33"/>
      <c r="DB414" s="33"/>
      <c r="DC414" s="33"/>
      <c r="DD414" s="33"/>
      <c r="DE414" s="33"/>
      <c r="DF414" s="33"/>
      <c r="DG414" s="33"/>
      <c r="DH414" s="33"/>
      <c r="DI414" s="33"/>
      <c r="DJ414" s="33"/>
      <c r="DK414" s="33"/>
      <c r="DL414" s="33"/>
      <c r="DM414" s="33"/>
      <c r="DN414" s="33"/>
      <c r="DO414" s="33"/>
      <c r="DP414" s="33"/>
      <c r="DQ414" s="33"/>
      <c r="DR414" s="33"/>
      <c r="DS414" s="33"/>
      <c r="DT414" s="33"/>
      <c r="DU414" s="33"/>
      <c r="DV414" s="33"/>
      <c r="DW414" s="33"/>
      <c r="DX414" s="33"/>
      <c r="DY414" s="33"/>
      <c r="DZ414" s="33"/>
      <c r="EA414" s="33"/>
      <c r="EB414" s="33"/>
      <c r="EC414" s="33"/>
      <c r="ED414" s="33"/>
      <c r="EE414" s="33"/>
      <c r="EF414" s="33"/>
      <c r="EG414" s="33"/>
      <c r="EH414" s="33"/>
      <c r="EI414" s="33"/>
      <c r="EJ414" s="33"/>
      <c r="EK414" s="33"/>
      <c r="EL414" s="33"/>
      <c r="EM414" s="33"/>
      <c r="EN414" s="33"/>
      <c r="EO414" s="33"/>
      <c r="EP414" s="33"/>
      <c r="EQ414" s="33"/>
      <c r="ER414" s="33"/>
      <c r="ES414" s="33"/>
      <c r="ET414" s="33"/>
      <c r="EU414" s="33"/>
      <c r="EV414" s="33"/>
      <c r="EW414" s="33"/>
      <c r="EX414" s="33"/>
      <c r="EY414" s="33"/>
      <c r="EZ414" s="33"/>
      <c r="FA414" s="33"/>
      <c r="FB414" s="33"/>
      <c r="FC414" s="33"/>
      <c r="FD414" s="33"/>
      <c r="FE414" s="33"/>
      <c r="FF414" s="33"/>
      <c r="FG414" s="33"/>
      <c r="FH414" s="33"/>
      <c r="FI414" s="33"/>
      <c r="FJ414" s="33"/>
      <c r="FK414" s="33"/>
      <c r="FL414" s="33"/>
      <c r="FM414" s="33"/>
      <c r="FN414" s="33"/>
      <c r="FO414" s="33"/>
      <c r="FP414" s="33"/>
      <c r="FQ414" s="33"/>
      <c r="FR414" s="33"/>
      <c r="FS414" s="33"/>
      <c r="FT414" s="33"/>
      <c r="FU414" s="33"/>
      <c r="FV414" s="33"/>
      <c r="FW414" s="33"/>
      <c r="FX414" s="33"/>
      <c r="FY414" s="33"/>
      <c r="FZ414" s="33"/>
      <c r="GA414" s="33"/>
      <c r="GB414" s="33"/>
      <c r="GC414" s="33"/>
      <c r="GD414" s="33"/>
      <c r="GE414" s="33"/>
      <c r="GF414" s="33"/>
      <c r="GG414" s="33"/>
      <c r="GH414" s="33"/>
      <c r="GI414" s="33"/>
      <c r="GJ414" s="33"/>
      <c r="GK414" s="33"/>
      <c r="GL414" s="33"/>
      <c r="GM414" s="33"/>
      <c r="GN414" s="33"/>
      <c r="GO414" s="33"/>
      <c r="GP414" s="33"/>
      <c r="GQ414" s="33"/>
      <c r="GR414" s="33"/>
      <c r="GS414" s="33"/>
      <c r="GT414" s="33"/>
      <c r="GU414" s="33"/>
      <c r="GV414" s="33"/>
      <c r="GW414" s="33"/>
      <c r="GX414" s="33"/>
      <c r="GY414" s="33"/>
      <c r="GZ414" s="33"/>
      <c r="HA414" s="33"/>
      <c r="HB414" s="33"/>
      <c r="HC414" s="33"/>
      <c r="HD414" s="33"/>
      <c r="HE414" s="33"/>
      <c r="HF414" s="33"/>
      <c r="HG414" s="33"/>
      <c r="HH414" s="33"/>
      <c r="HI414" s="33"/>
      <c r="HJ414" s="33"/>
      <c r="HK414" s="33"/>
      <c r="HL414" s="33"/>
      <c r="HM414" s="33"/>
      <c r="HN414" s="33"/>
      <c r="HO414" s="33"/>
      <c r="HP414" s="33"/>
    </row>
    <row r="415" spans="3:224" ht="20.100000000000001" customHeight="1">
      <c r="C415" s="24">
        <v>15303001</v>
      </c>
      <c r="D415" s="25" t="s">
        <v>431</v>
      </c>
      <c r="E415" s="25">
        <v>11200003</v>
      </c>
      <c r="F415" s="25">
        <v>0</v>
      </c>
      <c r="G415" s="25">
        <v>1</v>
      </c>
      <c r="H415" s="25">
        <v>40</v>
      </c>
      <c r="I415" s="29">
        <v>0.2</v>
      </c>
      <c r="J415" s="30">
        <v>15</v>
      </c>
      <c r="K415" s="25">
        <v>0</v>
      </c>
      <c r="L415" s="25">
        <v>980</v>
      </c>
      <c r="M415" s="25">
        <f t="shared" si="50"/>
        <v>15</v>
      </c>
      <c r="N415" s="25">
        <v>30</v>
      </c>
      <c r="O415" s="25">
        <v>0</v>
      </c>
      <c r="P415" s="25">
        <v>0</v>
      </c>
      <c r="Q415" s="25">
        <f t="shared" si="51"/>
        <v>25</v>
      </c>
      <c r="R415" s="25">
        <v>50</v>
      </c>
      <c r="S415" s="25">
        <f t="shared" si="52"/>
        <v>0</v>
      </c>
      <c r="T415" s="25">
        <v>0</v>
      </c>
      <c r="U415" s="29">
        <v>0</v>
      </c>
      <c r="V415" s="25">
        <v>0</v>
      </c>
      <c r="W415" s="25">
        <v>0</v>
      </c>
      <c r="X415" s="25">
        <v>0</v>
      </c>
      <c r="Y415" s="29">
        <v>0</v>
      </c>
      <c r="Z415" s="29">
        <v>0</v>
      </c>
      <c r="AA415" s="29">
        <v>0</v>
      </c>
      <c r="AB415" s="29">
        <v>0</v>
      </c>
      <c r="AC415" s="29">
        <v>0</v>
      </c>
      <c r="AD415" s="29">
        <v>0</v>
      </c>
      <c r="AE415" s="43"/>
      <c r="GR415" s="5"/>
      <c r="GS415" s="5"/>
      <c r="GT415" s="5"/>
      <c r="GU415" s="5"/>
      <c r="GV415" s="5"/>
      <c r="GW415" s="5"/>
      <c r="GX415" s="5"/>
      <c r="GY415" s="5"/>
      <c r="GZ415" s="5"/>
      <c r="HA415" s="5"/>
      <c r="HB415" s="5"/>
      <c r="HC415" s="5"/>
      <c r="HD415" s="5"/>
      <c r="HE415" s="5"/>
      <c r="HF415" s="5"/>
      <c r="HG415" s="5"/>
      <c r="HH415" s="5"/>
      <c r="HI415" s="5"/>
      <c r="HJ415" s="5"/>
      <c r="HK415" s="5"/>
      <c r="HL415" s="5"/>
      <c r="HM415" s="5"/>
      <c r="HN415" s="5"/>
      <c r="HO415" s="5"/>
      <c r="HP415" s="5"/>
    </row>
    <row r="416" spans="3:224" ht="20.100000000000001" customHeight="1">
      <c r="C416" s="24">
        <v>15303002</v>
      </c>
      <c r="D416" s="25" t="s">
        <v>432</v>
      </c>
      <c r="E416" s="25">
        <v>11200003</v>
      </c>
      <c r="F416" s="25">
        <v>13011</v>
      </c>
      <c r="G416" s="25">
        <v>1</v>
      </c>
      <c r="H416" s="25">
        <v>40</v>
      </c>
      <c r="I416" s="29">
        <v>0.2</v>
      </c>
      <c r="J416" s="30">
        <v>15</v>
      </c>
      <c r="K416" s="25">
        <v>0</v>
      </c>
      <c r="L416" s="25">
        <v>1155</v>
      </c>
      <c r="M416" s="25">
        <f t="shared" si="50"/>
        <v>20</v>
      </c>
      <c r="N416" s="25">
        <v>39</v>
      </c>
      <c r="O416" s="25">
        <v>0</v>
      </c>
      <c r="P416" s="25">
        <v>0</v>
      </c>
      <c r="Q416" s="25">
        <f t="shared" si="51"/>
        <v>33</v>
      </c>
      <c r="R416" s="25">
        <v>66</v>
      </c>
      <c r="S416" s="25">
        <f t="shared" si="52"/>
        <v>0</v>
      </c>
      <c r="T416" s="25">
        <v>0</v>
      </c>
      <c r="U416" s="29">
        <v>0</v>
      </c>
      <c r="V416" s="25">
        <v>0</v>
      </c>
      <c r="W416" s="25">
        <v>0</v>
      </c>
      <c r="X416" s="25">
        <v>0</v>
      </c>
      <c r="Y416" s="29">
        <v>0</v>
      </c>
      <c r="Z416" s="29">
        <v>0</v>
      </c>
      <c r="AA416" s="29">
        <v>0</v>
      </c>
      <c r="AB416" s="29">
        <v>0</v>
      </c>
      <c r="AC416" s="29">
        <v>0</v>
      </c>
      <c r="AD416" s="29">
        <v>0</v>
      </c>
      <c r="AE416" s="43"/>
      <c r="GR416" s="5"/>
      <c r="GS416" s="5"/>
      <c r="GT416" s="5"/>
      <c r="GU416" s="5"/>
      <c r="GV416" s="5"/>
      <c r="GW416" s="5"/>
      <c r="GX416" s="5"/>
      <c r="GY416" s="5"/>
      <c r="GZ416" s="5"/>
      <c r="HA416" s="5"/>
      <c r="HB416" s="5"/>
      <c r="HC416" s="5"/>
      <c r="HD416" s="5"/>
      <c r="HE416" s="5"/>
      <c r="HF416" s="5"/>
      <c r="HG416" s="5"/>
      <c r="HH416" s="5"/>
      <c r="HI416" s="5"/>
      <c r="HJ416" s="5"/>
      <c r="HK416" s="5"/>
      <c r="HL416" s="5"/>
      <c r="HM416" s="5"/>
      <c r="HN416" s="5"/>
      <c r="HO416" s="5"/>
      <c r="HP416" s="5"/>
    </row>
    <row r="417" spans="3:224" ht="20.100000000000001" customHeight="1">
      <c r="C417" s="24">
        <v>15303003</v>
      </c>
      <c r="D417" s="25" t="s">
        <v>433</v>
      </c>
      <c r="E417" s="25">
        <v>11200003</v>
      </c>
      <c r="F417" s="25">
        <v>0</v>
      </c>
      <c r="G417" s="25">
        <v>1</v>
      </c>
      <c r="H417" s="25">
        <v>40</v>
      </c>
      <c r="I417" s="29">
        <v>0.2</v>
      </c>
      <c r="J417" s="30">
        <v>15</v>
      </c>
      <c r="K417" s="25">
        <v>0</v>
      </c>
      <c r="L417" s="25">
        <v>490</v>
      </c>
      <c r="M417" s="25">
        <f t="shared" si="50"/>
        <v>21</v>
      </c>
      <c r="N417" s="25">
        <v>41</v>
      </c>
      <c r="O417" s="25">
        <v>0</v>
      </c>
      <c r="P417" s="25">
        <v>0</v>
      </c>
      <c r="Q417" s="25">
        <f t="shared" si="51"/>
        <v>19</v>
      </c>
      <c r="R417" s="25">
        <v>38</v>
      </c>
      <c r="S417" s="25">
        <f t="shared" si="52"/>
        <v>0</v>
      </c>
      <c r="T417" s="25">
        <v>0</v>
      </c>
      <c r="U417" s="29">
        <v>0</v>
      </c>
      <c r="V417" s="25">
        <v>0</v>
      </c>
      <c r="W417" s="25">
        <v>0</v>
      </c>
      <c r="X417" s="25">
        <v>0</v>
      </c>
      <c r="Y417" s="29">
        <v>0</v>
      </c>
      <c r="Z417" s="29">
        <v>0</v>
      </c>
      <c r="AA417" s="29">
        <v>0</v>
      </c>
      <c r="AB417" s="29">
        <v>0</v>
      </c>
      <c r="AC417" s="29">
        <v>0</v>
      </c>
      <c r="AD417" s="29">
        <v>0</v>
      </c>
      <c r="AE417" s="43"/>
      <c r="GR417" s="5"/>
      <c r="GS417" s="5"/>
      <c r="GT417" s="5"/>
      <c r="GU417" s="5"/>
      <c r="GV417" s="5"/>
      <c r="GW417" s="5"/>
      <c r="GX417" s="5"/>
      <c r="GY417" s="5"/>
      <c r="GZ417" s="5"/>
      <c r="HA417" s="5"/>
      <c r="HB417" s="5"/>
      <c r="HC417" s="5"/>
      <c r="HD417" s="5"/>
      <c r="HE417" s="5"/>
      <c r="HF417" s="5"/>
      <c r="HG417" s="5"/>
      <c r="HH417" s="5"/>
      <c r="HI417" s="5"/>
      <c r="HJ417" s="5"/>
      <c r="HK417" s="5"/>
      <c r="HL417" s="5"/>
      <c r="HM417" s="5"/>
      <c r="HN417" s="5"/>
      <c r="HO417" s="5"/>
      <c r="HP417" s="5"/>
    </row>
    <row r="418" spans="3:224" ht="20.100000000000001" customHeight="1">
      <c r="C418" s="24">
        <v>15303004</v>
      </c>
      <c r="D418" s="25" t="s">
        <v>434</v>
      </c>
      <c r="E418" s="25">
        <v>11200003</v>
      </c>
      <c r="F418" s="25">
        <v>13021</v>
      </c>
      <c r="G418" s="25">
        <v>1</v>
      </c>
      <c r="H418" s="25">
        <v>40</v>
      </c>
      <c r="I418" s="29">
        <v>0.2</v>
      </c>
      <c r="J418" s="30">
        <v>15</v>
      </c>
      <c r="K418" s="25">
        <v>0</v>
      </c>
      <c r="L418" s="25">
        <v>580</v>
      </c>
      <c r="M418" s="25">
        <f t="shared" si="50"/>
        <v>27</v>
      </c>
      <c r="N418" s="25">
        <v>53</v>
      </c>
      <c r="O418" s="25">
        <v>0</v>
      </c>
      <c r="P418" s="25">
        <v>0</v>
      </c>
      <c r="Q418" s="25">
        <f t="shared" si="51"/>
        <v>25</v>
      </c>
      <c r="R418" s="25">
        <v>50</v>
      </c>
      <c r="S418" s="25">
        <f t="shared" si="52"/>
        <v>0</v>
      </c>
      <c r="T418" s="25">
        <v>0</v>
      </c>
      <c r="U418" s="29">
        <v>0</v>
      </c>
      <c r="V418" s="25">
        <v>0</v>
      </c>
      <c r="W418" s="25">
        <v>0</v>
      </c>
      <c r="X418" s="25">
        <v>0</v>
      </c>
      <c r="Y418" s="29">
        <v>0</v>
      </c>
      <c r="Z418" s="29">
        <v>0</v>
      </c>
      <c r="AA418" s="29">
        <v>0</v>
      </c>
      <c r="AB418" s="29">
        <v>0</v>
      </c>
      <c r="AC418" s="29">
        <v>0</v>
      </c>
      <c r="AD418" s="29">
        <v>0</v>
      </c>
      <c r="AE418" s="43"/>
      <c r="GR418" s="5"/>
      <c r="GS418" s="5"/>
      <c r="GT418" s="5"/>
      <c r="GU418" s="5"/>
      <c r="GV418" s="5"/>
      <c r="GW418" s="5"/>
      <c r="GX418" s="5"/>
      <c r="GY418" s="5"/>
      <c r="GZ418" s="5"/>
      <c r="HA418" s="5"/>
      <c r="HB418" s="5"/>
      <c r="HC418" s="5"/>
      <c r="HD418" s="5"/>
      <c r="HE418" s="5"/>
      <c r="HF418" s="5"/>
      <c r="HG418" s="5"/>
      <c r="HH418" s="5"/>
      <c r="HI418" s="5"/>
      <c r="HJ418" s="5"/>
      <c r="HK418" s="5"/>
      <c r="HL418" s="5"/>
      <c r="HM418" s="5"/>
      <c r="HN418" s="5"/>
      <c r="HO418" s="5"/>
      <c r="HP418" s="5"/>
    </row>
    <row r="419" spans="3:224" ht="20.100000000000001" customHeight="1">
      <c r="C419" s="24">
        <v>15303005</v>
      </c>
      <c r="D419" s="25" t="s">
        <v>435</v>
      </c>
      <c r="E419" s="25">
        <v>11200003</v>
      </c>
      <c r="F419" s="25">
        <v>0</v>
      </c>
      <c r="G419" s="25">
        <v>1</v>
      </c>
      <c r="H419" s="25">
        <v>40</v>
      </c>
      <c r="I419" s="29">
        <v>0.2</v>
      </c>
      <c r="J419" s="30">
        <v>15</v>
      </c>
      <c r="K419" s="25">
        <v>0</v>
      </c>
      <c r="L419" s="25">
        <v>1470</v>
      </c>
      <c r="M419" s="25">
        <f t="shared" si="50"/>
        <v>12</v>
      </c>
      <c r="N419" s="25">
        <v>23</v>
      </c>
      <c r="O419" s="25">
        <v>0</v>
      </c>
      <c r="P419" s="25">
        <v>0</v>
      </c>
      <c r="Q419" s="25">
        <f t="shared" si="51"/>
        <v>32</v>
      </c>
      <c r="R419" s="25">
        <v>63</v>
      </c>
      <c r="S419" s="25">
        <f t="shared" si="52"/>
        <v>0</v>
      </c>
      <c r="T419" s="25">
        <v>0</v>
      </c>
      <c r="U419" s="29">
        <v>0</v>
      </c>
      <c r="V419" s="25">
        <v>0</v>
      </c>
      <c r="W419" s="25">
        <v>0</v>
      </c>
      <c r="X419" s="25">
        <v>0</v>
      </c>
      <c r="Y419" s="29">
        <v>0</v>
      </c>
      <c r="Z419" s="29">
        <v>0</v>
      </c>
      <c r="AA419" s="29">
        <v>0</v>
      </c>
      <c r="AB419" s="29">
        <v>0</v>
      </c>
      <c r="AC419" s="29">
        <v>0</v>
      </c>
      <c r="AD419" s="29">
        <v>0</v>
      </c>
      <c r="AE419" s="43"/>
      <c r="GR419" s="5"/>
      <c r="GS419" s="5"/>
      <c r="GT419" s="5"/>
      <c r="GU419" s="5"/>
      <c r="GV419" s="5"/>
      <c r="GW419" s="5"/>
      <c r="GX419" s="5"/>
      <c r="GY419" s="5"/>
      <c r="GZ419" s="5"/>
      <c r="HA419" s="5"/>
      <c r="HB419" s="5"/>
      <c r="HC419" s="5"/>
      <c r="HD419" s="5"/>
      <c r="HE419" s="5"/>
      <c r="HF419" s="5"/>
      <c r="HG419" s="5"/>
      <c r="HH419" s="5"/>
      <c r="HI419" s="5"/>
      <c r="HJ419" s="5"/>
      <c r="HK419" s="5"/>
      <c r="HL419" s="5"/>
      <c r="HM419" s="5"/>
      <c r="HN419" s="5"/>
      <c r="HO419" s="5"/>
      <c r="HP419" s="5"/>
    </row>
    <row r="420" spans="3:224" ht="20.100000000000001" customHeight="1">
      <c r="C420" s="24">
        <v>15303006</v>
      </c>
      <c r="D420" s="25" t="s">
        <v>436</v>
      </c>
      <c r="E420" s="25">
        <v>11200003</v>
      </c>
      <c r="F420" s="25">
        <v>13031</v>
      </c>
      <c r="G420" s="25">
        <v>1</v>
      </c>
      <c r="H420" s="25">
        <v>40</v>
      </c>
      <c r="I420" s="29">
        <v>0.2</v>
      </c>
      <c r="J420" s="30">
        <v>15</v>
      </c>
      <c r="K420" s="25">
        <v>0</v>
      </c>
      <c r="L420" s="25">
        <v>1730</v>
      </c>
      <c r="M420" s="25">
        <f t="shared" si="50"/>
        <v>15</v>
      </c>
      <c r="N420" s="25">
        <v>29</v>
      </c>
      <c r="O420" s="25">
        <v>0</v>
      </c>
      <c r="P420" s="25">
        <v>0</v>
      </c>
      <c r="Q420" s="25">
        <f t="shared" si="51"/>
        <v>42</v>
      </c>
      <c r="R420" s="25">
        <v>83</v>
      </c>
      <c r="S420" s="25">
        <f t="shared" si="52"/>
        <v>0</v>
      </c>
      <c r="T420" s="25">
        <v>0</v>
      </c>
      <c r="U420" s="29">
        <v>0</v>
      </c>
      <c r="V420" s="25">
        <v>0</v>
      </c>
      <c r="W420" s="25">
        <v>0</v>
      </c>
      <c r="X420" s="25">
        <v>0</v>
      </c>
      <c r="Y420" s="29">
        <v>0</v>
      </c>
      <c r="Z420" s="29">
        <v>0</v>
      </c>
      <c r="AA420" s="29">
        <v>0</v>
      </c>
      <c r="AB420" s="29">
        <v>0</v>
      </c>
      <c r="AC420" s="29">
        <v>0</v>
      </c>
      <c r="AD420" s="29">
        <v>0</v>
      </c>
      <c r="AE420" s="43"/>
      <c r="GR420" s="5"/>
      <c r="GS420" s="5"/>
      <c r="GT420" s="5"/>
      <c r="GU420" s="5"/>
      <c r="GV420" s="5"/>
      <c r="GW420" s="5"/>
      <c r="GX420" s="5"/>
      <c r="GY420" s="5"/>
      <c r="GZ420" s="5"/>
      <c r="HA420" s="5"/>
      <c r="HB420" s="5"/>
      <c r="HC420" s="5"/>
      <c r="HD420" s="5"/>
      <c r="HE420" s="5"/>
      <c r="HF420" s="5"/>
      <c r="HG420" s="5"/>
      <c r="HH420" s="5"/>
      <c r="HI420" s="5"/>
      <c r="HJ420" s="5"/>
      <c r="HK420" s="5"/>
      <c r="HL420" s="5"/>
      <c r="HM420" s="5"/>
      <c r="HN420" s="5"/>
      <c r="HO420" s="5"/>
      <c r="HP420" s="5"/>
    </row>
    <row r="421" spans="3:224" ht="20.100000000000001" customHeight="1">
      <c r="C421" s="24">
        <v>15304001</v>
      </c>
      <c r="D421" s="25" t="s">
        <v>437</v>
      </c>
      <c r="E421" s="25">
        <v>11200003</v>
      </c>
      <c r="F421" s="25">
        <v>0</v>
      </c>
      <c r="G421" s="25">
        <v>1</v>
      </c>
      <c r="H421" s="25">
        <v>40</v>
      </c>
      <c r="I421" s="29">
        <v>0.2</v>
      </c>
      <c r="J421" s="30">
        <v>15</v>
      </c>
      <c r="K421" s="25">
        <v>0</v>
      </c>
      <c r="L421" s="25">
        <v>0</v>
      </c>
      <c r="M421" s="25">
        <f t="shared" si="50"/>
        <v>25</v>
      </c>
      <c r="N421" s="25">
        <v>50</v>
      </c>
      <c r="O421" s="25">
        <v>0</v>
      </c>
      <c r="P421" s="25">
        <v>0</v>
      </c>
      <c r="Q421" s="25">
        <f t="shared" si="51"/>
        <v>26</v>
      </c>
      <c r="R421" s="25">
        <v>52</v>
      </c>
      <c r="S421" s="25">
        <f t="shared" si="52"/>
        <v>26</v>
      </c>
      <c r="T421" s="25">
        <v>52</v>
      </c>
      <c r="U421" s="29">
        <v>0</v>
      </c>
      <c r="V421" s="25">
        <v>0</v>
      </c>
      <c r="W421" s="25">
        <v>0</v>
      </c>
      <c r="X421" s="25">
        <v>0</v>
      </c>
      <c r="Y421" s="29">
        <v>0</v>
      </c>
      <c r="Z421" s="29">
        <v>0</v>
      </c>
      <c r="AA421" s="29">
        <v>0</v>
      </c>
      <c r="AB421" s="29">
        <v>0</v>
      </c>
      <c r="AC421" s="29">
        <v>0</v>
      </c>
      <c r="AD421" s="29">
        <v>0</v>
      </c>
      <c r="AE421" s="43"/>
      <c r="GR421" s="5"/>
      <c r="GS421" s="5"/>
      <c r="GT421" s="5"/>
      <c r="GU421" s="5"/>
      <c r="GV421" s="5"/>
      <c r="GW421" s="5"/>
      <c r="GX421" s="5"/>
      <c r="GY421" s="5"/>
      <c r="GZ421" s="5"/>
      <c r="HA421" s="5"/>
      <c r="HB421" s="5"/>
      <c r="HC421" s="5"/>
      <c r="HD421" s="5"/>
      <c r="HE421" s="5"/>
      <c r="HF421" s="5"/>
      <c r="HG421" s="5"/>
      <c r="HH421" s="5"/>
      <c r="HI421" s="5"/>
      <c r="HJ421" s="5"/>
      <c r="HK421" s="5"/>
      <c r="HL421" s="5"/>
      <c r="HM421" s="5"/>
      <c r="HN421" s="5"/>
      <c r="HO421" s="5"/>
      <c r="HP421" s="5"/>
    </row>
    <row r="422" spans="3:224" ht="20.100000000000001" customHeight="1">
      <c r="C422" s="24">
        <v>15304002</v>
      </c>
      <c r="D422" s="25" t="s">
        <v>438</v>
      </c>
      <c r="E422" s="25">
        <v>11200003</v>
      </c>
      <c r="F422" s="25">
        <v>13011</v>
      </c>
      <c r="G422" s="25">
        <v>1</v>
      </c>
      <c r="H422" s="25">
        <v>40</v>
      </c>
      <c r="I422" s="29">
        <v>0.2</v>
      </c>
      <c r="J422" s="30">
        <v>15</v>
      </c>
      <c r="K422" s="25">
        <v>0</v>
      </c>
      <c r="L422" s="25">
        <v>0</v>
      </c>
      <c r="M422" s="25">
        <f t="shared" si="50"/>
        <v>31</v>
      </c>
      <c r="N422" s="25">
        <v>61</v>
      </c>
      <c r="O422" s="25">
        <v>0</v>
      </c>
      <c r="P422" s="25">
        <v>0</v>
      </c>
      <c r="Q422" s="25">
        <f t="shared" si="51"/>
        <v>33</v>
      </c>
      <c r="R422" s="25">
        <v>66</v>
      </c>
      <c r="S422" s="25">
        <f t="shared" si="52"/>
        <v>33</v>
      </c>
      <c r="T422" s="25">
        <v>66</v>
      </c>
      <c r="U422" s="29">
        <v>0</v>
      </c>
      <c r="V422" s="25">
        <v>0</v>
      </c>
      <c r="W422" s="25">
        <v>0</v>
      </c>
      <c r="X422" s="25">
        <v>0</v>
      </c>
      <c r="Y422" s="29">
        <v>0</v>
      </c>
      <c r="Z422" s="29">
        <v>0</v>
      </c>
      <c r="AA422" s="29">
        <v>0</v>
      </c>
      <c r="AB422" s="29">
        <v>0</v>
      </c>
      <c r="AC422" s="29">
        <v>0</v>
      </c>
      <c r="AD422" s="29">
        <v>0</v>
      </c>
      <c r="AE422" s="43"/>
      <c r="GR422" s="5"/>
      <c r="GS422" s="5"/>
      <c r="GT422" s="5"/>
      <c r="GU422" s="5"/>
      <c r="GV422" s="5"/>
      <c r="GW422" s="5"/>
      <c r="GX422" s="5"/>
      <c r="GY422" s="5"/>
      <c r="GZ422" s="5"/>
      <c r="HA422" s="5"/>
      <c r="HB422" s="5"/>
      <c r="HC422" s="5"/>
      <c r="HD422" s="5"/>
      <c r="HE422" s="5"/>
      <c r="HF422" s="5"/>
      <c r="HG422" s="5"/>
      <c r="HH422" s="5"/>
      <c r="HI422" s="5"/>
      <c r="HJ422" s="5"/>
      <c r="HK422" s="5"/>
      <c r="HL422" s="5"/>
      <c r="HM422" s="5"/>
      <c r="HN422" s="5"/>
      <c r="HO422" s="5"/>
      <c r="HP422" s="5"/>
    </row>
    <row r="423" spans="3:224" ht="20.100000000000001" customHeight="1">
      <c r="C423" s="24">
        <v>15304003</v>
      </c>
      <c r="D423" s="25" t="s">
        <v>439</v>
      </c>
      <c r="E423" s="25">
        <v>11200003</v>
      </c>
      <c r="F423" s="25">
        <v>0</v>
      </c>
      <c r="G423" s="25">
        <v>1</v>
      </c>
      <c r="H423" s="25">
        <v>40</v>
      </c>
      <c r="I423" s="29">
        <v>0.2</v>
      </c>
      <c r="J423" s="30">
        <v>15</v>
      </c>
      <c r="K423" s="25">
        <v>0</v>
      </c>
      <c r="L423" s="25">
        <v>0</v>
      </c>
      <c r="M423" s="25">
        <f t="shared" si="50"/>
        <v>34</v>
      </c>
      <c r="N423" s="25">
        <v>68</v>
      </c>
      <c r="O423" s="25">
        <v>0</v>
      </c>
      <c r="P423" s="25">
        <v>0</v>
      </c>
      <c r="Q423" s="25">
        <f t="shared" si="51"/>
        <v>20</v>
      </c>
      <c r="R423" s="25">
        <v>39</v>
      </c>
      <c r="S423" s="25">
        <f t="shared" si="52"/>
        <v>20</v>
      </c>
      <c r="T423" s="25">
        <v>39</v>
      </c>
      <c r="U423" s="29">
        <v>0</v>
      </c>
      <c r="V423" s="25">
        <v>0</v>
      </c>
      <c r="W423" s="25">
        <v>0</v>
      </c>
      <c r="X423" s="25">
        <v>0</v>
      </c>
      <c r="Y423" s="29">
        <v>0</v>
      </c>
      <c r="Z423" s="29">
        <v>0</v>
      </c>
      <c r="AA423" s="29">
        <v>0</v>
      </c>
      <c r="AB423" s="29">
        <v>0</v>
      </c>
      <c r="AC423" s="29">
        <v>0</v>
      </c>
      <c r="AD423" s="29">
        <v>0</v>
      </c>
      <c r="AE423" s="43"/>
      <c r="GR423" s="5"/>
      <c r="GS423" s="5"/>
      <c r="GT423" s="5"/>
      <c r="GU423" s="5"/>
      <c r="GV423" s="5"/>
      <c r="GW423" s="5"/>
      <c r="GX423" s="5"/>
      <c r="GY423" s="5"/>
      <c r="GZ423" s="5"/>
      <c r="HA423" s="5"/>
      <c r="HB423" s="5"/>
      <c r="HC423" s="5"/>
      <c r="HD423" s="5"/>
      <c r="HE423" s="5"/>
      <c r="HF423" s="5"/>
      <c r="HG423" s="5"/>
      <c r="HH423" s="5"/>
      <c r="HI423" s="5"/>
      <c r="HJ423" s="5"/>
      <c r="HK423" s="5"/>
      <c r="HL423" s="5"/>
      <c r="HM423" s="5"/>
      <c r="HN423" s="5"/>
      <c r="HO423" s="5"/>
      <c r="HP423" s="5"/>
    </row>
    <row r="424" spans="3:224" ht="20.100000000000001" customHeight="1">
      <c r="C424" s="24">
        <v>15304004</v>
      </c>
      <c r="D424" s="25" t="s">
        <v>440</v>
      </c>
      <c r="E424" s="25">
        <v>11200003</v>
      </c>
      <c r="F424" s="25">
        <v>13021</v>
      </c>
      <c r="G424" s="25">
        <v>1</v>
      </c>
      <c r="H424" s="25">
        <v>40</v>
      </c>
      <c r="I424" s="29">
        <v>0.2</v>
      </c>
      <c r="J424" s="30">
        <v>15</v>
      </c>
      <c r="K424" s="25">
        <v>0</v>
      </c>
      <c r="L424" s="25">
        <v>0</v>
      </c>
      <c r="M424" s="25">
        <f t="shared" si="50"/>
        <v>41</v>
      </c>
      <c r="N424" s="25">
        <v>82</v>
      </c>
      <c r="O424" s="25">
        <v>0</v>
      </c>
      <c r="P424" s="25">
        <v>0</v>
      </c>
      <c r="Q424" s="25">
        <f t="shared" si="51"/>
        <v>25</v>
      </c>
      <c r="R424" s="25">
        <v>50</v>
      </c>
      <c r="S424" s="25">
        <f t="shared" si="52"/>
        <v>25</v>
      </c>
      <c r="T424" s="25">
        <v>50</v>
      </c>
      <c r="U424" s="29">
        <v>0</v>
      </c>
      <c r="V424" s="25">
        <v>0</v>
      </c>
      <c r="W424" s="25">
        <v>0</v>
      </c>
      <c r="X424" s="25">
        <v>0</v>
      </c>
      <c r="Y424" s="29">
        <v>0</v>
      </c>
      <c r="Z424" s="29">
        <v>0</v>
      </c>
      <c r="AA424" s="29">
        <v>0</v>
      </c>
      <c r="AB424" s="29">
        <v>0</v>
      </c>
      <c r="AC424" s="29">
        <v>0</v>
      </c>
      <c r="AD424" s="29">
        <v>0</v>
      </c>
      <c r="AE424" s="43"/>
      <c r="GR424" s="5"/>
      <c r="GS424" s="5"/>
      <c r="GT424" s="5"/>
      <c r="GU424" s="5"/>
      <c r="GV424" s="5"/>
      <c r="GW424" s="5"/>
      <c r="GX424" s="5"/>
      <c r="GY424" s="5"/>
      <c r="GZ424" s="5"/>
      <c r="HA424" s="5"/>
      <c r="HB424" s="5"/>
      <c r="HC424" s="5"/>
      <c r="HD424" s="5"/>
      <c r="HE424" s="5"/>
      <c r="HF424" s="5"/>
      <c r="HG424" s="5"/>
      <c r="HH424" s="5"/>
      <c r="HI424" s="5"/>
      <c r="HJ424" s="5"/>
      <c r="HK424" s="5"/>
      <c r="HL424" s="5"/>
      <c r="HM424" s="5"/>
      <c r="HN424" s="5"/>
      <c r="HO424" s="5"/>
      <c r="HP424" s="5"/>
    </row>
    <row r="425" spans="3:224" ht="20.100000000000001" customHeight="1">
      <c r="C425" s="24">
        <v>15304005</v>
      </c>
      <c r="D425" s="25" t="s">
        <v>441</v>
      </c>
      <c r="E425" s="25">
        <v>11200003</v>
      </c>
      <c r="F425" s="25">
        <v>0</v>
      </c>
      <c r="G425" s="25">
        <v>1</v>
      </c>
      <c r="H425" s="25">
        <v>40</v>
      </c>
      <c r="I425" s="29">
        <v>0.2</v>
      </c>
      <c r="J425" s="30">
        <v>15</v>
      </c>
      <c r="K425" s="25">
        <v>0</v>
      </c>
      <c r="L425" s="25">
        <v>0</v>
      </c>
      <c r="M425" s="25">
        <f t="shared" si="50"/>
        <v>19</v>
      </c>
      <c r="N425" s="25">
        <v>38</v>
      </c>
      <c r="O425" s="25">
        <v>0</v>
      </c>
      <c r="P425" s="25">
        <v>0</v>
      </c>
      <c r="Q425" s="25">
        <f t="shared" si="51"/>
        <v>33</v>
      </c>
      <c r="R425" s="25">
        <v>65</v>
      </c>
      <c r="S425" s="25">
        <f t="shared" si="52"/>
        <v>33</v>
      </c>
      <c r="T425" s="25">
        <v>65</v>
      </c>
      <c r="U425" s="29">
        <v>0</v>
      </c>
      <c r="V425" s="25">
        <v>0</v>
      </c>
      <c r="W425" s="25">
        <v>0</v>
      </c>
      <c r="X425" s="25">
        <v>0</v>
      </c>
      <c r="Y425" s="29">
        <v>0</v>
      </c>
      <c r="Z425" s="29">
        <v>0</v>
      </c>
      <c r="AA425" s="29">
        <v>0</v>
      </c>
      <c r="AB425" s="29">
        <v>0</v>
      </c>
      <c r="AC425" s="29">
        <v>0</v>
      </c>
      <c r="AD425" s="29">
        <v>0</v>
      </c>
      <c r="AE425" s="43"/>
      <c r="GR425" s="5"/>
      <c r="GS425" s="5"/>
      <c r="GT425" s="5"/>
      <c r="GU425" s="5"/>
      <c r="GV425" s="5"/>
      <c r="GW425" s="5"/>
      <c r="GX425" s="5"/>
      <c r="GY425" s="5"/>
      <c r="GZ425" s="5"/>
      <c r="HA425" s="5"/>
      <c r="HB425" s="5"/>
      <c r="HC425" s="5"/>
      <c r="HD425" s="5"/>
      <c r="HE425" s="5"/>
      <c r="HF425" s="5"/>
      <c r="HG425" s="5"/>
      <c r="HH425" s="5"/>
      <c r="HI425" s="5"/>
      <c r="HJ425" s="5"/>
      <c r="HK425" s="5"/>
      <c r="HL425" s="5"/>
      <c r="HM425" s="5"/>
      <c r="HN425" s="5"/>
      <c r="HO425" s="5"/>
      <c r="HP425" s="5"/>
    </row>
    <row r="426" spans="3:224" ht="20.100000000000001" customHeight="1">
      <c r="C426" s="24">
        <v>15304006</v>
      </c>
      <c r="D426" s="25" t="s">
        <v>442</v>
      </c>
      <c r="E426" s="25">
        <v>11200003</v>
      </c>
      <c r="F426" s="25">
        <v>13031</v>
      </c>
      <c r="G426" s="25">
        <v>1</v>
      </c>
      <c r="H426" s="25">
        <v>40</v>
      </c>
      <c r="I426" s="29">
        <v>0.2</v>
      </c>
      <c r="J426" s="30">
        <v>15</v>
      </c>
      <c r="K426" s="25">
        <v>0</v>
      </c>
      <c r="L426" s="25">
        <v>0</v>
      </c>
      <c r="M426" s="25">
        <f t="shared" si="50"/>
        <v>23</v>
      </c>
      <c r="N426" s="25">
        <v>46</v>
      </c>
      <c r="O426" s="25">
        <v>0</v>
      </c>
      <c r="P426" s="25">
        <v>0</v>
      </c>
      <c r="Q426" s="25">
        <f t="shared" si="51"/>
        <v>42</v>
      </c>
      <c r="R426" s="25">
        <v>83</v>
      </c>
      <c r="S426" s="25">
        <f t="shared" si="52"/>
        <v>42</v>
      </c>
      <c r="T426" s="25">
        <v>83</v>
      </c>
      <c r="U426" s="29">
        <v>0</v>
      </c>
      <c r="V426" s="25">
        <v>0</v>
      </c>
      <c r="W426" s="25">
        <v>0</v>
      </c>
      <c r="X426" s="25">
        <v>0</v>
      </c>
      <c r="Y426" s="29">
        <v>0</v>
      </c>
      <c r="Z426" s="29">
        <v>0</v>
      </c>
      <c r="AA426" s="29">
        <v>0</v>
      </c>
      <c r="AB426" s="29">
        <v>0</v>
      </c>
      <c r="AC426" s="29">
        <v>0</v>
      </c>
      <c r="AD426" s="29">
        <v>0</v>
      </c>
      <c r="AE426" s="43"/>
      <c r="GR426" s="5"/>
      <c r="GS426" s="5"/>
      <c r="GT426" s="5"/>
      <c r="GU426" s="5"/>
      <c r="GV426" s="5"/>
      <c r="GW426" s="5"/>
      <c r="GX426" s="5"/>
      <c r="GY426" s="5"/>
      <c r="GZ426" s="5"/>
      <c r="HA426" s="5"/>
      <c r="HB426" s="5"/>
      <c r="HC426" s="5"/>
      <c r="HD426" s="5"/>
      <c r="HE426" s="5"/>
      <c r="HF426" s="5"/>
      <c r="HG426" s="5"/>
      <c r="HH426" s="5"/>
      <c r="HI426" s="5"/>
      <c r="HJ426" s="5"/>
      <c r="HK426" s="5"/>
      <c r="HL426" s="5"/>
      <c r="HM426" s="5"/>
      <c r="HN426" s="5"/>
      <c r="HO426" s="5"/>
      <c r="HP426" s="5"/>
    </row>
    <row r="427" spans="3:224" ht="20.100000000000001" customHeight="1">
      <c r="C427" s="24">
        <v>15305001</v>
      </c>
      <c r="D427" s="25" t="s">
        <v>443</v>
      </c>
      <c r="E427" s="25">
        <v>11200003</v>
      </c>
      <c r="F427" s="25">
        <v>0</v>
      </c>
      <c r="G427" s="25">
        <v>1</v>
      </c>
      <c r="H427" s="25">
        <v>40</v>
      </c>
      <c r="I427" s="29">
        <v>0.2</v>
      </c>
      <c r="J427" s="30">
        <v>15</v>
      </c>
      <c r="K427" s="25">
        <v>0</v>
      </c>
      <c r="L427" s="25">
        <v>2450</v>
      </c>
      <c r="M427" s="25">
        <f t="shared" si="50"/>
        <v>33</v>
      </c>
      <c r="N427" s="25">
        <v>65</v>
      </c>
      <c r="O427" s="25">
        <v>0</v>
      </c>
      <c r="P427" s="25">
        <v>0</v>
      </c>
      <c r="Q427" s="25">
        <f t="shared" si="51"/>
        <v>13</v>
      </c>
      <c r="R427" s="25">
        <v>25</v>
      </c>
      <c r="S427" s="25">
        <f t="shared" si="52"/>
        <v>0</v>
      </c>
      <c r="T427" s="25">
        <v>0</v>
      </c>
      <c r="U427" s="29">
        <v>0</v>
      </c>
      <c r="V427" s="25">
        <v>0</v>
      </c>
      <c r="W427" s="25">
        <v>0</v>
      </c>
      <c r="X427" s="25">
        <v>0</v>
      </c>
      <c r="Y427" s="29">
        <v>0</v>
      </c>
      <c r="Z427" s="29">
        <v>0</v>
      </c>
      <c r="AA427" s="29">
        <v>0</v>
      </c>
      <c r="AB427" s="29">
        <v>0</v>
      </c>
      <c r="AC427" s="29">
        <v>0</v>
      </c>
      <c r="AD427" s="29">
        <v>0</v>
      </c>
      <c r="AE427" s="43"/>
      <c r="GR427" s="5"/>
      <c r="GS427" s="5"/>
      <c r="GT427" s="5"/>
      <c r="GU427" s="5"/>
      <c r="GV427" s="5"/>
      <c r="GW427" s="5"/>
      <c r="GX427" s="5"/>
      <c r="GY427" s="5"/>
      <c r="GZ427" s="5"/>
      <c r="HA427" s="5"/>
      <c r="HB427" s="5"/>
      <c r="HC427" s="5"/>
      <c r="HD427" s="5"/>
      <c r="HE427" s="5"/>
      <c r="HF427" s="5"/>
      <c r="HG427" s="5"/>
      <c r="HH427" s="5"/>
      <c r="HI427" s="5"/>
      <c r="HJ427" s="5"/>
      <c r="HK427" s="5"/>
      <c r="HL427" s="5"/>
      <c r="HM427" s="5"/>
      <c r="HN427" s="5"/>
      <c r="HO427" s="5"/>
      <c r="HP427" s="5"/>
    </row>
    <row r="428" spans="3:224" ht="20.100000000000001" customHeight="1">
      <c r="C428" s="24">
        <v>15305002</v>
      </c>
      <c r="D428" s="25" t="s">
        <v>444</v>
      </c>
      <c r="E428" s="25">
        <v>11200003</v>
      </c>
      <c r="F428" s="25">
        <v>13011</v>
      </c>
      <c r="G428" s="25">
        <v>1</v>
      </c>
      <c r="H428" s="25">
        <v>40</v>
      </c>
      <c r="I428" s="29">
        <v>0.2</v>
      </c>
      <c r="J428" s="30">
        <v>15</v>
      </c>
      <c r="K428" s="25">
        <v>0</v>
      </c>
      <c r="L428" s="25">
        <v>2880</v>
      </c>
      <c r="M428" s="25">
        <f t="shared" si="50"/>
        <v>42</v>
      </c>
      <c r="N428" s="25">
        <v>83</v>
      </c>
      <c r="O428" s="25">
        <v>0</v>
      </c>
      <c r="P428" s="25">
        <v>0</v>
      </c>
      <c r="Q428" s="25">
        <f t="shared" si="51"/>
        <v>17</v>
      </c>
      <c r="R428" s="25">
        <v>33</v>
      </c>
      <c r="S428" s="25">
        <f t="shared" si="52"/>
        <v>0</v>
      </c>
      <c r="T428" s="25">
        <v>0</v>
      </c>
      <c r="U428" s="29">
        <v>0</v>
      </c>
      <c r="V428" s="25">
        <v>0</v>
      </c>
      <c r="W428" s="25">
        <v>0</v>
      </c>
      <c r="X428" s="25">
        <v>0</v>
      </c>
      <c r="Y428" s="29">
        <v>0</v>
      </c>
      <c r="Z428" s="29">
        <v>0</v>
      </c>
      <c r="AA428" s="29">
        <v>0</v>
      </c>
      <c r="AB428" s="29">
        <v>0</v>
      </c>
      <c r="AC428" s="29">
        <v>0</v>
      </c>
      <c r="AD428" s="29">
        <v>0</v>
      </c>
      <c r="AE428" s="43"/>
      <c r="GR428" s="5"/>
      <c r="GS428" s="5"/>
      <c r="GT428" s="5"/>
      <c r="GU428" s="5"/>
      <c r="GV428" s="5"/>
      <c r="GW428" s="5"/>
      <c r="GX428" s="5"/>
      <c r="GY428" s="5"/>
      <c r="GZ428" s="5"/>
      <c r="HA428" s="5"/>
      <c r="HB428" s="5"/>
      <c r="HC428" s="5"/>
      <c r="HD428" s="5"/>
      <c r="HE428" s="5"/>
      <c r="HF428" s="5"/>
      <c r="HG428" s="5"/>
      <c r="HH428" s="5"/>
      <c r="HI428" s="5"/>
      <c r="HJ428" s="5"/>
      <c r="HK428" s="5"/>
      <c r="HL428" s="5"/>
      <c r="HM428" s="5"/>
      <c r="HN428" s="5"/>
      <c r="HO428" s="5"/>
      <c r="HP428" s="5"/>
    </row>
    <row r="429" spans="3:224" ht="20.100000000000001" customHeight="1">
      <c r="C429" s="24">
        <v>15305003</v>
      </c>
      <c r="D429" s="25" t="s">
        <v>445</v>
      </c>
      <c r="E429" s="25">
        <v>11200003</v>
      </c>
      <c r="F429" s="25">
        <v>0</v>
      </c>
      <c r="G429" s="25">
        <v>1</v>
      </c>
      <c r="H429" s="25">
        <v>40</v>
      </c>
      <c r="I429" s="29">
        <v>0.2</v>
      </c>
      <c r="J429" s="30">
        <v>15</v>
      </c>
      <c r="K429" s="25">
        <v>0</v>
      </c>
      <c r="L429" s="25">
        <v>1230</v>
      </c>
      <c r="M429" s="25">
        <f t="shared" si="50"/>
        <v>44</v>
      </c>
      <c r="N429" s="25">
        <v>88</v>
      </c>
      <c r="O429" s="25">
        <v>0</v>
      </c>
      <c r="P429" s="25">
        <v>0</v>
      </c>
      <c r="Q429" s="25">
        <f t="shared" si="51"/>
        <v>10</v>
      </c>
      <c r="R429" s="25">
        <v>19</v>
      </c>
      <c r="S429" s="25">
        <f t="shared" si="52"/>
        <v>0</v>
      </c>
      <c r="T429" s="25">
        <v>0</v>
      </c>
      <c r="U429" s="29">
        <v>0</v>
      </c>
      <c r="V429" s="25">
        <v>0</v>
      </c>
      <c r="W429" s="25">
        <v>0</v>
      </c>
      <c r="X429" s="25">
        <v>0</v>
      </c>
      <c r="Y429" s="29">
        <v>0</v>
      </c>
      <c r="Z429" s="29">
        <v>0</v>
      </c>
      <c r="AA429" s="29">
        <v>0</v>
      </c>
      <c r="AB429" s="29">
        <v>0</v>
      </c>
      <c r="AC429" s="29">
        <v>0</v>
      </c>
      <c r="AD429" s="29">
        <v>0</v>
      </c>
      <c r="AE429" s="43"/>
      <c r="GR429" s="5"/>
      <c r="GS429" s="5"/>
      <c r="GT429" s="5"/>
      <c r="GU429" s="5"/>
      <c r="GV429" s="5"/>
      <c r="GW429" s="5"/>
      <c r="GX429" s="5"/>
      <c r="GY429" s="5"/>
      <c r="GZ429" s="5"/>
      <c r="HA429" s="5"/>
      <c r="HB429" s="5"/>
      <c r="HC429" s="5"/>
      <c r="HD429" s="5"/>
      <c r="HE429" s="5"/>
      <c r="HF429" s="5"/>
      <c r="HG429" s="5"/>
      <c r="HH429" s="5"/>
      <c r="HI429" s="5"/>
      <c r="HJ429" s="5"/>
      <c r="HK429" s="5"/>
      <c r="HL429" s="5"/>
      <c r="HM429" s="5"/>
      <c r="HN429" s="5"/>
      <c r="HO429" s="5"/>
      <c r="HP429" s="5"/>
    </row>
    <row r="430" spans="3:224" ht="20.100000000000001" customHeight="1">
      <c r="C430" s="24">
        <v>15305004</v>
      </c>
      <c r="D430" s="25" t="s">
        <v>446</v>
      </c>
      <c r="E430" s="25">
        <v>11200003</v>
      </c>
      <c r="F430" s="25">
        <v>13021</v>
      </c>
      <c r="G430" s="25">
        <v>1</v>
      </c>
      <c r="H430" s="25">
        <v>40</v>
      </c>
      <c r="I430" s="29">
        <v>0.2</v>
      </c>
      <c r="J430" s="30">
        <v>15</v>
      </c>
      <c r="K430" s="25">
        <v>0</v>
      </c>
      <c r="L430" s="25">
        <v>1440</v>
      </c>
      <c r="M430" s="25">
        <f t="shared" si="50"/>
        <v>56</v>
      </c>
      <c r="N430" s="25">
        <v>112</v>
      </c>
      <c r="O430" s="25">
        <v>0</v>
      </c>
      <c r="P430" s="25">
        <v>0</v>
      </c>
      <c r="Q430" s="25">
        <f t="shared" si="51"/>
        <v>13</v>
      </c>
      <c r="R430" s="25">
        <v>25</v>
      </c>
      <c r="S430" s="25">
        <f t="shared" si="52"/>
        <v>0</v>
      </c>
      <c r="T430" s="25">
        <v>0</v>
      </c>
      <c r="U430" s="29">
        <v>0</v>
      </c>
      <c r="V430" s="25">
        <v>0</v>
      </c>
      <c r="W430" s="25">
        <v>0</v>
      </c>
      <c r="X430" s="25">
        <v>0</v>
      </c>
      <c r="Y430" s="29">
        <v>0</v>
      </c>
      <c r="Z430" s="29">
        <v>0</v>
      </c>
      <c r="AA430" s="29">
        <v>0</v>
      </c>
      <c r="AB430" s="29">
        <v>0</v>
      </c>
      <c r="AC430" s="29">
        <v>0</v>
      </c>
      <c r="AD430" s="29">
        <v>0</v>
      </c>
      <c r="AE430" s="43"/>
      <c r="GR430" s="5"/>
      <c r="GS430" s="5"/>
      <c r="GT430" s="5"/>
      <c r="GU430" s="5"/>
      <c r="GV430" s="5"/>
      <c r="GW430" s="5"/>
      <c r="GX430" s="5"/>
      <c r="GY430" s="5"/>
      <c r="GZ430" s="5"/>
      <c r="HA430" s="5"/>
      <c r="HB430" s="5"/>
      <c r="HC430" s="5"/>
      <c r="HD430" s="5"/>
      <c r="HE430" s="5"/>
      <c r="HF430" s="5"/>
      <c r="HG430" s="5"/>
      <c r="HH430" s="5"/>
      <c r="HI430" s="5"/>
      <c r="HJ430" s="5"/>
      <c r="HK430" s="5"/>
      <c r="HL430" s="5"/>
      <c r="HM430" s="5"/>
      <c r="HN430" s="5"/>
      <c r="HO430" s="5"/>
      <c r="HP430" s="5"/>
    </row>
    <row r="431" spans="3:224" ht="20.100000000000001" customHeight="1">
      <c r="C431" s="24">
        <v>15305005</v>
      </c>
      <c r="D431" s="25" t="s">
        <v>447</v>
      </c>
      <c r="E431" s="25">
        <v>11200003</v>
      </c>
      <c r="F431" s="25">
        <v>0</v>
      </c>
      <c r="G431" s="25">
        <v>1</v>
      </c>
      <c r="H431" s="25">
        <v>40</v>
      </c>
      <c r="I431" s="29">
        <v>0.2</v>
      </c>
      <c r="J431" s="30">
        <v>15</v>
      </c>
      <c r="K431" s="25">
        <v>0</v>
      </c>
      <c r="L431" s="25">
        <v>3680</v>
      </c>
      <c r="M431" s="25">
        <f t="shared" si="50"/>
        <v>25</v>
      </c>
      <c r="N431" s="25">
        <v>49</v>
      </c>
      <c r="O431" s="25">
        <v>0</v>
      </c>
      <c r="P431" s="25">
        <v>0</v>
      </c>
      <c r="Q431" s="25">
        <f t="shared" si="51"/>
        <v>16</v>
      </c>
      <c r="R431" s="25">
        <v>31</v>
      </c>
      <c r="S431" s="25">
        <f t="shared" si="52"/>
        <v>0</v>
      </c>
      <c r="T431" s="25">
        <v>0</v>
      </c>
      <c r="U431" s="29">
        <v>0</v>
      </c>
      <c r="V431" s="25">
        <v>0</v>
      </c>
      <c r="W431" s="25">
        <v>0</v>
      </c>
      <c r="X431" s="25">
        <v>0</v>
      </c>
      <c r="Y431" s="29">
        <v>0</v>
      </c>
      <c r="Z431" s="29">
        <v>0</v>
      </c>
      <c r="AA431" s="29">
        <v>0</v>
      </c>
      <c r="AB431" s="29">
        <v>0</v>
      </c>
      <c r="AC431" s="29">
        <v>0</v>
      </c>
      <c r="AD431" s="29">
        <v>0</v>
      </c>
      <c r="AE431" s="43"/>
      <c r="GR431" s="5"/>
      <c r="GS431" s="5"/>
      <c r="GT431" s="5"/>
      <c r="GU431" s="5"/>
      <c r="GV431" s="5"/>
      <c r="GW431" s="5"/>
      <c r="GX431" s="5"/>
      <c r="GY431" s="5"/>
      <c r="GZ431" s="5"/>
      <c r="HA431" s="5"/>
      <c r="HB431" s="5"/>
      <c r="HC431" s="5"/>
      <c r="HD431" s="5"/>
      <c r="HE431" s="5"/>
      <c r="HF431" s="5"/>
      <c r="HG431" s="5"/>
      <c r="HH431" s="5"/>
      <c r="HI431" s="5"/>
      <c r="HJ431" s="5"/>
      <c r="HK431" s="5"/>
      <c r="HL431" s="5"/>
      <c r="HM431" s="5"/>
      <c r="HN431" s="5"/>
      <c r="HO431" s="5"/>
      <c r="HP431" s="5"/>
    </row>
    <row r="432" spans="3:224" ht="20.100000000000001" customHeight="1">
      <c r="C432" s="24">
        <v>15305006</v>
      </c>
      <c r="D432" s="25" t="s">
        <v>448</v>
      </c>
      <c r="E432" s="25">
        <v>11200003</v>
      </c>
      <c r="F432" s="25">
        <v>13031</v>
      </c>
      <c r="G432" s="25">
        <v>1</v>
      </c>
      <c r="H432" s="25">
        <v>40</v>
      </c>
      <c r="I432" s="29">
        <v>0.2</v>
      </c>
      <c r="J432" s="30">
        <v>15</v>
      </c>
      <c r="K432" s="25">
        <v>0</v>
      </c>
      <c r="L432" s="25">
        <v>4320</v>
      </c>
      <c r="M432" s="25">
        <f t="shared" si="50"/>
        <v>31</v>
      </c>
      <c r="N432" s="25">
        <v>62</v>
      </c>
      <c r="O432" s="25">
        <v>0</v>
      </c>
      <c r="P432" s="25">
        <v>0</v>
      </c>
      <c r="Q432" s="25">
        <f t="shared" si="51"/>
        <v>21</v>
      </c>
      <c r="R432" s="25">
        <v>41</v>
      </c>
      <c r="S432" s="25">
        <f t="shared" si="52"/>
        <v>0</v>
      </c>
      <c r="T432" s="25">
        <v>0</v>
      </c>
      <c r="U432" s="29">
        <v>0</v>
      </c>
      <c r="V432" s="25">
        <v>0</v>
      </c>
      <c r="W432" s="25">
        <v>0</v>
      </c>
      <c r="X432" s="25">
        <v>0</v>
      </c>
      <c r="Y432" s="29">
        <v>0</v>
      </c>
      <c r="Z432" s="29">
        <v>0</v>
      </c>
      <c r="AA432" s="29">
        <v>0</v>
      </c>
      <c r="AB432" s="29">
        <v>0</v>
      </c>
      <c r="AC432" s="29">
        <v>0</v>
      </c>
      <c r="AD432" s="29">
        <v>0</v>
      </c>
      <c r="AE432" s="43"/>
      <c r="GR432" s="5"/>
      <c r="GS432" s="5"/>
      <c r="GT432" s="5"/>
      <c r="GU432" s="5"/>
      <c r="GV432" s="5"/>
      <c r="GW432" s="5"/>
      <c r="GX432" s="5"/>
      <c r="GY432" s="5"/>
      <c r="GZ432" s="5"/>
      <c r="HA432" s="5"/>
      <c r="HB432" s="5"/>
      <c r="HC432" s="5"/>
      <c r="HD432" s="5"/>
      <c r="HE432" s="5"/>
      <c r="HF432" s="5"/>
      <c r="HG432" s="5"/>
      <c r="HH432" s="5"/>
      <c r="HI432" s="5"/>
      <c r="HJ432" s="5"/>
      <c r="HK432" s="5"/>
      <c r="HL432" s="5"/>
      <c r="HM432" s="5"/>
      <c r="HN432" s="5"/>
      <c r="HO432" s="5"/>
      <c r="HP432" s="5"/>
    </row>
    <row r="433" spans="3:224" ht="20.100000000000001" customHeight="1">
      <c r="C433" s="24">
        <v>15306001</v>
      </c>
      <c r="D433" s="25" t="s">
        <v>321</v>
      </c>
      <c r="E433" s="25">
        <v>11200002</v>
      </c>
      <c r="F433" s="25">
        <v>0</v>
      </c>
      <c r="G433" s="25">
        <v>1</v>
      </c>
      <c r="H433" s="25">
        <v>40</v>
      </c>
      <c r="I433" s="29">
        <v>0.2</v>
      </c>
      <c r="J433" s="30">
        <v>15</v>
      </c>
      <c r="K433" s="25">
        <v>0</v>
      </c>
      <c r="L433" s="25">
        <v>0</v>
      </c>
      <c r="M433" s="25">
        <f t="shared" si="50"/>
        <v>64</v>
      </c>
      <c r="N433" s="25">
        <v>128</v>
      </c>
      <c r="O433" s="25">
        <v>0</v>
      </c>
      <c r="P433" s="25">
        <v>0</v>
      </c>
      <c r="Q433" s="25">
        <f t="shared" si="51"/>
        <v>20</v>
      </c>
      <c r="R433" s="25">
        <v>40</v>
      </c>
      <c r="S433" s="25">
        <f t="shared" si="52"/>
        <v>0</v>
      </c>
      <c r="T433" s="25">
        <v>0</v>
      </c>
      <c r="U433" s="29">
        <v>0</v>
      </c>
      <c r="V433" s="25">
        <v>0</v>
      </c>
      <c r="W433" s="25">
        <v>0</v>
      </c>
      <c r="X433" s="25">
        <v>0</v>
      </c>
      <c r="Y433" s="29">
        <v>0</v>
      </c>
      <c r="Z433" s="29">
        <v>0</v>
      </c>
      <c r="AA433" s="29">
        <v>0</v>
      </c>
      <c r="AB433" s="29">
        <v>0</v>
      </c>
      <c r="AC433" s="29">
        <v>0</v>
      </c>
      <c r="AD433" s="29">
        <v>0</v>
      </c>
      <c r="AE433" s="43"/>
      <c r="GR433" s="5"/>
      <c r="GS433" s="5"/>
      <c r="GT433" s="5"/>
      <c r="GU433" s="5"/>
      <c r="GV433" s="5"/>
      <c r="GW433" s="5"/>
      <c r="GX433" s="5"/>
      <c r="GY433" s="5"/>
      <c r="GZ433" s="5"/>
      <c r="HA433" s="5"/>
      <c r="HB433" s="5"/>
      <c r="HC433" s="5"/>
      <c r="HD433" s="5"/>
      <c r="HE433" s="5"/>
      <c r="HF433" s="5"/>
      <c r="HG433" s="5"/>
      <c r="HH433" s="5"/>
      <c r="HI433" s="5"/>
      <c r="HJ433" s="5"/>
      <c r="HK433" s="5"/>
      <c r="HL433" s="5"/>
      <c r="HM433" s="5"/>
      <c r="HN433" s="5"/>
      <c r="HO433" s="5"/>
      <c r="HP433" s="5"/>
    </row>
    <row r="434" spans="3:224" ht="20.100000000000001" customHeight="1">
      <c r="C434" s="24">
        <v>15306002</v>
      </c>
      <c r="D434" s="25" t="s">
        <v>449</v>
      </c>
      <c r="E434" s="25">
        <v>11200002</v>
      </c>
      <c r="F434" s="25">
        <v>0</v>
      </c>
      <c r="G434" s="25">
        <v>1</v>
      </c>
      <c r="H434" s="25">
        <v>40</v>
      </c>
      <c r="I434" s="29">
        <v>0.2</v>
      </c>
      <c r="J434" s="30">
        <v>15</v>
      </c>
      <c r="K434" s="25">
        <v>0</v>
      </c>
      <c r="L434" s="25">
        <v>0</v>
      </c>
      <c r="M434" s="25">
        <f t="shared" si="50"/>
        <v>83</v>
      </c>
      <c r="N434" s="25">
        <v>165</v>
      </c>
      <c r="O434" s="25">
        <v>0</v>
      </c>
      <c r="P434" s="25">
        <v>0</v>
      </c>
      <c r="Q434" s="25">
        <f t="shared" si="51"/>
        <v>25</v>
      </c>
      <c r="R434" s="25">
        <v>50</v>
      </c>
      <c r="S434" s="25">
        <f t="shared" si="52"/>
        <v>0</v>
      </c>
      <c r="T434" s="25">
        <v>0</v>
      </c>
      <c r="U434" s="29">
        <v>0</v>
      </c>
      <c r="V434" s="25">
        <v>0</v>
      </c>
      <c r="W434" s="25">
        <v>0</v>
      </c>
      <c r="X434" s="25">
        <v>0</v>
      </c>
      <c r="Y434" s="29">
        <v>0</v>
      </c>
      <c r="Z434" s="29">
        <v>0</v>
      </c>
      <c r="AA434" s="29">
        <v>0</v>
      </c>
      <c r="AB434" s="29">
        <v>0</v>
      </c>
      <c r="AC434" s="29">
        <v>0</v>
      </c>
      <c r="AD434" s="29">
        <v>0</v>
      </c>
      <c r="AE434" s="43"/>
      <c r="GR434" s="5"/>
      <c r="GS434" s="5"/>
      <c r="GT434" s="5"/>
      <c r="GU434" s="5"/>
      <c r="GV434" s="5"/>
      <c r="GW434" s="5"/>
      <c r="GX434" s="5"/>
      <c r="GY434" s="5"/>
      <c r="GZ434" s="5"/>
      <c r="HA434" s="5"/>
      <c r="HB434" s="5"/>
      <c r="HC434" s="5"/>
      <c r="HD434" s="5"/>
      <c r="HE434" s="5"/>
      <c r="HF434" s="5"/>
      <c r="HG434" s="5"/>
      <c r="HH434" s="5"/>
      <c r="HI434" s="5"/>
      <c r="HJ434" s="5"/>
      <c r="HK434" s="5"/>
      <c r="HL434" s="5"/>
      <c r="HM434" s="5"/>
      <c r="HN434" s="5"/>
      <c r="HO434" s="5"/>
      <c r="HP434" s="5"/>
    </row>
    <row r="435" spans="3:224" ht="20.100000000000001" customHeight="1">
      <c r="C435" s="24">
        <v>15306003</v>
      </c>
      <c r="D435" s="36" t="s">
        <v>450</v>
      </c>
      <c r="E435" s="25">
        <v>11200002</v>
      </c>
      <c r="F435" s="25">
        <v>13051</v>
      </c>
      <c r="G435" s="25">
        <v>1</v>
      </c>
      <c r="H435" s="25">
        <v>40</v>
      </c>
      <c r="I435" s="29">
        <v>0.2</v>
      </c>
      <c r="J435" s="30">
        <v>15</v>
      </c>
      <c r="K435" s="25">
        <v>0</v>
      </c>
      <c r="L435" s="25">
        <v>0</v>
      </c>
      <c r="M435" s="25">
        <f t="shared" ref="M435" si="68">ROUND(N435/2,0)</f>
        <v>110</v>
      </c>
      <c r="N435" s="25">
        <v>220</v>
      </c>
      <c r="O435" s="25">
        <v>0</v>
      </c>
      <c r="P435" s="25">
        <v>0</v>
      </c>
      <c r="Q435" s="25">
        <f t="shared" ref="Q435" si="69">ROUND(R435/2,0)</f>
        <v>30</v>
      </c>
      <c r="R435" s="25">
        <v>60</v>
      </c>
      <c r="S435" s="25">
        <f t="shared" ref="S435" si="70">ROUND(T435/2,0)</f>
        <v>0</v>
      </c>
      <c r="T435" s="25">
        <v>0</v>
      </c>
      <c r="U435" s="29">
        <v>0</v>
      </c>
      <c r="V435" s="25">
        <v>0</v>
      </c>
      <c r="W435" s="25">
        <v>0</v>
      </c>
      <c r="X435" s="25">
        <v>0</v>
      </c>
      <c r="Y435" s="29">
        <v>0</v>
      </c>
      <c r="Z435" s="29">
        <v>0</v>
      </c>
      <c r="AA435" s="29">
        <v>0</v>
      </c>
      <c r="AB435" s="29">
        <v>100902</v>
      </c>
      <c r="AC435" s="29">
        <v>500</v>
      </c>
      <c r="AD435" s="29">
        <v>1</v>
      </c>
      <c r="AE435" s="43"/>
      <c r="GR435" s="5"/>
      <c r="GS435" s="5"/>
      <c r="GT435" s="5"/>
      <c r="GU435" s="5"/>
      <c r="GV435" s="5"/>
      <c r="GW435" s="5"/>
      <c r="GX435" s="5"/>
      <c r="GY435" s="5"/>
      <c r="GZ435" s="5"/>
      <c r="HA435" s="5"/>
      <c r="HB435" s="5"/>
      <c r="HC435" s="5"/>
      <c r="HD435" s="5"/>
      <c r="HE435" s="5"/>
      <c r="HF435" s="5"/>
      <c r="HG435" s="5"/>
      <c r="HH435" s="5"/>
      <c r="HI435" s="5"/>
      <c r="HJ435" s="5"/>
      <c r="HK435" s="5"/>
      <c r="HL435" s="5"/>
      <c r="HM435" s="5"/>
      <c r="HN435" s="5"/>
      <c r="HO435" s="5"/>
      <c r="HP435" s="5"/>
    </row>
    <row r="436" spans="3:224" ht="20.100000000000001" customHeight="1">
      <c r="C436" s="24">
        <v>15307001</v>
      </c>
      <c r="D436" s="25" t="s">
        <v>451</v>
      </c>
      <c r="E436" s="25">
        <v>11200002</v>
      </c>
      <c r="F436" s="25">
        <v>0</v>
      </c>
      <c r="G436" s="25">
        <v>1</v>
      </c>
      <c r="H436" s="25">
        <v>40</v>
      </c>
      <c r="I436" s="29">
        <v>0.2</v>
      </c>
      <c r="J436" s="30">
        <v>15</v>
      </c>
      <c r="K436" s="25">
        <v>0</v>
      </c>
      <c r="L436" s="25">
        <v>0</v>
      </c>
      <c r="M436" s="25">
        <f t="shared" si="50"/>
        <v>64</v>
      </c>
      <c r="N436" s="25">
        <v>128</v>
      </c>
      <c r="O436" s="25">
        <v>0</v>
      </c>
      <c r="P436" s="25">
        <v>0</v>
      </c>
      <c r="Q436" s="25">
        <f t="shared" si="51"/>
        <v>0</v>
      </c>
      <c r="R436" s="25">
        <v>0</v>
      </c>
      <c r="S436" s="25">
        <f t="shared" si="52"/>
        <v>20</v>
      </c>
      <c r="T436" s="25">
        <v>40</v>
      </c>
      <c r="U436" s="29">
        <v>0</v>
      </c>
      <c r="V436" s="25">
        <v>0</v>
      </c>
      <c r="W436" s="25">
        <v>0</v>
      </c>
      <c r="X436" s="25">
        <v>0</v>
      </c>
      <c r="Y436" s="29">
        <v>0</v>
      </c>
      <c r="Z436" s="29">
        <v>0</v>
      </c>
      <c r="AA436" s="29">
        <v>0</v>
      </c>
      <c r="AB436" s="29">
        <v>0</v>
      </c>
      <c r="AC436" s="29">
        <v>0</v>
      </c>
      <c r="AD436" s="29">
        <v>0</v>
      </c>
      <c r="AE436" s="43"/>
      <c r="GR436" s="5"/>
      <c r="GS436" s="5"/>
      <c r="GT436" s="5"/>
      <c r="GU436" s="5"/>
      <c r="GV436" s="5"/>
      <c r="GW436" s="5"/>
      <c r="GX436" s="5"/>
      <c r="GY436" s="5"/>
      <c r="GZ436" s="5"/>
      <c r="HA436" s="5"/>
      <c r="HB436" s="5"/>
      <c r="HC436" s="5"/>
      <c r="HD436" s="5"/>
      <c r="HE436" s="5"/>
      <c r="HF436" s="5"/>
      <c r="HG436" s="5"/>
      <c r="HH436" s="5"/>
      <c r="HI436" s="5"/>
      <c r="HJ436" s="5"/>
      <c r="HK436" s="5"/>
      <c r="HL436" s="5"/>
      <c r="HM436" s="5"/>
      <c r="HN436" s="5"/>
      <c r="HO436" s="5"/>
      <c r="HP436" s="5"/>
    </row>
    <row r="437" spans="3:224" ht="20.100000000000001" customHeight="1">
      <c r="C437" s="24">
        <v>15307002</v>
      </c>
      <c r="D437" s="25" t="s">
        <v>452</v>
      </c>
      <c r="E437" s="25">
        <v>11200002</v>
      </c>
      <c r="F437" s="25">
        <v>0</v>
      </c>
      <c r="G437" s="25">
        <v>1</v>
      </c>
      <c r="H437" s="25">
        <v>40</v>
      </c>
      <c r="I437" s="29">
        <v>0.2</v>
      </c>
      <c r="J437" s="30">
        <v>15</v>
      </c>
      <c r="K437" s="25">
        <v>0</v>
      </c>
      <c r="L437" s="25">
        <v>0</v>
      </c>
      <c r="M437" s="25">
        <f t="shared" si="50"/>
        <v>83</v>
      </c>
      <c r="N437" s="25">
        <v>165</v>
      </c>
      <c r="O437" s="25">
        <v>0</v>
      </c>
      <c r="P437" s="25">
        <v>0</v>
      </c>
      <c r="Q437" s="25">
        <f t="shared" si="51"/>
        <v>0</v>
      </c>
      <c r="R437" s="25">
        <v>0</v>
      </c>
      <c r="S437" s="25">
        <f t="shared" si="52"/>
        <v>25</v>
      </c>
      <c r="T437" s="25">
        <v>50</v>
      </c>
      <c r="U437" s="29">
        <v>0</v>
      </c>
      <c r="V437" s="25">
        <v>0</v>
      </c>
      <c r="W437" s="25">
        <v>0</v>
      </c>
      <c r="X437" s="25">
        <v>0</v>
      </c>
      <c r="Y437" s="29">
        <v>0</v>
      </c>
      <c r="Z437" s="29">
        <v>0</v>
      </c>
      <c r="AA437" s="29">
        <v>0</v>
      </c>
      <c r="AB437" s="29">
        <v>0</v>
      </c>
      <c r="AC437" s="29">
        <v>0</v>
      </c>
      <c r="AD437" s="29">
        <v>0</v>
      </c>
      <c r="AE437" s="43"/>
      <c r="GR437" s="5"/>
      <c r="GS437" s="5"/>
      <c r="GT437" s="5"/>
      <c r="GU437" s="5"/>
      <c r="GV437" s="5"/>
      <c r="GW437" s="5"/>
      <c r="GX437" s="5"/>
      <c r="GY437" s="5"/>
      <c r="GZ437" s="5"/>
      <c r="HA437" s="5"/>
      <c r="HB437" s="5"/>
      <c r="HC437" s="5"/>
      <c r="HD437" s="5"/>
      <c r="HE437" s="5"/>
      <c r="HF437" s="5"/>
      <c r="HG437" s="5"/>
      <c r="HH437" s="5"/>
      <c r="HI437" s="5"/>
      <c r="HJ437" s="5"/>
      <c r="HK437" s="5"/>
      <c r="HL437" s="5"/>
      <c r="HM437" s="5"/>
      <c r="HN437" s="5"/>
      <c r="HO437" s="5"/>
      <c r="HP437" s="5"/>
    </row>
    <row r="438" spans="3:224" ht="20.100000000000001" customHeight="1">
      <c r="C438" s="24">
        <v>15308001</v>
      </c>
      <c r="D438" s="25" t="s">
        <v>329</v>
      </c>
      <c r="E438" s="25">
        <v>11200002</v>
      </c>
      <c r="F438" s="25">
        <v>0</v>
      </c>
      <c r="G438" s="25">
        <v>1</v>
      </c>
      <c r="H438" s="25">
        <v>40</v>
      </c>
      <c r="I438" s="29">
        <v>0.2</v>
      </c>
      <c r="J438" s="30">
        <v>15</v>
      </c>
      <c r="K438" s="25">
        <v>0</v>
      </c>
      <c r="L438" s="25">
        <v>0</v>
      </c>
      <c r="M438" s="25">
        <v>12</v>
      </c>
      <c r="N438" s="25">
        <v>25</v>
      </c>
      <c r="O438" s="25">
        <v>0</v>
      </c>
      <c r="P438" s="25">
        <v>0</v>
      </c>
      <c r="Q438" s="25">
        <f t="shared" si="51"/>
        <v>0</v>
      </c>
      <c r="R438" s="25">
        <v>0</v>
      </c>
      <c r="S438" s="25">
        <f t="shared" si="52"/>
        <v>0</v>
      </c>
      <c r="T438" s="25">
        <v>0</v>
      </c>
      <c r="U438" s="29">
        <v>0</v>
      </c>
      <c r="V438" s="25">
        <v>0</v>
      </c>
      <c r="W438" s="25">
        <v>0</v>
      </c>
      <c r="X438" s="25">
        <v>0</v>
      </c>
      <c r="Y438" s="29">
        <v>0</v>
      </c>
      <c r="Z438" s="29">
        <v>0</v>
      </c>
      <c r="AA438" s="29">
        <v>0</v>
      </c>
      <c r="AB438" s="29">
        <v>0</v>
      </c>
      <c r="AC438" s="29">
        <v>0</v>
      </c>
      <c r="AD438" s="29">
        <v>0</v>
      </c>
      <c r="AE438" s="43"/>
      <c r="GR438" s="5"/>
      <c r="GS438" s="5"/>
      <c r="GT438" s="5"/>
      <c r="GU438" s="5"/>
      <c r="GV438" s="5"/>
      <c r="GW438" s="5"/>
      <c r="GX438" s="5"/>
      <c r="GY438" s="5"/>
      <c r="GZ438" s="5"/>
      <c r="HA438" s="5"/>
      <c r="HB438" s="5"/>
      <c r="HC438" s="5"/>
      <c r="HD438" s="5"/>
      <c r="HE438" s="5"/>
      <c r="HF438" s="5"/>
      <c r="HG438" s="5"/>
      <c r="HH438" s="5"/>
      <c r="HI438" s="5"/>
      <c r="HJ438" s="5"/>
      <c r="HK438" s="5"/>
      <c r="HL438" s="5"/>
      <c r="HM438" s="5"/>
      <c r="HN438" s="5"/>
      <c r="HO438" s="5"/>
      <c r="HP438" s="5"/>
    </row>
    <row r="439" spans="3:224" ht="20.100000000000001" customHeight="1">
      <c r="C439" s="24">
        <v>15308002</v>
      </c>
      <c r="D439" s="25" t="s">
        <v>453</v>
      </c>
      <c r="E439" s="25">
        <v>11200002</v>
      </c>
      <c r="F439" s="25">
        <v>0</v>
      </c>
      <c r="G439" s="25">
        <v>1</v>
      </c>
      <c r="H439" s="25">
        <v>40</v>
      </c>
      <c r="I439" s="29">
        <v>0.2</v>
      </c>
      <c r="J439" s="30">
        <v>15</v>
      </c>
      <c r="K439" s="25">
        <v>0</v>
      </c>
      <c r="L439" s="25">
        <v>0</v>
      </c>
      <c r="M439" s="25">
        <v>15</v>
      </c>
      <c r="N439" s="25">
        <v>32</v>
      </c>
      <c r="O439" s="25">
        <v>0</v>
      </c>
      <c r="P439" s="25">
        <v>0</v>
      </c>
      <c r="Q439" s="25">
        <f t="shared" si="51"/>
        <v>0</v>
      </c>
      <c r="R439" s="25">
        <v>0</v>
      </c>
      <c r="S439" s="25">
        <f t="shared" si="52"/>
        <v>0</v>
      </c>
      <c r="T439" s="25">
        <v>0</v>
      </c>
      <c r="U439" s="29">
        <v>0</v>
      </c>
      <c r="V439" s="25">
        <v>0</v>
      </c>
      <c r="W439" s="25">
        <v>0</v>
      </c>
      <c r="X439" s="25">
        <v>0</v>
      </c>
      <c r="Y439" s="29">
        <v>0</v>
      </c>
      <c r="Z439" s="29">
        <v>0</v>
      </c>
      <c r="AA439" s="29">
        <v>0</v>
      </c>
      <c r="AB439" s="29">
        <v>0</v>
      </c>
      <c r="AC439" s="29">
        <v>0</v>
      </c>
      <c r="AD439" s="29">
        <v>0</v>
      </c>
      <c r="AE439" s="43"/>
      <c r="GR439" s="5"/>
      <c r="GS439" s="5"/>
      <c r="GT439" s="5"/>
      <c r="GU439" s="5"/>
      <c r="GV439" s="5"/>
      <c r="GW439" s="5"/>
      <c r="GX439" s="5"/>
      <c r="GY439" s="5"/>
      <c r="GZ439" s="5"/>
      <c r="HA439" s="5"/>
      <c r="HB439" s="5"/>
      <c r="HC439" s="5"/>
      <c r="HD439" s="5"/>
      <c r="HE439" s="5"/>
      <c r="HF439" s="5"/>
      <c r="HG439" s="5"/>
      <c r="HH439" s="5"/>
      <c r="HI439" s="5"/>
      <c r="HJ439" s="5"/>
      <c r="HK439" s="5"/>
      <c r="HL439" s="5"/>
      <c r="HM439" s="5"/>
      <c r="HN439" s="5"/>
      <c r="HO439" s="5"/>
      <c r="HP439" s="5"/>
    </row>
    <row r="440" spans="3:224" s="3" customFormat="1" ht="20.100000000000001" customHeight="1">
      <c r="C440" s="26">
        <v>15308003</v>
      </c>
      <c r="D440" s="46" t="s">
        <v>454</v>
      </c>
      <c r="E440" s="28">
        <v>11200002</v>
      </c>
      <c r="F440" s="28">
        <v>0</v>
      </c>
      <c r="G440" s="28">
        <v>1</v>
      </c>
      <c r="H440" s="28">
        <v>40</v>
      </c>
      <c r="I440" s="31">
        <v>0.2</v>
      </c>
      <c r="J440" s="30">
        <v>15</v>
      </c>
      <c r="K440" s="28">
        <v>0</v>
      </c>
      <c r="L440" s="28">
        <v>0</v>
      </c>
      <c r="M440" s="28">
        <v>20</v>
      </c>
      <c r="N440" s="28">
        <v>40</v>
      </c>
      <c r="O440" s="28">
        <v>0</v>
      </c>
      <c r="P440" s="28">
        <v>0</v>
      </c>
      <c r="Q440" s="28">
        <f t="shared" ref="Q440" si="71">ROUND(R440/2,0)</f>
        <v>0</v>
      </c>
      <c r="R440" s="28">
        <v>0</v>
      </c>
      <c r="S440" s="28">
        <f t="shared" ref="S440" si="72">ROUND(T440/2,0)</f>
        <v>0</v>
      </c>
      <c r="T440" s="28">
        <v>0</v>
      </c>
      <c r="U440" s="31">
        <v>0</v>
      </c>
      <c r="V440" s="28">
        <v>0</v>
      </c>
      <c r="W440" s="28">
        <v>0</v>
      </c>
      <c r="X440" s="28">
        <v>0</v>
      </c>
      <c r="Y440" s="31">
        <v>0</v>
      </c>
      <c r="Z440" s="31">
        <v>0</v>
      </c>
      <c r="AA440" s="31">
        <v>0</v>
      </c>
      <c r="AB440" s="31">
        <v>0</v>
      </c>
      <c r="AC440" s="31">
        <v>0</v>
      </c>
      <c r="AD440" s="31">
        <v>0</v>
      </c>
      <c r="AE440" s="45"/>
      <c r="AF440" s="33"/>
      <c r="AG440" s="33"/>
      <c r="AH440" s="33"/>
      <c r="AI440" s="33"/>
      <c r="AJ440" s="33"/>
      <c r="AK440" s="33"/>
      <c r="AL440" s="33"/>
      <c r="AM440" s="33"/>
      <c r="AN440" s="33"/>
      <c r="AO440" s="33"/>
      <c r="AP440" s="33"/>
      <c r="AQ440" s="33"/>
      <c r="AR440" s="33"/>
      <c r="AS440" s="33"/>
      <c r="AT440" s="33"/>
      <c r="AU440" s="33"/>
      <c r="AV440" s="33"/>
      <c r="AW440" s="33"/>
      <c r="AX440" s="33"/>
      <c r="AY440" s="33"/>
      <c r="AZ440" s="33"/>
      <c r="BA440" s="33"/>
      <c r="BB440" s="33"/>
      <c r="BC440" s="33"/>
      <c r="BD440" s="33"/>
      <c r="BE440" s="33"/>
      <c r="BF440" s="33"/>
      <c r="BG440" s="33"/>
      <c r="BH440" s="33"/>
      <c r="BI440" s="33"/>
      <c r="BJ440" s="33"/>
      <c r="BK440" s="33"/>
      <c r="BL440" s="33"/>
      <c r="BM440" s="33"/>
      <c r="BN440" s="33"/>
      <c r="BO440" s="33"/>
      <c r="BP440" s="33"/>
      <c r="BQ440" s="33"/>
      <c r="BR440" s="33"/>
      <c r="BS440" s="33"/>
      <c r="BT440" s="33"/>
      <c r="BU440" s="33"/>
      <c r="BV440" s="33"/>
      <c r="BW440" s="33"/>
      <c r="BX440" s="33"/>
      <c r="BY440" s="33"/>
      <c r="BZ440" s="33"/>
      <c r="CA440" s="33"/>
      <c r="CB440" s="33"/>
      <c r="CC440" s="33"/>
      <c r="CD440" s="33"/>
      <c r="CE440" s="33"/>
      <c r="CF440" s="33"/>
      <c r="CG440" s="33"/>
      <c r="CH440" s="33"/>
      <c r="CI440" s="33"/>
      <c r="CJ440" s="33"/>
      <c r="CK440" s="33"/>
      <c r="CL440" s="33"/>
      <c r="CM440" s="33"/>
      <c r="CN440" s="33"/>
      <c r="CO440" s="33"/>
      <c r="CP440" s="33"/>
      <c r="CQ440" s="33"/>
      <c r="CR440" s="33"/>
      <c r="CS440" s="33"/>
      <c r="CT440" s="33"/>
      <c r="CU440" s="33"/>
      <c r="CV440" s="33"/>
      <c r="CW440" s="33"/>
      <c r="CX440" s="33"/>
      <c r="CY440" s="33"/>
      <c r="CZ440" s="33"/>
      <c r="DA440" s="33"/>
      <c r="DB440" s="33"/>
      <c r="DC440" s="33"/>
      <c r="DD440" s="33"/>
      <c r="DE440" s="33"/>
      <c r="DF440" s="33"/>
      <c r="DG440" s="33"/>
      <c r="DH440" s="33"/>
      <c r="DI440" s="33"/>
      <c r="DJ440" s="33"/>
      <c r="DK440" s="33"/>
      <c r="DL440" s="33"/>
      <c r="DM440" s="33"/>
      <c r="DN440" s="33"/>
      <c r="DO440" s="33"/>
      <c r="DP440" s="33"/>
      <c r="DQ440" s="33"/>
      <c r="DR440" s="33"/>
      <c r="DS440" s="33"/>
      <c r="DT440" s="33"/>
      <c r="DU440" s="33"/>
      <c r="DV440" s="33"/>
      <c r="DW440" s="33"/>
      <c r="DX440" s="33"/>
      <c r="DY440" s="33"/>
      <c r="DZ440" s="33"/>
      <c r="EA440" s="33"/>
      <c r="EB440" s="33"/>
      <c r="EC440" s="33"/>
      <c r="ED440" s="33"/>
      <c r="EE440" s="33"/>
      <c r="EF440" s="33"/>
      <c r="EG440" s="33"/>
      <c r="EH440" s="33"/>
      <c r="EI440" s="33"/>
      <c r="EJ440" s="33"/>
      <c r="EK440" s="33"/>
      <c r="EL440" s="33"/>
      <c r="EM440" s="33"/>
      <c r="EN440" s="33"/>
      <c r="EO440" s="33"/>
      <c r="EP440" s="33"/>
      <c r="EQ440" s="33"/>
      <c r="ER440" s="33"/>
      <c r="ES440" s="33"/>
      <c r="ET440" s="33"/>
      <c r="EU440" s="33"/>
      <c r="EV440" s="33"/>
      <c r="EW440" s="33"/>
      <c r="EX440" s="33"/>
      <c r="EY440" s="33"/>
      <c r="EZ440" s="33"/>
      <c r="FA440" s="33"/>
      <c r="FB440" s="33"/>
      <c r="FC440" s="33"/>
      <c r="FD440" s="33"/>
      <c r="FE440" s="33"/>
      <c r="FF440" s="33"/>
      <c r="FG440" s="33"/>
      <c r="FH440" s="33"/>
      <c r="FI440" s="33"/>
      <c r="FJ440" s="33"/>
      <c r="FK440" s="33"/>
      <c r="FL440" s="33"/>
      <c r="FM440" s="33"/>
      <c r="FN440" s="33"/>
      <c r="FO440" s="33"/>
      <c r="FP440" s="33"/>
      <c r="FQ440" s="33"/>
      <c r="FR440" s="33"/>
      <c r="FS440" s="33"/>
      <c r="FT440" s="33"/>
      <c r="FU440" s="33"/>
      <c r="FV440" s="33"/>
      <c r="FW440" s="33"/>
      <c r="FX440" s="33"/>
      <c r="FY440" s="33"/>
      <c r="FZ440" s="33"/>
      <c r="GA440" s="33"/>
      <c r="GB440" s="33"/>
      <c r="GC440" s="33"/>
      <c r="GD440" s="33"/>
      <c r="GE440" s="33"/>
      <c r="GF440" s="33"/>
      <c r="GG440" s="33"/>
      <c r="GH440" s="33"/>
      <c r="GI440" s="33"/>
      <c r="GJ440" s="33"/>
      <c r="GK440" s="33"/>
      <c r="GL440" s="33"/>
      <c r="GM440" s="33"/>
      <c r="GN440" s="33"/>
      <c r="GO440" s="33"/>
      <c r="GP440" s="33"/>
      <c r="GQ440" s="33"/>
      <c r="GR440" s="33"/>
      <c r="GS440" s="33"/>
      <c r="GT440" s="33"/>
      <c r="GU440" s="33"/>
      <c r="GV440" s="33"/>
      <c r="GW440" s="33"/>
      <c r="GX440" s="33"/>
      <c r="GY440" s="33"/>
      <c r="GZ440" s="33"/>
      <c r="HA440" s="33"/>
      <c r="HB440" s="33"/>
      <c r="HC440" s="33"/>
      <c r="HD440" s="33"/>
      <c r="HE440" s="33"/>
      <c r="HF440" s="33"/>
      <c r="HG440" s="33"/>
      <c r="HH440" s="33"/>
      <c r="HI440" s="33"/>
      <c r="HJ440" s="33"/>
      <c r="HK440" s="33"/>
      <c r="HL440" s="33"/>
      <c r="HM440" s="33"/>
      <c r="HN440" s="33"/>
      <c r="HO440" s="33"/>
      <c r="HP440" s="33"/>
    </row>
    <row r="441" spans="3:224" s="3" customFormat="1" ht="19.5" customHeight="1">
      <c r="C441" s="26">
        <v>15308004</v>
      </c>
      <c r="D441" s="46" t="s">
        <v>455</v>
      </c>
      <c r="E441" s="28">
        <v>11200002</v>
      </c>
      <c r="F441" s="28">
        <v>0</v>
      </c>
      <c r="G441" s="28">
        <v>1</v>
      </c>
      <c r="H441" s="28">
        <v>40</v>
      </c>
      <c r="I441" s="31">
        <v>0.2</v>
      </c>
      <c r="J441" s="30">
        <v>15</v>
      </c>
      <c r="K441" s="28">
        <v>0</v>
      </c>
      <c r="L441" s="28">
        <v>0</v>
      </c>
      <c r="M441" s="28">
        <v>20</v>
      </c>
      <c r="N441" s="28">
        <v>40</v>
      </c>
      <c r="O441" s="28">
        <v>0</v>
      </c>
      <c r="P441" s="28">
        <v>0</v>
      </c>
      <c r="Q441" s="28">
        <f t="shared" ref="Q441" si="73">ROUND(R441/2,0)</f>
        <v>0</v>
      </c>
      <c r="R441" s="28">
        <v>0</v>
      </c>
      <c r="S441" s="28">
        <f t="shared" ref="S441" si="74">ROUND(T441/2,0)</f>
        <v>0</v>
      </c>
      <c r="T441" s="28">
        <v>0</v>
      </c>
      <c r="U441" s="31">
        <v>0</v>
      </c>
      <c r="V441" s="28">
        <v>0</v>
      </c>
      <c r="W441" s="28">
        <v>0</v>
      </c>
      <c r="X441" s="28">
        <v>0</v>
      </c>
      <c r="Y441" s="31">
        <v>0</v>
      </c>
      <c r="Z441" s="31">
        <v>0</v>
      </c>
      <c r="AA441" s="31">
        <v>0</v>
      </c>
      <c r="AB441" s="31">
        <v>0</v>
      </c>
      <c r="AC441" s="31">
        <v>0</v>
      </c>
      <c r="AD441" s="31">
        <v>0</v>
      </c>
      <c r="AE441" s="45"/>
      <c r="AF441" s="33"/>
      <c r="AG441" s="33"/>
      <c r="AH441" s="33"/>
      <c r="AI441" s="33"/>
      <c r="AJ441" s="33"/>
      <c r="AK441" s="33"/>
      <c r="AL441" s="33"/>
      <c r="AM441" s="33"/>
      <c r="AN441" s="33"/>
      <c r="AO441" s="33"/>
      <c r="AP441" s="33"/>
      <c r="AQ441" s="33"/>
      <c r="AR441" s="33"/>
      <c r="AS441" s="33"/>
      <c r="AT441" s="33"/>
      <c r="AU441" s="33"/>
      <c r="AV441" s="33"/>
      <c r="AW441" s="33"/>
      <c r="AX441" s="33"/>
      <c r="AY441" s="33"/>
      <c r="AZ441" s="33"/>
      <c r="BA441" s="33"/>
      <c r="BB441" s="33"/>
      <c r="BC441" s="33"/>
      <c r="BD441" s="33"/>
      <c r="BE441" s="33"/>
      <c r="BF441" s="33"/>
      <c r="BG441" s="33"/>
      <c r="BH441" s="33"/>
      <c r="BI441" s="33"/>
      <c r="BJ441" s="33"/>
      <c r="BK441" s="33"/>
      <c r="BL441" s="33"/>
      <c r="BM441" s="33"/>
      <c r="BN441" s="33"/>
      <c r="BO441" s="33"/>
      <c r="BP441" s="33"/>
      <c r="BQ441" s="33"/>
      <c r="BR441" s="33"/>
      <c r="BS441" s="33"/>
      <c r="BT441" s="33"/>
      <c r="BU441" s="33"/>
      <c r="BV441" s="33"/>
      <c r="BW441" s="33"/>
      <c r="BX441" s="33"/>
      <c r="BY441" s="33"/>
      <c r="BZ441" s="33"/>
      <c r="CA441" s="33"/>
      <c r="CB441" s="33"/>
      <c r="CC441" s="33"/>
      <c r="CD441" s="33"/>
      <c r="CE441" s="33"/>
      <c r="CF441" s="33"/>
      <c r="CG441" s="33"/>
      <c r="CH441" s="33"/>
      <c r="CI441" s="33"/>
      <c r="CJ441" s="33"/>
      <c r="CK441" s="33"/>
      <c r="CL441" s="33"/>
      <c r="CM441" s="33"/>
      <c r="CN441" s="33"/>
      <c r="CO441" s="33"/>
      <c r="CP441" s="33"/>
      <c r="CQ441" s="33"/>
      <c r="CR441" s="33"/>
      <c r="CS441" s="33"/>
      <c r="CT441" s="33"/>
      <c r="CU441" s="33"/>
      <c r="CV441" s="33"/>
      <c r="CW441" s="33"/>
      <c r="CX441" s="33"/>
      <c r="CY441" s="33"/>
      <c r="CZ441" s="33"/>
      <c r="DA441" s="33"/>
      <c r="DB441" s="33"/>
      <c r="DC441" s="33"/>
      <c r="DD441" s="33"/>
      <c r="DE441" s="33"/>
      <c r="DF441" s="33"/>
      <c r="DG441" s="33"/>
      <c r="DH441" s="33"/>
      <c r="DI441" s="33"/>
      <c r="DJ441" s="33"/>
      <c r="DK441" s="33"/>
      <c r="DL441" s="33"/>
      <c r="DM441" s="33"/>
      <c r="DN441" s="33"/>
      <c r="DO441" s="33"/>
      <c r="DP441" s="33"/>
      <c r="DQ441" s="33"/>
      <c r="DR441" s="33"/>
      <c r="DS441" s="33"/>
      <c r="DT441" s="33"/>
      <c r="DU441" s="33"/>
      <c r="DV441" s="33"/>
      <c r="DW441" s="33"/>
      <c r="DX441" s="33"/>
      <c r="DY441" s="33"/>
      <c r="DZ441" s="33"/>
      <c r="EA441" s="33"/>
      <c r="EB441" s="33"/>
      <c r="EC441" s="33"/>
      <c r="ED441" s="33"/>
      <c r="EE441" s="33"/>
      <c r="EF441" s="33"/>
      <c r="EG441" s="33"/>
      <c r="EH441" s="33"/>
      <c r="EI441" s="33"/>
      <c r="EJ441" s="33"/>
      <c r="EK441" s="33"/>
      <c r="EL441" s="33"/>
      <c r="EM441" s="33"/>
      <c r="EN441" s="33"/>
      <c r="EO441" s="33"/>
      <c r="EP441" s="33"/>
      <c r="EQ441" s="33"/>
      <c r="ER441" s="33"/>
      <c r="ES441" s="33"/>
      <c r="ET441" s="33"/>
      <c r="EU441" s="33"/>
      <c r="EV441" s="33"/>
      <c r="EW441" s="33"/>
      <c r="EX441" s="33"/>
      <c r="EY441" s="33"/>
      <c r="EZ441" s="33"/>
      <c r="FA441" s="33"/>
      <c r="FB441" s="33"/>
      <c r="FC441" s="33"/>
      <c r="FD441" s="33"/>
      <c r="FE441" s="33"/>
      <c r="FF441" s="33"/>
      <c r="FG441" s="33"/>
      <c r="FH441" s="33"/>
      <c r="FI441" s="33"/>
      <c r="FJ441" s="33"/>
      <c r="FK441" s="33"/>
      <c r="FL441" s="33"/>
      <c r="FM441" s="33"/>
      <c r="FN441" s="33"/>
      <c r="FO441" s="33"/>
      <c r="FP441" s="33"/>
      <c r="FQ441" s="33"/>
      <c r="FR441" s="33"/>
      <c r="FS441" s="33"/>
      <c r="FT441" s="33"/>
      <c r="FU441" s="33"/>
      <c r="FV441" s="33"/>
      <c r="FW441" s="33"/>
      <c r="FX441" s="33"/>
      <c r="FY441" s="33"/>
      <c r="FZ441" s="33"/>
      <c r="GA441" s="33"/>
      <c r="GB441" s="33"/>
      <c r="GC441" s="33"/>
      <c r="GD441" s="33"/>
      <c r="GE441" s="33"/>
      <c r="GF441" s="33"/>
      <c r="GG441" s="33"/>
      <c r="GH441" s="33"/>
      <c r="GI441" s="33"/>
      <c r="GJ441" s="33"/>
      <c r="GK441" s="33"/>
      <c r="GL441" s="33"/>
      <c r="GM441" s="33"/>
      <c r="GN441" s="33"/>
      <c r="GO441" s="33"/>
      <c r="GP441" s="33"/>
      <c r="GQ441" s="33"/>
      <c r="GR441" s="33"/>
      <c r="GS441" s="33"/>
      <c r="GT441" s="33"/>
      <c r="GU441" s="33"/>
      <c r="GV441" s="33"/>
      <c r="GW441" s="33"/>
      <c r="GX441" s="33"/>
      <c r="GY441" s="33"/>
      <c r="GZ441" s="33"/>
      <c r="HA441" s="33"/>
      <c r="HB441" s="33"/>
      <c r="HC441" s="33"/>
      <c r="HD441" s="33"/>
      <c r="HE441" s="33"/>
      <c r="HF441" s="33"/>
      <c r="HG441" s="33"/>
      <c r="HH441" s="33"/>
      <c r="HI441" s="33"/>
      <c r="HJ441" s="33"/>
      <c r="HK441" s="33"/>
      <c r="HL441" s="33"/>
      <c r="HM441" s="33"/>
      <c r="HN441" s="33"/>
      <c r="HO441" s="33"/>
      <c r="HP441" s="33"/>
    </row>
    <row r="442" spans="3:224" ht="20.100000000000001" customHeight="1">
      <c r="C442" s="24">
        <v>15309001</v>
      </c>
      <c r="D442" s="25" t="s">
        <v>333</v>
      </c>
      <c r="E442" s="25">
        <v>11200001</v>
      </c>
      <c r="F442" s="25">
        <v>0</v>
      </c>
      <c r="G442" s="25">
        <v>1</v>
      </c>
      <c r="H442" s="25">
        <v>40</v>
      </c>
      <c r="I442" s="29">
        <v>0.2</v>
      </c>
      <c r="J442" s="30">
        <v>15</v>
      </c>
      <c r="K442" s="25">
        <v>0</v>
      </c>
      <c r="L442" s="25">
        <v>3820</v>
      </c>
      <c r="M442" s="25">
        <f t="shared" si="50"/>
        <v>0</v>
      </c>
      <c r="N442" s="25">
        <v>0</v>
      </c>
      <c r="O442" s="25">
        <v>0</v>
      </c>
      <c r="P442" s="25">
        <v>0</v>
      </c>
      <c r="Q442" s="25">
        <f t="shared" si="51"/>
        <v>0</v>
      </c>
      <c r="R442" s="25">
        <v>0</v>
      </c>
      <c r="S442" s="25">
        <f t="shared" si="52"/>
        <v>0</v>
      </c>
      <c r="T442" s="25">
        <v>0</v>
      </c>
      <c r="U442" s="29">
        <v>0</v>
      </c>
      <c r="V442" s="25">
        <v>0</v>
      </c>
      <c r="W442" s="25">
        <v>0</v>
      </c>
      <c r="X442" s="25">
        <v>0</v>
      </c>
      <c r="Y442" s="29">
        <v>0</v>
      </c>
      <c r="Z442" s="29">
        <v>0</v>
      </c>
      <c r="AA442" s="29">
        <v>0</v>
      </c>
      <c r="AB442" s="29">
        <v>0</v>
      </c>
      <c r="AC442" s="29">
        <v>0</v>
      </c>
      <c r="AD442" s="29">
        <v>0</v>
      </c>
      <c r="AE442" s="43"/>
      <c r="GR442" s="5"/>
      <c r="GS442" s="5"/>
      <c r="GT442" s="5"/>
      <c r="GU442" s="5"/>
      <c r="GV442" s="5"/>
      <c r="GW442" s="5"/>
      <c r="GX442" s="5"/>
      <c r="GY442" s="5"/>
      <c r="GZ442" s="5"/>
      <c r="HA442" s="5"/>
      <c r="HB442" s="5"/>
      <c r="HC442" s="5"/>
      <c r="HD442" s="5"/>
      <c r="HE442" s="5"/>
      <c r="HF442" s="5"/>
      <c r="HG442" s="5"/>
      <c r="HH442" s="5"/>
      <c r="HI442" s="5"/>
      <c r="HJ442" s="5"/>
      <c r="HK442" s="5"/>
      <c r="HL442" s="5"/>
      <c r="HM442" s="5"/>
      <c r="HN442" s="5"/>
      <c r="HO442" s="5"/>
      <c r="HP442" s="5"/>
    </row>
    <row r="443" spans="3:224" ht="20.100000000000001" customHeight="1">
      <c r="C443" s="24">
        <v>15309002</v>
      </c>
      <c r="D443" s="25" t="s">
        <v>456</v>
      </c>
      <c r="E443" s="25">
        <v>11200001</v>
      </c>
      <c r="F443" s="25">
        <v>0</v>
      </c>
      <c r="G443" s="25">
        <v>1</v>
      </c>
      <c r="H443" s="25">
        <v>40</v>
      </c>
      <c r="I443" s="29">
        <v>0.2</v>
      </c>
      <c r="J443" s="30">
        <v>15</v>
      </c>
      <c r="K443" s="25">
        <v>0</v>
      </c>
      <c r="L443" s="25">
        <v>4620</v>
      </c>
      <c r="M443" s="25">
        <f t="shared" si="50"/>
        <v>0</v>
      </c>
      <c r="N443" s="25">
        <v>0</v>
      </c>
      <c r="O443" s="25">
        <v>0</v>
      </c>
      <c r="P443" s="25">
        <v>0</v>
      </c>
      <c r="Q443" s="25">
        <f t="shared" si="51"/>
        <v>0</v>
      </c>
      <c r="R443" s="25">
        <v>0</v>
      </c>
      <c r="S443" s="25">
        <f t="shared" si="52"/>
        <v>0</v>
      </c>
      <c r="T443" s="25">
        <v>0</v>
      </c>
      <c r="U443" s="29">
        <v>0</v>
      </c>
      <c r="V443" s="25">
        <v>0</v>
      </c>
      <c r="W443" s="25">
        <v>0</v>
      </c>
      <c r="X443" s="25">
        <v>0</v>
      </c>
      <c r="Y443" s="29">
        <v>0</v>
      </c>
      <c r="Z443" s="29">
        <v>0</v>
      </c>
      <c r="AA443" s="29">
        <v>0</v>
      </c>
      <c r="AB443" s="29">
        <v>0</v>
      </c>
      <c r="AC443" s="29">
        <v>0</v>
      </c>
      <c r="AD443" s="29">
        <v>0</v>
      </c>
      <c r="AE443" s="43"/>
      <c r="GR443" s="5"/>
      <c r="GS443" s="5"/>
      <c r="GT443" s="5"/>
      <c r="GU443" s="5"/>
      <c r="GV443" s="5"/>
      <c r="GW443" s="5"/>
      <c r="GX443" s="5"/>
      <c r="GY443" s="5"/>
      <c r="GZ443" s="5"/>
      <c r="HA443" s="5"/>
      <c r="HB443" s="5"/>
      <c r="HC443" s="5"/>
      <c r="HD443" s="5"/>
      <c r="HE443" s="5"/>
      <c r="HF443" s="5"/>
      <c r="HG443" s="5"/>
      <c r="HH443" s="5"/>
      <c r="HI443" s="5"/>
      <c r="HJ443" s="5"/>
      <c r="HK443" s="5"/>
      <c r="HL443" s="5"/>
      <c r="HM443" s="5"/>
      <c r="HN443" s="5"/>
      <c r="HO443" s="5"/>
      <c r="HP443" s="5"/>
    </row>
    <row r="444" spans="3:224" ht="20.100000000000001" customHeight="1">
      <c r="C444" s="24">
        <v>15310001</v>
      </c>
      <c r="D444" s="24" t="s">
        <v>457</v>
      </c>
      <c r="E444" s="25">
        <v>11200001</v>
      </c>
      <c r="F444" s="25">
        <v>0</v>
      </c>
      <c r="G444" s="25">
        <v>1</v>
      </c>
      <c r="H444" s="25">
        <v>40</v>
      </c>
      <c r="I444" s="29">
        <v>0.2</v>
      </c>
      <c r="J444" s="30">
        <v>15</v>
      </c>
      <c r="K444" s="25">
        <v>0</v>
      </c>
      <c r="L444" s="25">
        <v>0</v>
      </c>
      <c r="M444" s="25">
        <f t="shared" si="50"/>
        <v>193</v>
      </c>
      <c r="N444" s="25">
        <v>385</v>
      </c>
      <c r="O444" s="25">
        <v>0</v>
      </c>
      <c r="P444" s="25">
        <v>0</v>
      </c>
      <c r="Q444" s="25">
        <f t="shared" si="51"/>
        <v>0</v>
      </c>
      <c r="R444" s="25">
        <v>0</v>
      </c>
      <c r="S444" s="25">
        <f t="shared" si="52"/>
        <v>0</v>
      </c>
      <c r="T444" s="25">
        <v>0</v>
      </c>
      <c r="U444" s="29">
        <v>0</v>
      </c>
      <c r="V444" s="25">
        <v>0</v>
      </c>
      <c r="W444" s="25">
        <v>0</v>
      </c>
      <c r="X444" s="25">
        <v>0</v>
      </c>
      <c r="Y444" s="29">
        <v>0</v>
      </c>
      <c r="Z444" s="29">
        <v>0</v>
      </c>
      <c r="AA444" s="29">
        <v>0</v>
      </c>
      <c r="AB444" s="29">
        <v>0</v>
      </c>
      <c r="AC444" s="29">
        <v>0</v>
      </c>
      <c r="AD444" s="29">
        <v>0</v>
      </c>
      <c r="AE444" s="43"/>
      <c r="GR444" s="5"/>
      <c r="GS444" s="5"/>
      <c r="GT444" s="5"/>
      <c r="GU444" s="5"/>
      <c r="GV444" s="5"/>
      <c r="GW444" s="5"/>
      <c r="GX444" s="5"/>
      <c r="GY444" s="5"/>
      <c r="GZ444" s="5"/>
      <c r="HA444" s="5"/>
      <c r="HB444" s="5"/>
      <c r="HC444" s="5"/>
      <c r="HD444" s="5"/>
      <c r="HE444" s="5"/>
      <c r="HF444" s="5"/>
      <c r="HG444" s="5"/>
      <c r="HH444" s="5"/>
      <c r="HI444" s="5"/>
      <c r="HJ444" s="5"/>
      <c r="HK444" s="5"/>
      <c r="HL444" s="5"/>
      <c r="HM444" s="5"/>
      <c r="HN444" s="5"/>
      <c r="HO444" s="5"/>
      <c r="HP444" s="5"/>
    </row>
    <row r="445" spans="3:224" ht="20.100000000000001" customHeight="1">
      <c r="C445" s="24">
        <v>15310002</v>
      </c>
      <c r="D445" s="24" t="s">
        <v>458</v>
      </c>
      <c r="E445" s="25">
        <v>11200001</v>
      </c>
      <c r="F445" s="25">
        <v>0</v>
      </c>
      <c r="G445" s="25">
        <v>1</v>
      </c>
      <c r="H445" s="25">
        <v>40</v>
      </c>
      <c r="I445" s="29">
        <v>0.2</v>
      </c>
      <c r="J445" s="30">
        <v>15</v>
      </c>
      <c r="K445" s="25">
        <v>0</v>
      </c>
      <c r="L445" s="25">
        <v>0</v>
      </c>
      <c r="M445" s="25">
        <f t="shared" si="50"/>
        <v>230</v>
      </c>
      <c r="N445" s="25">
        <v>460</v>
      </c>
      <c r="O445" s="25">
        <v>0</v>
      </c>
      <c r="P445" s="25">
        <v>0</v>
      </c>
      <c r="Q445" s="25">
        <f t="shared" si="51"/>
        <v>0</v>
      </c>
      <c r="R445" s="25">
        <v>0</v>
      </c>
      <c r="S445" s="25">
        <f t="shared" si="52"/>
        <v>0</v>
      </c>
      <c r="T445" s="25">
        <v>0</v>
      </c>
      <c r="U445" s="29">
        <v>0</v>
      </c>
      <c r="V445" s="25">
        <v>0</v>
      </c>
      <c r="W445" s="25">
        <v>0</v>
      </c>
      <c r="X445" s="25">
        <v>0</v>
      </c>
      <c r="Y445" s="29">
        <v>0</v>
      </c>
      <c r="Z445" s="29">
        <v>0</v>
      </c>
      <c r="AA445" s="29">
        <v>0</v>
      </c>
      <c r="AB445" s="29">
        <v>0</v>
      </c>
      <c r="AC445" s="29">
        <v>0</v>
      </c>
      <c r="AD445" s="29">
        <v>0</v>
      </c>
      <c r="AE445" s="43"/>
      <c r="GR445" s="5"/>
      <c r="GS445" s="5"/>
      <c r="GT445" s="5"/>
      <c r="GU445" s="5"/>
      <c r="GV445" s="5"/>
      <c r="GW445" s="5"/>
      <c r="GX445" s="5"/>
      <c r="GY445" s="5"/>
      <c r="GZ445" s="5"/>
      <c r="HA445" s="5"/>
      <c r="HB445" s="5"/>
      <c r="HC445" s="5"/>
      <c r="HD445" s="5"/>
      <c r="HE445" s="5"/>
      <c r="HF445" s="5"/>
      <c r="HG445" s="5"/>
      <c r="HH445" s="5"/>
      <c r="HI445" s="5"/>
      <c r="HJ445" s="5"/>
      <c r="HK445" s="5"/>
      <c r="HL445" s="5"/>
      <c r="HM445" s="5"/>
      <c r="HN445" s="5"/>
      <c r="HO445" s="5"/>
      <c r="HP445" s="5"/>
    </row>
    <row r="446" spans="3:224" ht="20.100000000000001" customHeight="1">
      <c r="C446" s="24">
        <v>15310003</v>
      </c>
      <c r="D446" s="24" t="s">
        <v>459</v>
      </c>
      <c r="E446" s="25">
        <v>11200001</v>
      </c>
      <c r="F446" s="25">
        <v>0</v>
      </c>
      <c r="G446" s="25">
        <v>1</v>
      </c>
      <c r="H446" s="25">
        <v>40</v>
      </c>
      <c r="I446" s="29">
        <v>0.2</v>
      </c>
      <c r="J446" s="30">
        <v>15</v>
      </c>
      <c r="K446" s="25">
        <v>0</v>
      </c>
      <c r="L446" s="25">
        <v>0</v>
      </c>
      <c r="M446" s="25">
        <f t="shared" si="50"/>
        <v>193</v>
      </c>
      <c r="N446" s="25">
        <v>385</v>
      </c>
      <c r="O446" s="25">
        <v>0</v>
      </c>
      <c r="P446" s="25">
        <v>0</v>
      </c>
      <c r="Q446" s="25">
        <f t="shared" si="51"/>
        <v>0</v>
      </c>
      <c r="R446" s="25">
        <v>0</v>
      </c>
      <c r="S446" s="25">
        <f t="shared" si="52"/>
        <v>0</v>
      </c>
      <c r="T446" s="25">
        <v>0</v>
      </c>
      <c r="U446" s="29">
        <v>0</v>
      </c>
      <c r="V446" s="25">
        <v>0</v>
      </c>
      <c r="W446" s="25">
        <v>0</v>
      </c>
      <c r="X446" s="25">
        <v>0</v>
      </c>
      <c r="Y446" s="29">
        <v>0</v>
      </c>
      <c r="Z446" s="29">
        <v>0</v>
      </c>
      <c r="AA446" s="29">
        <v>0</v>
      </c>
      <c r="AB446" s="29">
        <v>0</v>
      </c>
      <c r="AC446" s="29">
        <v>0</v>
      </c>
      <c r="AD446" s="29">
        <v>0</v>
      </c>
      <c r="AE446" s="43"/>
      <c r="GR446" s="5"/>
      <c r="GS446" s="5"/>
      <c r="GT446" s="5"/>
      <c r="GU446" s="5"/>
      <c r="GV446" s="5"/>
      <c r="GW446" s="5"/>
      <c r="GX446" s="5"/>
      <c r="GY446" s="5"/>
      <c r="GZ446" s="5"/>
      <c r="HA446" s="5"/>
      <c r="HB446" s="5"/>
      <c r="HC446" s="5"/>
      <c r="HD446" s="5"/>
      <c r="HE446" s="5"/>
      <c r="HF446" s="5"/>
      <c r="HG446" s="5"/>
      <c r="HH446" s="5"/>
      <c r="HI446" s="5"/>
      <c r="HJ446" s="5"/>
      <c r="HK446" s="5"/>
      <c r="HL446" s="5"/>
      <c r="HM446" s="5"/>
      <c r="HN446" s="5"/>
      <c r="HO446" s="5"/>
      <c r="HP446" s="5"/>
    </row>
    <row r="447" spans="3:224" ht="20.100000000000001" customHeight="1">
      <c r="C447" s="24">
        <v>15310004</v>
      </c>
      <c r="D447" s="24" t="s">
        <v>460</v>
      </c>
      <c r="E447" s="25">
        <v>11200001</v>
      </c>
      <c r="F447" s="25">
        <v>0</v>
      </c>
      <c r="G447" s="25">
        <v>1</v>
      </c>
      <c r="H447" s="25">
        <v>40</v>
      </c>
      <c r="I447" s="29">
        <v>0.2</v>
      </c>
      <c r="J447" s="30">
        <v>15</v>
      </c>
      <c r="K447" s="25">
        <v>0</v>
      </c>
      <c r="L447" s="25">
        <v>0</v>
      </c>
      <c r="M447" s="25">
        <f t="shared" si="50"/>
        <v>230</v>
      </c>
      <c r="N447" s="25">
        <v>460</v>
      </c>
      <c r="O447" s="25">
        <v>0</v>
      </c>
      <c r="P447" s="25">
        <v>0</v>
      </c>
      <c r="Q447" s="25">
        <f t="shared" si="51"/>
        <v>0</v>
      </c>
      <c r="R447" s="25">
        <v>0</v>
      </c>
      <c r="S447" s="25">
        <f t="shared" si="52"/>
        <v>0</v>
      </c>
      <c r="T447" s="25">
        <v>0</v>
      </c>
      <c r="U447" s="29">
        <v>0</v>
      </c>
      <c r="V447" s="25">
        <v>0</v>
      </c>
      <c r="W447" s="25">
        <v>0</v>
      </c>
      <c r="X447" s="25">
        <v>0</v>
      </c>
      <c r="Y447" s="29">
        <v>0</v>
      </c>
      <c r="Z447" s="29">
        <v>0</v>
      </c>
      <c r="AA447" s="29">
        <v>0</v>
      </c>
      <c r="AB447" s="29">
        <v>0</v>
      </c>
      <c r="AC447" s="29">
        <v>0</v>
      </c>
      <c r="AD447" s="29">
        <v>0</v>
      </c>
      <c r="AE447" s="43"/>
      <c r="GR447" s="5"/>
      <c r="GS447" s="5"/>
      <c r="GT447" s="5"/>
      <c r="GU447" s="5"/>
      <c r="GV447" s="5"/>
      <c r="GW447" s="5"/>
      <c r="GX447" s="5"/>
      <c r="GY447" s="5"/>
      <c r="GZ447" s="5"/>
      <c r="HA447" s="5"/>
      <c r="HB447" s="5"/>
      <c r="HC447" s="5"/>
      <c r="HD447" s="5"/>
      <c r="HE447" s="5"/>
      <c r="HF447" s="5"/>
      <c r="HG447" s="5"/>
      <c r="HH447" s="5"/>
      <c r="HI447" s="5"/>
      <c r="HJ447" s="5"/>
      <c r="HK447" s="5"/>
      <c r="HL447" s="5"/>
      <c r="HM447" s="5"/>
      <c r="HN447" s="5"/>
      <c r="HO447" s="5"/>
      <c r="HP447" s="5"/>
    </row>
    <row r="448" spans="3:224" ht="19.5" customHeight="1">
      <c r="C448" s="24">
        <v>15310011</v>
      </c>
      <c r="D448" s="36" t="s">
        <v>461</v>
      </c>
      <c r="E448" s="25">
        <v>11200001</v>
      </c>
      <c r="F448" s="25">
        <v>13051</v>
      </c>
      <c r="G448" s="25">
        <v>1</v>
      </c>
      <c r="H448" s="25">
        <v>40</v>
      </c>
      <c r="I448" s="29">
        <v>0.2</v>
      </c>
      <c r="J448" s="30">
        <v>15</v>
      </c>
      <c r="K448" s="25">
        <v>0</v>
      </c>
      <c r="L448" s="25">
        <v>0</v>
      </c>
      <c r="M448" s="25">
        <f t="shared" ref="M448:M449" si="75">ROUND(N448/2,0)</f>
        <v>290</v>
      </c>
      <c r="N448" s="25">
        <v>580</v>
      </c>
      <c r="O448" s="25">
        <v>0</v>
      </c>
      <c r="P448" s="25">
        <v>0</v>
      </c>
      <c r="Q448" s="25">
        <f t="shared" ref="Q448:Q449" si="76">ROUND(R448/2,0)</f>
        <v>0</v>
      </c>
      <c r="R448" s="25">
        <v>0</v>
      </c>
      <c r="S448" s="25">
        <f t="shared" ref="S448:S449" si="77">ROUND(T448/2,0)</f>
        <v>0</v>
      </c>
      <c r="T448" s="25">
        <v>0</v>
      </c>
      <c r="U448" s="29">
        <v>0</v>
      </c>
      <c r="V448" s="25">
        <v>0</v>
      </c>
      <c r="W448" s="25">
        <v>0</v>
      </c>
      <c r="X448" s="25">
        <v>0</v>
      </c>
      <c r="Y448" s="29">
        <v>0</v>
      </c>
      <c r="Z448" s="29">
        <v>0</v>
      </c>
      <c r="AA448" s="29">
        <v>0</v>
      </c>
      <c r="AB448" s="29">
        <v>0</v>
      </c>
      <c r="AC448" s="29">
        <v>0</v>
      </c>
      <c r="AD448" s="29">
        <v>0</v>
      </c>
      <c r="AE448" s="42">
        <v>100004</v>
      </c>
      <c r="GR448" s="5"/>
      <c r="GS448" s="5"/>
      <c r="GT448" s="5"/>
      <c r="GU448" s="5"/>
      <c r="GV448" s="5"/>
      <c r="GW448" s="5"/>
      <c r="GX448" s="5"/>
      <c r="GY448" s="5"/>
      <c r="GZ448" s="5"/>
      <c r="HA448" s="5"/>
      <c r="HB448" s="5"/>
      <c r="HC448" s="5"/>
      <c r="HD448" s="5"/>
      <c r="HE448" s="5"/>
      <c r="HF448" s="5"/>
      <c r="HG448" s="5"/>
      <c r="HH448" s="5"/>
      <c r="HI448" s="5"/>
      <c r="HJ448" s="5"/>
      <c r="HK448" s="5"/>
      <c r="HL448" s="5"/>
      <c r="HM448" s="5"/>
      <c r="HN448" s="5"/>
      <c r="HO448" s="5"/>
      <c r="HP448" s="5"/>
    </row>
    <row r="449" spans="3:224" ht="20.100000000000001" customHeight="1">
      <c r="C449" s="24">
        <v>15310012</v>
      </c>
      <c r="D449" s="36" t="s">
        <v>462</v>
      </c>
      <c r="E449" s="25">
        <v>11200001</v>
      </c>
      <c r="F449" s="25">
        <v>13051</v>
      </c>
      <c r="G449" s="25">
        <v>1</v>
      </c>
      <c r="H449" s="25">
        <v>40</v>
      </c>
      <c r="I449" s="29">
        <v>0.2</v>
      </c>
      <c r="J449" s="30">
        <v>15</v>
      </c>
      <c r="K449" s="25">
        <v>0</v>
      </c>
      <c r="L449" s="25">
        <v>0</v>
      </c>
      <c r="M449" s="25">
        <f t="shared" si="75"/>
        <v>290</v>
      </c>
      <c r="N449" s="25">
        <v>580</v>
      </c>
      <c r="O449" s="25">
        <v>0</v>
      </c>
      <c r="P449" s="25">
        <v>0</v>
      </c>
      <c r="Q449" s="25">
        <f t="shared" si="76"/>
        <v>0</v>
      </c>
      <c r="R449" s="25">
        <v>0</v>
      </c>
      <c r="S449" s="25">
        <f t="shared" si="77"/>
        <v>0</v>
      </c>
      <c r="T449" s="25">
        <v>0</v>
      </c>
      <c r="U449" s="29">
        <v>0</v>
      </c>
      <c r="V449" s="25">
        <v>0</v>
      </c>
      <c r="W449" s="25">
        <v>0</v>
      </c>
      <c r="X449" s="25">
        <v>0</v>
      </c>
      <c r="Y449" s="29">
        <v>0</v>
      </c>
      <c r="Z449" s="29">
        <v>0</v>
      </c>
      <c r="AA449" s="29">
        <v>0</v>
      </c>
      <c r="AB449" s="29">
        <v>0</v>
      </c>
      <c r="AC449" s="29">
        <v>0</v>
      </c>
      <c r="AD449" s="29">
        <v>0</v>
      </c>
      <c r="AE449" s="42">
        <v>100003</v>
      </c>
      <c r="GR449" s="5"/>
      <c r="GS449" s="5"/>
      <c r="GT449" s="5"/>
      <c r="GU449" s="5"/>
      <c r="GV449" s="5"/>
      <c r="GW449" s="5"/>
      <c r="GX449" s="5"/>
      <c r="GY449" s="5"/>
      <c r="GZ449" s="5"/>
      <c r="HA449" s="5"/>
      <c r="HB449" s="5"/>
      <c r="HC449" s="5"/>
      <c r="HD449" s="5"/>
      <c r="HE449" s="5"/>
      <c r="HF449" s="5"/>
      <c r="HG449" s="5"/>
      <c r="HH449" s="5"/>
      <c r="HI449" s="5"/>
      <c r="HJ449" s="5"/>
      <c r="HK449" s="5"/>
      <c r="HL449" s="5"/>
      <c r="HM449" s="5"/>
      <c r="HN449" s="5"/>
      <c r="HO449" s="5"/>
      <c r="HP449" s="5"/>
    </row>
    <row r="450" spans="3:224" ht="20.100000000000001" customHeight="1">
      <c r="C450" s="24">
        <v>15310111</v>
      </c>
      <c r="D450" s="36" t="s">
        <v>461</v>
      </c>
      <c r="E450" s="25">
        <v>11200001</v>
      </c>
      <c r="F450" s="25">
        <v>13051</v>
      </c>
      <c r="G450" s="25">
        <v>1</v>
      </c>
      <c r="H450" s="25">
        <v>40</v>
      </c>
      <c r="I450" s="29">
        <v>0.2</v>
      </c>
      <c r="J450" s="30">
        <v>15</v>
      </c>
      <c r="K450" s="25">
        <v>0</v>
      </c>
      <c r="L450" s="25">
        <v>0</v>
      </c>
      <c r="M450" s="25">
        <f t="shared" ref="M450:M454" si="78">ROUND(N450/2,0)</f>
        <v>290</v>
      </c>
      <c r="N450" s="25">
        <v>580</v>
      </c>
      <c r="O450" s="25">
        <v>0</v>
      </c>
      <c r="P450" s="25">
        <v>0</v>
      </c>
      <c r="Q450" s="25">
        <f t="shared" ref="Q450:Q454" si="79">ROUND(R450/2,0)</f>
        <v>0</v>
      </c>
      <c r="R450" s="25">
        <v>0</v>
      </c>
      <c r="S450" s="25">
        <f t="shared" ref="S450:S454" si="80">ROUND(T450/2,0)</f>
        <v>0</v>
      </c>
      <c r="T450" s="25">
        <v>0</v>
      </c>
      <c r="U450" s="29">
        <v>0</v>
      </c>
      <c r="V450" s="25">
        <v>0</v>
      </c>
      <c r="W450" s="25">
        <v>0</v>
      </c>
      <c r="X450" s="25">
        <v>0</v>
      </c>
      <c r="Y450" s="29">
        <v>0</v>
      </c>
      <c r="Z450" s="29">
        <v>0</v>
      </c>
      <c r="AA450" s="29">
        <v>0</v>
      </c>
      <c r="AB450" s="29">
        <v>0</v>
      </c>
      <c r="AC450" s="29">
        <v>0</v>
      </c>
      <c r="AD450" s="29">
        <v>0</v>
      </c>
      <c r="AE450" s="43"/>
      <c r="GR450" s="5"/>
      <c r="GS450" s="5"/>
      <c r="GT450" s="5"/>
      <c r="GU450" s="5"/>
      <c r="GV450" s="5"/>
      <c r="GW450" s="5"/>
      <c r="GX450" s="5"/>
      <c r="GY450" s="5"/>
      <c r="GZ450" s="5"/>
      <c r="HA450" s="5"/>
      <c r="HB450" s="5"/>
      <c r="HC450" s="5"/>
      <c r="HD450" s="5"/>
      <c r="HE450" s="5"/>
      <c r="HF450" s="5"/>
      <c r="HG450" s="5"/>
      <c r="HH450" s="5"/>
      <c r="HI450" s="5"/>
      <c r="HJ450" s="5"/>
      <c r="HK450" s="5"/>
      <c r="HL450" s="5"/>
      <c r="HM450" s="5"/>
      <c r="HN450" s="5"/>
      <c r="HO450" s="5"/>
      <c r="HP450" s="5"/>
    </row>
    <row r="451" spans="3:224" ht="20.100000000000001" customHeight="1">
      <c r="C451" s="24">
        <v>15310112</v>
      </c>
      <c r="D451" s="36" t="s">
        <v>462</v>
      </c>
      <c r="E451" s="25">
        <v>11200001</v>
      </c>
      <c r="F451" s="25">
        <v>13051</v>
      </c>
      <c r="G451" s="25">
        <v>1</v>
      </c>
      <c r="H451" s="25">
        <v>40</v>
      </c>
      <c r="I451" s="29">
        <v>0.2</v>
      </c>
      <c r="J451" s="30">
        <v>15</v>
      </c>
      <c r="K451" s="25">
        <v>0</v>
      </c>
      <c r="L451" s="25">
        <v>0</v>
      </c>
      <c r="M451" s="25">
        <f t="shared" si="78"/>
        <v>290</v>
      </c>
      <c r="N451" s="25">
        <v>580</v>
      </c>
      <c r="O451" s="25">
        <v>0</v>
      </c>
      <c r="P451" s="25">
        <v>0</v>
      </c>
      <c r="Q451" s="25">
        <f t="shared" si="79"/>
        <v>0</v>
      </c>
      <c r="R451" s="25">
        <v>0</v>
      </c>
      <c r="S451" s="25">
        <f t="shared" si="80"/>
        <v>0</v>
      </c>
      <c r="T451" s="25">
        <v>0</v>
      </c>
      <c r="U451" s="29">
        <v>0</v>
      </c>
      <c r="V451" s="25">
        <v>0</v>
      </c>
      <c r="W451" s="25">
        <v>0</v>
      </c>
      <c r="X451" s="25">
        <v>0</v>
      </c>
      <c r="Y451" s="29">
        <v>0</v>
      </c>
      <c r="Z451" s="29">
        <v>0</v>
      </c>
      <c r="AA451" s="29">
        <v>0</v>
      </c>
      <c r="AB451" s="29">
        <v>0</v>
      </c>
      <c r="AC451" s="29">
        <v>0</v>
      </c>
      <c r="AD451" s="29">
        <v>0</v>
      </c>
      <c r="AE451" s="42">
        <v>100005</v>
      </c>
      <c r="GR451" s="5"/>
      <c r="GS451" s="5"/>
      <c r="GT451" s="5"/>
      <c r="GU451" s="5"/>
      <c r="GV451" s="5"/>
      <c r="GW451" s="5"/>
      <c r="GX451" s="5"/>
      <c r="GY451" s="5"/>
      <c r="GZ451" s="5"/>
      <c r="HA451" s="5"/>
      <c r="HB451" s="5"/>
      <c r="HC451" s="5"/>
      <c r="HD451" s="5"/>
      <c r="HE451" s="5"/>
      <c r="HF451" s="5"/>
      <c r="HG451" s="5"/>
      <c r="HH451" s="5"/>
      <c r="HI451" s="5"/>
      <c r="HJ451" s="5"/>
      <c r="HK451" s="5"/>
      <c r="HL451" s="5"/>
      <c r="HM451" s="5"/>
      <c r="HN451" s="5"/>
      <c r="HO451" s="5"/>
      <c r="HP451" s="5"/>
    </row>
    <row r="452" spans="3:224" ht="20.100000000000001" customHeight="1">
      <c r="C452" s="24">
        <v>15310201</v>
      </c>
      <c r="D452" s="24" t="s">
        <v>657</v>
      </c>
      <c r="E452" s="25">
        <v>11200001</v>
      </c>
      <c r="F452" s="25">
        <v>0</v>
      </c>
      <c r="G452" s="25">
        <v>1</v>
      </c>
      <c r="H452" s="25">
        <v>40</v>
      </c>
      <c r="I452" s="29">
        <v>0.2</v>
      </c>
      <c r="J452" s="30">
        <v>15</v>
      </c>
      <c r="K452" s="25">
        <v>0</v>
      </c>
      <c r="L452" s="25">
        <v>0</v>
      </c>
      <c r="M452" s="25">
        <f t="shared" si="78"/>
        <v>193</v>
      </c>
      <c r="N452" s="25">
        <v>385</v>
      </c>
      <c r="O452" s="25">
        <v>0</v>
      </c>
      <c r="P452" s="25">
        <v>0</v>
      </c>
      <c r="Q452" s="25">
        <f t="shared" si="79"/>
        <v>0</v>
      </c>
      <c r="R452" s="25">
        <v>0</v>
      </c>
      <c r="S452" s="25">
        <f t="shared" si="80"/>
        <v>0</v>
      </c>
      <c r="T452" s="25">
        <v>0</v>
      </c>
      <c r="U452" s="29">
        <v>0</v>
      </c>
      <c r="V452" s="25">
        <v>0</v>
      </c>
      <c r="W452" s="25">
        <v>0</v>
      </c>
      <c r="X452" s="25">
        <v>0</v>
      </c>
      <c r="Y452" s="29">
        <v>0</v>
      </c>
      <c r="Z452" s="29">
        <v>0</v>
      </c>
      <c r="AA452" s="29">
        <v>0</v>
      </c>
      <c r="AB452" s="29">
        <v>0</v>
      </c>
      <c r="AC452" s="29">
        <v>0</v>
      </c>
      <c r="AD452" s="29">
        <v>0</v>
      </c>
      <c r="AE452" s="43"/>
      <c r="GR452" s="5"/>
      <c r="GS452" s="5"/>
      <c r="GT452" s="5"/>
      <c r="GU452" s="5"/>
      <c r="GV452" s="5"/>
      <c r="GW452" s="5"/>
      <c r="GX452" s="5"/>
      <c r="GY452" s="5"/>
      <c r="GZ452" s="5"/>
      <c r="HA452" s="5"/>
      <c r="HB452" s="5"/>
      <c r="HC452" s="5"/>
      <c r="HD452" s="5"/>
      <c r="HE452" s="5"/>
      <c r="HF452" s="5"/>
      <c r="HG452" s="5"/>
      <c r="HH452" s="5"/>
      <c r="HI452" s="5"/>
      <c r="HJ452" s="5"/>
      <c r="HK452" s="5"/>
      <c r="HL452" s="5"/>
      <c r="HM452" s="5"/>
      <c r="HN452" s="5"/>
      <c r="HO452" s="5"/>
      <c r="HP452" s="5"/>
    </row>
    <row r="453" spans="3:224" ht="20.100000000000001" customHeight="1">
      <c r="C453" s="24">
        <v>15310202</v>
      </c>
      <c r="D453" s="24" t="s">
        <v>658</v>
      </c>
      <c r="E453" s="25">
        <v>11200001</v>
      </c>
      <c r="F453" s="25">
        <v>0</v>
      </c>
      <c r="G453" s="25">
        <v>1</v>
      </c>
      <c r="H453" s="25">
        <v>40</v>
      </c>
      <c r="I453" s="29">
        <v>0.2</v>
      </c>
      <c r="J453" s="30">
        <v>15</v>
      </c>
      <c r="K453" s="25">
        <v>0</v>
      </c>
      <c r="L453" s="25">
        <v>0</v>
      </c>
      <c r="M453" s="25">
        <f t="shared" si="78"/>
        <v>230</v>
      </c>
      <c r="N453" s="25">
        <v>460</v>
      </c>
      <c r="O453" s="25">
        <v>0</v>
      </c>
      <c r="P453" s="25">
        <v>0</v>
      </c>
      <c r="Q453" s="25">
        <f t="shared" si="79"/>
        <v>0</v>
      </c>
      <c r="R453" s="25">
        <v>0</v>
      </c>
      <c r="S453" s="25">
        <f t="shared" si="80"/>
        <v>0</v>
      </c>
      <c r="T453" s="25">
        <v>0</v>
      </c>
      <c r="U453" s="29">
        <v>0</v>
      </c>
      <c r="V453" s="25">
        <v>0</v>
      </c>
      <c r="W453" s="25">
        <v>0</v>
      </c>
      <c r="X453" s="25">
        <v>0</v>
      </c>
      <c r="Y453" s="29">
        <v>0</v>
      </c>
      <c r="Z453" s="29">
        <v>0</v>
      </c>
      <c r="AA453" s="29">
        <v>0</v>
      </c>
      <c r="AB453" s="29">
        <v>0</v>
      </c>
      <c r="AC453" s="29">
        <v>0</v>
      </c>
      <c r="AD453" s="29">
        <v>0</v>
      </c>
      <c r="AE453" s="43"/>
      <c r="GR453" s="5"/>
      <c r="GS453" s="5"/>
      <c r="GT453" s="5"/>
      <c r="GU453" s="5"/>
      <c r="GV453" s="5"/>
      <c r="GW453" s="5"/>
      <c r="GX453" s="5"/>
      <c r="GY453" s="5"/>
      <c r="GZ453" s="5"/>
      <c r="HA453" s="5"/>
      <c r="HB453" s="5"/>
      <c r="HC453" s="5"/>
      <c r="HD453" s="5"/>
      <c r="HE453" s="5"/>
      <c r="HF453" s="5"/>
      <c r="HG453" s="5"/>
      <c r="HH453" s="5"/>
      <c r="HI453" s="5"/>
      <c r="HJ453" s="5"/>
      <c r="HK453" s="5"/>
      <c r="HL453" s="5"/>
      <c r="HM453" s="5"/>
      <c r="HN453" s="5"/>
      <c r="HO453" s="5"/>
      <c r="HP453" s="5"/>
    </row>
    <row r="454" spans="3:224" ht="19.5" customHeight="1">
      <c r="C454" s="24">
        <v>15310211</v>
      </c>
      <c r="D454" s="36" t="s">
        <v>659</v>
      </c>
      <c r="E454" s="25">
        <v>11200001</v>
      </c>
      <c r="F454" s="25">
        <v>13051</v>
      </c>
      <c r="G454" s="25">
        <v>1</v>
      </c>
      <c r="H454" s="25">
        <v>40</v>
      </c>
      <c r="I454" s="29">
        <v>0.2</v>
      </c>
      <c r="J454" s="30">
        <v>15</v>
      </c>
      <c r="K454" s="25">
        <v>0</v>
      </c>
      <c r="L454" s="25">
        <v>0</v>
      </c>
      <c r="M454" s="25">
        <f t="shared" si="78"/>
        <v>290</v>
      </c>
      <c r="N454" s="25">
        <v>580</v>
      </c>
      <c r="O454" s="25">
        <v>0</v>
      </c>
      <c r="P454" s="25">
        <v>0</v>
      </c>
      <c r="Q454" s="25">
        <f t="shared" si="79"/>
        <v>0</v>
      </c>
      <c r="R454" s="25">
        <v>0</v>
      </c>
      <c r="S454" s="25">
        <f t="shared" si="80"/>
        <v>0</v>
      </c>
      <c r="T454" s="25">
        <v>0</v>
      </c>
      <c r="U454" s="29">
        <v>0</v>
      </c>
      <c r="V454" s="25">
        <v>0</v>
      </c>
      <c r="W454" s="25">
        <v>0</v>
      </c>
      <c r="X454" s="25">
        <v>0</v>
      </c>
      <c r="Y454" s="29">
        <v>0</v>
      </c>
      <c r="Z454" s="29">
        <v>0</v>
      </c>
      <c r="AA454" s="29">
        <v>0</v>
      </c>
      <c r="AB454" s="29">
        <v>0</v>
      </c>
      <c r="AC454" s="29">
        <v>0</v>
      </c>
      <c r="AD454" s="29">
        <v>0</v>
      </c>
      <c r="AE454" s="42"/>
      <c r="GR454" s="5"/>
      <c r="GS454" s="5"/>
      <c r="GT454" s="5"/>
      <c r="GU454" s="5"/>
      <c r="GV454" s="5"/>
      <c r="GW454" s="5"/>
      <c r="GX454" s="5"/>
      <c r="GY454" s="5"/>
      <c r="GZ454" s="5"/>
      <c r="HA454" s="5"/>
      <c r="HB454" s="5"/>
      <c r="HC454" s="5"/>
      <c r="HD454" s="5"/>
      <c r="HE454" s="5"/>
      <c r="HF454" s="5"/>
      <c r="HG454" s="5"/>
      <c r="HH454" s="5"/>
      <c r="HI454" s="5"/>
      <c r="HJ454" s="5"/>
      <c r="HK454" s="5"/>
      <c r="HL454" s="5"/>
      <c r="HM454" s="5"/>
      <c r="HN454" s="5"/>
      <c r="HO454" s="5"/>
      <c r="HP454" s="5"/>
    </row>
    <row r="455" spans="3:224" ht="20.100000000000001" customHeight="1">
      <c r="C455" s="24">
        <v>15311001</v>
      </c>
      <c r="D455" s="25" t="s">
        <v>463</v>
      </c>
      <c r="E455" s="25">
        <v>11200003</v>
      </c>
      <c r="F455" s="25">
        <v>0</v>
      </c>
      <c r="G455" s="25">
        <v>1</v>
      </c>
      <c r="H455" s="25">
        <v>40</v>
      </c>
      <c r="I455" s="29">
        <v>0.2</v>
      </c>
      <c r="J455" s="30">
        <v>15</v>
      </c>
      <c r="K455" s="25">
        <v>0</v>
      </c>
      <c r="L455" s="25">
        <v>2700</v>
      </c>
      <c r="M455" s="25">
        <f t="shared" si="50"/>
        <v>0</v>
      </c>
      <c r="N455" s="25">
        <v>0</v>
      </c>
      <c r="O455" s="25">
        <v>0</v>
      </c>
      <c r="P455" s="25">
        <v>0</v>
      </c>
      <c r="Q455" s="25">
        <f t="shared" si="51"/>
        <v>33</v>
      </c>
      <c r="R455" s="25">
        <v>65</v>
      </c>
      <c r="S455" s="25">
        <f t="shared" si="52"/>
        <v>33</v>
      </c>
      <c r="T455" s="25">
        <v>65</v>
      </c>
      <c r="U455" s="29">
        <v>0</v>
      </c>
      <c r="V455" s="25">
        <v>0</v>
      </c>
      <c r="W455" s="25">
        <v>0</v>
      </c>
      <c r="X455" s="25">
        <v>0</v>
      </c>
      <c r="Y455" s="29">
        <v>0</v>
      </c>
      <c r="Z455" s="29">
        <v>0</v>
      </c>
      <c r="AA455" s="29">
        <v>0</v>
      </c>
      <c r="AB455" s="29">
        <v>0</v>
      </c>
      <c r="AC455" s="29">
        <v>0</v>
      </c>
      <c r="AD455" s="29">
        <v>0</v>
      </c>
      <c r="AE455" s="43"/>
      <c r="GR455" s="5"/>
      <c r="GS455" s="5"/>
      <c r="GT455" s="5"/>
      <c r="GU455" s="5"/>
      <c r="GV455" s="5"/>
      <c r="GW455" s="5"/>
      <c r="GX455" s="5"/>
      <c r="GY455" s="5"/>
      <c r="GZ455" s="5"/>
      <c r="HA455" s="5"/>
      <c r="HB455" s="5"/>
      <c r="HC455" s="5"/>
      <c r="HD455" s="5"/>
      <c r="HE455" s="5"/>
      <c r="HF455" s="5"/>
      <c r="HG455" s="5"/>
      <c r="HH455" s="5"/>
      <c r="HI455" s="5"/>
      <c r="HJ455" s="5"/>
      <c r="HK455" s="5"/>
      <c r="HL455" s="5"/>
      <c r="HM455" s="5"/>
      <c r="HN455" s="5"/>
      <c r="HO455" s="5"/>
      <c r="HP455" s="5"/>
    </row>
    <row r="456" spans="3:224" ht="20.100000000000001" customHeight="1">
      <c r="C456" s="24">
        <v>15311002</v>
      </c>
      <c r="D456" s="25" t="s">
        <v>464</v>
      </c>
      <c r="E456" s="25">
        <v>11200003</v>
      </c>
      <c r="F456" s="25">
        <v>13011</v>
      </c>
      <c r="G456" s="25">
        <v>1</v>
      </c>
      <c r="H456" s="25">
        <v>40</v>
      </c>
      <c r="I456" s="29">
        <v>0.2</v>
      </c>
      <c r="J456" s="30">
        <v>15</v>
      </c>
      <c r="K456" s="25">
        <v>0</v>
      </c>
      <c r="L456" s="25">
        <v>3180</v>
      </c>
      <c r="M456" s="25">
        <f t="shared" si="50"/>
        <v>0</v>
      </c>
      <c r="N456" s="25">
        <v>0</v>
      </c>
      <c r="O456" s="25">
        <v>0</v>
      </c>
      <c r="P456" s="25">
        <v>0</v>
      </c>
      <c r="Q456" s="25">
        <f t="shared" si="51"/>
        <v>42</v>
      </c>
      <c r="R456" s="25">
        <v>83</v>
      </c>
      <c r="S456" s="25">
        <f t="shared" si="52"/>
        <v>42</v>
      </c>
      <c r="T456" s="25">
        <v>83</v>
      </c>
      <c r="U456" s="29">
        <v>0</v>
      </c>
      <c r="V456" s="25">
        <v>0</v>
      </c>
      <c r="W456" s="25">
        <v>0</v>
      </c>
      <c r="X456" s="25">
        <v>0</v>
      </c>
      <c r="Y456" s="29">
        <v>0</v>
      </c>
      <c r="Z456" s="29">
        <v>0</v>
      </c>
      <c r="AA456" s="29">
        <v>0</v>
      </c>
      <c r="AB456" s="29">
        <v>0</v>
      </c>
      <c r="AC456" s="29">
        <v>0</v>
      </c>
      <c r="AD456" s="29">
        <v>0</v>
      </c>
      <c r="AE456" s="43"/>
      <c r="GR456" s="5"/>
      <c r="GS456" s="5"/>
      <c r="GT456" s="5"/>
      <c r="GU456" s="5"/>
      <c r="GV456" s="5"/>
      <c r="GW456" s="5"/>
      <c r="GX456" s="5"/>
      <c r="GY456" s="5"/>
      <c r="GZ456" s="5"/>
      <c r="HA456" s="5"/>
      <c r="HB456" s="5"/>
      <c r="HC456" s="5"/>
      <c r="HD456" s="5"/>
      <c r="HE456" s="5"/>
      <c r="HF456" s="5"/>
      <c r="HG456" s="5"/>
      <c r="HH456" s="5"/>
      <c r="HI456" s="5"/>
      <c r="HJ456" s="5"/>
      <c r="HK456" s="5"/>
      <c r="HL456" s="5"/>
      <c r="HM456" s="5"/>
      <c r="HN456" s="5"/>
      <c r="HO456" s="5"/>
      <c r="HP456" s="5"/>
    </row>
    <row r="457" spans="3:224" ht="20.100000000000001" customHeight="1">
      <c r="C457" s="24">
        <v>15311003</v>
      </c>
      <c r="D457" s="25" t="s">
        <v>465</v>
      </c>
      <c r="E457" s="25">
        <v>11200003</v>
      </c>
      <c r="F457" s="25">
        <v>0</v>
      </c>
      <c r="G457" s="25">
        <v>1</v>
      </c>
      <c r="H457" s="25">
        <v>40</v>
      </c>
      <c r="I457" s="29">
        <v>0.2</v>
      </c>
      <c r="J457" s="30">
        <v>15</v>
      </c>
      <c r="K457" s="25">
        <v>0</v>
      </c>
      <c r="L457" s="25">
        <v>1360</v>
      </c>
      <c r="M457" s="25">
        <f t="shared" si="50"/>
        <v>0</v>
      </c>
      <c r="N457" s="25">
        <v>0</v>
      </c>
      <c r="O457" s="25">
        <v>0</v>
      </c>
      <c r="P457" s="25">
        <v>0</v>
      </c>
      <c r="Q457" s="25">
        <f t="shared" si="51"/>
        <v>25</v>
      </c>
      <c r="R457" s="25">
        <v>49</v>
      </c>
      <c r="S457" s="25">
        <f t="shared" si="52"/>
        <v>25</v>
      </c>
      <c r="T457" s="25">
        <v>49</v>
      </c>
      <c r="U457" s="29">
        <v>0</v>
      </c>
      <c r="V457" s="25">
        <v>0</v>
      </c>
      <c r="W457" s="25">
        <v>0</v>
      </c>
      <c r="X457" s="25">
        <v>0</v>
      </c>
      <c r="Y457" s="29">
        <v>0</v>
      </c>
      <c r="Z457" s="29">
        <v>0</v>
      </c>
      <c r="AA457" s="29">
        <v>0</v>
      </c>
      <c r="AB457" s="29">
        <v>0</v>
      </c>
      <c r="AC457" s="29">
        <v>0</v>
      </c>
      <c r="AD457" s="29">
        <v>0</v>
      </c>
      <c r="AE457" s="43"/>
      <c r="GR457" s="5"/>
      <c r="GS457" s="5"/>
      <c r="GT457" s="5"/>
      <c r="GU457" s="5"/>
      <c r="GV457" s="5"/>
      <c r="GW457" s="5"/>
      <c r="GX457" s="5"/>
      <c r="GY457" s="5"/>
      <c r="GZ457" s="5"/>
      <c r="HA457" s="5"/>
      <c r="HB457" s="5"/>
      <c r="HC457" s="5"/>
      <c r="HD457" s="5"/>
      <c r="HE457" s="5"/>
      <c r="HF457" s="5"/>
      <c r="HG457" s="5"/>
      <c r="HH457" s="5"/>
      <c r="HI457" s="5"/>
      <c r="HJ457" s="5"/>
      <c r="HK457" s="5"/>
      <c r="HL457" s="5"/>
      <c r="HM457" s="5"/>
      <c r="HN457" s="5"/>
      <c r="HO457" s="5"/>
      <c r="HP457" s="5"/>
    </row>
    <row r="458" spans="3:224" ht="20.100000000000001" customHeight="1">
      <c r="C458" s="24">
        <v>15311004</v>
      </c>
      <c r="D458" s="25" t="s">
        <v>466</v>
      </c>
      <c r="E458" s="25">
        <v>11200003</v>
      </c>
      <c r="F458" s="25">
        <v>13021</v>
      </c>
      <c r="G458" s="25">
        <v>1</v>
      </c>
      <c r="H458" s="25">
        <v>40</v>
      </c>
      <c r="I458" s="29">
        <v>0.2</v>
      </c>
      <c r="J458" s="30">
        <v>15</v>
      </c>
      <c r="K458" s="25">
        <v>0</v>
      </c>
      <c r="L458" s="25">
        <v>1600</v>
      </c>
      <c r="M458" s="25">
        <f t="shared" si="50"/>
        <v>0</v>
      </c>
      <c r="N458" s="25">
        <v>0</v>
      </c>
      <c r="O458" s="25">
        <v>0</v>
      </c>
      <c r="P458" s="25">
        <v>0</v>
      </c>
      <c r="Q458" s="25">
        <f t="shared" si="51"/>
        <v>31</v>
      </c>
      <c r="R458" s="25">
        <v>62</v>
      </c>
      <c r="S458" s="25">
        <f t="shared" si="52"/>
        <v>31</v>
      </c>
      <c r="T458" s="25">
        <v>62</v>
      </c>
      <c r="U458" s="29">
        <v>0</v>
      </c>
      <c r="V458" s="25">
        <v>0</v>
      </c>
      <c r="W458" s="25">
        <v>0</v>
      </c>
      <c r="X458" s="25">
        <v>0</v>
      </c>
      <c r="Y458" s="29">
        <v>0</v>
      </c>
      <c r="Z458" s="29">
        <v>0</v>
      </c>
      <c r="AA458" s="29">
        <v>0</v>
      </c>
      <c r="AB458" s="29">
        <v>0</v>
      </c>
      <c r="AC458" s="29">
        <v>0</v>
      </c>
      <c r="AD458" s="29">
        <v>0</v>
      </c>
      <c r="AE458" s="43"/>
      <c r="GR458" s="5"/>
      <c r="GS458" s="5"/>
      <c r="GT458" s="5"/>
      <c r="GU458" s="5"/>
      <c r="GV458" s="5"/>
      <c r="GW458" s="5"/>
      <c r="GX458" s="5"/>
      <c r="GY458" s="5"/>
      <c r="GZ458" s="5"/>
      <c r="HA458" s="5"/>
      <c r="HB458" s="5"/>
      <c r="HC458" s="5"/>
      <c r="HD458" s="5"/>
      <c r="HE458" s="5"/>
      <c r="HF458" s="5"/>
      <c r="HG458" s="5"/>
      <c r="HH458" s="5"/>
      <c r="HI458" s="5"/>
      <c r="HJ458" s="5"/>
      <c r="HK458" s="5"/>
      <c r="HL458" s="5"/>
      <c r="HM458" s="5"/>
      <c r="HN458" s="5"/>
      <c r="HO458" s="5"/>
      <c r="HP458" s="5"/>
    </row>
    <row r="459" spans="3:224" ht="20.100000000000001" customHeight="1">
      <c r="C459" s="24">
        <v>15311005</v>
      </c>
      <c r="D459" s="25" t="s">
        <v>467</v>
      </c>
      <c r="E459" s="25">
        <v>11200003</v>
      </c>
      <c r="F459" s="25">
        <v>0</v>
      </c>
      <c r="G459" s="25">
        <v>1</v>
      </c>
      <c r="H459" s="25">
        <v>40</v>
      </c>
      <c r="I459" s="29">
        <v>0.2</v>
      </c>
      <c r="J459" s="30">
        <v>15</v>
      </c>
      <c r="K459" s="25">
        <v>0</v>
      </c>
      <c r="L459" s="25">
        <v>4050</v>
      </c>
      <c r="M459" s="25">
        <f t="shared" si="50"/>
        <v>0</v>
      </c>
      <c r="N459" s="25">
        <v>0</v>
      </c>
      <c r="O459" s="25">
        <v>0</v>
      </c>
      <c r="P459" s="25">
        <v>0</v>
      </c>
      <c r="Q459" s="25">
        <f t="shared" si="51"/>
        <v>41</v>
      </c>
      <c r="R459" s="25">
        <v>81</v>
      </c>
      <c r="S459" s="25">
        <f t="shared" si="52"/>
        <v>41</v>
      </c>
      <c r="T459" s="25">
        <v>81</v>
      </c>
      <c r="U459" s="29">
        <v>0</v>
      </c>
      <c r="V459" s="25">
        <v>0</v>
      </c>
      <c r="W459" s="25">
        <v>0</v>
      </c>
      <c r="X459" s="25">
        <v>0</v>
      </c>
      <c r="Y459" s="29">
        <v>0</v>
      </c>
      <c r="Z459" s="29">
        <v>0</v>
      </c>
      <c r="AA459" s="29">
        <v>0</v>
      </c>
      <c r="AB459" s="29">
        <v>0</v>
      </c>
      <c r="AC459" s="29">
        <v>0</v>
      </c>
      <c r="AD459" s="29">
        <v>0</v>
      </c>
      <c r="AE459" s="43"/>
      <c r="GR459" s="5"/>
      <c r="GS459" s="5"/>
      <c r="GT459" s="5"/>
      <c r="GU459" s="5"/>
      <c r="GV459" s="5"/>
      <c r="GW459" s="5"/>
      <c r="GX459" s="5"/>
      <c r="GY459" s="5"/>
      <c r="GZ459" s="5"/>
      <c r="HA459" s="5"/>
      <c r="HB459" s="5"/>
      <c r="HC459" s="5"/>
      <c r="HD459" s="5"/>
      <c r="HE459" s="5"/>
      <c r="HF459" s="5"/>
      <c r="HG459" s="5"/>
      <c r="HH459" s="5"/>
      <c r="HI459" s="5"/>
      <c r="HJ459" s="5"/>
      <c r="HK459" s="5"/>
      <c r="HL459" s="5"/>
      <c r="HM459" s="5"/>
      <c r="HN459" s="5"/>
      <c r="HO459" s="5"/>
      <c r="HP459" s="5"/>
    </row>
    <row r="460" spans="3:224" ht="20.100000000000001" customHeight="1">
      <c r="C460" s="24">
        <v>15311006</v>
      </c>
      <c r="D460" s="25" t="s">
        <v>468</v>
      </c>
      <c r="E460" s="25">
        <v>11200003</v>
      </c>
      <c r="F460" s="25">
        <v>13031</v>
      </c>
      <c r="G460" s="25">
        <v>1</v>
      </c>
      <c r="H460" s="25">
        <v>40</v>
      </c>
      <c r="I460" s="29">
        <v>0.2</v>
      </c>
      <c r="J460" s="30">
        <v>15</v>
      </c>
      <c r="K460" s="25">
        <v>0</v>
      </c>
      <c r="L460" s="25">
        <v>4770</v>
      </c>
      <c r="M460" s="25">
        <f t="shared" si="50"/>
        <v>0</v>
      </c>
      <c r="N460" s="25">
        <v>0</v>
      </c>
      <c r="O460" s="25">
        <v>0</v>
      </c>
      <c r="P460" s="25">
        <v>0</v>
      </c>
      <c r="Q460" s="25">
        <f t="shared" si="51"/>
        <v>52</v>
      </c>
      <c r="R460" s="25">
        <v>104</v>
      </c>
      <c r="S460" s="25">
        <f t="shared" si="52"/>
        <v>52</v>
      </c>
      <c r="T460" s="25">
        <v>104</v>
      </c>
      <c r="U460" s="29">
        <v>0</v>
      </c>
      <c r="V460" s="25">
        <v>0</v>
      </c>
      <c r="W460" s="25">
        <v>0</v>
      </c>
      <c r="X460" s="25">
        <v>0</v>
      </c>
      <c r="Y460" s="29">
        <v>0</v>
      </c>
      <c r="Z460" s="29">
        <v>0</v>
      </c>
      <c r="AA460" s="29">
        <v>0</v>
      </c>
      <c r="AB460" s="29">
        <v>0</v>
      </c>
      <c r="AC460" s="29">
        <v>0</v>
      </c>
      <c r="AD460" s="29">
        <v>0</v>
      </c>
      <c r="AE460" s="43"/>
      <c r="GR460" s="5"/>
      <c r="GS460" s="5"/>
      <c r="GT460" s="5"/>
      <c r="GU460" s="5"/>
      <c r="GV460" s="5"/>
      <c r="GW460" s="5"/>
      <c r="GX460" s="5"/>
      <c r="GY460" s="5"/>
      <c r="GZ460" s="5"/>
      <c r="HA460" s="5"/>
      <c r="HB460" s="5"/>
      <c r="HC460" s="5"/>
      <c r="HD460" s="5"/>
      <c r="HE460" s="5"/>
      <c r="HF460" s="5"/>
      <c r="HG460" s="5"/>
      <c r="HH460" s="5"/>
      <c r="HI460" s="5"/>
      <c r="HJ460" s="5"/>
      <c r="HK460" s="5"/>
      <c r="HL460" s="5"/>
      <c r="HM460" s="5"/>
      <c r="HN460" s="5"/>
      <c r="HO460" s="5"/>
      <c r="HP460" s="5"/>
    </row>
    <row r="461" spans="3:224" ht="20.100000000000001" customHeight="1">
      <c r="C461" s="24">
        <v>15311011</v>
      </c>
      <c r="D461" s="36" t="s">
        <v>469</v>
      </c>
      <c r="E461" s="25">
        <v>11200003</v>
      </c>
      <c r="F461" s="25">
        <v>13011</v>
      </c>
      <c r="G461" s="25">
        <v>1</v>
      </c>
      <c r="H461" s="25">
        <v>40</v>
      </c>
      <c r="I461" s="29">
        <v>0.2</v>
      </c>
      <c r="J461" s="30">
        <v>15</v>
      </c>
      <c r="K461" s="25">
        <v>0</v>
      </c>
      <c r="L461" s="25">
        <v>3660</v>
      </c>
      <c r="M461" s="25">
        <f t="shared" si="50"/>
        <v>0</v>
      </c>
      <c r="N461" s="25">
        <v>0</v>
      </c>
      <c r="O461" s="25">
        <v>0</v>
      </c>
      <c r="P461" s="25">
        <v>0</v>
      </c>
      <c r="Q461" s="25">
        <v>47</v>
      </c>
      <c r="R461" s="25">
        <v>95</v>
      </c>
      <c r="S461" s="25">
        <v>47</v>
      </c>
      <c r="T461" s="25">
        <v>95</v>
      </c>
      <c r="U461" s="29">
        <v>0</v>
      </c>
      <c r="V461" s="25">
        <v>0</v>
      </c>
      <c r="W461" s="25">
        <v>0</v>
      </c>
      <c r="X461" s="25">
        <v>0</v>
      </c>
      <c r="Y461" s="29">
        <v>0</v>
      </c>
      <c r="Z461" s="29">
        <v>0</v>
      </c>
      <c r="AA461" s="29">
        <v>0</v>
      </c>
      <c r="AB461" s="29">
        <v>200103</v>
      </c>
      <c r="AC461" s="29">
        <v>500</v>
      </c>
      <c r="AD461" s="29">
        <v>1</v>
      </c>
      <c r="AE461" s="43"/>
      <c r="GR461" s="5"/>
      <c r="GS461" s="5"/>
      <c r="GT461" s="5"/>
      <c r="GU461" s="5"/>
      <c r="GV461" s="5"/>
      <c r="GW461" s="5"/>
      <c r="GX461" s="5"/>
      <c r="GY461" s="5"/>
      <c r="GZ461" s="5"/>
      <c r="HA461" s="5"/>
      <c r="HB461" s="5"/>
      <c r="HC461" s="5"/>
      <c r="HD461" s="5"/>
      <c r="HE461" s="5"/>
      <c r="HF461" s="5"/>
      <c r="HG461" s="5"/>
      <c r="HH461" s="5"/>
      <c r="HI461" s="5"/>
      <c r="HJ461" s="5"/>
      <c r="HK461" s="5"/>
      <c r="HL461" s="5"/>
      <c r="HM461" s="5"/>
      <c r="HN461" s="5"/>
      <c r="HO461" s="5"/>
      <c r="HP461" s="5"/>
    </row>
    <row r="462" spans="3:224" ht="20.100000000000001" customHeight="1">
      <c r="C462" s="24">
        <v>15311012</v>
      </c>
      <c r="D462" s="36" t="s">
        <v>470</v>
      </c>
      <c r="E462" s="25">
        <v>11200003</v>
      </c>
      <c r="F462" s="25">
        <v>13021</v>
      </c>
      <c r="G462" s="25">
        <v>1</v>
      </c>
      <c r="H462" s="25">
        <v>40</v>
      </c>
      <c r="I462" s="29">
        <v>0.2</v>
      </c>
      <c r="J462" s="30">
        <v>15</v>
      </c>
      <c r="K462" s="25">
        <v>0</v>
      </c>
      <c r="L462" s="25">
        <v>1840</v>
      </c>
      <c r="M462" s="25">
        <f t="shared" si="50"/>
        <v>0</v>
      </c>
      <c r="N462" s="25">
        <v>0</v>
      </c>
      <c r="O462" s="25">
        <v>0</v>
      </c>
      <c r="P462" s="25">
        <v>0</v>
      </c>
      <c r="Q462" s="25">
        <v>35</v>
      </c>
      <c r="R462" s="25">
        <v>72</v>
      </c>
      <c r="S462" s="25">
        <v>35</v>
      </c>
      <c r="T462" s="25">
        <v>72</v>
      </c>
      <c r="U462" s="29">
        <v>0</v>
      </c>
      <c r="V462" s="25">
        <v>0</v>
      </c>
      <c r="W462" s="25">
        <v>0</v>
      </c>
      <c r="X462" s="25">
        <v>0</v>
      </c>
      <c r="Y462" s="29">
        <v>0</v>
      </c>
      <c r="Z462" s="29">
        <v>0</v>
      </c>
      <c r="AA462" s="29">
        <v>0</v>
      </c>
      <c r="AB462" s="29">
        <v>100402</v>
      </c>
      <c r="AC462" s="29">
        <v>500</v>
      </c>
      <c r="AD462" s="29">
        <v>1</v>
      </c>
      <c r="AE462" s="43"/>
      <c r="GR462" s="5"/>
      <c r="GS462" s="5"/>
      <c r="GT462" s="5"/>
      <c r="GU462" s="5"/>
      <c r="GV462" s="5"/>
      <c r="GW462" s="5"/>
      <c r="GX462" s="5"/>
      <c r="GY462" s="5"/>
      <c r="GZ462" s="5"/>
      <c r="HA462" s="5"/>
      <c r="HB462" s="5"/>
      <c r="HC462" s="5"/>
      <c r="HD462" s="5"/>
      <c r="HE462" s="5"/>
      <c r="HF462" s="5"/>
      <c r="HG462" s="5"/>
      <c r="HH462" s="5"/>
      <c r="HI462" s="5"/>
      <c r="HJ462" s="5"/>
      <c r="HK462" s="5"/>
      <c r="HL462" s="5"/>
      <c r="HM462" s="5"/>
      <c r="HN462" s="5"/>
      <c r="HO462" s="5"/>
      <c r="HP462" s="5"/>
    </row>
    <row r="463" spans="3:224" ht="20.100000000000001" customHeight="1">
      <c r="C463" s="24">
        <v>15311013</v>
      </c>
      <c r="D463" s="36" t="s">
        <v>471</v>
      </c>
      <c r="E463" s="25">
        <v>11200003</v>
      </c>
      <c r="F463" s="25">
        <v>13031</v>
      </c>
      <c r="G463" s="25">
        <v>1</v>
      </c>
      <c r="H463" s="25">
        <v>40</v>
      </c>
      <c r="I463" s="29">
        <v>0.2</v>
      </c>
      <c r="J463" s="30">
        <v>15</v>
      </c>
      <c r="K463" s="25">
        <v>0</v>
      </c>
      <c r="L463" s="25">
        <v>5480</v>
      </c>
      <c r="M463" s="25">
        <f t="shared" si="50"/>
        <v>0</v>
      </c>
      <c r="N463" s="25">
        <v>0</v>
      </c>
      <c r="O463" s="25">
        <v>0</v>
      </c>
      <c r="P463" s="25">
        <v>0</v>
      </c>
      <c r="Q463" s="25">
        <v>60</v>
      </c>
      <c r="R463" s="25">
        <v>118</v>
      </c>
      <c r="S463" s="25">
        <v>60</v>
      </c>
      <c r="T463" s="25">
        <v>118</v>
      </c>
      <c r="U463" s="29">
        <v>0</v>
      </c>
      <c r="V463" s="25">
        <v>0</v>
      </c>
      <c r="W463" s="25">
        <v>0</v>
      </c>
      <c r="X463" s="25">
        <v>0</v>
      </c>
      <c r="Y463" s="29">
        <v>0</v>
      </c>
      <c r="Z463" s="29">
        <v>0</v>
      </c>
      <c r="AA463" s="29">
        <v>0</v>
      </c>
      <c r="AB463" s="29">
        <v>0</v>
      </c>
      <c r="AC463" s="29">
        <v>0</v>
      </c>
      <c r="AD463" s="29">
        <v>0</v>
      </c>
      <c r="AE463" s="43"/>
      <c r="GR463" s="5"/>
      <c r="GS463" s="5"/>
      <c r="GT463" s="5"/>
      <c r="GU463" s="5"/>
      <c r="GV463" s="5"/>
      <c r="GW463" s="5"/>
      <c r="GX463" s="5"/>
      <c r="GY463" s="5"/>
      <c r="GZ463" s="5"/>
      <c r="HA463" s="5"/>
      <c r="HB463" s="5"/>
      <c r="HC463" s="5"/>
      <c r="HD463" s="5"/>
      <c r="HE463" s="5"/>
      <c r="HF463" s="5"/>
      <c r="HG463" s="5"/>
      <c r="HH463" s="5"/>
      <c r="HI463" s="5"/>
      <c r="HJ463" s="5"/>
      <c r="HK463" s="5"/>
      <c r="HL463" s="5"/>
      <c r="HM463" s="5"/>
      <c r="HN463" s="5"/>
      <c r="HO463" s="5"/>
      <c r="HP463" s="5"/>
    </row>
    <row r="464" spans="3:224" ht="20.100000000000001" customHeight="1">
      <c r="C464" s="24">
        <v>15401001</v>
      </c>
      <c r="D464" s="25" t="s">
        <v>472</v>
      </c>
      <c r="E464" s="25">
        <v>11200003</v>
      </c>
      <c r="F464" s="25">
        <v>0</v>
      </c>
      <c r="G464" s="25">
        <v>1</v>
      </c>
      <c r="H464" s="25">
        <v>50</v>
      </c>
      <c r="I464" s="29">
        <v>0.2</v>
      </c>
      <c r="J464" s="30">
        <v>20</v>
      </c>
      <c r="K464" s="25">
        <v>0</v>
      </c>
      <c r="L464" s="25">
        <v>0</v>
      </c>
      <c r="M464" s="25">
        <f t="shared" si="50"/>
        <v>33</v>
      </c>
      <c r="N464" s="25">
        <v>65</v>
      </c>
      <c r="O464" s="25">
        <v>0</v>
      </c>
      <c r="P464" s="25">
        <v>0</v>
      </c>
      <c r="Q464" s="25">
        <f t="shared" si="51"/>
        <v>21</v>
      </c>
      <c r="R464" s="25">
        <v>42</v>
      </c>
      <c r="S464" s="25">
        <f t="shared" si="52"/>
        <v>21</v>
      </c>
      <c r="T464" s="25">
        <v>42</v>
      </c>
      <c r="U464" s="29">
        <v>0</v>
      </c>
      <c r="V464" s="25">
        <v>0</v>
      </c>
      <c r="W464" s="25">
        <v>0</v>
      </c>
      <c r="X464" s="25">
        <v>0</v>
      </c>
      <c r="Y464" s="29">
        <v>0</v>
      </c>
      <c r="Z464" s="29">
        <v>0</v>
      </c>
      <c r="AA464" s="29">
        <v>0</v>
      </c>
      <c r="AB464" s="29">
        <v>0</v>
      </c>
      <c r="AC464" s="29">
        <v>0</v>
      </c>
      <c r="AD464" s="29">
        <v>0</v>
      </c>
      <c r="AE464" s="43"/>
      <c r="GR464" s="5"/>
      <c r="GS464" s="5"/>
      <c r="GT464" s="5"/>
      <c r="GU464" s="5"/>
      <c r="GV464" s="5"/>
      <c r="GW464" s="5"/>
      <c r="GX464" s="5"/>
      <c r="GY464" s="5"/>
      <c r="GZ464" s="5"/>
      <c r="HA464" s="5"/>
      <c r="HB464" s="5"/>
      <c r="HC464" s="5"/>
      <c r="HD464" s="5"/>
      <c r="HE464" s="5"/>
      <c r="HF464" s="5"/>
      <c r="HG464" s="5"/>
      <c r="HH464" s="5"/>
      <c r="HI464" s="5"/>
      <c r="HJ464" s="5"/>
      <c r="HK464" s="5"/>
      <c r="HL464" s="5"/>
      <c r="HM464" s="5"/>
      <c r="HN464" s="5"/>
      <c r="HO464" s="5"/>
      <c r="HP464" s="5"/>
    </row>
    <row r="465" spans="3:224" ht="20.100000000000001" customHeight="1">
      <c r="C465" s="24">
        <v>15401002</v>
      </c>
      <c r="D465" s="41" t="s">
        <v>473</v>
      </c>
      <c r="E465" s="25">
        <v>11200003</v>
      </c>
      <c r="F465" s="25">
        <v>14011</v>
      </c>
      <c r="G465" s="25">
        <v>1</v>
      </c>
      <c r="H465" s="25">
        <v>50</v>
      </c>
      <c r="I465" s="29">
        <v>0.2</v>
      </c>
      <c r="J465" s="30">
        <v>20</v>
      </c>
      <c r="K465" s="25">
        <v>0</v>
      </c>
      <c r="L465" s="25">
        <v>0</v>
      </c>
      <c r="M465" s="25">
        <f t="shared" si="50"/>
        <v>43</v>
      </c>
      <c r="N465" s="25">
        <v>85</v>
      </c>
      <c r="O465" s="25">
        <v>0</v>
      </c>
      <c r="P465" s="25">
        <v>0</v>
      </c>
      <c r="Q465" s="25">
        <f t="shared" si="51"/>
        <v>26</v>
      </c>
      <c r="R465" s="25">
        <v>51</v>
      </c>
      <c r="S465" s="25">
        <f t="shared" si="52"/>
        <v>26</v>
      </c>
      <c r="T465" s="25">
        <v>51</v>
      </c>
      <c r="U465" s="29">
        <v>0</v>
      </c>
      <c r="V465" s="25">
        <v>0</v>
      </c>
      <c r="W465" s="25">
        <v>0</v>
      </c>
      <c r="X465" s="25">
        <v>0</v>
      </c>
      <c r="Y465" s="29">
        <v>0</v>
      </c>
      <c r="Z465" s="29">
        <v>0</v>
      </c>
      <c r="AA465" s="29">
        <v>0</v>
      </c>
      <c r="AB465" s="29">
        <v>0</v>
      </c>
      <c r="AC465" s="29">
        <v>0</v>
      </c>
      <c r="AD465" s="29">
        <v>0</v>
      </c>
      <c r="AE465" s="43"/>
      <c r="GR465" s="5"/>
      <c r="GS465" s="5"/>
      <c r="GT465" s="5"/>
      <c r="GU465" s="5"/>
      <c r="GV465" s="5"/>
      <c r="GW465" s="5"/>
      <c r="GX465" s="5"/>
      <c r="GY465" s="5"/>
      <c r="GZ465" s="5"/>
      <c r="HA465" s="5"/>
      <c r="HB465" s="5"/>
      <c r="HC465" s="5"/>
      <c r="HD465" s="5"/>
      <c r="HE465" s="5"/>
      <c r="HF465" s="5"/>
      <c r="HG465" s="5"/>
      <c r="HH465" s="5"/>
      <c r="HI465" s="5"/>
      <c r="HJ465" s="5"/>
      <c r="HK465" s="5"/>
      <c r="HL465" s="5"/>
      <c r="HM465" s="5"/>
      <c r="HN465" s="5"/>
      <c r="HO465" s="5"/>
      <c r="HP465" s="5"/>
    </row>
    <row r="466" spans="3:224" ht="20.100000000000001" customHeight="1">
      <c r="C466" s="24">
        <v>15401003</v>
      </c>
      <c r="D466" s="25" t="s">
        <v>474</v>
      </c>
      <c r="E466" s="25">
        <v>11200003</v>
      </c>
      <c r="F466" s="25">
        <v>0</v>
      </c>
      <c r="G466" s="25">
        <v>1</v>
      </c>
      <c r="H466" s="25">
        <v>50</v>
      </c>
      <c r="I466" s="29">
        <v>0.2</v>
      </c>
      <c r="J466" s="30">
        <v>20</v>
      </c>
      <c r="K466" s="25">
        <v>0</v>
      </c>
      <c r="L466" s="25">
        <v>0</v>
      </c>
      <c r="M466" s="25">
        <f t="shared" si="50"/>
        <v>44</v>
      </c>
      <c r="N466" s="25">
        <v>88</v>
      </c>
      <c r="O466" s="25">
        <v>0</v>
      </c>
      <c r="P466" s="25">
        <v>0</v>
      </c>
      <c r="Q466" s="25">
        <f t="shared" si="51"/>
        <v>16</v>
      </c>
      <c r="R466" s="25">
        <v>32</v>
      </c>
      <c r="S466" s="25">
        <f t="shared" si="52"/>
        <v>16</v>
      </c>
      <c r="T466" s="25">
        <v>32</v>
      </c>
      <c r="U466" s="29">
        <v>0</v>
      </c>
      <c r="V466" s="25">
        <v>0</v>
      </c>
      <c r="W466" s="25">
        <v>0</v>
      </c>
      <c r="X466" s="25">
        <v>0</v>
      </c>
      <c r="Y466" s="29">
        <v>0</v>
      </c>
      <c r="Z466" s="29">
        <v>0</v>
      </c>
      <c r="AA466" s="29">
        <v>0</v>
      </c>
      <c r="AB466" s="29">
        <v>0</v>
      </c>
      <c r="AC466" s="29">
        <v>0</v>
      </c>
      <c r="AD466" s="29">
        <v>0</v>
      </c>
      <c r="AE466" s="43"/>
      <c r="GR466" s="5"/>
      <c r="GS466" s="5"/>
      <c r="GT466" s="5"/>
      <c r="GU466" s="5"/>
      <c r="GV466" s="5"/>
      <c r="GW466" s="5"/>
      <c r="GX466" s="5"/>
      <c r="GY466" s="5"/>
      <c r="GZ466" s="5"/>
      <c r="HA466" s="5"/>
      <c r="HB466" s="5"/>
      <c r="HC466" s="5"/>
      <c r="HD466" s="5"/>
      <c r="HE466" s="5"/>
      <c r="HF466" s="5"/>
      <c r="HG466" s="5"/>
      <c r="HH466" s="5"/>
      <c r="HI466" s="5"/>
      <c r="HJ466" s="5"/>
      <c r="HK466" s="5"/>
      <c r="HL466" s="5"/>
      <c r="HM466" s="5"/>
      <c r="HN466" s="5"/>
      <c r="HO466" s="5"/>
      <c r="HP466" s="5"/>
    </row>
    <row r="467" spans="3:224" ht="20.100000000000001" customHeight="1">
      <c r="C467" s="24">
        <v>15401004</v>
      </c>
      <c r="D467" s="41" t="s">
        <v>475</v>
      </c>
      <c r="E467" s="25">
        <v>11200003</v>
      </c>
      <c r="F467" s="25">
        <v>14021</v>
      </c>
      <c r="G467" s="25">
        <v>1</v>
      </c>
      <c r="H467" s="25">
        <v>50</v>
      </c>
      <c r="I467" s="29">
        <v>0.2</v>
      </c>
      <c r="J467" s="30">
        <v>20</v>
      </c>
      <c r="K467" s="25">
        <v>0</v>
      </c>
      <c r="L467" s="25">
        <v>0</v>
      </c>
      <c r="M467" s="25">
        <f t="shared" ref="M467:M545" si="81">ROUND(N467/2,0)</f>
        <v>58</v>
      </c>
      <c r="N467" s="25">
        <v>115</v>
      </c>
      <c r="O467" s="25">
        <v>0</v>
      </c>
      <c r="P467" s="25">
        <v>0</v>
      </c>
      <c r="Q467" s="25">
        <f t="shared" ref="Q467:Q545" si="82">ROUND(R467/2,0)</f>
        <v>19</v>
      </c>
      <c r="R467" s="25">
        <v>38</v>
      </c>
      <c r="S467" s="25">
        <f t="shared" ref="S467:S545" si="83">ROUND(T467/2,0)</f>
        <v>19</v>
      </c>
      <c r="T467" s="25">
        <v>38</v>
      </c>
      <c r="U467" s="29">
        <v>0</v>
      </c>
      <c r="V467" s="25">
        <v>0</v>
      </c>
      <c r="W467" s="25">
        <v>0</v>
      </c>
      <c r="X467" s="25">
        <v>0</v>
      </c>
      <c r="Y467" s="29">
        <v>0</v>
      </c>
      <c r="Z467" s="29">
        <v>0</v>
      </c>
      <c r="AA467" s="29">
        <v>0</v>
      </c>
      <c r="AB467" s="29">
        <v>0</v>
      </c>
      <c r="AC467" s="29">
        <v>0</v>
      </c>
      <c r="AD467" s="29">
        <v>0</v>
      </c>
      <c r="AE467" s="43"/>
      <c r="GR467" s="5"/>
      <c r="GS467" s="5"/>
      <c r="GT467" s="5"/>
      <c r="GU467" s="5"/>
      <c r="GV467" s="5"/>
      <c r="GW467" s="5"/>
      <c r="GX467" s="5"/>
      <c r="GY467" s="5"/>
      <c r="GZ467" s="5"/>
      <c r="HA467" s="5"/>
      <c r="HB467" s="5"/>
      <c r="HC467" s="5"/>
      <c r="HD467" s="5"/>
      <c r="HE467" s="5"/>
      <c r="HF467" s="5"/>
      <c r="HG467" s="5"/>
      <c r="HH467" s="5"/>
      <c r="HI467" s="5"/>
      <c r="HJ467" s="5"/>
      <c r="HK467" s="5"/>
      <c r="HL467" s="5"/>
      <c r="HM467" s="5"/>
      <c r="HN467" s="5"/>
      <c r="HO467" s="5"/>
      <c r="HP467" s="5"/>
    </row>
    <row r="468" spans="3:224" ht="20.100000000000001" customHeight="1">
      <c r="C468" s="24">
        <v>15401005</v>
      </c>
      <c r="D468" s="25" t="s">
        <v>476</v>
      </c>
      <c r="E468" s="25">
        <v>11200003</v>
      </c>
      <c r="F468" s="25">
        <v>0</v>
      </c>
      <c r="G468" s="25">
        <v>1</v>
      </c>
      <c r="H468" s="25">
        <v>50</v>
      </c>
      <c r="I468" s="29">
        <v>0.2</v>
      </c>
      <c r="J468" s="30">
        <v>20</v>
      </c>
      <c r="K468" s="25">
        <v>0</v>
      </c>
      <c r="L468" s="25">
        <v>0</v>
      </c>
      <c r="M468" s="25">
        <f t="shared" si="81"/>
        <v>25</v>
      </c>
      <c r="N468" s="25">
        <v>49</v>
      </c>
      <c r="O468" s="25">
        <v>0</v>
      </c>
      <c r="P468" s="25">
        <v>0</v>
      </c>
      <c r="Q468" s="25">
        <f t="shared" si="82"/>
        <v>27</v>
      </c>
      <c r="R468" s="25">
        <v>53</v>
      </c>
      <c r="S468" s="25">
        <f t="shared" si="83"/>
        <v>27</v>
      </c>
      <c r="T468" s="25">
        <v>53</v>
      </c>
      <c r="U468" s="29">
        <v>0</v>
      </c>
      <c r="V468" s="25">
        <v>0</v>
      </c>
      <c r="W468" s="25">
        <v>0</v>
      </c>
      <c r="X468" s="25">
        <v>0</v>
      </c>
      <c r="Y468" s="29">
        <v>0</v>
      </c>
      <c r="Z468" s="29">
        <v>0</v>
      </c>
      <c r="AA468" s="29">
        <v>0</v>
      </c>
      <c r="AB468" s="29">
        <v>0</v>
      </c>
      <c r="AC468" s="29">
        <v>0</v>
      </c>
      <c r="AD468" s="29">
        <v>0</v>
      </c>
      <c r="AE468" s="43"/>
      <c r="GR468" s="5"/>
      <c r="GS468" s="5"/>
      <c r="GT468" s="5"/>
      <c r="GU468" s="5"/>
      <c r="GV468" s="5"/>
      <c r="GW468" s="5"/>
      <c r="GX468" s="5"/>
      <c r="GY468" s="5"/>
      <c r="GZ468" s="5"/>
      <c r="HA468" s="5"/>
      <c r="HB468" s="5"/>
      <c r="HC468" s="5"/>
      <c r="HD468" s="5"/>
      <c r="HE468" s="5"/>
      <c r="HF468" s="5"/>
      <c r="HG468" s="5"/>
      <c r="HH468" s="5"/>
      <c r="HI468" s="5"/>
      <c r="HJ468" s="5"/>
      <c r="HK468" s="5"/>
      <c r="HL468" s="5"/>
      <c r="HM468" s="5"/>
      <c r="HN468" s="5"/>
      <c r="HO468" s="5"/>
      <c r="HP468" s="5"/>
    </row>
    <row r="469" spans="3:224" ht="20.100000000000001" customHeight="1">
      <c r="C469" s="24">
        <v>15401006</v>
      </c>
      <c r="D469" s="41" t="s">
        <v>477</v>
      </c>
      <c r="E469" s="25">
        <v>11200003</v>
      </c>
      <c r="F469" s="25">
        <v>14031</v>
      </c>
      <c r="G469" s="25">
        <v>1</v>
      </c>
      <c r="H469" s="25">
        <v>50</v>
      </c>
      <c r="I469" s="29">
        <v>0.2</v>
      </c>
      <c r="J469" s="30">
        <v>20</v>
      </c>
      <c r="K469" s="25">
        <v>0</v>
      </c>
      <c r="L469" s="25">
        <v>0</v>
      </c>
      <c r="M469" s="25">
        <f t="shared" si="81"/>
        <v>32</v>
      </c>
      <c r="N469" s="25">
        <v>64</v>
      </c>
      <c r="O469" s="25">
        <v>0</v>
      </c>
      <c r="P469" s="25">
        <v>0</v>
      </c>
      <c r="Q469" s="25">
        <f t="shared" si="82"/>
        <v>32</v>
      </c>
      <c r="R469" s="25">
        <v>64</v>
      </c>
      <c r="S469" s="25">
        <f t="shared" si="83"/>
        <v>32</v>
      </c>
      <c r="T469" s="25">
        <v>64</v>
      </c>
      <c r="U469" s="29">
        <v>0</v>
      </c>
      <c r="V469" s="25">
        <v>0</v>
      </c>
      <c r="W469" s="25">
        <v>0</v>
      </c>
      <c r="X469" s="25">
        <v>0</v>
      </c>
      <c r="Y469" s="29">
        <v>0</v>
      </c>
      <c r="Z469" s="29">
        <v>0</v>
      </c>
      <c r="AA469" s="29">
        <v>0</v>
      </c>
      <c r="AB469" s="29">
        <v>0</v>
      </c>
      <c r="AC469" s="29">
        <v>0</v>
      </c>
      <c r="AD469" s="29">
        <v>0</v>
      </c>
      <c r="AE469" s="43"/>
      <c r="GR469" s="5"/>
      <c r="GS469" s="5"/>
      <c r="GT469" s="5"/>
      <c r="GU469" s="5"/>
      <c r="GV469" s="5"/>
      <c r="GW469" s="5"/>
      <c r="GX469" s="5"/>
      <c r="GY469" s="5"/>
      <c r="GZ469" s="5"/>
      <c r="HA469" s="5"/>
      <c r="HB469" s="5"/>
      <c r="HC469" s="5"/>
      <c r="HD469" s="5"/>
      <c r="HE469" s="5"/>
      <c r="HF469" s="5"/>
      <c r="HG469" s="5"/>
      <c r="HH469" s="5"/>
      <c r="HI469" s="5"/>
      <c r="HJ469" s="5"/>
      <c r="HK469" s="5"/>
      <c r="HL469" s="5"/>
      <c r="HM469" s="5"/>
      <c r="HN469" s="5"/>
      <c r="HO469" s="5"/>
      <c r="HP469" s="5"/>
    </row>
    <row r="470" spans="3:224" s="3" customFormat="1" ht="20.100000000000001" customHeight="1">
      <c r="C470" s="26">
        <v>15401007</v>
      </c>
      <c r="D470" s="40" t="s">
        <v>478</v>
      </c>
      <c r="E470" s="28">
        <v>11200003</v>
      </c>
      <c r="F470" s="28">
        <v>0</v>
      </c>
      <c r="G470" s="28">
        <v>1</v>
      </c>
      <c r="H470" s="28">
        <v>50</v>
      </c>
      <c r="I470" s="31">
        <v>0.2</v>
      </c>
      <c r="J470" s="30">
        <v>20</v>
      </c>
      <c r="K470" s="28">
        <v>0</v>
      </c>
      <c r="L470" s="28">
        <v>0</v>
      </c>
      <c r="M470" s="28">
        <f t="shared" ref="M470" si="84">ROUND(N470/2,0)</f>
        <v>40</v>
      </c>
      <c r="N470" s="28">
        <v>80</v>
      </c>
      <c r="O470" s="28">
        <v>0</v>
      </c>
      <c r="P470" s="28">
        <v>0</v>
      </c>
      <c r="Q470" s="28">
        <f t="shared" ref="Q470" si="85">ROUND(R470/2,0)</f>
        <v>36</v>
      </c>
      <c r="R470" s="28">
        <v>72</v>
      </c>
      <c r="S470" s="28">
        <f t="shared" ref="S470" si="86">ROUND(T470/2,0)</f>
        <v>36</v>
      </c>
      <c r="T470" s="28">
        <v>72</v>
      </c>
      <c r="U470" s="31">
        <v>0</v>
      </c>
      <c r="V470" s="28">
        <v>0</v>
      </c>
      <c r="W470" s="28">
        <v>0</v>
      </c>
      <c r="X470" s="28">
        <v>0</v>
      </c>
      <c r="Y470" s="31">
        <v>0</v>
      </c>
      <c r="Z470" s="31">
        <v>0</v>
      </c>
      <c r="AA470" s="31">
        <v>0</v>
      </c>
      <c r="AB470" s="31">
        <v>200103</v>
      </c>
      <c r="AC470" s="31">
        <v>300</v>
      </c>
      <c r="AD470" s="31">
        <v>1</v>
      </c>
      <c r="AE470" s="45"/>
      <c r="AF470" s="33"/>
      <c r="AG470" s="33"/>
      <c r="AH470" s="33"/>
      <c r="AI470" s="33"/>
      <c r="AJ470" s="33"/>
      <c r="AK470" s="33"/>
      <c r="AL470" s="33"/>
      <c r="AM470" s="33"/>
      <c r="AN470" s="33"/>
      <c r="AO470" s="33"/>
      <c r="AP470" s="33"/>
      <c r="AQ470" s="33"/>
      <c r="AR470" s="33"/>
      <c r="AS470" s="33"/>
      <c r="AT470" s="33"/>
      <c r="AU470" s="33"/>
      <c r="AV470" s="33"/>
      <c r="AW470" s="33"/>
      <c r="AX470" s="33"/>
      <c r="AY470" s="33"/>
      <c r="AZ470" s="33"/>
      <c r="BA470" s="33"/>
      <c r="BB470" s="33"/>
      <c r="BC470" s="33"/>
      <c r="BD470" s="33"/>
      <c r="BE470" s="33"/>
      <c r="BF470" s="33"/>
      <c r="BG470" s="33"/>
      <c r="BH470" s="33"/>
      <c r="BI470" s="33"/>
      <c r="BJ470" s="33"/>
      <c r="BK470" s="33"/>
      <c r="BL470" s="33"/>
      <c r="BM470" s="33"/>
      <c r="BN470" s="33"/>
      <c r="BO470" s="33"/>
      <c r="BP470" s="33"/>
      <c r="BQ470" s="33"/>
      <c r="BR470" s="33"/>
      <c r="BS470" s="33"/>
      <c r="BT470" s="33"/>
      <c r="BU470" s="33"/>
      <c r="BV470" s="33"/>
      <c r="BW470" s="33"/>
      <c r="BX470" s="33"/>
      <c r="BY470" s="33"/>
      <c r="BZ470" s="33"/>
      <c r="CA470" s="33"/>
      <c r="CB470" s="33"/>
      <c r="CC470" s="33"/>
      <c r="CD470" s="33"/>
      <c r="CE470" s="33"/>
      <c r="CF470" s="33"/>
      <c r="CG470" s="33"/>
      <c r="CH470" s="33"/>
      <c r="CI470" s="33"/>
      <c r="CJ470" s="33"/>
      <c r="CK470" s="33"/>
      <c r="CL470" s="33"/>
      <c r="CM470" s="33"/>
      <c r="CN470" s="33"/>
      <c r="CO470" s="33"/>
      <c r="CP470" s="33"/>
      <c r="CQ470" s="33"/>
      <c r="CR470" s="33"/>
      <c r="CS470" s="33"/>
      <c r="CT470" s="33"/>
      <c r="CU470" s="33"/>
      <c r="CV470" s="33"/>
      <c r="CW470" s="33"/>
      <c r="CX470" s="33"/>
      <c r="CY470" s="33"/>
      <c r="CZ470" s="33"/>
      <c r="DA470" s="33"/>
      <c r="DB470" s="33"/>
      <c r="DC470" s="33"/>
      <c r="DD470" s="33"/>
      <c r="DE470" s="33"/>
      <c r="DF470" s="33"/>
      <c r="DG470" s="33"/>
      <c r="DH470" s="33"/>
      <c r="DI470" s="33"/>
      <c r="DJ470" s="33"/>
      <c r="DK470" s="33"/>
      <c r="DL470" s="33"/>
      <c r="DM470" s="33"/>
      <c r="DN470" s="33"/>
      <c r="DO470" s="33"/>
      <c r="DP470" s="33"/>
      <c r="DQ470" s="33"/>
      <c r="DR470" s="33"/>
      <c r="DS470" s="33"/>
      <c r="DT470" s="33"/>
      <c r="DU470" s="33"/>
      <c r="DV470" s="33"/>
      <c r="DW470" s="33"/>
      <c r="DX470" s="33"/>
      <c r="DY470" s="33"/>
      <c r="DZ470" s="33"/>
      <c r="EA470" s="33"/>
      <c r="EB470" s="33"/>
      <c r="EC470" s="33"/>
      <c r="ED470" s="33"/>
      <c r="EE470" s="33"/>
      <c r="EF470" s="33"/>
      <c r="EG470" s="33"/>
      <c r="EH470" s="33"/>
      <c r="EI470" s="33"/>
      <c r="EJ470" s="33"/>
      <c r="EK470" s="33"/>
      <c r="EL470" s="33"/>
      <c r="EM470" s="33"/>
      <c r="EN470" s="33"/>
      <c r="EO470" s="33"/>
      <c r="EP470" s="33"/>
      <c r="EQ470" s="33"/>
      <c r="ER470" s="33"/>
      <c r="ES470" s="33"/>
      <c r="ET470" s="33"/>
      <c r="EU470" s="33"/>
      <c r="EV470" s="33"/>
      <c r="EW470" s="33"/>
      <c r="EX470" s="33"/>
      <c r="EY470" s="33"/>
      <c r="EZ470" s="33"/>
      <c r="FA470" s="33"/>
      <c r="FB470" s="33"/>
      <c r="FC470" s="33"/>
      <c r="FD470" s="33"/>
      <c r="FE470" s="33"/>
      <c r="FF470" s="33"/>
      <c r="FG470" s="33"/>
      <c r="FH470" s="33"/>
      <c r="FI470" s="33"/>
      <c r="FJ470" s="33"/>
      <c r="FK470" s="33"/>
      <c r="FL470" s="33"/>
      <c r="FM470" s="33"/>
      <c r="FN470" s="33"/>
      <c r="FO470" s="33"/>
      <c r="FP470" s="33"/>
      <c r="FQ470" s="33"/>
      <c r="FR470" s="33"/>
      <c r="FS470" s="33"/>
      <c r="FT470" s="33"/>
      <c r="FU470" s="33"/>
      <c r="FV470" s="33"/>
      <c r="FW470" s="33"/>
      <c r="FX470" s="33"/>
      <c r="FY470" s="33"/>
      <c r="FZ470" s="33"/>
      <c r="GA470" s="33"/>
      <c r="GB470" s="33"/>
      <c r="GC470" s="33"/>
      <c r="GD470" s="33"/>
      <c r="GE470" s="33"/>
      <c r="GF470" s="33"/>
      <c r="GG470" s="33"/>
      <c r="GH470" s="33"/>
      <c r="GI470" s="33"/>
      <c r="GJ470" s="33"/>
      <c r="GK470" s="33"/>
      <c r="GL470" s="33"/>
      <c r="GM470" s="33"/>
      <c r="GN470" s="33"/>
      <c r="GO470" s="33"/>
      <c r="GP470" s="33"/>
      <c r="GQ470" s="33"/>
      <c r="GR470" s="33"/>
      <c r="GS470" s="33"/>
      <c r="GT470" s="33"/>
      <c r="GU470" s="33"/>
      <c r="GV470" s="33"/>
      <c r="GW470" s="33"/>
      <c r="GX470" s="33"/>
      <c r="GY470" s="33"/>
      <c r="GZ470" s="33"/>
      <c r="HA470" s="33"/>
      <c r="HB470" s="33"/>
      <c r="HC470" s="33"/>
      <c r="HD470" s="33"/>
      <c r="HE470" s="33"/>
      <c r="HF470" s="33"/>
      <c r="HG470" s="33"/>
      <c r="HH470" s="33"/>
      <c r="HI470" s="33"/>
      <c r="HJ470" s="33"/>
      <c r="HK470" s="33"/>
      <c r="HL470" s="33"/>
      <c r="HM470" s="33"/>
      <c r="HN470" s="33"/>
      <c r="HO470" s="33"/>
      <c r="HP470" s="33"/>
    </row>
    <row r="471" spans="3:224" ht="20.100000000000001" customHeight="1">
      <c r="C471" s="24">
        <v>15402001</v>
      </c>
      <c r="D471" s="25" t="s">
        <v>479</v>
      </c>
      <c r="E471" s="25">
        <v>11200003</v>
      </c>
      <c r="F471" s="25">
        <v>0</v>
      </c>
      <c r="G471" s="25">
        <v>1</v>
      </c>
      <c r="H471" s="25">
        <v>50</v>
      </c>
      <c r="I471" s="29">
        <v>0.2</v>
      </c>
      <c r="J471" s="30">
        <v>20</v>
      </c>
      <c r="K471" s="25">
        <v>0</v>
      </c>
      <c r="L471" s="25">
        <v>0</v>
      </c>
      <c r="M471" s="25">
        <f t="shared" si="81"/>
        <v>45</v>
      </c>
      <c r="N471" s="25">
        <v>90</v>
      </c>
      <c r="O471" s="25">
        <v>0</v>
      </c>
      <c r="P471" s="25">
        <v>0</v>
      </c>
      <c r="Q471" s="25">
        <f t="shared" si="82"/>
        <v>0</v>
      </c>
      <c r="R471" s="25">
        <v>0</v>
      </c>
      <c r="S471" s="25">
        <f t="shared" si="83"/>
        <v>60</v>
      </c>
      <c r="T471" s="25">
        <v>120</v>
      </c>
      <c r="U471" s="29">
        <v>0</v>
      </c>
      <c r="V471" s="25">
        <v>0</v>
      </c>
      <c r="W471" s="25">
        <v>0</v>
      </c>
      <c r="X471" s="25">
        <v>0</v>
      </c>
      <c r="Y471" s="29">
        <v>0</v>
      </c>
      <c r="Z471" s="29">
        <v>0</v>
      </c>
      <c r="AA471" s="29">
        <v>0</v>
      </c>
      <c r="AB471" s="29">
        <v>0</v>
      </c>
      <c r="AC471" s="29">
        <v>0</v>
      </c>
      <c r="AD471" s="29">
        <v>0</v>
      </c>
      <c r="AE471" s="43"/>
      <c r="GR471" s="5"/>
      <c r="GS471" s="5"/>
      <c r="GT471" s="5"/>
      <c r="GU471" s="5"/>
      <c r="GV471" s="5"/>
      <c r="GW471" s="5"/>
      <c r="GX471" s="5"/>
      <c r="GY471" s="5"/>
      <c r="GZ471" s="5"/>
      <c r="HA471" s="5"/>
      <c r="HB471" s="5"/>
      <c r="HC471" s="5"/>
      <c r="HD471" s="5"/>
      <c r="HE471" s="5"/>
      <c r="HF471" s="5"/>
      <c r="HG471" s="5"/>
      <c r="HH471" s="5"/>
      <c r="HI471" s="5"/>
      <c r="HJ471" s="5"/>
      <c r="HK471" s="5"/>
      <c r="HL471" s="5"/>
      <c r="HM471" s="5"/>
      <c r="HN471" s="5"/>
      <c r="HO471" s="5"/>
      <c r="HP471" s="5"/>
    </row>
    <row r="472" spans="3:224" ht="20.100000000000001" customHeight="1">
      <c r="C472" s="24">
        <v>15402002</v>
      </c>
      <c r="D472" s="25" t="s">
        <v>480</v>
      </c>
      <c r="E472" s="25">
        <v>11200003</v>
      </c>
      <c r="F472" s="25">
        <v>14011</v>
      </c>
      <c r="G472" s="25">
        <v>1</v>
      </c>
      <c r="H472" s="25">
        <v>50</v>
      </c>
      <c r="I472" s="29">
        <v>0.2</v>
      </c>
      <c r="J472" s="30">
        <v>20</v>
      </c>
      <c r="K472" s="25">
        <v>0</v>
      </c>
      <c r="L472" s="25">
        <v>0</v>
      </c>
      <c r="M472" s="25">
        <f t="shared" si="81"/>
        <v>56</v>
      </c>
      <c r="N472" s="25">
        <v>111</v>
      </c>
      <c r="O472" s="25">
        <v>0</v>
      </c>
      <c r="P472" s="25">
        <v>0</v>
      </c>
      <c r="Q472" s="25">
        <f t="shared" si="82"/>
        <v>0</v>
      </c>
      <c r="R472" s="25">
        <v>0</v>
      </c>
      <c r="S472" s="25">
        <f t="shared" si="83"/>
        <v>77</v>
      </c>
      <c r="T472" s="25">
        <v>153</v>
      </c>
      <c r="U472" s="29">
        <v>0</v>
      </c>
      <c r="V472" s="25">
        <v>0</v>
      </c>
      <c r="W472" s="25">
        <v>0</v>
      </c>
      <c r="X472" s="25">
        <v>0</v>
      </c>
      <c r="Y472" s="29">
        <v>0</v>
      </c>
      <c r="Z472" s="29">
        <v>0</v>
      </c>
      <c r="AA472" s="29">
        <v>0</v>
      </c>
      <c r="AB472" s="29">
        <v>0</v>
      </c>
      <c r="AC472" s="29">
        <v>0</v>
      </c>
      <c r="AD472" s="29">
        <v>0</v>
      </c>
      <c r="AE472" s="43"/>
      <c r="GR472" s="5"/>
      <c r="GS472" s="5"/>
      <c r="GT472" s="5"/>
      <c r="GU472" s="5"/>
      <c r="GV472" s="5"/>
      <c r="GW472" s="5"/>
      <c r="GX472" s="5"/>
      <c r="GY472" s="5"/>
      <c r="GZ472" s="5"/>
      <c r="HA472" s="5"/>
      <c r="HB472" s="5"/>
      <c r="HC472" s="5"/>
      <c r="HD472" s="5"/>
      <c r="HE472" s="5"/>
      <c r="HF472" s="5"/>
      <c r="HG472" s="5"/>
      <c r="HH472" s="5"/>
      <c r="HI472" s="5"/>
      <c r="HJ472" s="5"/>
      <c r="HK472" s="5"/>
      <c r="HL472" s="5"/>
      <c r="HM472" s="5"/>
      <c r="HN472" s="5"/>
      <c r="HO472" s="5"/>
      <c r="HP472" s="5"/>
    </row>
    <row r="473" spans="3:224" ht="20.100000000000001" customHeight="1">
      <c r="C473" s="24">
        <v>15402003</v>
      </c>
      <c r="D473" s="25" t="s">
        <v>481</v>
      </c>
      <c r="E473" s="25">
        <v>11200003</v>
      </c>
      <c r="F473" s="25">
        <v>0</v>
      </c>
      <c r="G473" s="25">
        <v>1</v>
      </c>
      <c r="H473" s="25">
        <v>50</v>
      </c>
      <c r="I473" s="29">
        <v>0.2</v>
      </c>
      <c r="J473" s="30">
        <v>20</v>
      </c>
      <c r="K473" s="25">
        <v>0</v>
      </c>
      <c r="L473" s="25">
        <v>0</v>
      </c>
      <c r="M473" s="25">
        <f t="shared" si="81"/>
        <v>61</v>
      </c>
      <c r="N473" s="25">
        <v>122</v>
      </c>
      <c r="O473" s="25">
        <v>0</v>
      </c>
      <c r="P473" s="25">
        <v>0</v>
      </c>
      <c r="Q473" s="25">
        <f t="shared" si="82"/>
        <v>0</v>
      </c>
      <c r="R473" s="25">
        <v>0</v>
      </c>
      <c r="S473" s="25">
        <f t="shared" si="83"/>
        <v>45</v>
      </c>
      <c r="T473" s="25">
        <v>90</v>
      </c>
      <c r="U473" s="29">
        <v>0</v>
      </c>
      <c r="V473" s="25">
        <v>0</v>
      </c>
      <c r="W473" s="25">
        <v>0</v>
      </c>
      <c r="X473" s="25">
        <v>0</v>
      </c>
      <c r="Y473" s="29">
        <v>0</v>
      </c>
      <c r="Z473" s="29">
        <v>0</v>
      </c>
      <c r="AA473" s="29">
        <v>0</v>
      </c>
      <c r="AB473" s="29">
        <v>0</v>
      </c>
      <c r="AC473" s="29">
        <v>0</v>
      </c>
      <c r="AD473" s="29">
        <v>0</v>
      </c>
      <c r="AE473" s="43"/>
      <c r="GR473" s="5"/>
      <c r="GS473" s="5"/>
      <c r="GT473" s="5"/>
      <c r="GU473" s="5"/>
      <c r="GV473" s="5"/>
      <c r="GW473" s="5"/>
      <c r="GX473" s="5"/>
      <c r="GY473" s="5"/>
      <c r="GZ473" s="5"/>
      <c r="HA473" s="5"/>
      <c r="HB473" s="5"/>
      <c r="HC473" s="5"/>
      <c r="HD473" s="5"/>
      <c r="HE473" s="5"/>
      <c r="HF473" s="5"/>
      <c r="HG473" s="5"/>
      <c r="HH473" s="5"/>
      <c r="HI473" s="5"/>
      <c r="HJ473" s="5"/>
      <c r="HK473" s="5"/>
      <c r="HL473" s="5"/>
      <c r="HM473" s="5"/>
      <c r="HN473" s="5"/>
      <c r="HO473" s="5"/>
      <c r="HP473" s="5"/>
    </row>
    <row r="474" spans="3:224" ht="20.100000000000001" customHeight="1">
      <c r="C474" s="24">
        <v>15402004</v>
      </c>
      <c r="D474" s="25" t="s">
        <v>482</v>
      </c>
      <c r="E474" s="25">
        <v>11200003</v>
      </c>
      <c r="F474" s="25">
        <v>14021</v>
      </c>
      <c r="G474" s="25">
        <v>1</v>
      </c>
      <c r="H474" s="25">
        <v>50</v>
      </c>
      <c r="I474" s="29">
        <v>0.2</v>
      </c>
      <c r="J474" s="30">
        <v>20</v>
      </c>
      <c r="K474" s="25">
        <v>0</v>
      </c>
      <c r="L474" s="25">
        <v>0</v>
      </c>
      <c r="M474" s="25">
        <f t="shared" si="81"/>
        <v>75</v>
      </c>
      <c r="N474" s="25">
        <v>150</v>
      </c>
      <c r="O474" s="25">
        <v>0</v>
      </c>
      <c r="P474" s="25">
        <v>0</v>
      </c>
      <c r="Q474" s="25">
        <f t="shared" si="82"/>
        <v>0</v>
      </c>
      <c r="R474" s="25">
        <v>0</v>
      </c>
      <c r="S474" s="25">
        <f t="shared" si="83"/>
        <v>58</v>
      </c>
      <c r="T474" s="25">
        <v>115</v>
      </c>
      <c r="U474" s="29">
        <v>0</v>
      </c>
      <c r="V474" s="25">
        <v>0</v>
      </c>
      <c r="W474" s="25">
        <v>0</v>
      </c>
      <c r="X474" s="25">
        <v>0</v>
      </c>
      <c r="Y474" s="29">
        <v>0</v>
      </c>
      <c r="Z474" s="29">
        <v>0</v>
      </c>
      <c r="AA474" s="29">
        <v>0</v>
      </c>
      <c r="AB474" s="29">
        <v>0</v>
      </c>
      <c r="AC474" s="29">
        <v>0</v>
      </c>
      <c r="AD474" s="29">
        <v>0</v>
      </c>
      <c r="AE474" s="43"/>
      <c r="GR474" s="5"/>
      <c r="GS474" s="5"/>
      <c r="GT474" s="5"/>
      <c r="GU474" s="5"/>
      <c r="GV474" s="5"/>
      <c r="GW474" s="5"/>
      <c r="GX474" s="5"/>
      <c r="GY474" s="5"/>
      <c r="GZ474" s="5"/>
      <c r="HA474" s="5"/>
      <c r="HB474" s="5"/>
      <c r="HC474" s="5"/>
      <c r="HD474" s="5"/>
      <c r="HE474" s="5"/>
      <c r="HF474" s="5"/>
      <c r="HG474" s="5"/>
      <c r="HH474" s="5"/>
      <c r="HI474" s="5"/>
      <c r="HJ474" s="5"/>
      <c r="HK474" s="5"/>
      <c r="HL474" s="5"/>
      <c r="HM474" s="5"/>
      <c r="HN474" s="5"/>
      <c r="HO474" s="5"/>
      <c r="HP474" s="5"/>
    </row>
    <row r="475" spans="3:224" ht="20.100000000000001" customHeight="1">
      <c r="C475" s="24">
        <v>15402005</v>
      </c>
      <c r="D475" s="25" t="s">
        <v>483</v>
      </c>
      <c r="E475" s="25">
        <v>11200003</v>
      </c>
      <c r="F475" s="25">
        <v>0</v>
      </c>
      <c r="G475" s="25">
        <v>1</v>
      </c>
      <c r="H475" s="25">
        <v>50</v>
      </c>
      <c r="I475" s="29">
        <v>0.2</v>
      </c>
      <c r="J475" s="30">
        <v>20</v>
      </c>
      <c r="K475" s="25">
        <v>0</v>
      </c>
      <c r="L475" s="25">
        <v>0</v>
      </c>
      <c r="M475" s="25">
        <f t="shared" si="81"/>
        <v>34</v>
      </c>
      <c r="N475" s="25">
        <v>68</v>
      </c>
      <c r="O475" s="25">
        <v>0</v>
      </c>
      <c r="P475" s="25">
        <v>0</v>
      </c>
      <c r="Q475" s="25">
        <f t="shared" si="82"/>
        <v>0</v>
      </c>
      <c r="R475" s="25">
        <v>0</v>
      </c>
      <c r="S475" s="25">
        <f t="shared" si="83"/>
        <v>75</v>
      </c>
      <c r="T475" s="25">
        <v>150</v>
      </c>
      <c r="U475" s="29">
        <v>0</v>
      </c>
      <c r="V475" s="25">
        <v>0</v>
      </c>
      <c r="W475" s="25">
        <v>0</v>
      </c>
      <c r="X475" s="25">
        <v>0</v>
      </c>
      <c r="Y475" s="29">
        <v>0</v>
      </c>
      <c r="Z475" s="29">
        <v>0</v>
      </c>
      <c r="AA475" s="29">
        <v>0</v>
      </c>
      <c r="AB475" s="29">
        <v>0</v>
      </c>
      <c r="AC475" s="29">
        <v>0</v>
      </c>
      <c r="AD475" s="29">
        <v>0</v>
      </c>
      <c r="AE475" s="43"/>
      <c r="GR475" s="5"/>
      <c r="GS475" s="5"/>
      <c r="GT475" s="5"/>
      <c r="GU475" s="5"/>
      <c r="GV475" s="5"/>
      <c r="GW475" s="5"/>
      <c r="GX475" s="5"/>
      <c r="GY475" s="5"/>
      <c r="GZ475" s="5"/>
      <c r="HA475" s="5"/>
      <c r="HB475" s="5"/>
      <c r="HC475" s="5"/>
      <c r="HD475" s="5"/>
      <c r="HE475" s="5"/>
      <c r="HF475" s="5"/>
      <c r="HG475" s="5"/>
      <c r="HH475" s="5"/>
      <c r="HI475" s="5"/>
      <c r="HJ475" s="5"/>
      <c r="HK475" s="5"/>
      <c r="HL475" s="5"/>
      <c r="HM475" s="5"/>
      <c r="HN475" s="5"/>
      <c r="HO475" s="5"/>
      <c r="HP475" s="5"/>
    </row>
    <row r="476" spans="3:224" ht="20.100000000000001" customHeight="1">
      <c r="C476" s="24">
        <v>15402006</v>
      </c>
      <c r="D476" s="25" t="s">
        <v>484</v>
      </c>
      <c r="E476" s="25">
        <v>11200003</v>
      </c>
      <c r="F476" s="25">
        <v>14031</v>
      </c>
      <c r="G476" s="25">
        <v>1</v>
      </c>
      <c r="H476" s="25">
        <v>50</v>
      </c>
      <c r="I476" s="29">
        <v>0.2</v>
      </c>
      <c r="J476" s="30">
        <v>20</v>
      </c>
      <c r="K476" s="25">
        <v>0</v>
      </c>
      <c r="L476" s="25">
        <v>0</v>
      </c>
      <c r="M476" s="25">
        <f t="shared" si="81"/>
        <v>42</v>
      </c>
      <c r="N476" s="25">
        <v>83</v>
      </c>
      <c r="O476" s="25">
        <v>0</v>
      </c>
      <c r="P476" s="25">
        <v>0</v>
      </c>
      <c r="Q476" s="25">
        <f t="shared" si="82"/>
        <v>0</v>
      </c>
      <c r="R476" s="25">
        <v>0</v>
      </c>
      <c r="S476" s="25">
        <f t="shared" si="83"/>
        <v>96</v>
      </c>
      <c r="T476" s="25">
        <v>191</v>
      </c>
      <c r="U476" s="29">
        <v>0</v>
      </c>
      <c r="V476" s="25">
        <v>0</v>
      </c>
      <c r="W476" s="25">
        <v>0</v>
      </c>
      <c r="X476" s="25">
        <v>0</v>
      </c>
      <c r="Y476" s="29">
        <v>0</v>
      </c>
      <c r="Z476" s="29">
        <v>0</v>
      </c>
      <c r="AA476" s="29">
        <v>0</v>
      </c>
      <c r="AB476" s="29">
        <v>0</v>
      </c>
      <c r="AC476" s="29">
        <v>0</v>
      </c>
      <c r="AD476" s="29">
        <v>0</v>
      </c>
      <c r="AE476" s="43"/>
      <c r="GR476" s="5"/>
      <c r="GS476" s="5"/>
      <c r="GT476" s="5"/>
      <c r="GU476" s="5"/>
      <c r="GV476" s="5"/>
      <c r="GW476" s="5"/>
      <c r="GX476" s="5"/>
      <c r="GY476" s="5"/>
      <c r="GZ476" s="5"/>
      <c r="HA476" s="5"/>
      <c r="HB476" s="5"/>
      <c r="HC476" s="5"/>
      <c r="HD476" s="5"/>
      <c r="HE476" s="5"/>
      <c r="HF476" s="5"/>
      <c r="HG476" s="5"/>
      <c r="HH476" s="5"/>
      <c r="HI476" s="5"/>
      <c r="HJ476" s="5"/>
      <c r="HK476" s="5"/>
      <c r="HL476" s="5"/>
      <c r="HM476" s="5"/>
      <c r="HN476" s="5"/>
      <c r="HO476" s="5"/>
      <c r="HP476" s="5"/>
    </row>
    <row r="477" spans="3:224" ht="20.100000000000001" customHeight="1">
      <c r="C477" s="24">
        <v>15403001</v>
      </c>
      <c r="D477" s="25" t="s">
        <v>485</v>
      </c>
      <c r="E477" s="25">
        <v>11200003</v>
      </c>
      <c r="F477" s="25">
        <v>0</v>
      </c>
      <c r="G477" s="25">
        <v>1</v>
      </c>
      <c r="H477" s="25">
        <v>50</v>
      </c>
      <c r="I477" s="29">
        <v>0.2</v>
      </c>
      <c r="J477" s="30">
        <v>20</v>
      </c>
      <c r="K477" s="25">
        <v>0</v>
      </c>
      <c r="L477" s="25">
        <v>1480</v>
      </c>
      <c r="M477" s="25">
        <f t="shared" si="81"/>
        <v>25</v>
      </c>
      <c r="N477" s="25">
        <v>50</v>
      </c>
      <c r="O477" s="25">
        <v>0</v>
      </c>
      <c r="P477" s="25">
        <v>0</v>
      </c>
      <c r="Q477" s="25">
        <f t="shared" si="82"/>
        <v>43</v>
      </c>
      <c r="R477" s="25">
        <v>85</v>
      </c>
      <c r="S477" s="25">
        <f t="shared" si="83"/>
        <v>0</v>
      </c>
      <c r="T477" s="25">
        <v>0</v>
      </c>
      <c r="U477" s="29">
        <v>0</v>
      </c>
      <c r="V477" s="25">
        <v>0</v>
      </c>
      <c r="W477" s="25">
        <v>0</v>
      </c>
      <c r="X477" s="25">
        <v>0</v>
      </c>
      <c r="Y477" s="29">
        <v>0</v>
      </c>
      <c r="Z477" s="29">
        <v>0</v>
      </c>
      <c r="AA477" s="29">
        <v>0</v>
      </c>
      <c r="AB477" s="29">
        <v>0</v>
      </c>
      <c r="AC477" s="29">
        <v>0</v>
      </c>
      <c r="AD477" s="29">
        <v>0</v>
      </c>
      <c r="AE477" s="43"/>
      <c r="GR477" s="5"/>
      <c r="GS477" s="5"/>
      <c r="GT477" s="5"/>
      <c r="GU477" s="5"/>
      <c r="GV477" s="5"/>
      <c r="GW477" s="5"/>
      <c r="GX477" s="5"/>
      <c r="GY477" s="5"/>
      <c r="GZ477" s="5"/>
      <c r="HA477" s="5"/>
      <c r="HB477" s="5"/>
      <c r="HC477" s="5"/>
      <c r="HD477" s="5"/>
      <c r="HE477" s="5"/>
      <c r="HF477" s="5"/>
      <c r="HG477" s="5"/>
      <c r="HH477" s="5"/>
      <c r="HI477" s="5"/>
      <c r="HJ477" s="5"/>
      <c r="HK477" s="5"/>
      <c r="HL477" s="5"/>
      <c r="HM477" s="5"/>
      <c r="HN477" s="5"/>
      <c r="HO477" s="5"/>
      <c r="HP477" s="5"/>
    </row>
    <row r="478" spans="3:224" ht="20.100000000000001" customHeight="1">
      <c r="C478" s="24">
        <v>15403002</v>
      </c>
      <c r="D478" s="25" t="s">
        <v>486</v>
      </c>
      <c r="E478" s="25">
        <v>11200003</v>
      </c>
      <c r="F478" s="25">
        <v>14011</v>
      </c>
      <c r="G478" s="25">
        <v>1</v>
      </c>
      <c r="H478" s="25">
        <v>50</v>
      </c>
      <c r="I478" s="29">
        <v>0.2</v>
      </c>
      <c r="J478" s="30">
        <v>20</v>
      </c>
      <c r="K478" s="25">
        <v>0</v>
      </c>
      <c r="L478" s="25">
        <v>1785</v>
      </c>
      <c r="M478" s="25">
        <f t="shared" si="81"/>
        <v>30</v>
      </c>
      <c r="N478" s="25">
        <v>60</v>
      </c>
      <c r="O478" s="25">
        <v>0</v>
      </c>
      <c r="P478" s="25">
        <v>0</v>
      </c>
      <c r="Q478" s="25">
        <f t="shared" si="82"/>
        <v>51</v>
      </c>
      <c r="R478" s="25">
        <v>102</v>
      </c>
      <c r="S478" s="25">
        <f t="shared" si="83"/>
        <v>0</v>
      </c>
      <c r="T478" s="25">
        <v>0</v>
      </c>
      <c r="U478" s="29">
        <v>0</v>
      </c>
      <c r="V478" s="25">
        <v>0</v>
      </c>
      <c r="W478" s="25">
        <v>0</v>
      </c>
      <c r="X478" s="25">
        <v>0</v>
      </c>
      <c r="Y478" s="29">
        <v>0</v>
      </c>
      <c r="Z478" s="29">
        <v>0</v>
      </c>
      <c r="AA478" s="29">
        <v>0</v>
      </c>
      <c r="AB478" s="29">
        <v>0</v>
      </c>
      <c r="AC478" s="29">
        <v>0</v>
      </c>
      <c r="AD478" s="29">
        <v>0</v>
      </c>
      <c r="AE478" s="43"/>
      <c r="GR478" s="5"/>
      <c r="GS478" s="5"/>
      <c r="GT478" s="5"/>
      <c r="GU478" s="5"/>
      <c r="GV478" s="5"/>
      <c r="GW478" s="5"/>
      <c r="GX478" s="5"/>
      <c r="GY478" s="5"/>
      <c r="GZ478" s="5"/>
      <c r="HA478" s="5"/>
      <c r="HB478" s="5"/>
      <c r="HC478" s="5"/>
      <c r="HD478" s="5"/>
      <c r="HE478" s="5"/>
      <c r="HF478" s="5"/>
      <c r="HG478" s="5"/>
      <c r="HH478" s="5"/>
      <c r="HI478" s="5"/>
      <c r="HJ478" s="5"/>
      <c r="HK478" s="5"/>
      <c r="HL478" s="5"/>
      <c r="HM478" s="5"/>
      <c r="HN478" s="5"/>
      <c r="HO478" s="5"/>
      <c r="HP478" s="5"/>
    </row>
    <row r="479" spans="3:224" ht="20.100000000000001" customHeight="1">
      <c r="C479" s="24">
        <v>15403003</v>
      </c>
      <c r="D479" s="25" t="s">
        <v>487</v>
      </c>
      <c r="E479" s="25">
        <v>11200003</v>
      </c>
      <c r="F479" s="25">
        <v>0</v>
      </c>
      <c r="G479" s="25">
        <v>1</v>
      </c>
      <c r="H479" s="25">
        <v>50</v>
      </c>
      <c r="I479" s="29">
        <v>0.2</v>
      </c>
      <c r="J479" s="30">
        <v>20</v>
      </c>
      <c r="K479" s="25">
        <v>0</v>
      </c>
      <c r="L479" s="25">
        <v>740</v>
      </c>
      <c r="M479" s="25">
        <f t="shared" si="81"/>
        <v>34</v>
      </c>
      <c r="N479" s="25">
        <v>68</v>
      </c>
      <c r="O479" s="25">
        <v>0</v>
      </c>
      <c r="P479" s="25">
        <v>0</v>
      </c>
      <c r="Q479" s="25">
        <f t="shared" si="82"/>
        <v>32</v>
      </c>
      <c r="R479" s="25">
        <v>64</v>
      </c>
      <c r="S479" s="25">
        <f t="shared" si="83"/>
        <v>0</v>
      </c>
      <c r="T479" s="25">
        <v>0</v>
      </c>
      <c r="U479" s="29">
        <v>0</v>
      </c>
      <c r="V479" s="25">
        <v>0</v>
      </c>
      <c r="W479" s="25">
        <v>0</v>
      </c>
      <c r="X479" s="25">
        <v>0</v>
      </c>
      <c r="Y479" s="29">
        <v>0</v>
      </c>
      <c r="Z479" s="29">
        <v>0</v>
      </c>
      <c r="AA479" s="29">
        <v>0</v>
      </c>
      <c r="AB479" s="29">
        <v>0</v>
      </c>
      <c r="AC479" s="29">
        <v>0</v>
      </c>
      <c r="AD479" s="29">
        <v>0</v>
      </c>
      <c r="AE479" s="43"/>
      <c r="GR479" s="5"/>
      <c r="GS479" s="5"/>
      <c r="GT479" s="5"/>
      <c r="GU479" s="5"/>
      <c r="GV479" s="5"/>
      <c r="GW479" s="5"/>
      <c r="GX479" s="5"/>
      <c r="GY479" s="5"/>
      <c r="GZ479" s="5"/>
      <c r="HA479" s="5"/>
      <c r="HB479" s="5"/>
      <c r="HC479" s="5"/>
      <c r="HD479" s="5"/>
      <c r="HE479" s="5"/>
      <c r="HF479" s="5"/>
      <c r="HG479" s="5"/>
      <c r="HH479" s="5"/>
      <c r="HI479" s="5"/>
      <c r="HJ479" s="5"/>
      <c r="HK479" s="5"/>
      <c r="HL479" s="5"/>
      <c r="HM479" s="5"/>
      <c r="HN479" s="5"/>
      <c r="HO479" s="5"/>
      <c r="HP479" s="5"/>
    </row>
    <row r="480" spans="3:224" ht="20.100000000000001" customHeight="1">
      <c r="C480" s="24">
        <v>15403004</v>
      </c>
      <c r="D480" s="25" t="s">
        <v>488</v>
      </c>
      <c r="E480" s="25">
        <v>11200003</v>
      </c>
      <c r="F480" s="25">
        <v>14021</v>
      </c>
      <c r="G480" s="25">
        <v>1</v>
      </c>
      <c r="H480" s="25">
        <v>50</v>
      </c>
      <c r="I480" s="29">
        <v>0.2</v>
      </c>
      <c r="J480" s="30">
        <v>20</v>
      </c>
      <c r="K480" s="25">
        <v>0</v>
      </c>
      <c r="L480" s="25">
        <v>890</v>
      </c>
      <c r="M480" s="25">
        <f t="shared" si="81"/>
        <v>41</v>
      </c>
      <c r="N480" s="25">
        <v>81</v>
      </c>
      <c r="O480" s="25">
        <v>0</v>
      </c>
      <c r="P480" s="25">
        <v>0</v>
      </c>
      <c r="Q480" s="25">
        <f t="shared" si="82"/>
        <v>39</v>
      </c>
      <c r="R480" s="25">
        <v>77</v>
      </c>
      <c r="S480" s="25">
        <f t="shared" si="83"/>
        <v>0</v>
      </c>
      <c r="T480" s="25">
        <v>0</v>
      </c>
      <c r="U480" s="29">
        <v>0</v>
      </c>
      <c r="V480" s="25">
        <v>0</v>
      </c>
      <c r="W480" s="25">
        <v>0</v>
      </c>
      <c r="X480" s="25">
        <v>0</v>
      </c>
      <c r="Y480" s="29">
        <v>0</v>
      </c>
      <c r="Z480" s="29">
        <v>0</v>
      </c>
      <c r="AA480" s="29">
        <v>0</v>
      </c>
      <c r="AB480" s="29">
        <v>0</v>
      </c>
      <c r="AC480" s="29">
        <v>0</v>
      </c>
      <c r="AD480" s="29">
        <v>0</v>
      </c>
      <c r="AE480" s="43"/>
      <c r="GR480" s="5"/>
      <c r="GS480" s="5"/>
      <c r="GT480" s="5"/>
      <c r="GU480" s="5"/>
      <c r="GV480" s="5"/>
      <c r="GW480" s="5"/>
      <c r="GX480" s="5"/>
      <c r="GY480" s="5"/>
      <c r="GZ480" s="5"/>
      <c r="HA480" s="5"/>
      <c r="HB480" s="5"/>
      <c r="HC480" s="5"/>
      <c r="HD480" s="5"/>
      <c r="HE480" s="5"/>
      <c r="HF480" s="5"/>
      <c r="HG480" s="5"/>
      <c r="HH480" s="5"/>
      <c r="HI480" s="5"/>
      <c r="HJ480" s="5"/>
      <c r="HK480" s="5"/>
      <c r="HL480" s="5"/>
      <c r="HM480" s="5"/>
      <c r="HN480" s="5"/>
      <c r="HO480" s="5"/>
      <c r="HP480" s="5"/>
    </row>
    <row r="481" spans="3:224" ht="20.100000000000001" customHeight="1">
      <c r="C481" s="24">
        <v>15403005</v>
      </c>
      <c r="D481" s="25" t="s">
        <v>489</v>
      </c>
      <c r="E481" s="25">
        <v>11200003</v>
      </c>
      <c r="F481" s="25">
        <v>0</v>
      </c>
      <c r="G481" s="25">
        <v>1</v>
      </c>
      <c r="H481" s="25">
        <v>50</v>
      </c>
      <c r="I481" s="29">
        <v>0.2</v>
      </c>
      <c r="J481" s="30">
        <v>20</v>
      </c>
      <c r="K481" s="25">
        <v>0</v>
      </c>
      <c r="L481" s="25">
        <v>2220</v>
      </c>
      <c r="M481" s="25">
        <f t="shared" si="81"/>
        <v>19</v>
      </c>
      <c r="N481" s="25">
        <v>38</v>
      </c>
      <c r="O481" s="25">
        <v>0</v>
      </c>
      <c r="P481" s="25">
        <v>0</v>
      </c>
      <c r="Q481" s="25">
        <f t="shared" si="82"/>
        <v>53</v>
      </c>
      <c r="R481" s="25">
        <v>106</v>
      </c>
      <c r="S481" s="25">
        <f t="shared" si="83"/>
        <v>0</v>
      </c>
      <c r="T481" s="25">
        <v>0</v>
      </c>
      <c r="U481" s="29">
        <v>0</v>
      </c>
      <c r="V481" s="25">
        <v>0</v>
      </c>
      <c r="W481" s="25">
        <v>0</v>
      </c>
      <c r="X481" s="25">
        <v>0</v>
      </c>
      <c r="Y481" s="29">
        <v>0</v>
      </c>
      <c r="Z481" s="29">
        <v>0</v>
      </c>
      <c r="AA481" s="29">
        <v>0</v>
      </c>
      <c r="AB481" s="29">
        <v>0</v>
      </c>
      <c r="AC481" s="29">
        <v>0</v>
      </c>
      <c r="AD481" s="29">
        <v>0</v>
      </c>
      <c r="AE481" s="43"/>
      <c r="GR481" s="5"/>
      <c r="GS481" s="5"/>
      <c r="GT481" s="5"/>
      <c r="GU481" s="5"/>
      <c r="GV481" s="5"/>
      <c r="GW481" s="5"/>
      <c r="GX481" s="5"/>
      <c r="GY481" s="5"/>
      <c r="GZ481" s="5"/>
      <c r="HA481" s="5"/>
      <c r="HB481" s="5"/>
      <c r="HC481" s="5"/>
      <c r="HD481" s="5"/>
      <c r="HE481" s="5"/>
      <c r="HF481" s="5"/>
      <c r="HG481" s="5"/>
      <c r="HH481" s="5"/>
      <c r="HI481" s="5"/>
      <c r="HJ481" s="5"/>
      <c r="HK481" s="5"/>
      <c r="HL481" s="5"/>
      <c r="HM481" s="5"/>
      <c r="HN481" s="5"/>
      <c r="HO481" s="5"/>
      <c r="HP481" s="5"/>
    </row>
    <row r="482" spans="3:224" ht="20.100000000000001" customHeight="1">
      <c r="C482" s="24">
        <v>15403006</v>
      </c>
      <c r="D482" s="25" t="s">
        <v>490</v>
      </c>
      <c r="E482" s="25">
        <v>11200003</v>
      </c>
      <c r="F482" s="25">
        <v>14031</v>
      </c>
      <c r="G482" s="25">
        <v>1</v>
      </c>
      <c r="H482" s="25">
        <v>50</v>
      </c>
      <c r="I482" s="29">
        <v>0.2</v>
      </c>
      <c r="J482" s="30">
        <v>20</v>
      </c>
      <c r="K482" s="25">
        <v>0</v>
      </c>
      <c r="L482" s="25">
        <v>2680</v>
      </c>
      <c r="M482" s="25">
        <f t="shared" si="81"/>
        <v>23</v>
      </c>
      <c r="N482" s="25">
        <v>45</v>
      </c>
      <c r="O482" s="25">
        <v>0</v>
      </c>
      <c r="P482" s="25">
        <v>0</v>
      </c>
      <c r="Q482" s="25">
        <f t="shared" si="82"/>
        <v>64</v>
      </c>
      <c r="R482" s="25">
        <v>128</v>
      </c>
      <c r="S482" s="25">
        <f t="shared" si="83"/>
        <v>0</v>
      </c>
      <c r="T482" s="25">
        <v>0</v>
      </c>
      <c r="U482" s="29">
        <v>0</v>
      </c>
      <c r="V482" s="25">
        <v>0</v>
      </c>
      <c r="W482" s="25">
        <v>0</v>
      </c>
      <c r="X482" s="25">
        <v>0</v>
      </c>
      <c r="Y482" s="29">
        <v>0</v>
      </c>
      <c r="Z482" s="29">
        <v>0</v>
      </c>
      <c r="AA482" s="29">
        <v>0</v>
      </c>
      <c r="AB482" s="29">
        <v>0</v>
      </c>
      <c r="AC482" s="29">
        <v>0</v>
      </c>
      <c r="AD482" s="29">
        <v>0</v>
      </c>
      <c r="AE482" s="43"/>
      <c r="GR482" s="5"/>
      <c r="GS482" s="5"/>
      <c r="GT482" s="5"/>
      <c r="GU482" s="5"/>
      <c r="GV482" s="5"/>
      <c r="GW482" s="5"/>
      <c r="GX482" s="5"/>
      <c r="GY482" s="5"/>
      <c r="GZ482" s="5"/>
      <c r="HA482" s="5"/>
      <c r="HB482" s="5"/>
      <c r="HC482" s="5"/>
      <c r="HD482" s="5"/>
      <c r="HE482" s="5"/>
      <c r="HF482" s="5"/>
      <c r="HG482" s="5"/>
      <c r="HH482" s="5"/>
      <c r="HI482" s="5"/>
      <c r="HJ482" s="5"/>
      <c r="HK482" s="5"/>
      <c r="HL482" s="5"/>
      <c r="HM482" s="5"/>
      <c r="HN482" s="5"/>
      <c r="HO482" s="5"/>
      <c r="HP482" s="5"/>
    </row>
    <row r="483" spans="3:224" ht="20.100000000000001" customHeight="1">
      <c r="C483" s="24">
        <v>15404001</v>
      </c>
      <c r="D483" s="25" t="s">
        <v>491</v>
      </c>
      <c r="E483" s="25">
        <v>11200003</v>
      </c>
      <c r="F483" s="25">
        <v>0</v>
      </c>
      <c r="G483" s="25">
        <v>1</v>
      </c>
      <c r="H483" s="25">
        <v>50</v>
      </c>
      <c r="I483" s="29">
        <v>0.2</v>
      </c>
      <c r="J483" s="30">
        <v>20</v>
      </c>
      <c r="K483" s="25">
        <v>0</v>
      </c>
      <c r="L483" s="25">
        <v>0</v>
      </c>
      <c r="M483" s="25">
        <f t="shared" si="81"/>
        <v>38</v>
      </c>
      <c r="N483" s="25">
        <v>75</v>
      </c>
      <c r="O483" s="25">
        <v>0</v>
      </c>
      <c r="P483" s="25">
        <v>0</v>
      </c>
      <c r="Q483" s="25">
        <f t="shared" si="82"/>
        <v>40</v>
      </c>
      <c r="R483" s="25">
        <v>80</v>
      </c>
      <c r="S483" s="25">
        <f t="shared" si="83"/>
        <v>40</v>
      </c>
      <c r="T483" s="25">
        <v>80</v>
      </c>
      <c r="U483" s="29">
        <v>0</v>
      </c>
      <c r="V483" s="25">
        <v>0</v>
      </c>
      <c r="W483" s="25">
        <v>0</v>
      </c>
      <c r="X483" s="25">
        <v>0</v>
      </c>
      <c r="Y483" s="29">
        <v>0</v>
      </c>
      <c r="Z483" s="29">
        <v>0</v>
      </c>
      <c r="AA483" s="29">
        <v>0</v>
      </c>
      <c r="AB483" s="29">
        <v>0</v>
      </c>
      <c r="AC483" s="29">
        <v>0</v>
      </c>
      <c r="AD483" s="29">
        <v>0</v>
      </c>
      <c r="AE483" s="43"/>
      <c r="GR483" s="5"/>
      <c r="GS483" s="5"/>
      <c r="GT483" s="5"/>
      <c r="GU483" s="5"/>
      <c r="GV483" s="5"/>
      <c r="GW483" s="5"/>
      <c r="GX483" s="5"/>
      <c r="GY483" s="5"/>
      <c r="GZ483" s="5"/>
      <c r="HA483" s="5"/>
      <c r="HB483" s="5"/>
      <c r="HC483" s="5"/>
      <c r="HD483" s="5"/>
      <c r="HE483" s="5"/>
      <c r="HF483" s="5"/>
      <c r="HG483" s="5"/>
      <c r="HH483" s="5"/>
      <c r="HI483" s="5"/>
      <c r="HJ483" s="5"/>
      <c r="HK483" s="5"/>
      <c r="HL483" s="5"/>
      <c r="HM483" s="5"/>
      <c r="HN483" s="5"/>
      <c r="HO483" s="5"/>
      <c r="HP483" s="5"/>
    </row>
    <row r="484" spans="3:224" ht="20.100000000000001" customHeight="1">
      <c r="C484" s="24">
        <v>15404002</v>
      </c>
      <c r="D484" s="25" t="s">
        <v>492</v>
      </c>
      <c r="E484" s="25">
        <v>11200003</v>
      </c>
      <c r="F484" s="25">
        <v>14011</v>
      </c>
      <c r="G484" s="25">
        <v>1</v>
      </c>
      <c r="H484" s="25">
        <v>50</v>
      </c>
      <c r="I484" s="29">
        <v>0.2</v>
      </c>
      <c r="J484" s="30">
        <v>20</v>
      </c>
      <c r="K484" s="25">
        <v>0</v>
      </c>
      <c r="L484" s="25">
        <v>0</v>
      </c>
      <c r="M484" s="25">
        <f t="shared" si="81"/>
        <v>47</v>
      </c>
      <c r="N484" s="25">
        <v>94</v>
      </c>
      <c r="O484" s="25">
        <v>0</v>
      </c>
      <c r="P484" s="25">
        <v>0</v>
      </c>
      <c r="Q484" s="25">
        <f t="shared" si="82"/>
        <v>51</v>
      </c>
      <c r="R484" s="25">
        <v>102</v>
      </c>
      <c r="S484" s="25">
        <f t="shared" si="83"/>
        <v>51</v>
      </c>
      <c r="T484" s="25">
        <v>102</v>
      </c>
      <c r="U484" s="29">
        <v>0</v>
      </c>
      <c r="V484" s="25">
        <v>0</v>
      </c>
      <c r="W484" s="25">
        <v>0</v>
      </c>
      <c r="X484" s="25">
        <v>0</v>
      </c>
      <c r="Y484" s="29">
        <v>0</v>
      </c>
      <c r="Z484" s="29">
        <v>0</v>
      </c>
      <c r="AA484" s="29">
        <v>0</v>
      </c>
      <c r="AB484" s="29">
        <v>0</v>
      </c>
      <c r="AC484" s="29">
        <v>0</v>
      </c>
      <c r="AD484" s="29">
        <v>0</v>
      </c>
      <c r="AE484" s="43"/>
      <c r="GR484" s="5"/>
      <c r="GS484" s="5"/>
      <c r="GT484" s="5"/>
      <c r="GU484" s="5"/>
      <c r="GV484" s="5"/>
      <c r="GW484" s="5"/>
      <c r="GX484" s="5"/>
      <c r="GY484" s="5"/>
      <c r="GZ484" s="5"/>
      <c r="HA484" s="5"/>
      <c r="HB484" s="5"/>
      <c r="HC484" s="5"/>
      <c r="HD484" s="5"/>
      <c r="HE484" s="5"/>
      <c r="HF484" s="5"/>
      <c r="HG484" s="5"/>
      <c r="HH484" s="5"/>
      <c r="HI484" s="5"/>
      <c r="HJ484" s="5"/>
      <c r="HK484" s="5"/>
      <c r="HL484" s="5"/>
      <c r="HM484" s="5"/>
      <c r="HN484" s="5"/>
      <c r="HO484" s="5"/>
      <c r="HP484" s="5"/>
    </row>
    <row r="485" spans="3:224" ht="20.100000000000001" customHeight="1">
      <c r="C485" s="24">
        <v>15404003</v>
      </c>
      <c r="D485" s="25" t="s">
        <v>493</v>
      </c>
      <c r="E485" s="25">
        <v>11200003</v>
      </c>
      <c r="F485" s="25">
        <v>0</v>
      </c>
      <c r="G485" s="25">
        <v>1</v>
      </c>
      <c r="H485" s="25">
        <v>50</v>
      </c>
      <c r="I485" s="29">
        <v>0.2</v>
      </c>
      <c r="J485" s="30">
        <v>20</v>
      </c>
      <c r="K485" s="25">
        <v>0</v>
      </c>
      <c r="L485" s="25">
        <v>0</v>
      </c>
      <c r="M485" s="25">
        <f t="shared" si="81"/>
        <v>51</v>
      </c>
      <c r="N485" s="25">
        <v>101</v>
      </c>
      <c r="O485" s="25">
        <v>0</v>
      </c>
      <c r="P485" s="25">
        <v>0</v>
      </c>
      <c r="Q485" s="25">
        <f t="shared" si="82"/>
        <v>30</v>
      </c>
      <c r="R485" s="25">
        <v>60</v>
      </c>
      <c r="S485" s="25">
        <f t="shared" si="83"/>
        <v>30</v>
      </c>
      <c r="T485" s="25">
        <v>60</v>
      </c>
      <c r="U485" s="29">
        <v>0</v>
      </c>
      <c r="V485" s="25">
        <v>0</v>
      </c>
      <c r="W485" s="25">
        <v>0</v>
      </c>
      <c r="X485" s="25">
        <v>0</v>
      </c>
      <c r="Y485" s="29">
        <v>0</v>
      </c>
      <c r="Z485" s="29">
        <v>0</v>
      </c>
      <c r="AA485" s="29">
        <v>0</v>
      </c>
      <c r="AB485" s="29">
        <v>0</v>
      </c>
      <c r="AC485" s="29">
        <v>0</v>
      </c>
      <c r="AD485" s="29">
        <v>0</v>
      </c>
      <c r="AE485" s="43"/>
      <c r="GR485" s="5"/>
      <c r="GS485" s="5"/>
      <c r="GT485" s="5"/>
      <c r="GU485" s="5"/>
      <c r="GV485" s="5"/>
      <c r="GW485" s="5"/>
      <c r="GX485" s="5"/>
      <c r="GY485" s="5"/>
      <c r="GZ485" s="5"/>
      <c r="HA485" s="5"/>
      <c r="HB485" s="5"/>
      <c r="HC485" s="5"/>
      <c r="HD485" s="5"/>
      <c r="HE485" s="5"/>
      <c r="HF485" s="5"/>
      <c r="HG485" s="5"/>
      <c r="HH485" s="5"/>
      <c r="HI485" s="5"/>
      <c r="HJ485" s="5"/>
      <c r="HK485" s="5"/>
      <c r="HL485" s="5"/>
      <c r="HM485" s="5"/>
      <c r="HN485" s="5"/>
      <c r="HO485" s="5"/>
      <c r="HP485" s="5"/>
    </row>
    <row r="486" spans="3:224" ht="20.100000000000001" customHeight="1">
      <c r="C486" s="24">
        <v>15404004</v>
      </c>
      <c r="D486" s="25" t="s">
        <v>494</v>
      </c>
      <c r="E486" s="25">
        <v>11200003</v>
      </c>
      <c r="F486" s="25">
        <v>14021</v>
      </c>
      <c r="G486" s="25">
        <v>1</v>
      </c>
      <c r="H486" s="25">
        <v>50</v>
      </c>
      <c r="I486" s="29">
        <v>0.2</v>
      </c>
      <c r="J486" s="30">
        <v>20</v>
      </c>
      <c r="K486" s="25">
        <v>0</v>
      </c>
      <c r="L486" s="25">
        <v>0</v>
      </c>
      <c r="M486" s="25">
        <f t="shared" si="81"/>
        <v>64</v>
      </c>
      <c r="N486" s="25">
        <v>127</v>
      </c>
      <c r="O486" s="25">
        <v>0</v>
      </c>
      <c r="P486" s="25">
        <v>0</v>
      </c>
      <c r="Q486" s="25">
        <f t="shared" si="82"/>
        <v>39</v>
      </c>
      <c r="R486" s="25">
        <v>77</v>
      </c>
      <c r="S486" s="25">
        <f t="shared" si="83"/>
        <v>39</v>
      </c>
      <c r="T486" s="25">
        <v>77</v>
      </c>
      <c r="U486" s="29">
        <v>0</v>
      </c>
      <c r="V486" s="25">
        <v>0</v>
      </c>
      <c r="W486" s="25">
        <v>0</v>
      </c>
      <c r="X486" s="25">
        <v>0</v>
      </c>
      <c r="Y486" s="29">
        <v>0</v>
      </c>
      <c r="Z486" s="29">
        <v>0</v>
      </c>
      <c r="AA486" s="29">
        <v>0</v>
      </c>
      <c r="AB486" s="29">
        <v>0</v>
      </c>
      <c r="AC486" s="29">
        <v>0</v>
      </c>
      <c r="AD486" s="29">
        <v>0</v>
      </c>
      <c r="AE486" s="43"/>
      <c r="GR486" s="5"/>
      <c r="GS486" s="5"/>
      <c r="GT486" s="5"/>
      <c r="GU486" s="5"/>
      <c r="GV486" s="5"/>
      <c r="GW486" s="5"/>
      <c r="GX486" s="5"/>
      <c r="GY486" s="5"/>
      <c r="GZ486" s="5"/>
      <c r="HA486" s="5"/>
      <c r="HB486" s="5"/>
      <c r="HC486" s="5"/>
      <c r="HD486" s="5"/>
      <c r="HE486" s="5"/>
      <c r="HF486" s="5"/>
      <c r="HG486" s="5"/>
      <c r="HH486" s="5"/>
      <c r="HI486" s="5"/>
      <c r="HJ486" s="5"/>
      <c r="HK486" s="5"/>
      <c r="HL486" s="5"/>
      <c r="HM486" s="5"/>
      <c r="HN486" s="5"/>
      <c r="HO486" s="5"/>
      <c r="HP486" s="5"/>
    </row>
    <row r="487" spans="3:224" ht="20.100000000000001" customHeight="1">
      <c r="C487" s="24">
        <v>15404005</v>
      </c>
      <c r="D487" s="25" t="s">
        <v>495</v>
      </c>
      <c r="E487" s="25">
        <v>11200003</v>
      </c>
      <c r="F487" s="25">
        <v>0</v>
      </c>
      <c r="G487" s="25">
        <v>1</v>
      </c>
      <c r="H487" s="25">
        <v>50</v>
      </c>
      <c r="I487" s="29">
        <v>0.2</v>
      </c>
      <c r="J487" s="30">
        <v>20</v>
      </c>
      <c r="K487" s="25">
        <v>0</v>
      </c>
      <c r="L487" s="25">
        <v>0</v>
      </c>
      <c r="M487" s="25">
        <f t="shared" si="81"/>
        <v>28</v>
      </c>
      <c r="N487" s="25">
        <v>56</v>
      </c>
      <c r="O487" s="25">
        <v>0</v>
      </c>
      <c r="P487" s="25">
        <v>0</v>
      </c>
      <c r="Q487" s="25">
        <f t="shared" si="82"/>
        <v>50</v>
      </c>
      <c r="R487" s="25">
        <v>100</v>
      </c>
      <c r="S487" s="25">
        <f t="shared" si="83"/>
        <v>50</v>
      </c>
      <c r="T487" s="25">
        <v>100</v>
      </c>
      <c r="U487" s="29">
        <v>0</v>
      </c>
      <c r="V487" s="25">
        <v>0</v>
      </c>
      <c r="W487" s="25">
        <v>0</v>
      </c>
      <c r="X487" s="25">
        <v>0</v>
      </c>
      <c r="Y487" s="29">
        <v>0</v>
      </c>
      <c r="Z487" s="29">
        <v>0</v>
      </c>
      <c r="AA487" s="29">
        <v>0</v>
      </c>
      <c r="AB487" s="29">
        <v>0</v>
      </c>
      <c r="AC487" s="29">
        <v>0</v>
      </c>
      <c r="AD487" s="29">
        <v>0</v>
      </c>
      <c r="AE487" s="43"/>
      <c r="GR487" s="5"/>
      <c r="GS487" s="5"/>
      <c r="GT487" s="5"/>
      <c r="GU487" s="5"/>
      <c r="GV487" s="5"/>
      <c r="GW487" s="5"/>
      <c r="GX487" s="5"/>
      <c r="GY487" s="5"/>
      <c r="GZ487" s="5"/>
      <c r="HA487" s="5"/>
      <c r="HB487" s="5"/>
      <c r="HC487" s="5"/>
      <c r="HD487" s="5"/>
      <c r="HE487" s="5"/>
      <c r="HF487" s="5"/>
      <c r="HG487" s="5"/>
      <c r="HH487" s="5"/>
      <c r="HI487" s="5"/>
      <c r="HJ487" s="5"/>
      <c r="HK487" s="5"/>
      <c r="HL487" s="5"/>
      <c r="HM487" s="5"/>
      <c r="HN487" s="5"/>
      <c r="HO487" s="5"/>
      <c r="HP487" s="5"/>
    </row>
    <row r="488" spans="3:224" ht="20.100000000000001" customHeight="1">
      <c r="C488" s="24">
        <v>15404006</v>
      </c>
      <c r="D488" s="25" t="s">
        <v>496</v>
      </c>
      <c r="E488" s="25">
        <v>11200003</v>
      </c>
      <c r="F488" s="25">
        <v>14031</v>
      </c>
      <c r="G488" s="25">
        <v>1</v>
      </c>
      <c r="H488" s="25">
        <v>50</v>
      </c>
      <c r="I488" s="29">
        <v>0.2</v>
      </c>
      <c r="J488" s="30">
        <v>20</v>
      </c>
      <c r="K488" s="25">
        <v>0</v>
      </c>
      <c r="L488" s="25">
        <v>0</v>
      </c>
      <c r="M488" s="25">
        <f t="shared" si="81"/>
        <v>36</v>
      </c>
      <c r="N488" s="25">
        <v>71</v>
      </c>
      <c r="O488" s="25">
        <v>0</v>
      </c>
      <c r="P488" s="25">
        <v>0</v>
      </c>
      <c r="Q488" s="25">
        <f t="shared" si="82"/>
        <v>64</v>
      </c>
      <c r="R488" s="25">
        <v>128</v>
      </c>
      <c r="S488" s="25">
        <f t="shared" si="83"/>
        <v>64</v>
      </c>
      <c r="T488" s="25">
        <v>128</v>
      </c>
      <c r="U488" s="29">
        <v>0</v>
      </c>
      <c r="V488" s="25">
        <v>0</v>
      </c>
      <c r="W488" s="25">
        <v>0</v>
      </c>
      <c r="X488" s="25">
        <v>0</v>
      </c>
      <c r="Y488" s="29">
        <v>0</v>
      </c>
      <c r="Z488" s="29">
        <v>0</v>
      </c>
      <c r="AA488" s="29">
        <v>0</v>
      </c>
      <c r="AB488" s="29">
        <v>0</v>
      </c>
      <c r="AC488" s="29">
        <v>0</v>
      </c>
      <c r="AD488" s="29">
        <v>0</v>
      </c>
      <c r="AE488" s="43"/>
      <c r="GR488" s="5"/>
      <c r="GS488" s="5"/>
      <c r="GT488" s="5"/>
      <c r="GU488" s="5"/>
      <c r="GV488" s="5"/>
      <c r="GW488" s="5"/>
      <c r="GX488" s="5"/>
      <c r="GY488" s="5"/>
      <c r="GZ488" s="5"/>
      <c r="HA488" s="5"/>
      <c r="HB488" s="5"/>
      <c r="HC488" s="5"/>
      <c r="HD488" s="5"/>
      <c r="HE488" s="5"/>
      <c r="HF488" s="5"/>
      <c r="HG488" s="5"/>
      <c r="HH488" s="5"/>
      <c r="HI488" s="5"/>
      <c r="HJ488" s="5"/>
      <c r="HK488" s="5"/>
      <c r="HL488" s="5"/>
      <c r="HM488" s="5"/>
      <c r="HN488" s="5"/>
      <c r="HO488" s="5"/>
      <c r="HP488" s="5"/>
    </row>
    <row r="489" spans="3:224" ht="20.100000000000001" customHeight="1">
      <c r="C489" s="24">
        <v>15405001</v>
      </c>
      <c r="D489" s="25" t="s">
        <v>497</v>
      </c>
      <c r="E489" s="25">
        <v>11200003</v>
      </c>
      <c r="F489" s="25">
        <v>0</v>
      </c>
      <c r="G489" s="25">
        <v>1</v>
      </c>
      <c r="H489" s="25">
        <v>50</v>
      </c>
      <c r="I489" s="29">
        <v>0.2</v>
      </c>
      <c r="J489" s="30">
        <v>20</v>
      </c>
      <c r="K489" s="25">
        <v>0</v>
      </c>
      <c r="L489" s="25">
        <v>3580</v>
      </c>
      <c r="M489" s="25">
        <f t="shared" si="81"/>
        <v>53</v>
      </c>
      <c r="N489" s="25">
        <v>105</v>
      </c>
      <c r="O489" s="25">
        <v>0</v>
      </c>
      <c r="P489" s="25">
        <v>0</v>
      </c>
      <c r="Q489" s="25">
        <f t="shared" si="82"/>
        <v>21</v>
      </c>
      <c r="R489" s="25">
        <v>42</v>
      </c>
      <c r="S489" s="25">
        <f t="shared" si="83"/>
        <v>0</v>
      </c>
      <c r="T489" s="25">
        <v>0</v>
      </c>
      <c r="U489" s="29">
        <v>0</v>
      </c>
      <c r="V489" s="25">
        <v>0</v>
      </c>
      <c r="W489" s="25">
        <v>0</v>
      </c>
      <c r="X489" s="25">
        <v>0</v>
      </c>
      <c r="Y489" s="29">
        <v>0</v>
      </c>
      <c r="Z489" s="29">
        <v>0</v>
      </c>
      <c r="AA489" s="29">
        <v>0</v>
      </c>
      <c r="AB489" s="29">
        <v>0</v>
      </c>
      <c r="AC489" s="29">
        <v>0</v>
      </c>
      <c r="AD489" s="29">
        <v>0</v>
      </c>
      <c r="AE489" s="43"/>
      <c r="GR489" s="5"/>
      <c r="GS489" s="5"/>
      <c r="GT489" s="5"/>
      <c r="GU489" s="5"/>
      <c r="GV489" s="5"/>
      <c r="GW489" s="5"/>
      <c r="GX489" s="5"/>
      <c r="GY489" s="5"/>
      <c r="GZ489" s="5"/>
      <c r="HA489" s="5"/>
      <c r="HB489" s="5"/>
      <c r="HC489" s="5"/>
      <c r="HD489" s="5"/>
      <c r="HE489" s="5"/>
      <c r="HF489" s="5"/>
      <c r="HG489" s="5"/>
      <c r="HH489" s="5"/>
      <c r="HI489" s="5"/>
      <c r="HJ489" s="5"/>
      <c r="HK489" s="5"/>
      <c r="HL489" s="5"/>
      <c r="HM489" s="5"/>
      <c r="HN489" s="5"/>
      <c r="HO489" s="5"/>
      <c r="HP489" s="5"/>
    </row>
    <row r="490" spans="3:224" ht="20.100000000000001" customHeight="1">
      <c r="C490" s="24">
        <v>15405002</v>
      </c>
      <c r="D490" s="25" t="s">
        <v>498</v>
      </c>
      <c r="E490" s="25">
        <v>11200003</v>
      </c>
      <c r="F490" s="25">
        <v>14011</v>
      </c>
      <c r="G490" s="25">
        <v>1</v>
      </c>
      <c r="H490" s="25">
        <v>50</v>
      </c>
      <c r="I490" s="29">
        <v>0.2</v>
      </c>
      <c r="J490" s="30">
        <v>20</v>
      </c>
      <c r="K490" s="25">
        <v>0</v>
      </c>
      <c r="L490" s="25">
        <v>4450</v>
      </c>
      <c r="M490" s="25">
        <f t="shared" si="81"/>
        <v>64</v>
      </c>
      <c r="N490" s="25">
        <v>128</v>
      </c>
      <c r="O490" s="25">
        <v>0</v>
      </c>
      <c r="P490" s="25">
        <v>0</v>
      </c>
      <c r="Q490" s="25">
        <f t="shared" si="82"/>
        <v>26</v>
      </c>
      <c r="R490" s="25">
        <v>51</v>
      </c>
      <c r="S490" s="25">
        <f t="shared" si="83"/>
        <v>0</v>
      </c>
      <c r="T490" s="25">
        <v>0</v>
      </c>
      <c r="U490" s="29">
        <v>0</v>
      </c>
      <c r="V490" s="25">
        <v>0</v>
      </c>
      <c r="W490" s="25">
        <v>0</v>
      </c>
      <c r="X490" s="25">
        <v>0</v>
      </c>
      <c r="Y490" s="29">
        <v>0</v>
      </c>
      <c r="Z490" s="29">
        <v>0</v>
      </c>
      <c r="AA490" s="29">
        <v>0</v>
      </c>
      <c r="AB490" s="29">
        <v>0</v>
      </c>
      <c r="AC490" s="29">
        <v>0</v>
      </c>
      <c r="AD490" s="29">
        <v>0</v>
      </c>
      <c r="AE490" s="43"/>
      <c r="GR490" s="5"/>
      <c r="GS490" s="5"/>
      <c r="GT490" s="5"/>
      <c r="GU490" s="5"/>
      <c r="GV490" s="5"/>
      <c r="GW490" s="5"/>
      <c r="GX490" s="5"/>
      <c r="GY490" s="5"/>
      <c r="GZ490" s="5"/>
      <c r="HA490" s="5"/>
      <c r="HB490" s="5"/>
      <c r="HC490" s="5"/>
      <c r="HD490" s="5"/>
      <c r="HE490" s="5"/>
      <c r="HF490" s="5"/>
      <c r="HG490" s="5"/>
      <c r="HH490" s="5"/>
      <c r="HI490" s="5"/>
      <c r="HJ490" s="5"/>
      <c r="HK490" s="5"/>
      <c r="HL490" s="5"/>
      <c r="HM490" s="5"/>
      <c r="HN490" s="5"/>
      <c r="HO490" s="5"/>
      <c r="HP490" s="5"/>
    </row>
    <row r="491" spans="3:224" ht="20.100000000000001" customHeight="1">
      <c r="C491" s="24">
        <v>15405003</v>
      </c>
      <c r="D491" s="25" t="s">
        <v>499</v>
      </c>
      <c r="E491" s="25">
        <v>11200003</v>
      </c>
      <c r="F491" s="25">
        <v>0</v>
      </c>
      <c r="G491" s="25">
        <v>1</v>
      </c>
      <c r="H491" s="25">
        <v>50</v>
      </c>
      <c r="I491" s="29">
        <v>0.2</v>
      </c>
      <c r="J491" s="30">
        <v>20</v>
      </c>
      <c r="K491" s="25">
        <v>0</v>
      </c>
      <c r="L491" s="25">
        <v>1790</v>
      </c>
      <c r="M491" s="25">
        <f t="shared" si="81"/>
        <v>71</v>
      </c>
      <c r="N491" s="25">
        <v>142</v>
      </c>
      <c r="O491" s="25">
        <v>0</v>
      </c>
      <c r="P491" s="25">
        <v>0</v>
      </c>
      <c r="Q491" s="25">
        <f t="shared" si="82"/>
        <v>16</v>
      </c>
      <c r="R491" s="25">
        <v>32</v>
      </c>
      <c r="S491" s="25">
        <f t="shared" si="83"/>
        <v>0</v>
      </c>
      <c r="T491" s="25">
        <v>0</v>
      </c>
      <c r="U491" s="29">
        <v>0</v>
      </c>
      <c r="V491" s="25">
        <v>0</v>
      </c>
      <c r="W491" s="25">
        <v>0</v>
      </c>
      <c r="X491" s="25">
        <v>0</v>
      </c>
      <c r="Y491" s="29">
        <v>0</v>
      </c>
      <c r="Z491" s="29">
        <v>0</v>
      </c>
      <c r="AA491" s="29">
        <v>0</v>
      </c>
      <c r="AB491" s="29">
        <v>0</v>
      </c>
      <c r="AC491" s="29">
        <v>0</v>
      </c>
      <c r="AD491" s="29">
        <v>0</v>
      </c>
      <c r="AE491" s="43"/>
      <c r="GR491" s="5"/>
      <c r="GS491" s="5"/>
      <c r="GT491" s="5"/>
      <c r="GU491" s="5"/>
      <c r="GV491" s="5"/>
      <c r="GW491" s="5"/>
      <c r="GX491" s="5"/>
      <c r="GY491" s="5"/>
      <c r="GZ491" s="5"/>
      <c r="HA491" s="5"/>
      <c r="HB491" s="5"/>
      <c r="HC491" s="5"/>
      <c r="HD491" s="5"/>
      <c r="HE491" s="5"/>
      <c r="HF491" s="5"/>
      <c r="HG491" s="5"/>
      <c r="HH491" s="5"/>
      <c r="HI491" s="5"/>
      <c r="HJ491" s="5"/>
      <c r="HK491" s="5"/>
      <c r="HL491" s="5"/>
      <c r="HM491" s="5"/>
      <c r="HN491" s="5"/>
      <c r="HO491" s="5"/>
      <c r="HP491" s="5"/>
    </row>
    <row r="492" spans="3:224" ht="20.100000000000001" customHeight="1">
      <c r="C492" s="24">
        <v>15405004</v>
      </c>
      <c r="D492" s="25" t="s">
        <v>500</v>
      </c>
      <c r="E492" s="25">
        <v>11200003</v>
      </c>
      <c r="F492" s="25">
        <v>14021</v>
      </c>
      <c r="G492" s="25">
        <v>1</v>
      </c>
      <c r="H492" s="25">
        <v>50</v>
      </c>
      <c r="I492" s="29">
        <v>0.2</v>
      </c>
      <c r="J492" s="30">
        <v>20</v>
      </c>
      <c r="K492" s="25">
        <v>0</v>
      </c>
      <c r="L492" s="25">
        <v>2230</v>
      </c>
      <c r="M492" s="25">
        <f t="shared" si="81"/>
        <v>87</v>
      </c>
      <c r="N492" s="25">
        <v>173</v>
      </c>
      <c r="O492" s="25">
        <v>0</v>
      </c>
      <c r="P492" s="25">
        <v>0</v>
      </c>
      <c r="Q492" s="25">
        <f t="shared" si="82"/>
        <v>19</v>
      </c>
      <c r="R492" s="25">
        <v>38</v>
      </c>
      <c r="S492" s="25">
        <f t="shared" si="83"/>
        <v>0</v>
      </c>
      <c r="T492" s="25">
        <v>0</v>
      </c>
      <c r="U492" s="29">
        <v>0</v>
      </c>
      <c r="V492" s="25">
        <v>0</v>
      </c>
      <c r="W492" s="25">
        <v>0</v>
      </c>
      <c r="X492" s="25">
        <v>0</v>
      </c>
      <c r="Y492" s="29">
        <v>0</v>
      </c>
      <c r="Z492" s="29">
        <v>0</v>
      </c>
      <c r="AA492" s="29">
        <v>0</v>
      </c>
      <c r="AB492" s="29">
        <v>0</v>
      </c>
      <c r="AC492" s="29">
        <v>0</v>
      </c>
      <c r="AD492" s="29">
        <v>0</v>
      </c>
      <c r="AE492" s="43"/>
      <c r="GR492" s="5"/>
      <c r="GS492" s="5"/>
      <c r="GT492" s="5"/>
      <c r="GU492" s="5"/>
      <c r="GV492" s="5"/>
      <c r="GW492" s="5"/>
      <c r="GX492" s="5"/>
      <c r="GY492" s="5"/>
      <c r="GZ492" s="5"/>
      <c r="HA492" s="5"/>
      <c r="HB492" s="5"/>
      <c r="HC492" s="5"/>
      <c r="HD492" s="5"/>
      <c r="HE492" s="5"/>
      <c r="HF492" s="5"/>
      <c r="HG492" s="5"/>
      <c r="HH492" s="5"/>
      <c r="HI492" s="5"/>
      <c r="HJ492" s="5"/>
      <c r="HK492" s="5"/>
      <c r="HL492" s="5"/>
      <c r="HM492" s="5"/>
      <c r="HN492" s="5"/>
      <c r="HO492" s="5"/>
      <c r="HP492" s="5"/>
    </row>
    <row r="493" spans="3:224" ht="20.100000000000001" customHeight="1">
      <c r="C493" s="24">
        <v>15405005</v>
      </c>
      <c r="D493" s="25" t="s">
        <v>501</v>
      </c>
      <c r="E493" s="25">
        <v>11200003</v>
      </c>
      <c r="F493" s="25">
        <v>0</v>
      </c>
      <c r="G493" s="25">
        <v>1</v>
      </c>
      <c r="H493" s="25">
        <v>50</v>
      </c>
      <c r="I493" s="29">
        <v>0.2</v>
      </c>
      <c r="J493" s="30">
        <v>20</v>
      </c>
      <c r="K493" s="25">
        <v>0</v>
      </c>
      <c r="L493" s="25">
        <v>5370</v>
      </c>
      <c r="M493" s="25">
        <f t="shared" si="81"/>
        <v>40</v>
      </c>
      <c r="N493" s="25">
        <v>79</v>
      </c>
      <c r="O493" s="25">
        <v>0</v>
      </c>
      <c r="P493" s="25">
        <v>0</v>
      </c>
      <c r="Q493" s="25">
        <f t="shared" si="82"/>
        <v>27</v>
      </c>
      <c r="R493" s="25">
        <v>53</v>
      </c>
      <c r="S493" s="25">
        <f t="shared" si="83"/>
        <v>0</v>
      </c>
      <c r="T493" s="25">
        <v>0</v>
      </c>
      <c r="U493" s="29">
        <v>0</v>
      </c>
      <c r="V493" s="25">
        <v>0</v>
      </c>
      <c r="W493" s="25">
        <v>0</v>
      </c>
      <c r="X493" s="25">
        <v>0</v>
      </c>
      <c r="Y493" s="29">
        <v>0</v>
      </c>
      <c r="Z493" s="29">
        <v>0</v>
      </c>
      <c r="AA493" s="29">
        <v>0</v>
      </c>
      <c r="AB493" s="29">
        <v>0</v>
      </c>
      <c r="AC493" s="29">
        <v>0</v>
      </c>
      <c r="AD493" s="29">
        <v>0</v>
      </c>
      <c r="AE493" s="43"/>
      <c r="GR493" s="5"/>
      <c r="GS493" s="5"/>
      <c r="GT493" s="5"/>
      <c r="GU493" s="5"/>
      <c r="GV493" s="5"/>
      <c r="GW493" s="5"/>
      <c r="GX493" s="5"/>
      <c r="GY493" s="5"/>
      <c r="GZ493" s="5"/>
      <c r="HA493" s="5"/>
      <c r="HB493" s="5"/>
      <c r="HC493" s="5"/>
      <c r="HD493" s="5"/>
      <c r="HE493" s="5"/>
      <c r="HF493" s="5"/>
      <c r="HG493" s="5"/>
      <c r="HH493" s="5"/>
      <c r="HI493" s="5"/>
      <c r="HJ493" s="5"/>
      <c r="HK493" s="5"/>
      <c r="HL493" s="5"/>
      <c r="HM493" s="5"/>
      <c r="HN493" s="5"/>
      <c r="HO493" s="5"/>
      <c r="HP493" s="5"/>
    </row>
    <row r="494" spans="3:224" ht="20.100000000000001" customHeight="1">
      <c r="C494" s="24">
        <v>15405006</v>
      </c>
      <c r="D494" s="25" t="s">
        <v>502</v>
      </c>
      <c r="E494" s="25">
        <v>11200003</v>
      </c>
      <c r="F494" s="25">
        <v>14031</v>
      </c>
      <c r="G494" s="25">
        <v>1</v>
      </c>
      <c r="H494" s="25">
        <v>50</v>
      </c>
      <c r="I494" s="29">
        <v>0.2</v>
      </c>
      <c r="J494" s="30">
        <v>20</v>
      </c>
      <c r="K494" s="25">
        <v>0</v>
      </c>
      <c r="L494" s="25">
        <v>6680</v>
      </c>
      <c r="M494" s="25">
        <f t="shared" si="81"/>
        <v>48</v>
      </c>
      <c r="N494" s="25">
        <v>96</v>
      </c>
      <c r="O494" s="25">
        <v>0</v>
      </c>
      <c r="P494" s="25">
        <v>0</v>
      </c>
      <c r="Q494" s="25">
        <f t="shared" si="82"/>
        <v>32</v>
      </c>
      <c r="R494" s="25">
        <v>64</v>
      </c>
      <c r="S494" s="25">
        <f t="shared" si="83"/>
        <v>0</v>
      </c>
      <c r="T494" s="25">
        <v>0</v>
      </c>
      <c r="U494" s="29">
        <v>0</v>
      </c>
      <c r="V494" s="25">
        <v>0</v>
      </c>
      <c r="W494" s="25">
        <v>0</v>
      </c>
      <c r="X494" s="25">
        <v>0</v>
      </c>
      <c r="Y494" s="29">
        <v>0</v>
      </c>
      <c r="Z494" s="29">
        <v>0</v>
      </c>
      <c r="AA494" s="29">
        <v>0</v>
      </c>
      <c r="AB494" s="29">
        <v>0</v>
      </c>
      <c r="AC494" s="29">
        <v>0</v>
      </c>
      <c r="AD494" s="29">
        <v>0</v>
      </c>
      <c r="AE494" s="43"/>
      <c r="GR494" s="5"/>
      <c r="GS494" s="5"/>
      <c r="GT494" s="5"/>
      <c r="GU494" s="5"/>
      <c r="GV494" s="5"/>
      <c r="GW494" s="5"/>
      <c r="GX494" s="5"/>
      <c r="GY494" s="5"/>
      <c r="GZ494" s="5"/>
      <c r="HA494" s="5"/>
      <c r="HB494" s="5"/>
      <c r="HC494" s="5"/>
      <c r="HD494" s="5"/>
      <c r="HE494" s="5"/>
      <c r="HF494" s="5"/>
      <c r="HG494" s="5"/>
      <c r="HH494" s="5"/>
      <c r="HI494" s="5"/>
      <c r="HJ494" s="5"/>
      <c r="HK494" s="5"/>
      <c r="HL494" s="5"/>
      <c r="HM494" s="5"/>
      <c r="HN494" s="5"/>
      <c r="HO494" s="5"/>
      <c r="HP494" s="5"/>
    </row>
    <row r="495" spans="3:224" ht="20.100000000000001" customHeight="1">
      <c r="C495" s="24">
        <v>15406001</v>
      </c>
      <c r="D495" s="25" t="s">
        <v>503</v>
      </c>
      <c r="E495" s="25">
        <v>11200002</v>
      </c>
      <c r="F495" s="25">
        <v>0</v>
      </c>
      <c r="G495" s="25">
        <v>1</v>
      </c>
      <c r="H495" s="25">
        <v>50</v>
      </c>
      <c r="I495" s="29">
        <v>0.2</v>
      </c>
      <c r="J495" s="30">
        <v>20</v>
      </c>
      <c r="K495" s="25">
        <v>0</v>
      </c>
      <c r="L495" s="25">
        <v>0</v>
      </c>
      <c r="M495" s="25">
        <f t="shared" si="81"/>
        <v>100</v>
      </c>
      <c r="N495" s="25">
        <v>200</v>
      </c>
      <c r="O495" s="25">
        <v>0</v>
      </c>
      <c r="P495" s="25">
        <v>0</v>
      </c>
      <c r="Q495" s="25">
        <f t="shared" si="82"/>
        <v>31</v>
      </c>
      <c r="R495" s="25">
        <v>62</v>
      </c>
      <c r="S495" s="25">
        <f t="shared" si="83"/>
        <v>0</v>
      </c>
      <c r="T495" s="25">
        <v>0</v>
      </c>
      <c r="U495" s="29">
        <v>0</v>
      </c>
      <c r="V495" s="25">
        <v>0</v>
      </c>
      <c r="W495" s="25">
        <v>0</v>
      </c>
      <c r="X495" s="25">
        <v>0</v>
      </c>
      <c r="Y495" s="29">
        <v>0</v>
      </c>
      <c r="Z495" s="29">
        <v>0</v>
      </c>
      <c r="AA495" s="29">
        <v>0</v>
      </c>
      <c r="AB495" s="29">
        <v>0</v>
      </c>
      <c r="AC495" s="29">
        <v>0</v>
      </c>
      <c r="AD495" s="29">
        <v>0</v>
      </c>
      <c r="AE495" s="43"/>
      <c r="GR495" s="5"/>
      <c r="GS495" s="5"/>
      <c r="GT495" s="5"/>
      <c r="GU495" s="5"/>
      <c r="GV495" s="5"/>
      <c r="GW495" s="5"/>
      <c r="GX495" s="5"/>
      <c r="GY495" s="5"/>
      <c r="GZ495" s="5"/>
      <c r="HA495" s="5"/>
      <c r="HB495" s="5"/>
      <c r="HC495" s="5"/>
      <c r="HD495" s="5"/>
      <c r="HE495" s="5"/>
      <c r="HF495" s="5"/>
      <c r="HG495" s="5"/>
      <c r="HH495" s="5"/>
      <c r="HI495" s="5"/>
      <c r="HJ495" s="5"/>
      <c r="HK495" s="5"/>
      <c r="HL495" s="5"/>
      <c r="HM495" s="5"/>
      <c r="HN495" s="5"/>
      <c r="HO495" s="5"/>
      <c r="HP495" s="5"/>
    </row>
    <row r="496" spans="3:224" ht="20.100000000000001" customHeight="1">
      <c r="C496" s="24">
        <v>15406002</v>
      </c>
      <c r="D496" s="25" t="s">
        <v>504</v>
      </c>
      <c r="E496" s="25">
        <v>11200002</v>
      </c>
      <c r="F496" s="25">
        <v>0</v>
      </c>
      <c r="G496" s="25">
        <v>1</v>
      </c>
      <c r="H496" s="25">
        <v>50</v>
      </c>
      <c r="I496" s="29">
        <v>0.2</v>
      </c>
      <c r="J496" s="30">
        <v>20</v>
      </c>
      <c r="K496" s="25">
        <v>0</v>
      </c>
      <c r="L496" s="25">
        <v>0</v>
      </c>
      <c r="M496" s="25">
        <f t="shared" si="81"/>
        <v>128</v>
      </c>
      <c r="N496" s="25">
        <v>255</v>
      </c>
      <c r="O496" s="25">
        <v>0</v>
      </c>
      <c r="P496" s="25">
        <v>0</v>
      </c>
      <c r="Q496" s="25">
        <f t="shared" si="82"/>
        <v>39</v>
      </c>
      <c r="R496" s="25">
        <v>77</v>
      </c>
      <c r="S496" s="25">
        <f t="shared" si="83"/>
        <v>0</v>
      </c>
      <c r="T496" s="25">
        <v>0</v>
      </c>
      <c r="U496" s="29">
        <v>0</v>
      </c>
      <c r="V496" s="25">
        <v>0</v>
      </c>
      <c r="W496" s="25">
        <v>0</v>
      </c>
      <c r="X496" s="25">
        <v>0</v>
      </c>
      <c r="Y496" s="29">
        <v>0</v>
      </c>
      <c r="Z496" s="29">
        <v>0</v>
      </c>
      <c r="AA496" s="29">
        <v>0</v>
      </c>
      <c r="AB496" s="29">
        <v>0</v>
      </c>
      <c r="AC496" s="29">
        <v>0</v>
      </c>
      <c r="AD496" s="29">
        <v>0</v>
      </c>
      <c r="AE496" s="43"/>
      <c r="GR496" s="5"/>
      <c r="GS496" s="5"/>
      <c r="GT496" s="5"/>
      <c r="GU496" s="5"/>
      <c r="GV496" s="5"/>
      <c r="GW496" s="5"/>
      <c r="GX496" s="5"/>
      <c r="GY496" s="5"/>
      <c r="GZ496" s="5"/>
      <c r="HA496" s="5"/>
      <c r="HB496" s="5"/>
      <c r="HC496" s="5"/>
      <c r="HD496" s="5"/>
      <c r="HE496" s="5"/>
      <c r="HF496" s="5"/>
      <c r="HG496" s="5"/>
      <c r="HH496" s="5"/>
      <c r="HI496" s="5"/>
      <c r="HJ496" s="5"/>
      <c r="HK496" s="5"/>
      <c r="HL496" s="5"/>
      <c r="HM496" s="5"/>
      <c r="HN496" s="5"/>
      <c r="HO496" s="5"/>
      <c r="HP496" s="5"/>
    </row>
    <row r="497" spans="3:224" ht="20.100000000000001" customHeight="1">
      <c r="C497" s="24">
        <v>15406003</v>
      </c>
      <c r="D497" s="36" t="s">
        <v>505</v>
      </c>
      <c r="E497" s="25">
        <v>11200002</v>
      </c>
      <c r="F497" s="25">
        <v>14051</v>
      </c>
      <c r="G497" s="25">
        <v>1</v>
      </c>
      <c r="H497" s="25">
        <v>50</v>
      </c>
      <c r="I497" s="29">
        <v>0.2</v>
      </c>
      <c r="J497" s="30">
        <v>20</v>
      </c>
      <c r="K497" s="25">
        <v>0</v>
      </c>
      <c r="L497" s="25">
        <v>0</v>
      </c>
      <c r="M497" s="25">
        <f t="shared" ref="M497" si="87">ROUND(N497/2,0)</f>
        <v>160</v>
      </c>
      <c r="N497" s="25">
        <v>320</v>
      </c>
      <c r="O497" s="25">
        <v>0</v>
      </c>
      <c r="P497" s="25">
        <v>0</v>
      </c>
      <c r="Q497" s="25">
        <f t="shared" ref="Q497" si="88">ROUND(R497/2,0)</f>
        <v>50</v>
      </c>
      <c r="R497" s="25">
        <v>100</v>
      </c>
      <c r="S497" s="25">
        <f t="shared" ref="S497" si="89">ROUND(T497/2,0)</f>
        <v>0</v>
      </c>
      <c r="T497" s="25">
        <v>0</v>
      </c>
      <c r="U497" s="29">
        <v>0</v>
      </c>
      <c r="V497" s="25">
        <v>0</v>
      </c>
      <c r="W497" s="25">
        <v>0</v>
      </c>
      <c r="X497" s="25">
        <v>0</v>
      </c>
      <c r="Y497" s="29">
        <v>0</v>
      </c>
      <c r="Z497" s="29">
        <v>0</v>
      </c>
      <c r="AA497" s="29">
        <v>0</v>
      </c>
      <c r="AB497" s="29">
        <v>0</v>
      </c>
      <c r="AC497" s="29">
        <v>0</v>
      </c>
      <c r="AD497" s="29">
        <v>0</v>
      </c>
      <c r="AE497" s="43"/>
      <c r="GR497" s="5"/>
      <c r="GS497" s="5"/>
      <c r="GT497" s="5"/>
      <c r="GU497" s="5"/>
      <c r="GV497" s="5"/>
      <c r="GW497" s="5"/>
      <c r="GX497" s="5"/>
      <c r="GY497" s="5"/>
      <c r="GZ497" s="5"/>
      <c r="HA497" s="5"/>
      <c r="HB497" s="5"/>
      <c r="HC497" s="5"/>
      <c r="HD497" s="5"/>
      <c r="HE497" s="5"/>
      <c r="HF497" s="5"/>
      <c r="HG497" s="5"/>
      <c r="HH497" s="5"/>
      <c r="HI497" s="5"/>
      <c r="HJ497" s="5"/>
      <c r="HK497" s="5"/>
      <c r="HL497" s="5"/>
      <c r="HM497" s="5"/>
      <c r="HN497" s="5"/>
      <c r="HO497" s="5"/>
      <c r="HP497" s="5"/>
    </row>
    <row r="498" spans="3:224" ht="20.100000000000001" customHeight="1">
      <c r="C498" s="24">
        <v>15407001</v>
      </c>
      <c r="D498" s="25" t="s">
        <v>506</v>
      </c>
      <c r="E498" s="25">
        <v>11200002</v>
      </c>
      <c r="F498" s="25">
        <v>0</v>
      </c>
      <c r="G498" s="25">
        <v>1</v>
      </c>
      <c r="H498" s="25">
        <v>50</v>
      </c>
      <c r="I498" s="29">
        <v>0.2</v>
      </c>
      <c r="J498" s="30">
        <v>20</v>
      </c>
      <c r="K498" s="25">
        <v>0</v>
      </c>
      <c r="L498" s="25">
        <v>0</v>
      </c>
      <c r="M498" s="25">
        <f t="shared" si="81"/>
        <v>100</v>
      </c>
      <c r="N498" s="25">
        <v>200</v>
      </c>
      <c r="O498" s="25">
        <v>0</v>
      </c>
      <c r="P498" s="25">
        <v>0</v>
      </c>
      <c r="Q498" s="25">
        <f t="shared" si="82"/>
        <v>0</v>
      </c>
      <c r="R498" s="25">
        <v>0</v>
      </c>
      <c r="S498" s="25">
        <f t="shared" si="83"/>
        <v>31</v>
      </c>
      <c r="T498" s="25">
        <v>62</v>
      </c>
      <c r="U498" s="29">
        <v>0</v>
      </c>
      <c r="V498" s="25">
        <v>0</v>
      </c>
      <c r="W498" s="25">
        <v>0</v>
      </c>
      <c r="X498" s="25">
        <v>0</v>
      </c>
      <c r="Y498" s="29">
        <v>0</v>
      </c>
      <c r="Z498" s="29">
        <v>0</v>
      </c>
      <c r="AA498" s="29">
        <v>0</v>
      </c>
      <c r="AB498" s="29">
        <v>0</v>
      </c>
      <c r="AC498" s="29">
        <v>0</v>
      </c>
      <c r="AD498" s="29">
        <v>0</v>
      </c>
      <c r="AE498" s="43"/>
      <c r="GR498" s="5"/>
      <c r="GS498" s="5"/>
      <c r="GT498" s="5"/>
      <c r="GU498" s="5"/>
      <c r="GV498" s="5"/>
      <c r="GW498" s="5"/>
      <c r="GX498" s="5"/>
      <c r="GY498" s="5"/>
      <c r="GZ498" s="5"/>
      <c r="HA498" s="5"/>
      <c r="HB498" s="5"/>
      <c r="HC498" s="5"/>
      <c r="HD498" s="5"/>
      <c r="HE498" s="5"/>
      <c r="HF498" s="5"/>
      <c r="HG498" s="5"/>
      <c r="HH498" s="5"/>
      <c r="HI498" s="5"/>
      <c r="HJ498" s="5"/>
      <c r="HK498" s="5"/>
      <c r="HL498" s="5"/>
      <c r="HM498" s="5"/>
      <c r="HN498" s="5"/>
      <c r="HO498" s="5"/>
      <c r="HP498" s="5"/>
    </row>
    <row r="499" spans="3:224" ht="20.100000000000001" customHeight="1">
      <c r="C499" s="24">
        <v>15407002</v>
      </c>
      <c r="D499" s="25" t="s">
        <v>507</v>
      </c>
      <c r="E499" s="25">
        <v>11200002</v>
      </c>
      <c r="F499" s="25">
        <v>0</v>
      </c>
      <c r="G499" s="25">
        <v>1</v>
      </c>
      <c r="H499" s="25">
        <v>50</v>
      </c>
      <c r="I499" s="29">
        <v>0.2</v>
      </c>
      <c r="J499" s="30">
        <v>20</v>
      </c>
      <c r="K499" s="25">
        <v>0</v>
      </c>
      <c r="L499" s="25">
        <v>0</v>
      </c>
      <c r="M499" s="25">
        <f t="shared" si="81"/>
        <v>128</v>
      </c>
      <c r="N499" s="25">
        <v>255</v>
      </c>
      <c r="O499" s="25">
        <v>0</v>
      </c>
      <c r="P499" s="25">
        <v>0</v>
      </c>
      <c r="Q499" s="25">
        <f t="shared" si="82"/>
        <v>0</v>
      </c>
      <c r="R499" s="25">
        <v>0</v>
      </c>
      <c r="S499" s="25">
        <f t="shared" si="83"/>
        <v>39</v>
      </c>
      <c r="T499" s="25">
        <v>77</v>
      </c>
      <c r="U499" s="29">
        <v>0</v>
      </c>
      <c r="V499" s="25">
        <v>0</v>
      </c>
      <c r="W499" s="25">
        <v>0</v>
      </c>
      <c r="X499" s="25">
        <v>0</v>
      </c>
      <c r="Y499" s="29">
        <v>0</v>
      </c>
      <c r="Z499" s="29">
        <v>0</v>
      </c>
      <c r="AA499" s="29">
        <v>0</v>
      </c>
      <c r="AB499" s="29">
        <v>0</v>
      </c>
      <c r="AC499" s="29">
        <v>0</v>
      </c>
      <c r="AD499" s="29">
        <v>0</v>
      </c>
      <c r="AE499" s="43"/>
      <c r="GR499" s="5"/>
      <c r="GS499" s="5"/>
      <c r="GT499" s="5"/>
      <c r="GU499" s="5"/>
      <c r="GV499" s="5"/>
      <c r="GW499" s="5"/>
      <c r="GX499" s="5"/>
      <c r="GY499" s="5"/>
      <c r="GZ499" s="5"/>
      <c r="HA499" s="5"/>
      <c r="HB499" s="5"/>
      <c r="HC499" s="5"/>
      <c r="HD499" s="5"/>
      <c r="HE499" s="5"/>
      <c r="HF499" s="5"/>
      <c r="HG499" s="5"/>
      <c r="HH499" s="5"/>
      <c r="HI499" s="5"/>
      <c r="HJ499" s="5"/>
      <c r="HK499" s="5"/>
      <c r="HL499" s="5"/>
      <c r="HM499" s="5"/>
      <c r="HN499" s="5"/>
      <c r="HO499" s="5"/>
      <c r="HP499" s="5"/>
    </row>
    <row r="500" spans="3:224" s="3" customFormat="1" ht="20.100000000000001" customHeight="1">
      <c r="C500" s="26">
        <v>15407003</v>
      </c>
      <c r="D500" s="28" t="s">
        <v>508</v>
      </c>
      <c r="E500" s="28">
        <v>11200002</v>
      </c>
      <c r="F500" s="28">
        <v>0</v>
      </c>
      <c r="G500" s="28">
        <v>1</v>
      </c>
      <c r="H500" s="28">
        <v>50</v>
      </c>
      <c r="I500" s="31">
        <v>0.2</v>
      </c>
      <c r="J500" s="30">
        <v>20</v>
      </c>
      <c r="K500" s="28">
        <v>0</v>
      </c>
      <c r="L500" s="28">
        <v>0</v>
      </c>
      <c r="M500" s="28">
        <f t="shared" ref="M500" si="90">ROUND(N500/2,0)</f>
        <v>150</v>
      </c>
      <c r="N500" s="28">
        <v>300</v>
      </c>
      <c r="O500" s="28">
        <v>0</v>
      </c>
      <c r="P500" s="28">
        <v>0</v>
      </c>
      <c r="Q500" s="28">
        <f t="shared" ref="Q500" si="91">ROUND(R500/2,0)</f>
        <v>0</v>
      </c>
      <c r="R500" s="28">
        <v>0</v>
      </c>
      <c r="S500" s="28">
        <f t="shared" ref="S500" si="92">ROUND(T500/2,0)</f>
        <v>39</v>
      </c>
      <c r="T500" s="28">
        <v>77</v>
      </c>
      <c r="U500" s="31">
        <v>0</v>
      </c>
      <c r="V500" s="28">
        <v>0</v>
      </c>
      <c r="W500" s="28">
        <v>0</v>
      </c>
      <c r="X500" s="28">
        <v>0</v>
      </c>
      <c r="Y500" s="31">
        <v>0</v>
      </c>
      <c r="Z500" s="31">
        <v>0</v>
      </c>
      <c r="AA500" s="31">
        <v>0</v>
      </c>
      <c r="AB500" s="31">
        <v>204001</v>
      </c>
      <c r="AC500" s="31">
        <v>500</v>
      </c>
      <c r="AD500" s="31">
        <v>1</v>
      </c>
      <c r="AE500" s="45"/>
      <c r="AF500" s="33"/>
      <c r="AG500" s="33"/>
      <c r="AH500" s="33"/>
      <c r="AI500" s="33"/>
      <c r="AJ500" s="33"/>
      <c r="AK500" s="33"/>
      <c r="AL500" s="33"/>
      <c r="AM500" s="33"/>
      <c r="AN500" s="33"/>
      <c r="AO500" s="33"/>
      <c r="AP500" s="33"/>
      <c r="AQ500" s="33"/>
      <c r="AR500" s="33"/>
      <c r="AS500" s="33"/>
      <c r="AT500" s="33"/>
      <c r="AU500" s="33"/>
      <c r="AV500" s="33"/>
      <c r="AW500" s="33"/>
      <c r="AX500" s="33"/>
      <c r="AY500" s="33"/>
      <c r="AZ500" s="33"/>
      <c r="BA500" s="33"/>
      <c r="BB500" s="33"/>
      <c r="BC500" s="33"/>
      <c r="BD500" s="33"/>
      <c r="BE500" s="33"/>
      <c r="BF500" s="33"/>
      <c r="BG500" s="33"/>
      <c r="BH500" s="33"/>
      <c r="BI500" s="33"/>
      <c r="BJ500" s="33"/>
      <c r="BK500" s="33"/>
      <c r="BL500" s="33"/>
      <c r="BM500" s="33"/>
      <c r="BN500" s="33"/>
      <c r="BO500" s="33"/>
      <c r="BP500" s="33"/>
      <c r="BQ500" s="33"/>
      <c r="BR500" s="33"/>
      <c r="BS500" s="33"/>
      <c r="BT500" s="33"/>
      <c r="BU500" s="33"/>
      <c r="BV500" s="33"/>
      <c r="BW500" s="33"/>
      <c r="BX500" s="33"/>
      <c r="BY500" s="33"/>
      <c r="BZ500" s="33"/>
      <c r="CA500" s="33"/>
      <c r="CB500" s="33"/>
      <c r="CC500" s="33"/>
      <c r="CD500" s="33"/>
      <c r="CE500" s="33"/>
      <c r="CF500" s="33"/>
      <c r="CG500" s="33"/>
      <c r="CH500" s="33"/>
      <c r="CI500" s="33"/>
      <c r="CJ500" s="33"/>
      <c r="CK500" s="33"/>
      <c r="CL500" s="33"/>
      <c r="CM500" s="33"/>
      <c r="CN500" s="33"/>
      <c r="CO500" s="33"/>
      <c r="CP500" s="33"/>
      <c r="CQ500" s="33"/>
      <c r="CR500" s="33"/>
      <c r="CS500" s="33"/>
      <c r="CT500" s="33"/>
      <c r="CU500" s="33"/>
      <c r="CV500" s="33"/>
      <c r="CW500" s="33"/>
      <c r="CX500" s="33"/>
      <c r="CY500" s="33"/>
      <c r="CZ500" s="33"/>
      <c r="DA500" s="33"/>
      <c r="DB500" s="33"/>
      <c r="DC500" s="33"/>
      <c r="DD500" s="33"/>
      <c r="DE500" s="33"/>
      <c r="DF500" s="33"/>
      <c r="DG500" s="33"/>
      <c r="DH500" s="33"/>
      <c r="DI500" s="33"/>
      <c r="DJ500" s="33"/>
      <c r="DK500" s="33"/>
      <c r="DL500" s="33"/>
      <c r="DM500" s="33"/>
      <c r="DN500" s="33"/>
      <c r="DO500" s="33"/>
      <c r="DP500" s="33"/>
      <c r="DQ500" s="33"/>
      <c r="DR500" s="33"/>
      <c r="DS500" s="33"/>
      <c r="DT500" s="33"/>
      <c r="DU500" s="33"/>
      <c r="DV500" s="33"/>
      <c r="DW500" s="33"/>
      <c r="DX500" s="33"/>
      <c r="DY500" s="33"/>
      <c r="DZ500" s="33"/>
      <c r="EA500" s="33"/>
      <c r="EB500" s="33"/>
      <c r="EC500" s="33"/>
      <c r="ED500" s="33"/>
      <c r="EE500" s="33"/>
      <c r="EF500" s="33"/>
      <c r="EG500" s="33"/>
      <c r="EH500" s="33"/>
      <c r="EI500" s="33"/>
      <c r="EJ500" s="33"/>
      <c r="EK500" s="33"/>
      <c r="EL500" s="33"/>
      <c r="EM500" s="33"/>
      <c r="EN500" s="33"/>
      <c r="EO500" s="33"/>
      <c r="EP500" s="33"/>
      <c r="EQ500" s="33"/>
      <c r="ER500" s="33"/>
      <c r="ES500" s="33"/>
      <c r="ET500" s="33"/>
      <c r="EU500" s="33"/>
      <c r="EV500" s="33"/>
      <c r="EW500" s="33"/>
      <c r="EX500" s="33"/>
      <c r="EY500" s="33"/>
      <c r="EZ500" s="33"/>
      <c r="FA500" s="33"/>
      <c r="FB500" s="33"/>
      <c r="FC500" s="33"/>
      <c r="FD500" s="33"/>
      <c r="FE500" s="33"/>
      <c r="FF500" s="33"/>
      <c r="FG500" s="33"/>
      <c r="FH500" s="33"/>
      <c r="FI500" s="33"/>
      <c r="FJ500" s="33"/>
      <c r="FK500" s="33"/>
      <c r="FL500" s="33"/>
      <c r="FM500" s="33"/>
      <c r="FN500" s="33"/>
      <c r="FO500" s="33"/>
      <c r="FP500" s="33"/>
      <c r="FQ500" s="33"/>
      <c r="FR500" s="33"/>
      <c r="FS500" s="33"/>
      <c r="FT500" s="33"/>
      <c r="FU500" s="33"/>
      <c r="FV500" s="33"/>
      <c r="FW500" s="33"/>
      <c r="FX500" s="33"/>
      <c r="FY500" s="33"/>
      <c r="FZ500" s="33"/>
      <c r="GA500" s="33"/>
      <c r="GB500" s="33"/>
      <c r="GC500" s="33"/>
      <c r="GD500" s="33"/>
      <c r="GE500" s="33"/>
      <c r="GF500" s="33"/>
      <c r="GG500" s="33"/>
      <c r="GH500" s="33"/>
      <c r="GI500" s="33"/>
      <c r="GJ500" s="33"/>
      <c r="GK500" s="33"/>
      <c r="GL500" s="33"/>
      <c r="GM500" s="33"/>
      <c r="GN500" s="33"/>
      <c r="GO500" s="33"/>
      <c r="GP500" s="33"/>
      <c r="GQ500" s="33"/>
      <c r="GR500" s="33"/>
      <c r="GS500" s="33"/>
      <c r="GT500" s="33"/>
      <c r="GU500" s="33"/>
      <c r="GV500" s="33"/>
      <c r="GW500" s="33"/>
      <c r="GX500" s="33"/>
      <c r="GY500" s="33"/>
      <c r="GZ500" s="33"/>
      <c r="HA500" s="33"/>
      <c r="HB500" s="33"/>
      <c r="HC500" s="33"/>
      <c r="HD500" s="33"/>
      <c r="HE500" s="33"/>
      <c r="HF500" s="33"/>
      <c r="HG500" s="33"/>
      <c r="HH500" s="33"/>
      <c r="HI500" s="33"/>
      <c r="HJ500" s="33"/>
      <c r="HK500" s="33"/>
      <c r="HL500" s="33"/>
      <c r="HM500" s="33"/>
      <c r="HN500" s="33"/>
      <c r="HO500" s="33"/>
      <c r="HP500" s="33"/>
    </row>
    <row r="501" spans="3:224" ht="20.100000000000001" customHeight="1">
      <c r="C501" s="24">
        <v>15408001</v>
      </c>
      <c r="D501" s="25" t="s">
        <v>329</v>
      </c>
      <c r="E501" s="25">
        <v>11200002</v>
      </c>
      <c r="F501" s="25">
        <v>0</v>
      </c>
      <c r="G501" s="25">
        <v>1</v>
      </c>
      <c r="H501" s="25">
        <v>50</v>
      </c>
      <c r="I501" s="29">
        <v>0.2</v>
      </c>
      <c r="J501" s="30">
        <v>20</v>
      </c>
      <c r="K501" s="25">
        <v>0</v>
      </c>
      <c r="L501" s="25">
        <v>0</v>
      </c>
      <c r="M501" s="25">
        <v>20</v>
      </c>
      <c r="N501" s="25">
        <v>35</v>
      </c>
      <c r="O501" s="25">
        <v>0</v>
      </c>
      <c r="P501" s="25">
        <v>0</v>
      </c>
      <c r="Q501" s="25">
        <f t="shared" si="82"/>
        <v>0</v>
      </c>
      <c r="R501" s="25">
        <v>0</v>
      </c>
      <c r="S501" s="25">
        <f t="shared" si="83"/>
        <v>0</v>
      </c>
      <c r="T501" s="25">
        <v>0</v>
      </c>
      <c r="U501" s="29">
        <v>0</v>
      </c>
      <c r="V501" s="25">
        <v>0</v>
      </c>
      <c r="W501" s="25">
        <v>0</v>
      </c>
      <c r="X501" s="25">
        <v>0</v>
      </c>
      <c r="Y501" s="29">
        <v>0</v>
      </c>
      <c r="Z501" s="29">
        <v>0</v>
      </c>
      <c r="AA501" s="29">
        <v>0</v>
      </c>
      <c r="AB501" s="29">
        <v>0</v>
      </c>
      <c r="AC501" s="29">
        <v>0</v>
      </c>
      <c r="AD501" s="29">
        <v>0</v>
      </c>
      <c r="AE501" s="43"/>
      <c r="GR501" s="5"/>
      <c r="GS501" s="5"/>
      <c r="GT501" s="5"/>
      <c r="GU501" s="5"/>
      <c r="GV501" s="5"/>
      <c r="GW501" s="5"/>
      <c r="GX501" s="5"/>
      <c r="GY501" s="5"/>
      <c r="GZ501" s="5"/>
      <c r="HA501" s="5"/>
      <c r="HB501" s="5"/>
      <c r="HC501" s="5"/>
      <c r="HD501" s="5"/>
      <c r="HE501" s="5"/>
      <c r="HF501" s="5"/>
      <c r="HG501" s="5"/>
      <c r="HH501" s="5"/>
      <c r="HI501" s="5"/>
      <c r="HJ501" s="5"/>
      <c r="HK501" s="5"/>
      <c r="HL501" s="5"/>
      <c r="HM501" s="5"/>
      <c r="HN501" s="5"/>
      <c r="HO501" s="5"/>
      <c r="HP501" s="5"/>
    </row>
    <row r="502" spans="3:224" ht="20.100000000000001" customHeight="1">
      <c r="C502" s="24">
        <v>15408002</v>
      </c>
      <c r="D502" s="25" t="s">
        <v>509</v>
      </c>
      <c r="E502" s="25">
        <v>11200002</v>
      </c>
      <c r="F502" s="25">
        <v>0</v>
      </c>
      <c r="G502" s="25">
        <v>1</v>
      </c>
      <c r="H502" s="25">
        <v>50</v>
      </c>
      <c r="I502" s="29">
        <v>0.2</v>
      </c>
      <c r="J502" s="30">
        <v>20</v>
      </c>
      <c r="K502" s="25">
        <v>0</v>
      </c>
      <c r="L502" s="25">
        <v>0</v>
      </c>
      <c r="M502" s="25">
        <v>25</v>
      </c>
      <c r="N502" s="25">
        <v>45</v>
      </c>
      <c r="O502" s="25">
        <v>0</v>
      </c>
      <c r="P502" s="25">
        <v>0</v>
      </c>
      <c r="Q502" s="25">
        <f t="shared" si="82"/>
        <v>0</v>
      </c>
      <c r="R502" s="25">
        <v>0</v>
      </c>
      <c r="S502" s="25">
        <f t="shared" si="83"/>
        <v>0</v>
      </c>
      <c r="T502" s="25">
        <v>0</v>
      </c>
      <c r="U502" s="29">
        <v>0</v>
      </c>
      <c r="V502" s="25">
        <v>0</v>
      </c>
      <c r="W502" s="25">
        <v>0</v>
      </c>
      <c r="X502" s="25">
        <v>0</v>
      </c>
      <c r="Y502" s="29">
        <v>0</v>
      </c>
      <c r="Z502" s="29">
        <v>0</v>
      </c>
      <c r="AA502" s="29">
        <v>0</v>
      </c>
      <c r="AB502" s="29">
        <v>0</v>
      </c>
      <c r="AC502" s="29">
        <v>0</v>
      </c>
      <c r="AD502" s="29">
        <v>0</v>
      </c>
      <c r="AE502" s="43"/>
      <c r="GR502" s="5"/>
      <c r="GS502" s="5"/>
      <c r="GT502" s="5"/>
      <c r="GU502" s="5"/>
      <c r="GV502" s="5"/>
      <c r="GW502" s="5"/>
      <c r="GX502" s="5"/>
      <c r="GY502" s="5"/>
      <c r="GZ502" s="5"/>
      <c r="HA502" s="5"/>
      <c r="HB502" s="5"/>
      <c r="HC502" s="5"/>
      <c r="HD502" s="5"/>
      <c r="HE502" s="5"/>
      <c r="HF502" s="5"/>
      <c r="HG502" s="5"/>
      <c r="HH502" s="5"/>
      <c r="HI502" s="5"/>
      <c r="HJ502" s="5"/>
      <c r="HK502" s="5"/>
      <c r="HL502" s="5"/>
      <c r="HM502" s="5"/>
      <c r="HN502" s="5"/>
      <c r="HO502" s="5"/>
      <c r="HP502" s="5"/>
    </row>
    <row r="503" spans="3:224" s="3" customFormat="1" ht="20.100000000000001" customHeight="1">
      <c r="C503" s="26">
        <v>15408003</v>
      </c>
      <c r="D503" s="28" t="s">
        <v>510</v>
      </c>
      <c r="E503" s="28">
        <v>11200002</v>
      </c>
      <c r="F503" s="28">
        <v>0</v>
      </c>
      <c r="G503" s="28">
        <v>1</v>
      </c>
      <c r="H503" s="28">
        <v>50</v>
      </c>
      <c r="I503" s="31">
        <v>0.2</v>
      </c>
      <c r="J503" s="30">
        <v>20</v>
      </c>
      <c r="K503" s="28">
        <v>0</v>
      </c>
      <c r="L503" s="28">
        <v>0</v>
      </c>
      <c r="M503" s="28">
        <v>25</v>
      </c>
      <c r="N503" s="28">
        <v>55</v>
      </c>
      <c r="O503" s="28">
        <v>0</v>
      </c>
      <c r="P503" s="28">
        <v>0</v>
      </c>
      <c r="Q503" s="28">
        <f t="shared" ref="Q503" si="93">ROUND(R503/2,0)</f>
        <v>0</v>
      </c>
      <c r="R503" s="28">
        <v>0</v>
      </c>
      <c r="S503" s="28">
        <f t="shared" ref="S503" si="94">ROUND(T503/2,0)</f>
        <v>0</v>
      </c>
      <c r="T503" s="28">
        <v>0</v>
      </c>
      <c r="U503" s="31">
        <v>0</v>
      </c>
      <c r="V503" s="28">
        <v>0</v>
      </c>
      <c r="W503" s="28">
        <v>0</v>
      </c>
      <c r="X503" s="28">
        <v>0</v>
      </c>
      <c r="Y503" s="31">
        <v>0</v>
      </c>
      <c r="Z503" s="31">
        <v>0</v>
      </c>
      <c r="AA503" s="31">
        <v>0</v>
      </c>
      <c r="AB503" s="31">
        <v>0</v>
      </c>
      <c r="AC503" s="31">
        <v>0</v>
      </c>
      <c r="AD503" s="31">
        <v>0</v>
      </c>
      <c r="AE503" s="45"/>
      <c r="AF503" s="33"/>
      <c r="AG503" s="33"/>
      <c r="AH503" s="33"/>
      <c r="AI503" s="33"/>
      <c r="AJ503" s="33"/>
      <c r="AK503" s="33"/>
      <c r="AL503" s="33"/>
      <c r="AM503" s="33"/>
      <c r="AN503" s="33"/>
      <c r="AO503" s="33"/>
      <c r="AP503" s="33"/>
      <c r="AQ503" s="33"/>
      <c r="AR503" s="33"/>
      <c r="AS503" s="33"/>
      <c r="AT503" s="33"/>
      <c r="AU503" s="33"/>
      <c r="AV503" s="33"/>
      <c r="AW503" s="33"/>
      <c r="AX503" s="33"/>
      <c r="AY503" s="33"/>
      <c r="AZ503" s="33"/>
      <c r="BA503" s="33"/>
      <c r="BB503" s="33"/>
      <c r="BC503" s="33"/>
      <c r="BD503" s="33"/>
      <c r="BE503" s="33"/>
      <c r="BF503" s="33"/>
      <c r="BG503" s="33"/>
      <c r="BH503" s="33"/>
      <c r="BI503" s="33"/>
      <c r="BJ503" s="33"/>
      <c r="BK503" s="33"/>
      <c r="BL503" s="33"/>
      <c r="BM503" s="33"/>
      <c r="BN503" s="33"/>
      <c r="BO503" s="33"/>
      <c r="BP503" s="33"/>
      <c r="BQ503" s="33"/>
      <c r="BR503" s="33"/>
      <c r="BS503" s="33"/>
      <c r="BT503" s="33"/>
      <c r="BU503" s="33"/>
      <c r="BV503" s="33"/>
      <c r="BW503" s="33"/>
      <c r="BX503" s="33"/>
      <c r="BY503" s="33"/>
      <c r="BZ503" s="33"/>
      <c r="CA503" s="33"/>
      <c r="CB503" s="33"/>
      <c r="CC503" s="33"/>
      <c r="CD503" s="33"/>
      <c r="CE503" s="33"/>
      <c r="CF503" s="33"/>
      <c r="CG503" s="33"/>
      <c r="CH503" s="33"/>
      <c r="CI503" s="33"/>
      <c r="CJ503" s="33"/>
      <c r="CK503" s="33"/>
      <c r="CL503" s="33"/>
      <c r="CM503" s="33"/>
      <c r="CN503" s="33"/>
      <c r="CO503" s="33"/>
      <c r="CP503" s="33"/>
      <c r="CQ503" s="33"/>
      <c r="CR503" s="33"/>
      <c r="CS503" s="33"/>
      <c r="CT503" s="33"/>
      <c r="CU503" s="33"/>
      <c r="CV503" s="33"/>
      <c r="CW503" s="33"/>
      <c r="CX503" s="33"/>
      <c r="CY503" s="33"/>
      <c r="CZ503" s="33"/>
      <c r="DA503" s="33"/>
      <c r="DB503" s="33"/>
      <c r="DC503" s="33"/>
      <c r="DD503" s="33"/>
      <c r="DE503" s="33"/>
      <c r="DF503" s="33"/>
      <c r="DG503" s="33"/>
      <c r="DH503" s="33"/>
      <c r="DI503" s="33"/>
      <c r="DJ503" s="33"/>
      <c r="DK503" s="33"/>
      <c r="DL503" s="33"/>
      <c r="DM503" s="33"/>
      <c r="DN503" s="33"/>
      <c r="DO503" s="33"/>
      <c r="DP503" s="33"/>
      <c r="DQ503" s="33"/>
      <c r="DR503" s="33"/>
      <c r="DS503" s="33"/>
      <c r="DT503" s="33"/>
      <c r="DU503" s="33"/>
      <c r="DV503" s="33"/>
      <c r="DW503" s="33"/>
      <c r="DX503" s="33"/>
      <c r="DY503" s="33"/>
      <c r="DZ503" s="33"/>
      <c r="EA503" s="33"/>
      <c r="EB503" s="33"/>
      <c r="EC503" s="33"/>
      <c r="ED503" s="33"/>
      <c r="EE503" s="33"/>
      <c r="EF503" s="33"/>
      <c r="EG503" s="33"/>
      <c r="EH503" s="33"/>
      <c r="EI503" s="33"/>
      <c r="EJ503" s="33"/>
      <c r="EK503" s="33"/>
      <c r="EL503" s="33"/>
      <c r="EM503" s="33"/>
      <c r="EN503" s="33"/>
      <c r="EO503" s="33"/>
      <c r="EP503" s="33"/>
      <c r="EQ503" s="33"/>
      <c r="ER503" s="33"/>
      <c r="ES503" s="33"/>
      <c r="ET503" s="33"/>
      <c r="EU503" s="33"/>
      <c r="EV503" s="33"/>
      <c r="EW503" s="33"/>
      <c r="EX503" s="33"/>
      <c r="EY503" s="33"/>
      <c r="EZ503" s="33"/>
      <c r="FA503" s="33"/>
      <c r="FB503" s="33"/>
      <c r="FC503" s="33"/>
      <c r="FD503" s="33"/>
      <c r="FE503" s="33"/>
      <c r="FF503" s="33"/>
      <c r="FG503" s="33"/>
      <c r="FH503" s="33"/>
      <c r="FI503" s="33"/>
      <c r="FJ503" s="33"/>
      <c r="FK503" s="33"/>
      <c r="FL503" s="33"/>
      <c r="FM503" s="33"/>
      <c r="FN503" s="33"/>
      <c r="FO503" s="33"/>
      <c r="FP503" s="33"/>
      <c r="FQ503" s="33"/>
      <c r="FR503" s="33"/>
      <c r="FS503" s="33"/>
      <c r="FT503" s="33"/>
      <c r="FU503" s="33"/>
      <c r="FV503" s="33"/>
      <c r="FW503" s="33"/>
      <c r="FX503" s="33"/>
      <c r="FY503" s="33"/>
      <c r="FZ503" s="33"/>
      <c r="GA503" s="33"/>
      <c r="GB503" s="33"/>
      <c r="GC503" s="33"/>
      <c r="GD503" s="33"/>
      <c r="GE503" s="33"/>
      <c r="GF503" s="33"/>
      <c r="GG503" s="33"/>
      <c r="GH503" s="33"/>
      <c r="GI503" s="33"/>
      <c r="GJ503" s="33"/>
      <c r="GK503" s="33"/>
      <c r="GL503" s="33"/>
      <c r="GM503" s="33"/>
      <c r="GN503" s="33"/>
      <c r="GO503" s="33"/>
      <c r="GP503" s="33"/>
      <c r="GQ503" s="33"/>
      <c r="GR503" s="33"/>
      <c r="GS503" s="33"/>
      <c r="GT503" s="33"/>
      <c r="GU503" s="33"/>
      <c r="GV503" s="33"/>
      <c r="GW503" s="33"/>
      <c r="GX503" s="33"/>
      <c r="GY503" s="33"/>
      <c r="GZ503" s="33"/>
      <c r="HA503" s="33"/>
      <c r="HB503" s="33"/>
      <c r="HC503" s="33"/>
      <c r="HD503" s="33"/>
      <c r="HE503" s="33"/>
      <c r="HF503" s="33"/>
      <c r="HG503" s="33"/>
      <c r="HH503" s="33"/>
      <c r="HI503" s="33"/>
      <c r="HJ503" s="33"/>
      <c r="HK503" s="33"/>
      <c r="HL503" s="33"/>
      <c r="HM503" s="33"/>
      <c r="HN503" s="33"/>
      <c r="HO503" s="33"/>
      <c r="HP503" s="33"/>
    </row>
    <row r="504" spans="3:224" ht="20.100000000000001" customHeight="1">
      <c r="C504" s="24">
        <v>15409001</v>
      </c>
      <c r="D504" s="25" t="s">
        <v>511</v>
      </c>
      <c r="E504" s="25">
        <v>11200001</v>
      </c>
      <c r="F504" s="25">
        <v>0</v>
      </c>
      <c r="G504" s="25">
        <v>1</v>
      </c>
      <c r="H504" s="25">
        <v>50</v>
      </c>
      <c r="I504" s="29">
        <v>0.2</v>
      </c>
      <c r="J504" s="30">
        <v>20</v>
      </c>
      <c r="K504" s="25">
        <v>0</v>
      </c>
      <c r="L504" s="25">
        <v>5750</v>
      </c>
      <c r="M504" s="25">
        <f t="shared" si="81"/>
        <v>0</v>
      </c>
      <c r="N504" s="25">
        <v>0</v>
      </c>
      <c r="O504" s="25">
        <v>0</v>
      </c>
      <c r="P504" s="25">
        <v>0</v>
      </c>
      <c r="Q504" s="25">
        <f t="shared" si="82"/>
        <v>0</v>
      </c>
      <c r="R504" s="25">
        <v>0</v>
      </c>
      <c r="S504" s="25">
        <f t="shared" si="83"/>
        <v>0</v>
      </c>
      <c r="T504" s="25">
        <v>0</v>
      </c>
      <c r="U504" s="29">
        <v>0</v>
      </c>
      <c r="V504" s="25">
        <v>0</v>
      </c>
      <c r="W504" s="25">
        <v>0</v>
      </c>
      <c r="X504" s="25">
        <v>0</v>
      </c>
      <c r="Y504" s="29">
        <v>0</v>
      </c>
      <c r="Z504" s="29">
        <v>0</v>
      </c>
      <c r="AA504" s="29">
        <v>0</v>
      </c>
      <c r="AB504" s="29">
        <v>0</v>
      </c>
      <c r="AC504" s="29">
        <v>0</v>
      </c>
      <c r="AD504" s="29">
        <v>0</v>
      </c>
      <c r="AE504" s="43"/>
      <c r="GR504" s="5"/>
      <c r="GS504" s="5"/>
      <c r="GT504" s="5"/>
      <c r="GU504" s="5"/>
      <c r="GV504" s="5"/>
      <c r="GW504" s="5"/>
      <c r="GX504" s="5"/>
      <c r="GY504" s="5"/>
      <c r="GZ504" s="5"/>
      <c r="HA504" s="5"/>
      <c r="HB504" s="5"/>
      <c r="HC504" s="5"/>
      <c r="HD504" s="5"/>
      <c r="HE504" s="5"/>
      <c r="HF504" s="5"/>
      <c r="HG504" s="5"/>
      <c r="HH504" s="5"/>
      <c r="HI504" s="5"/>
      <c r="HJ504" s="5"/>
      <c r="HK504" s="5"/>
      <c r="HL504" s="5"/>
      <c r="HM504" s="5"/>
      <c r="HN504" s="5"/>
      <c r="HO504" s="5"/>
      <c r="HP504" s="5"/>
    </row>
    <row r="505" spans="3:224" ht="20.100000000000001" customHeight="1">
      <c r="C505" s="24">
        <v>15409002</v>
      </c>
      <c r="D505" s="25" t="s">
        <v>512</v>
      </c>
      <c r="E505" s="25">
        <v>11200001</v>
      </c>
      <c r="F505" s="25">
        <v>0</v>
      </c>
      <c r="G505" s="25">
        <v>1</v>
      </c>
      <c r="H505" s="25">
        <v>50</v>
      </c>
      <c r="I505" s="29">
        <v>0.2</v>
      </c>
      <c r="J505" s="30">
        <v>20</v>
      </c>
      <c r="K505" s="25">
        <v>0</v>
      </c>
      <c r="L505" s="25">
        <v>7140</v>
      </c>
      <c r="M505" s="25">
        <f t="shared" si="81"/>
        <v>0</v>
      </c>
      <c r="N505" s="25">
        <v>0</v>
      </c>
      <c r="O505" s="25">
        <v>0</v>
      </c>
      <c r="P505" s="25">
        <v>0</v>
      </c>
      <c r="Q505" s="25">
        <f t="shared" si="82"/>
        <v>0</v>
      </c>
      <c r="R505" s="25">
        <v>0</v>
      </c>
      <c r="S505" s="25">
        <f t="shared" si="83"/>
        <v>0</v>
      </c>
      <c r="T505" s="25">
        <v>0</v>
      </c>
      <c r="U505" s="29">
        <v>0</v>
      </c>
      <c r="V505" s="25">
        <v>0</v>
      </c>
      <c r="W505" s="25">
        <v>0</v>
      </c>
      <c r="X505" s="25">
        <v>0</v>
      </c>
      <c r="Y505" s="29">
        <v>0</v>
      </c>
      <c r="Z505" s="29">
        <v>0</v>
      </c>
      <c r="AA505" s="29">
        <v>0</v>
      </c>
      <c r="AB505" s="29">
        <v>0</v>
      </c>
      <c r="AC505" s="29">
        <v>0</v>
      </c>
      <c r="AD505" s="29">
        <v>0</v>
      </c>
      <c r="AE505" s="43"/>
      <c r="GR505" s="5"/>
      <c r="GS505" s="5"/>
      <c r="GT505" s="5"/>
      <c r="GU505" s="5"/>
      <c r="GV505" s="5"/>
      <c r="GW505" s="5"/>
      <c r="GX505" s="5"/>
      <c r="GY505" s="5"/>
      <c r="GZ505" s="5"/>
      <c r="HA505" s="5"/>
      <c r="HB505" s="5"/>
      <c r="HC505" s="5"/>
      <c r="HD505" s="5"/>
      <c r="HE505" s="5"/>
      <c r="HF505" s="5"/>
      <c r="HG505" s="5"/>
      <c r="HH505" s="5"/>
      <c r="HI505" s="5"/>
      <c r="HJ505" s="5"/>
      <c r="HK505" s="5"/>
      <c r="HL505" s="5"/>
      <c r="HM505" s="5"/>
      <c r="HN505" s="5"/>
      <c r="HO505" s="5"/>
      <c r="HP505" s="5"/>
    </row>
    <row r="506" spans="3:224" ht="20.100000000000001" customHeight="1">
      <c r="C506" s="24">
        <v>15410001</v>
      </c>
      <c r="D506" s="24" t="s">
        <v>513</v>
      </c>
      <c r="E506" s="25">
        <v>11200001</v>
      </c>
      <c r="F506" s="25">
        <v>0</v>
      </c>
      <c r="G506" s="25">
        <v>1</v>
      </c>
      <c r="H506" s="25">
        <v>50</v>
      </c>
      <c r="I506" s="29">
        <v>0.2</v>
      </c>
      <c r="J506" s="30">
        <v>20</v>
      </c>
      <c r="K506" s="25">
        <v>0</v>
      </c>
      <c r="L506" s="25">
        <v>0</v>
      </c>
      <c r="M506" s="25">
        <f t="shared" si="81"/>
        <v>290</v>
      </c>
      <c r="N506" s="25">
        <v>580</v>
      </c>
      <c r="O506" s="25">
        <v>0</v>
      </c>
      <c r="P506" s="25">
        <v>0</v>
      </c>
      <c r="Q506" s="25">
        <f t="shared" si="82"/>
        <v>0</v>
      </c>
      <c r="R506" s="25">
        <v>0</v>
      </c>
      <c r="S506" s="25">
        <f t="shared" si="83"/>
        <v>0</v>
      </c>
      <c r="T506" s="25">
        <v>0</v>
      </c>
      <c r="U506" s="29">
        <v>0</v>
      </c>
      <c r="V506" s="25">
        <v>0</v>
      </c>
      <c r="W506" s="25">
        <v>0</v>
      </c>
      <c r="X506" s="25">
        <v>0</v>
      </c>
      <c r="Y506" s="29">
        <v>0</v>
      </c>
      <c r="Z506" s="29">
        <v>0</v>
      </c>
      <c r="AA506" s="29">
        <v>0</v>
      </c>
      <c r="AB506" s="29">
        <v>0</v>
      </c>
      <c r="AC506" s="29">
        <v>0</v>
      </c>
      <c r="AD506" s="29">
        <v>0</v>
      </c>
      <c r="AE506" s="43"/>
      <c r="GR506" s="5"/>
      <c r="GS506" s="5"/>
      <c r="GT506" s="5"/>
      <c r="GU506" s="5"/>
      <c r="GV506" s="5"/>
      <c r="GW506" s="5"/>
      <c r="GX506" s="5"/>
      <c r="GY506" s="5"/>
      <c r="GZ506" s="5"/>
      <c r="HA506" s="5"/>
      <c r="HB506" s="5"/>
      <c r="HC506" s="5"/>
      <c r="HD506" s="5"/>
      <c r="HE506" s="5"/>
      <c r="HF506" s="5"/>
      <c r="HG506" s="5"/>
      <c r="HH506" s="5"/>
      <c r="HI506" s="5"/>
      <c r="HJ506" s="5"/>
      <c r="HK506" s="5"/>
      <c r="HL506" s="5"/>
      <c r="HM506" s="5"/>
      <c r="HN506" s="5"/>
      <c r="HO506" s="5"/>
      <c r="HP506" s="5"/>
    </row>
    <row r="507" spans="3:224" ht="20.100000000000001" customHeight="1">
      <c r="C507" s="24">
        <v>15410002</v>
      </c>
      <c r="D507" s="24" t="s">
        <v>514</v>
      </c>
      <c r="E507" s="25">
        <v>11200001</v>
      </c>
      <c r="F507" s="25">
        <v>0</v>
      </c>
      <c r="G507" s="25">
        <v>1</v>
      </c>
      <c r="H507" s="25">
        <v>50</v>
      </c>
      <c r="I507" s="29">
        <v>0.2</v>
      </c>
      <c r="J507" s="30">
        <v>20</v>
      </c>
      <c r="K507" s="25">
        <v>0</v>
      </c>
      <c r="L507" s="25">
        <v>0</v>
      </c>
      <c r="M507" s="25">
        <f t="shared" si="81"/>
        <v>358</v>
      </c>
      <c r="N507" s="25">
        <v>715</v>
      </c>
      <c r="O507" s="25">
        <v>0</v>
      </c>
      <c r="P507" s="25">
        <v>0</v>
      </c>
      <c r="Q507" s="25">
        <f t="shared" si="82"/>
        <v>0</v>
      </c>
      <c r="R507" s="25">
        <v>0</v>
      </c>
      <c r="S507" s="25">
        <f t="shared" si="83"/>
        <v>0</v>
      </c>
      <c r="T507" s="25">
        <v>0</v>
      </c>
      <c r="U507" s="29">
        <v>0</v>
      </c>
      <c r="V507" s="25">
        <v>0</v>
      </c>
      <c r="W507" s="25">
        <v>0</v>
      </c>
      <c r="X507" s="25">
        <v>0</v>
      </c>
      <c r="Y507" s="29">
        <v>0</v>
      </c>
      <c r="Z507" s="29">
        <v>0</v>
      </c>
      <c r="AA507" s="29">
        <v>0</v>
      </c>
      <c r="AB507" s="29">
        <v>0</v>
      </c>
      <c r="AC507" s="29">
        <v>0</v>
      </c>
      <c r="AD507" s="29">
        <v>0</v>
      </c>
      <c r="AE507" s="43"/>
      <c r="GR507" s="5"/>
      <c r="GS507" s="5"/>
      <c r="GT507" s="5"/>
      <c r="GU507" s="5"/>
      <c r="GV507" s="5"/>
      <c r="GW507" s="5"/>
      <c r="GX507" s="5"/>
      <c r="GY507" s="5"/>
      <c r="GZ507" s="5"/>
      <c r="HA507" s="5"/>
      <c r="HB507" s="5"/>
      <c r="HC507" s="5"/>
      <c r="HD507" s="5"/>
      <c r="HE507" s="5"/>
      <c r="HF507" s="5"/>
      <c r="HG507" s="5"/>
      <c r="HH507" s="5"/>
      <c r="HI507" s="5"/>
      <c r="HJ507" s="5"/>
      <c r="HK507" s="5"/>
      <c r="HL507" s="5"/>
      <c r="HM507" s="5"/>
      <c r="HN507" s="5"/>
      <c r="HO507" s="5"/>
      <c r="HP507" s="5"/>
    </row>
    <row r="508" spans="3:224" ht="20.100000000000001" customHeight="1">
      <c r="C508" s="24">
        <v>15410003</v>
      </c>
      <c r="D508" s="24" t="s">
        <v>515</v>
      </c>
      <c r="E508" s="25">
        <v>11200001</v>
      </c>
      <c r="F508" s="25">
        <v>0</v>
      </c>
      <c r="G508" s="25">
        <v>1</v>
      </c>
      <c r="H508" s="25">
        <v>50</v>
      </c>
      <c r="I508" s="29">
        <v>0.2</v>
      </c>
      <c r="J508" s="30">
        <v>20</v>
      </c>
      <c r="K508" s="25">
        <v>0</v>
      </c>
      <c r="L508" s="25">
        <v>0</v>
      </c>
      <c r="M508" s="25">
        <f t="shared" si="81"/>
        <v>290</v>
      </c>
      <c r="N508" s="25">
        <v>580</v>
      </c>
      <c r="O508" s="25">
        <v>0</v>
      </c>
      <c r="P508" s="25">
        <v>0</v>
      </c>
      <c r="Q508" s="25">
        <f t="shared" si="82"/>
        <v>0</v>
      </c>
      <c r="R508" s="25">
        <v>0</v>
      </c>
      <c r="S508" s="25">
        <f t="shared" si="83"/>
        <v>0</v>
      </c>
      <c r="T508" s="25">
        <v>0</v>
      </c>
      <c r="U508" s="29">
        <v>0</v>
      </c>
      <c r="V508" s="25">
        <v>0</v>
      </c>
      <c r="W508" s="25">
        <v>0</v>
      </c>
      <c r="X508" s="25">
        <v>0</v>
      </c>
      <c r="Y508" s="29">
        <v>0</v>
      </c>
      <c r="Z508" s="29">
        <v>0</v>
      </c>
      <c r="AA508" s="29">
        <v>0</v>
      </c>
      <c r="AB508" s="29">
        <v>0</v>
      </c>
      <c r="AC508" s="29">
        <v>0</v>
      </c>
      <c r="AD508" s="29">
        <v>0</v>
      </c>
      <c r="AE508" s="43"/>
      <c r="GR508" s="5"/>
      <c r="GS508" s="5"/>
      <c r="GT508" s="5"/>
      <c r="GU508" s="5"/>
      <c r="GV508" s="5"/>
      <c r="GW508" s="5"/>
      <c r="GX508" s="5"/>
      <c r="GY508" s="5"/>
      <c r="GZ508" s="5"/>
      <c r="HA508" s="5"/>
      <c r="HB508" s="5"/>
      <c r="HC508" s="5"/>
      <c r="HD508" s="5"/>
      <c r="HE508" s="5"/>
      <c r="HF508" s="5"/>
      <c r="HG508" s="5"/>
      <c r="HH508" s="5"/>
      <c r="HI508" s="5"/>
      <c r="HJ508" s="5"/>
      <c r="HK508" s="5"/>
      <c r="HL508" s="5"/>
      <c r="HM508" s="5"/>
      <c r="HN508" s="5"/>
      <c r="HO508" s="5"/>
      <c r="HP508" s="5"/>
    </row>
    <row r="509" spans="3:224" ht="20.100000000000001" customHeight="1">
      <c r="C509" s="24">
        <v>15410004</v>
      </c>
      <c r="D509" s="24" t="s">
        <v>514</v>
      </c>
      <c r="E509" s="25">
        <v>11200001</v>
      </c>
      <c r="F509" s="25">
        <v>0</v>
      </c>
      <c r="G509" s="25">
        <v>1</v>
      </c>
      <c r="H509" s="25">
        <v>50</v>
      </c>
      <c r="I509" s="29">
        <v>0.2</v>
      </c>
      <c r="J509" s="30">
        <v>20</v>
      </c>
      <c r="K509" s="25">
        <v>0</v>
      </c>
      <c r="L509" s="25">
        <v>0</v>
      </c>
      <c r="M509" s="25">
        <f t="shared" si="81"/>
        <v>358</v>
      </c>
      <c r="N509" s="25">
        <v>715</v>
      </c>
      <c r="O509" s="25">
        <v>0</v>
      </c>
      <c r="P509" s="25">
        <v>0</v>
      </c>
      <c r="Q509" s="25">
        <f t="shared" si="82"/>
        <v>0</v>
      </c>
      <c r="R509" s="25">
        <v>0</v>
      </c>
      <c r="S509" s="25">
        <f t="shared" si="83"/>
        <v>0</v>
      </c>
      <c r="T509" s="25">
        <v>0</v>
      </c>
      <c r="U509" s="29">
        <v>0</v>
      </c>
      <c r="V509" s="25">
        <v>0</v>
      </c>
      <c r="W509" s="25">
        <v>0</v>
      </c>
      <c r="X509" s="25">
        <v>0</v>
      </c>
      <c r="Y509" s="29">
        <v>0</v>
      </c>
      <c r="Z509" s="29">
        <v>0</v>
      </c>
      <c r="AA509" s="29">
        <v>0</v>
      </c>
      <c r="AB509" s="29">
        <v>0</v>
      </c>
      <c r="AC509" s="29">
        <v>0</v>
      </c>
      <c r="AD509" s="29">
        <v>0</v>
      </c>
      <c r="AE509" s="43"/>
      <c r="GR509" s="5"/>
      <c r="GS509" s="5"/>
      <c r="GT509" s="5"/>
      <c r="GU509" s="5"/>
      <c r="GV509" s="5"/>
      <c r="GW509" s="5"/>
      <c r="GX509" s="5"/>
      <c r="GY509" s="5"/>
      <c r="GZ509" s="5"/>
      <c r="HA509" s="5"/>
      <c r="HB509" s="5"/>
      <c r="HC509" s="5"/>
      <c r="HD509" s="5"/>
      <c r="HE509" s="5"/>
      <c r="HF509" s="5"/>
      <c r="HG509" s="5"/>
      <c r="HH509" s="5"/>
      <c r="HI509" s="5"/>
      <c r="HJ509" s="5"/>
      <c r="HK509" s="5"/>
      <c r="HL509" s="5"/>
      <c r="HM509" s="5"/>
      <c r="HN509" s="5"/>
      <c r="HO509" s="5"/>
      <c r="HP509" s="5"/>
    </row>
    <row r="510" spans="3:224" ht="20.100000000000001" customHeight="1">
      <c r="C510" s="24">
        <v>15410011</v>
      </c>
      <c r="D510" s="36" t="s">
        <v>516</v>
      </c>
      <c r="E510" s="25">
        <v>11200001</v>
      </c>
      <c r="F510" s="25">
        <v>14051</v>
      </c>
      <c r="G510" s="25">
        <v>1</v>
      </c>
      <c r="H510" s="25">
        <v>50</v>
      </c>
      <c r="I510" s="29">
        <v>0.2</v>
      </c>
      <c r="J510" s="30">
        <v>20</v>
      </c>
      <c r="K510" s="25">
        <v>0</v>
      </c>
      <c r="L510" s="25">
        <v>0</v>
      </c>
      <c r="M510" s="25">
        <f t="shared" ref="M510:M511" si="95">ROUND(N510/2,0)</f>
        <v>440</v>
      </c>
      <c r="N510" s="25">
        <v>880</v>
      </c>
      <c r="O510" s="25">
        <v>0</v>
      </c>
      <c r="P510" s="25">
        <v>0</v>
      </c>
      <c r="Q510" s="25">
        <f t="shared" ref="Q510:Q511" si="96">ROUND(R510/2,0)</f>
        <v>0</v>
      </c>
      <c r="R510" s="25">
        <v>0</v>
      </c>
      <c r="S510" s="25">
        <f t="shared" ref="S510:S511" si="97">ROUND(T510/2,0)</f>
        <v>0</v>
      </c>
      <c r="T510" s="25">
        <v>0</v>
      </c>
      <c r="U510" s="29">
        <v>0</v>
      </c>
      <c r="V510" s="25">
        <v>0</v>
      </c>
      <c r="W510" s="25">
        <v>0</v>
      </c>
      <c r="X510" s="25">
        <v>0</v>
      </c>
      <c r="Y510" s="29">
        <v>0</v>
      </c>
      <c r="Z510" s="29">
        <v>0</v>
      </c>
      <c r="AA510" s="29">
        <v>0</v>
      </c>
      <c r="AB510" s="29">
        <v>0</v>
      </c>
      <c r="AC510" s="29">
        <v>0</v>
      </c>
      <c r="AD510" s="29">
        <v>0</v>
      </c>
      <c r="AE510" s="43"/>
      <c r="GR510" s="5"/>
      <c r="GS510" s="5"/>
      <c r="GT510" s="5"/>
      <c r="GU510" s="5"/>
      <c r="GV510" s="5"/>
      <c r="GW510" s="5"/>
      <c r="GX510" s="5"/>
      <c r="GY510" s="5"/>
      <c r="GZ510" s="5"/>
      <c r="HA510" s="5"/>
      <c r="HB510" s="5"/>
      <c r="HC510" s="5"/>
      <c r="HD510" s="5"/>
      <c r="HE510" s="5"/>
      <c r="HF510" s="5"/>
      <c r="HG510" s="5"/>
      <c r="HH510" s="5"/>
      <c r="HI510" s="5"/>
      <c r="HJ510" s="5"/>
      <c r="HK510" s="5"/>
      <c r="HL510" s="5"/>
      <c r="HM510" s="5"/>
      <c r="HN510" s="5"/>
      <c r="HO510" s="5"/>
      <c r="HP510" s="5"/>
    </row>
    <row r="511" spans="3:224" ht="20.100000000000001" customHeight="1">
      <c r="C511" s="24">
        <v>15410012</v>
      </c>
      <c r="D511" s="36" t="s">
        <v>517</v>
      </c>
      <c r="E511" s="25">
        <v>11200001</v>
      </c>
      <c r="F511" s="25">
        <v>14051</v>
      </c>
      <c r="G511" s="25">
        <v>1</v>
      </c>
      <c r="H511" s="25">
        <v>50</v>
      </c>
      <c r="I511" s="29">
        <v>0.2</v>
      </c>
      <c r="J511" s="30">
        <v>20</v>
      </c>
      <c r="K511" s="25">
        <v>0</v>
      </c>
      <c r="L511" s="25">
        <v>0</v>
      </c>
      <c r="M511" s="25">
        <f t="shared" si="95"/>
        <v>440</v>
      </c>
      <c r="N511" s="25">
        <v>880</v>
      </c>
      <c r="O511" s="25">
        <v>0</v>
      </c>
      <c r="P511" s="25">
        <v>0</v>
      </c>
      <c r="Q511" s="25">
        <f t="shared" si="96"/>
        <v>0</v>
      </c>
      <c r="R511" s="25">
        <v>0</v>
      </c>
      <c r="S511" s="25">
        <f t="shared" si="97"/>
        <v>0</v>
      </c>
      <c r="T511" s="25">
        <v>0</v>
      </c>
      <c r="U511" s="29">
        <v>0</v>
      </c>
      <c r="V511" s="25">
        <v>0</v>
      </c>
      <c r="W511" s="25">
        <v>0</v>
      </c>
      <c r="X511" s="25">
        <v>0</v>
      </c>
      <c r="Y511" s="29">
        <v>0</v>
      </c>
      <c r="Z511" s="29">
        <v>0</v>
      </c>
      <c r="AA511" s="29">
        <v>0</v>
      </c>
      <c r="AB511" s="29">
        <v>0</v>
      </c>
      <c r="AC511" s="29">
        <v>0</v>
      </c>
      <c r="AD511" s="29">
        <v>0</v>
      </c>
      <c r="AE511" s="43">
        <v>100006</v>
      </c>
      <c r="GR511" s="5"/>
      <c r="GS511" s="5"/>
      <c r="GT511" s="5"/>
      <c r="GU511" s="5"/>
      <c r="GV511" s="5"/>
      <c r="GW511" s="5"/>
      <c r="GX511" s="5"/>
      <c r="GY511" s="5"/>
      <c r="GZ511" s="5"/>
      <c r="HA511" s="5"/>
      <c r="HB511" s="5"/>
      <c r="HC511" s="5"/>
      <c r="HD511" s="5"/>
      <c r="HE511" s="5"/>
      <c r="HF511" s="5"/>
      <c r="HG511" s="5"/>
      <c r="HH511" s="5"/>
      <c r="HI511" s="5"/>
      <c r="HJ511" s="5"/>
      <c r="HK511" s="5"/>
      <c r="HL511" s="5"/>
      <c r="HM511" s="5"/>
      <c r="HN511" s="5"/>
      <c r="HO511" s="5"/>
      <c r="HP511" s="5"/>
    </row>
    <row r="512" spans="3:224" ht="20.100000000000001" customHeight="1">
      <c r="C512" s="24">
        <v>15410111</v>
      </c>
      <c r="D512" s="36" t="s">
        <v>518</v>
      </c>
      <c r="E512" s="25">
        <v>11200001</v>
      </c>
      <c r="F512" s="25">
        <v>14051</v>
      </c>
      <c r="G512" s="25">
        <v>1</v>
      </c>
      <c r="H512" s="25">
        <v>50</v>
      </c>
      <c r="I512" s="29">
        <v>0.2</v>
      </c>
      <c r="J512" s="30">
        <v>20</v>
      </c>
      <c r="K512" s="25">
        <v>0</v>
      </c>
      <c r="L512" s="25">
        <v>0</v>
      </c>
      <c r="M512" s="25">
        <f t="shared" ref="M512:M516" si="98">ROUND(N512/2,0)</f>
        <v>440</v>
      </c>
      <c r="N512" s="25">
        <v>880</v>
      </c>
      <c r="O512" s="25">
        <v>0</v>
      </c>
      <c r="P512" s="25">
        <v>0</v>
      </c>
      <c r="Q512" s="25">
        <f t="shared" ref="Q512:Q516" si="99">ROUND(R512/2,0)</f>
        <v>0</v>
      </c>
      <c r="R512" s="25">
        <v>0</v>
      </c>
      <c r="S512" s="25">
        <f t="shared" ref="S512:S516" si="100">ROUND(T512/2,0)</f>
        <v>0</v>
      </c>
      <c r="T512" s="25">
        <v>0</v>
      </c>
      <c r="U512" s="29">
        <v>0</v>
      </c>
      <c r="V512" s="25">
        <v>0</v>
      </c>
      <c r="W512" s="25">
        <v>0</v>
      </c>
      <c r="X512" s="25">
        <v>0</v>
      </c>
      <c r="Y512" s="29">
        <v>0</v>
      </c>
      <c r="Z512" s="29">
        <v>0</v>
      </c>
      <c r="AA512" s="29">
        <v>0</v>
      </c>
      <c r="AB512" s="29">
        <v>0</v>
      </c>
      <c r="AC512" s="29">
        <v>0</v>
      </c>
      <c r="AD512" s="29">
        <v>0</v>
      </c>
      <c r="AE512" s="43">
        <v>100007</v>
      </c>
      <c r="GR512" s="5"/>
      <c r="GS512" s="5"/>
      <c r="GT512" s="5"/>
      <c r="GU512" s="5"/>
      <c r="GV512" s="5"/>
      <c r="GW512" s="5"/>
      <c r="GX512" s="5"/>
      <c r="GY512" s="5"/>
      <c r="GZ512" s="5"/>
      <c r="HA512" s="5"/>
      <c r="HB512" s="5"/>
      <c r="HC512" s="5"/>
      <c r="HD512" s="5"/>
      <c r="HE512" s="5"/>
      <c r="HF512" s="5"/>
      <c r="HG512" s="5"/>
      <c r="HH512" s="5"/>
      <c r="HI512" s="5"/>
      <c r="HJ512" s="5"/>
      <c r="HK512" s="5"/>
      <c r="HL512" s="5"/>
      <c r="HM512" s="5"/>
      <c r="HN512" s="5"/>
      <c r="HO512" s="5"/>
      <c r="HP512" s="5"/>
    </row>
    <row r="513" spans="3:224" ht="20.100000000000001" customHeight="1">
      <c r="C513" s="24">
        <v>15410112</v>
      </c>
      <c r="D513" s="36" t="s">
        <v>519</v>
      </c>
      <c r="E513" s="25">
        <v>11200001</v>
      </c>
      <c r="F513" s="25">
        <v>14051</v>
      </c>
      <c r="G513" s="25">
        <v>1</v>
      </c>
      <c r="H513" s="25">
        <v>50</v>
      </c>
      <c r="I513" s="29">
        <v>0.2</v>
      </c>
      <c r="J513" s="30">
        <v>20</v>
      </c>
      <c r="K513" s="25">
        <v>0</v>
      </c>
      <c r="L513" s="25">
        <v>0</v>
      </c>
      <c r="M513" s="25">
        <f t="shared" si="98"/>
        <v>440</v>
      </c>
      <c r="N513" s="25">
        <v>880</v>
      </c>
      <c r="O513" s="25">
        <v>0</v>
      </c>
      <c r="P513" s="25">
        <v>0</v>
      </c>
      <c r="Q513" s="25">
        <f t="shared" si="99"/>
        <v>0</v>
      </c>
      <c r="R513" s="25">
        <v>0</v>
      </c>
      <c r="S513" s="25">
        <f t="shared" si="100"/>
        <v>0</v>
      </c>
      <c r="T513" s="25">
        <v>0</v>
      </c>
      <c r="U513" s="29">
        <v>0</v>
      </c>
      <c r="V513" s="25">
        <v>0</v>
      </c>
      <c r="W513" s="25">
        <v>0</v>
      </c>
      <c r="X513" s="25">
        <v>0</v>
      </c>
      <c r="Y513" s="29">
        <v>0</v>
      </c>
      <c r="Z513" s="29">
        <v>0</v>
      </c>
      <c r="AA513" s="29">
        <v>0</v>
      </c>
      <c r="AB513" s="29">
        <v>0</v>
      </c>
      <c r="AC513" s="29">
        <v>0</v>
      </c>
      <c r="AD513" s="29">
        <v>0</v>
      </c>
      <c r="AE513" s="43"/>
      <c r="GR513" s="5"/>
      <c r="GS513" s="5"/>
      <c r="GT513" s="5"/>
      <c r="GU513" s="5"/>
      <c r="GV513" s="5"/>
      <c r="GW513" s="5"/>
      <c r="GX513" s="5"/>
      <c r="GY513" s="5"/>
      <c r="GZ513" s="5"/>
      <c r="HA513" s="5"/>
      <c r="HB513" s="5"/>
      <c r="HC513" s="5"/>
      <c r="HD513" s="5"/>
      <c r="HE513" s="5"/>
      <c r="HF513" s="5"/>
      <c r="HG513" s="5"/>
      <c r="HH513" s="5"/>
      <c r="HI513" s="5"/>
      <c r="HJ513" s="5"/>
      <c r="HK513" s="5"/>
      <c r="HL513" s="5"/>
      <c r="HM513" s="5"/>
      <c r="HN513" s="5"/>
      <c r="HO513" s="5"/>
      <c r="HP513" s="5"/>
    </row>
    <row r="514" spans="3:224" ht="20.100000000000001" customHeight="1">
      <c r="C514" s="24">
        <v>15410201</v>
      </c>
      <c r="D514" s="24" t="s">
        <v>657</v>
      </c>
      <c r="E514" s="25">
        <v>11200001</v>
      </c>
      <c r="F514" s="25">
        <v>0</v>
      </c>
      <c r="G514" s="25">
        <v>1</v>
      </c>
      <c r="H514" s="25">
        <v>50</v>
      </c>
      <c r="I514" s="29">
        <v>0.2</v>
      </c>
      <c r="J514" s="30">
        <v>20</v>
      </c>
      <c r="K514" s="25">
        <v>0</v>
      </c>
      <c r="L514" s="25">
        <v>0</v>
      </c>
      <c r="M514" s="25">
        <f t="shared" si="98"/>
        <v>290</v>
      </c>
      <c r="N514" s="25">
        <v>580</v>
      </c>
      <c r="O514" s="25">
        <v>0</v>
      </c>
      <c r="P514" s="25">
        <v>0</v>
      </c>
      <c r="Q514" s="25">
        <f t="shared" si="99"/>
        <v>0</v>
      </c>
      <c r="R514" s="25">
        <v>0</v>
      </c>
      <c r="S514" s="25">
        <f t="shared" si="100"/>
        <v>0</v>
      </c>
      <c r="T514" s="25">
        <v>0</v>
      </c>
      <c r="U514" s="29">
        <v>0</v>
      </c>
      <c r="V514" s="25">
        <v>0</v>
      </c>
      <c r="W514" s="25">
        <v>0</v>
      </c>
      <c r="X514" s="25">
        <v>0</v>
      </c>
      <c r="Y514" s="29">
        <v>0</v>
      </c>
      <c r="Z514" s="29">
        <v>0</v>
      </c>
      <c r="AA514" s="29">
        <v>0</v>
      </c>
      <c r="AB514" s="29">
        <v>0</v>
      </c>
      <c r="AC514" s="29">
        <v>0</v>
      </c>
      <c r="AD514" s="29">
        <v>0</v>
      </c>
      <c r="AE514" s="43"/>
      <c r="GR514" s="5"/>
      <c r="GS514" s="5"/>
      <c r="GT514" s="5"/>
      <c r="GU514" s="5"/>
      <c r="GV514" s="5"/>
      <c r="GW514" s="5"/>
      <c r="GX514" s="5"/>
      <c r="GY514" s="5"/>
      <c r="GZ514" s="5"/>
      <c r="HA514" s="5"/>
      <c r="HB514" s="5"/>
      <c r="HC514" s="5"/>
      <c r="HD514" s="5"/>
      <c r="HE514" s="5"/>
      <c r="HF514" s="5"/>
      <c r="HG514" s="5"/>
      <c r="HH514" s="5"/>
      <c r="HI514" s="5"/>
      <c r="HJ514" s="5"/>
      <c r="HK514" s="5"/>
      <c r="HL514" s="5"/>
      <c r="HM514" s="5"/>
      <c r="HN514" s="5"/>
      <c r="HO514" s="5"/>
      <c r="HP514" s="5"/>
    </row>
    <row r="515" spans="3:224" ht="20.100000000000001" customHeight="1">
      <c r="C515" s="24">
        <v>15410202</v>
      </c>
      <c r="D515" s="24" t="s">
        <v>658</v>
      </c>
      <c r="E515" s="25">
        <v>11200001</v>
      </c>
      <c r="F515" s="25">
        <v>0</v>
      </c>
      <c r="G515" s="25">
        <v>1</v>
      </c>
      <c r="H515" s="25">
        <v>50</v>
      </c>
      <c r="I515" s="29">
        <v>0.2</v>
      </c>
      <c r="J515" s="30">
        <v>20</v>
      </c>
      <c r="K515" s="25">
        <v>0</v>
      </c>
      <c r="L515" s="25">
        <v>0</v>
      </c>
      <c r="M515" s="25">
        <f t="shared" si="98"/>
        <v>358</v>
      </c>
      <c r="N515" s="25">
        <v>715</v>
      </c>
      <c r="O515" s="25">
        <v>0</v>
      </c>
      <c r="P515" s="25">
        <v>0</v>
      </c>
      <c r="Q515" s="25">
        <f t="shared" si="99"/>
        <v>0</v>
      </c>
      <c r="R515" s="25">
        <v>0</v>
      </c>
      <c r="S515" s="25">
        <f t="shared" si="100"/>
        <v>0</v>
      </c>
      <c r="T515" s="25">
        <v>0</v>
      </c>
      <c r="U515" s="29">
        <v>0</v>
      </c>
      <c r="V515" s="25">
        <v>0</v>
      </c>
      <c r="W515" s="25">
        <v>0</v>
      </c>
      <c r="X515" s="25">
        <v>0</v>
      </c>
      <c r="Y515" s="29">
        <v>0</v>
      </c>
      <c r="Z515" s="29">
        <v>0</v>
      </c>
      <c r="AA515" s="29">
        <v>0</v>
      </c>
      <c r="AB515" s="29">
        <v>0</v>
      </c>
      <c r="AC515" s="29">
        <v>0</v>
      </c>
      <c r="AD515" s="29">
        <v>0</v>
      </c>
      <c r="AE515" s="43"/>
      <c r="GR515" s="5"/>
      <c r="GS515" s="5"/>
      <c r="GT515" s="5"/>
      <c r="GU515" s="5"/>
      <c r="GV515" s="5"/>
      <c r="GW515" s="5"/>
      <c r="GX515" s="5"/>
      <c r="GY515" s="5"/>
      <c r="GZ515" s="5"/>
      <c r="HA515" s="5"/>
      <c r="HB515" s="5"/>
      <c r="HC515" s="5"/>
      <c r="HD515" s="5"/>
      <c r="HE515" s="5"/>
      <c r="HF515" s="5"/>
      <c r="HG515" s="5"/>
      <c r="HH515" s="5"/>
      <c r="HI515" s="5"/>
      <c r="HJ515" s="5"/>
      <c r="HK515" s="5"/>
      <c r="HL515" s="5"/>
      <c r="HM515" s="5"/>
      <c r="HN515" s="5"/>
      <c r="HO515" s="5"/>
      <c r="HP515" s="5"/>
    </row>
    <row r="516" spans="3:224" ht="20.100000000000001" customHeight="1">
      <c r="C516" s="24">
        <v>15410211</v>
      </c>
      <c r="D516" s="36" t="s">
        <v>659</v>
      </c>
      <c r="E516" s="25">
        <v>11200001</v>
      </c>
      <c r="F516" s="25">
        <v>14051</v>
      </c>
      <c r="G516" s="25">
        <v>1</v>
      </c>
      <c r="H516" s="25">
        <v>50</v>
      </c>
      <c r="I516" s="29">
        <v>0.2</v>
      </c>
      <c r="J516" s="30">
        <v>20</v>
      </c>
      <c r="K516" s="25">
        <v>0</v>
      </c>
      <c r="L516" s="25">
        <v>0</v>
      </c>
      <c r="M516" s="25">
        <f t="shared" si="98"/>
        <v>440</v>
      </c>
      <c r="N516" s="25">
        <v>880</v>
      </c>
      <c r="O516" s="25">
        <v>0</v>
      </c>
      <c r="P516" s="25">
        <v>0</v>
      </c>
      <c r="Q516" s="25">
        <f t="shared" si="99"/>
        <v>0</v>
      </c>
      <c r="R516" s="25">
        <v>0</v>
      </c>
      <c r="S516" s="25">
        <f t="shared" si="100"/>
        <v>0</v>
      </c>
      <c r="T516" s="25">
        <v>0</v>
      </c>
      <c r="U516" s="29">
        <v>0</v>
      </c>
      <c r="V516" s="25">
        <v>0</v>
      </c>
      <c r="W516" s="25">
        <v>0</v>
      </c>
      <c r="X516" s="25">
        <v>0</v>
      </c>
      <c r="Y516" s="29">
        <v>0</v>
      </c>
      <c r="Z516" s="29">
        <v>0</v>
      </c>
      <c r="AA516" s="29">
        <v>0</v>
      </c>
      <c r="AB516" s="29">
        <v>202403</v>
      </c>
      <c r="AC516" s="29">
        <v>300</v>
      </c>
      <c r="AD516" s="29">
        <v>1</v>
      </c>
      <c r="AE516" s="43"/>
      <c r="GR516" s="5"/>
      <c r="GS516" s="5"/>
      <c r="GT516" s="5"/>
      <c r="GU516" s="5"/>
      <c r="GV516" s="5"/>
      <c r="GW516" s="5"/>
      <c r="GX516" s="5"/>
      <c r="GY516" s="5"/>
      <c r="GZ516" s="5"/>
      <c r="HA516" s="5"/>
      <c r="HB516" s="5"/>
      <c r="HC516" s="5"/>
      <c r="HD516" s="5"/>
      <c r="HE516" s="5"/>
      <c r="HF516" s="5"/>
      <c r="HG516" s="5"/>
      <c r="HH516" s="5"/>
      <c r="HI516" s="5"/>
      <c r="HJ516" s="5"/>
      <c r="HK516" s="5"/>
      <c r="HL516" s="5"/>
      <c r="HM516" s="5"/>
      <c r="HN516" s="5"/>
      <c r="HO516" s="5"/>
      <c r="HP516" s="5"/>
    </row>
    <row r="517" spans="3:224" ht="20.100000000000001" customHeight="1">
      <c r="C517" s="24">
        <v>15411001</v>
      </c>
      <c r="D517" s="25" t="s">
        <v>520</v>
      </c>
      <c r="E517" s="25">
        <v>11200003</v>
      </c>
      <c r="F517" s="25">
        <v>0</v>
      </c>
      <c r="G517" s="25">
        <v>1</v>
      </c>
      <c r="H517" s="25">
        <v>50</v>
      </c>
      <c r="I517" s="29">
        <v>0.2</v>
      </c>
      <c r="J517" s="30">
        <v>20</v>
      </c>
      <c r="K517" s="25">
        <v>0</v>
      </c>
      <c r="L517" s="25">
        <v>3960</v>
      </c>
      <c r="M517" s="25">
        <f t="shared" si="81"/>
        <v>0</v>
      </c>
      <c r="N517" s="25">
        <v>0</v>
      </c>
      <c r="O517" s="25">
        <v>0</v>
      </c>
      <c r="P517" s="25">
        <v>0</v>
      </c>
      <c r="Q517" s="25">
        <f t="shared" si="82"/>
        <v>23</v>
      </c>
      <c r="R517" s="25">
        <v>45</v>
      </c>
      <c r="S517" s="25">
        <f t="shared" si="83"/>
        <v>23</v>
      </c>
      <c r="T517" s="25">
        <v>45</v>
      </c>
      <c r="U517" s="29">
        <v>0</v>
      </c>
      <c r="V517" s="25">
        <v>0</v>
      </c>
      <c r="W517" s="25">
        <v>0</v>
      </c>
      <c r="X517" s="25">
        <v>0</v>
      </c>
      <c r="Y517" s="29">
        <v>0</v>
      </c>
      <c r="Z517" s="29">
        <v>0</v>
      </c>
      <c r="AA517" s="29">
        <v>0</v>
      </c>
      <c r="AB517" s="29">
        <v>0</v>
      </c>
      <c r="AC517" s="29">
        <v>0</v>
      </c>
      <c r="AD517" s="29">
        <v>0</v>
      </c>
      <c r="AE517" s="43"/>
      <c r="GR517" s="5"/>
      <c r="GS517" s="5"/>
      <c r="GT517" s="5"/>
      <c r="GU517" s="5"/>
      <c r="GV517" s="5"/>
      <c r="GW517" s="5"/>
      <c r="GX517" s="5"/>
      <c r="GY517" s="5"/>
      <c r="GZ517" s="5"/>
      <c r="HA517" s="5"/>
      <c r="HB517" s="5"/>
      <c r="HC517" s="5"/>
      <c r="HD517" s="5"/>
      <c r="HE517" s="5"/>
      <c r="HF517" s="5"/>
      <c r="HG517" s="5"/>
      <c r="HH517" s="5"/>
      <c r="HI517" s="5"/>
      <c r="HJ517" s="5"/>
      <c r="HK517" s="5"/>
      <c r="HL517" s="5"/>
      <c r="HM517" s="5"/>
      <c r="HN517" s="5"/>
      <c r="HO517" s="5"/>
      <c r="HP517" s="5"/>
    </row>
    <row r="518" spans="3:224" ht="20.100000000000001" customHeight="1">
      <c r="C518" s="24">
        <v>15411002</v>
      </c>
      <c r="D518" s="25" t="s">
        <v>521</v>
      </c>
      <c r="E518" s="25">
        <v>11200003</v>
      </c>
      <c r="F518" s="25">
        <v>14011</v>
      </c>
      <c r="G518" s="25">
        <v>1</v>
      </c>
      <c r="H518" s="25">
        <v>50</v>
      </c>
      <c r="I518" s="29">
        <v>0.2</v>
      </c>
      <c r="J518" s="30">
        <v>20</v>
      </c>
      <c r="K518" s="25">
        <v>0</v>
      </c>
      <c r="L518" s="25">
        <v>5040</v>
      </c>
      <c r="M518" s="25">
        <f t="shared" si="81"/>
        <v>0</v>
      </c>
      <c r="N518" s="25">
        <v>0</v>
      </c>
      <c r="O518" s="25">
        <v>0</v>
      </c>
      <c r="P518" s="25">
        <v>0</v>
      </c>
      <c r="Q518" s="25">
        <f t="shared" si="82"/>
        <v>64</v>
      </c>
      <c r="R518" s="25">
        <v>128</v>
      </c>
      <c r="S518" s="25">
        <f t="shared" si="83"/>
        <v>64</v>
      </c>
      <c r="T518" s="25">
        <v>128</v>
      </c>
      <c r="U518" s="29">
        <v>0</v>
      </c>
      <c r="V518" s="25">
        <v>0</v>
      </c>
      <c r="W518" s="25">
        <v>0</v>
      </c>
      <c r="X518" s="25">
        <v>0</v>
      </c>
      <c r="Y518" s="29">
        <v>0</v>
      </c>
      <c r="Z518" s="29">
        <v>0</v>
      </c>
      <c r="AA518" s="29">
        <v>0</v>
      </c>
      <c r="AB518" s="29">
        <v>0</v>
      </c>
      <c r="AC518" s="29">
        <v>0</v>
      </c>
      <c r="AD518" s="29">
        <v>0</v>
      </c>
      <c r="AE518" s="43"/>
      <c r="GR518" s="5"/>
      <c r="GS518" s="5"/>
      <c r="GT518" s="5"/>
      <c r="GU518" s="5"/>
      <c r="GV518" s="5"/>
      <c r="GW518" s="5"/>
      <c r="GX518" s="5"/>
      <c r="GY518" s="5"/>
      <c r="GZ518" s="5"/>
      <c r="HA518" s="5"/>
      <c r="HB518" s="5"/>
      <c r="HC518" s="5"/>
      <c r="HD518" s="5"/>
      <c r="HE518" s="5"/>
      <c r="HF518" s="5"/>
      <c r="HG518" s="5"/>
      <c r="HH518" s="5"/>
      <c r="HI518" s="5"/>
      <c r="HJ518" s="5"/>
      <c r="HK518" s="5"/>
      <c r="HL518" s="5"/>
      <c r="HM518" s="5"/>
      <c r="HN518" s="5"/>
      <c r="HO518" s="5"/>
      <c r="HP518" s="5"/>
    </row>
    <row r="519" spans="3:224" ht="20.100000000000001" customHeight="1">
      <c r="C519" s="24">
        <v>15411003</v>
      </c>
      <c r="D519" s="25" t="s">
        <v>522</v>
      </c>
      <c r="E519" s="25">
        <v>11200003</v>
      </c>
      <c r="F519" s="25">
        <v>0</v>
      </c>
      <c r="G519" s="25">
        <v>1</v>
      </c>
      <c r="H519" s="25">
        <v>50</v>
      </c>
      <c r="I519" s="29">
        <v>0.2</v>
      </c>
      <c r="J519" s="30">
        <v>20</v>
      </c>
      <c r="K519" s="25">
        <v>0</v>
      </c>
      <c r="L519" s="25">
        <v>1980</v>
      </c>
      <c r="M519" s="25">
        <f t="shared" si="81"/>
        <v>0</v>
      </c>
      <c r="N519" s="25">
        <v>0</v>
      </c>
      <c r="O519" s="25">
        <v>0</v>
      </c>
      <c r="P519" s="25">
        <v>0</v>
      </c>
      <c r="Q519" s="25">
        <f t="shared" si="82"/>
        <v>17</v>
      </c>
      <c r="R519" s="25">
        <v>34</v>
      </c>
      <c r="S519" s="25">
        <f t="shared" si="83"/>
        <v>17</v>
      </c>
      <c r="T519" s="25">
        <v>34</v>
      </c>
      <c r="U519" s="29">
        <v>0</v>
      </c>
      <c r="V519" s="25">
        <v>0</v>
      </c>
      <c r="W519" s="25">
        <v>0</v>
      </c>
      <c r="X519" s="25">
        <v>0</v>
      </c>
      <c r="Y519" s="29">
        <v>0</v>
      </c>
      <c r="Z519" s="29">
        <v>0</v>
      </c>
      <c r="AA519" s="29">
        <v>0</v>
      </c>
      <c r="AB519" s="29">
        <v>0</v>
      </c>
      <c r="AC519" s="29">
        <v>0</v>
      </c>
      <c r="AD519" s="29">
        <v>0</v>
      </c>
      <c r="AE519" s="43"/>
      <c r="GR519" s="5"/>
      <c r="GS519" s="5"/>
      <c r="GT519" s="5"/>
      <c r="GU519" s="5"/>
      <c r="GV519" s="5"/>
      <c r="GW519" s="5"/>
      <c r="GX519" s="5"/>
      <c r="GY519" s="5"/>
      <c r="GZ519" s="5"/>
      <c r="HA519" s="5"/>
      <c r="HB519" s="5"/>
      <c r="HC519" s="5"/>
      <c r="HD519" s="5"/>
      <c r="HE519" s="5"/>
      <c r="HF519" s="5"/>
      <c r="HG519" s="5"/>
      <c r="HH519" s="5"/>
      <c r="HI519" s="5"/>
      <c r="HJ519" s="5"/>
      <c r="HK519" s="5"/>
      <c r="HL519" s="5"/>
      <c r="HM519" s="5"/>
      <c r="HN519" s="5"/>
      <c r="HO519" s="5"/>
      <c r="HP519" s="5"/>
    </row>
    <row r="520" spans="3:224" ht="20.100000000000001" customHeight="1">
      <c r="C520" s="24">
        <v>15411004</v>
      </c>
      <c r="D520" s="25" t="s">
        <v>523</v>
      </c>
      <c r="E520" s="25">
        <v>11200003</v>
      </c>
      <c r="F520" s="25">
        <v>14021</v>
      </c>
      <c r="G520" s="25">
        <v>1</v>
      </c>
      <c r="H520" s="25">
        <v>50</v>
      </c>
      <c r="I520" s="29">
        <v>0.2</v>
      </c>
      <c r="J520" s="30">
        <v>20</v>
      </c>
      <c r="K520" s="25">
        <v>0</v>
      </c>
      <c r="L520" s="25">
        <v>2520</v>
      </c>
      <c r="M520" s="25">
        <f t="shared" si="81"/>
        <v>0</v>
      </c>
      <c r="N520" s="25">
        <v>0</v>
      </c>
      <c r="O520" s="25">
        <v>0</v>
      </c>
      <c r="P520" s="25">
        <v>0</v>
      </c>
      <c r="Q520" s="25">
        <f t="shared" si="82"/>
        <v>48</v>
      </c>
      <c r="R520" s="25">
        <v>96</v>
      </c>
      <c r="S520" s="25">
        <f t="shared" si="83"/>
        <v>48</v>
      </c>
      <c r="T520" s="25">
        <v>96</v>
      </c>
      <c r="U520" s="29">
        <v>0</v>
      </c>
      <c r="V520" s="25">
        <v>0</v>
      </c>
      <c r="W520" s="25">
        <v>0</v>
      </c>
      <c r="X520" s="25">
        <v>0</v>
      </c>
      <c r="Y520" s="29">
        <v>0</v>
      </c>
      <c r="Z520" s="29">
        <v>0</v>
      </c>
      <c r="AA520" s="29">
        <v>0</v>
      </c>
      <c r="AB520" s="29">
        <v>0</v>
      </c>
      <c r="AC520" s="29">
        <v>0</v>
      </c>
      <c r="AD520" s="29">
        <v>0</v>
      </c>
      <c r="AE520" s="43"/>
      <c r="GR520" s="5"/>
      <c r="GS520" s="5"/>
      <c r="GT520" s="5"/>
      <c r="GU520" s="5"/>
      <c r="GV520" s="5"/>
      <c r="GW520" s="5"/>
      <c r="GX520" s="5"/>
      <c r="GY520" s="5"/>
      <c r="GZ520" s="5"/>
      <c r="HA520" s="5"/>
      <c r="HB520" s="5"/>
      <c r="HC520" s="5"/>
      <c r="HD520" s="5"/>
      <c r="HE520" s="5"/>
      <c r="HF520" s="5"/>
      <c r="HG520" s="5"/>
      <c r="HH520" s="5"/>
      <c r="HI520" s="5"/>
      <c r="HJ520" s="5"/>
      <c r="HK520" s="5"/>
      <c r="HL520" s="5"/>
      <c r="HM520" s="5"/>
      <c r="HN520" s="5"/>
      <c r="HO520" s="5"/>
      <c r="HP520" s="5"/>
    </row>
    <row r="521" spans="3:224" ht="20.100000000000001" customHeight="1">
      <c r="C521" s="24">
        <v>15411005</v>
      </c>
      <c r="D521" s="25" t="s">
        <v>524</v>
      </c>
      <c r="E521" s="25">
        <v>11200003</v>
      </c>
      <c r="F521" s="25">
        <v>0</v>
      </c>
      <c r="G521" s="25">
        <v>1</v>
      </c>
      <c r="H521" s="25">
        <v>50</v>
      </c>
      <c r="I521" s="29">
        <v>0.2</v>
      </c>
      <c r="J521" s="30">
        <v>20</v>
      </c>
      <c r="K521" s="25">
        <v>0</v>
      </c>
      <c r="L521" s="25">
        <v>5940</v>
      </c>
      <c r="M521" s="25">
        <f t="shared" si="81"/>
        <v>0</v>
      </c>
      <c r="N521" s="25">
        <v>0</v>
      </c>
      <c r="O521" s="25">
        <v>0</v>
      </c>
      <c r="P521" s="25">
        <v>0</v>
      </c>
      <c r="Q521" s="25">
        <f t="shared" si="82"/>
        <v>28</v>
      </c>
      <c r="R521" s="25">
        <v>56</v>
      </c>
      <c r="S521" s="25">
        <f t="shared" si="83"/>
        <v>28</v>
      </c>
      <c r="T521" s="25">
        <v>56</v>
      </c>
      <c r="U521" s="29">
        <v>0</v>
      </c>
      <c r="V521" s="25">
        <v>0</v>
      </c>
      <c r="W521" s="25">
        <v>0</v>
      </c>
      <c r="X521" s="25">
        <v>0</v>
      </c>
      <c r="Y521" s="29">
        <v>0</v>
      </c>
      <c r="Z521" s="29">
        <v>0</v>
      </c>
      <c r="AA521" s="29">
        <v>0</v>
      </c>
      <c r="AB521" s="29">
        <v>0</v>
      </c>
      <c r="AC521" s="29">
        <v>0</v>
      </c>
      <c r="AD521" s="29">
        <v>0</v>
      </c>
      <c r="AE521" s="43"/>
      <c r="GR521" s="5"/>
      <c r="GS521" s="5"/>
      <c r="GT521" s="5"/>
      <c r="GU521" s="5"/>
      <c r="GV521" s="5"/>
      <c r="GW521" s="5"/>
      <c r="GX521" s="5"/>
      <c r="GY521" s="5"/>
      <c r="GZ521" s="5"/>
      <c r="HA521" s="5"/>
      <c r="HB521" s="5"/>
      <c r="HC521" s="5"/>
      <c r="HD521" s="5"/>
      <c r="HE521" s="5"/>
      <c r="HF521" s="5"/>
      <c r="HG521" s="5"/>
      <c r="HH521" s="5"/>
      <c r="HI521" s="5"/>
      <c r="HJ521" s="5"/>
      <c r="HK521" s="5"/>
      <c r="HL521" s="5"/>
      <c r="HM521" s="5"/>
      <c r="HN521" s="5"/>
      <c r="HO521" s="5"/>
      <c r="HP521" s="5"/>
    </row>
    <row r="522" spans="3:224" ht="20.100000000000001" customHeight="1">
      <c r="C522" s="24">
        <v>15411006</v>
      </c>
      <c r="D522" s="25" t="s">
        <v>525</v>
      </c>
      <c r="E522" s="25">
        <v>11200003</v>
      </c>
      <c r="F522" s="25">
        <v>14031</v>
      </c>
      <c r="G522" s="25">
        <v>1</v>
      </c>
      <c r="H522" s="25">
        <v>50</v>
      </c>
      <c r="I522" s="29">
        <v>0.2</v>
      </c>
      <c r="J522" s="30">
        <v>20</v>
      </c>
      <c r="K522" s="25">
        <v>0</v>
      </c>
      <c r="L522" s="25">
        <v>7560</v>
      </c>
      <c r="M522" s="25">
        <f t="shared" si="81"/>
        <v>0</v>
      </c>
      <c r="N522" s="25">
        <v>0</v>
      </c>
      <c r="O522" s="25">
        <v>0</v>
      </c>
      <c r="P522" s="25">
        <v>0</v>
      </c>
      <c r="Q522" s="25">
        <f t="shared" si="82"/>
        <v>80</v>
      </c>
      <c r="R522" s="25">
        <v>160</v>
      </c>
      <c r="S522" s="25">
        <f t="shared" si="83"/>
        <v>80</v>
      </c>
      <c r="T522" s="25">
        <v>160</v>
      </c>
      <c r="U522" s="29">
        <v>0</v>
      </c>
      <c r="V522" s="25">
        <v>0</v>
      </c>
      <c r="W522" s="25">
        <v>0</v>
      </c>
      <c r="X522" s="25">
        <v>0</v>
      </c>
      <c r="Y522" s="29">
        <v>0</v>
      </c>
      <c r="Z522" s="29">
        <v>0</v>
      </c>
      <c r="AA522" s="29">
        <v>0</v>
      </c>
      <c r="AB522" s="29">
        <v>0</v>
      </c>
      <c r="AC522" s="29">
        <v>0</v>
      </c>
      <c r="AD522" s="29">
        <v>0</v>
      </c>
      <c r="AE522" s="43"/>
      <c r="GR522" s="5"/>
      <c r="GS522" s="5"/>
      <c r="GT522" s="5"/>
      <c r="GU522" s="5"/>
      <c r="GV522" s="5"/>
      <c r="GW522" s="5"/>
      <c r="GX522" s="5"/>
      <c r="GY522" s="5"/>
      <c r="GZ522" s="5"/>
      <c r="HA522" s="5"/>
      <c r="HB522" s="5"/>
      <c r="HC522" s="5"/>
      <c r="HD522" s="5"/>
      <c r="HE522" s="5"/>
      <c r="HF522" s="5"/>
      <c r="HG522" s="5"/>
      <c r="HH522" s="5"/>
      <c r="HI522" s="5"/>
      <c r="HJ522" s="5"/>
      <c r="HK522" s="5"/>
      <c r="HL522" s="5"/>
      <c r="HM522" s="5"/>
      <c r="HN522" s="5"/>
      <c r="HO522" s="5"/>
      <c r="HP522" s="5"/>
    </row>
    <row r="523" spans="3:224" ht="20.100000000000001" customHeight="1">
      <c r="C523" s="24">
        <v>15411011</v>
      </c>
      <c r="D523" s="36" t="s">
        <v>526</v>
      </c>
      <c r="E523" s="25">
        <v>11200003</v>
      </c>
      <c r="F523" s="25">
        <v>14011</v>
      </c>
      <c r="G523" s="25">
        <v>1</v>
      </c>
      <c r="H523" s="25">
        <v>50</v>
      </c>
      <c r="I523" s="29">
        <v>0.2</v>
      </c>
      <c r="J523" s="30">
        <v>20</v>
      </c>
      <c r="K523" s="25">
        <v>0</v>
      </c>
      <c r="L523" s="25">
        <v>5800</v>
      </c>
      <c r="M523" s="25">
        <f t="shared" si="81"/>
        <v>0</v>
      </c>
      <c r="N523" s="25">
        <v>0</v>
      </c>
      <c r="O523" s="25">
        <v>0</v>
      </c>
      <c r="P523" s="25">
        <v>0</v>
      </c>
      <c r="Q523" s="25">
        <f t="shared" ref="Q523:T523" si="101">ROUND(Q518*1.15,-1)</f>
        <v>70</v>
      </c>
      <c r="R523" s="25">
        <f t="shared" si="101"/>
        <v>150</v>
      </c>
      <c r="S523" s="25">
        <f t="shared" si="101"/>
        <v>70</v>
      </c>
      <c r="T523" s="25">
        <f t="shared" si="101"/>
        <v>150</v>
      </c>
      <c r="U523" s="29">
        <v>0</v>
      </c>
      <c r="V523" s="25">
        <v>0</v>
      </c>
      <c r="W523" s="25">
        <v>0</v>
      </c>
      <c r="X523" s="25">
        <v>0</v>
      </c>
      <c r="Y523" s="29">
        <v>0</v>
      </c>
      <c r="Z523" s="29">
        <v>0</v>
      </c>
      <c r="AA523" s="29">
        <v>0</v>
      </c>
      <c r="AB523" s="29">
        <v>0</v>
      </c>
      <c r="AC523" s="29">
        <v>0</v>
      </c>
      <c r="AD523" s="29">
        <v>0</v>
      </c>
      <c r="AE523" s="43"/>
      <c r="GR523" s="5"/>
      <c r="GS523" s="5"/>
      <c r="GT523" s="5"/>
      <c r="GU523" s="5"/>
      <c r="GV523" s="5"/>
      <c r="GW523" s="5"/>
      <c r="GX523" s="5"/>
      <c r="GY523" s="5"/>
      <c r="GZ523" s="5"/>
      <c r="HA523" s="5"/>
      <c r="HB523" s="5"/>
      <c r="HC523" s="5"/>
      <c r="HD523" s="5"/>
      <c r="HE523" s="5"/>
      <c r="HF523" s="5"/>
      <c r="HG523" s="5"/>
      <c r="HH523" s="5"/>
      <c r="HI523" s="5"/>
      <c r="HJ523" s="5"/>
      <c r="HK523" s="5"/>
      <c r="HL523" s="5"/>
      <c r="HM523" s="5"/>
      <c r="HN523" s="5"/>
      <c r="HO523" s="5"/>
      <c r="HP523" s="5"/>
    </row>
    <row r="524" spans="3:224" ht="20.100000000000001" customHeight="1">
      <c r="C524" s="24">
        <v>15411012</v>
      </c>
      <c r="D524" s="36" t="s">
        <v>527</v>
      </c>
      <c r="E524" s="25">
        <v>11200003</v>
      </c>
      <c r="F524" s="25">
        <v>14021</v>
      </c>
      <c r="G524" s="25">
        <v>1</v>
      </c>
      <c r="H524" s="25">
        <v>50</v>
      </c>
      <c r="I524" s="29">
        <v>0.2</v>
      </c>
      <c r="J524" s="30">
        <v>20</v>
      </c>
      <c r="K524" s="25">
        <v>0</v>
      </c>
      <c r="L524" s="25">
        <v>2900</v>
      </c>
      <c r="M524" s="25">
        <f t="shared" si="81"/>
        <v>0</v>
      </c>
      <c r="N524" s="25">
        <v>0</v>
      </c>
      <c r="O524" s="25">
        <v>0</v>
      </c>
      <c r="P524" s="25">
        <v>0</v>
      </c>
      <c r="Q524" s="25">
        <f t="shared" ref="Q524:T524" si="102">ROUND(Q520*1.15,-1)</f>
        <v>60</v>
      </c>
      <c r="R524" s="25">
        <f t="shared" si="102"/>
        <v>110</v>
      </c>
      <c r="S524" s="25">
        <f t="shared" si="102"/>
        <v>60</v>
      </c>
      <c r="T524" s="25">
        <f t="shared" si="102"/>
        <v>110</v>
      </c>
      <c r="U524" s="29">
        <v>0</v>
      </c>
      <c r="V524" s="25">
        <v>0</v>
      </c>
      <c r="W524" s="25">
        <v>0</v>
      </c>
      <c r="X524" s="25">
        <v>0</v>
      </c>
      <c r="Y524" s="29">
        <v>0</v>
      </c>
      <c r="Z524" s="29">
        <v>0</v>
      </c>
      <c r="AA524" s="29">
        <v>0</v>
      </c>
      <c r="AB524" s="29">
        <v>0</v>
      </c>
      <c r="AC524" s="29">
        <v>0</v>
      </c>
      <c r="AD524" s="29">
        <v>0</v>
      </c>
      <c r="AE524" s="43"/>
      <c r="GR524" s="5"/>
      <c r="GS524" s="5"/>
      <c r="GT524" s="5"/>
      <c r="GU524" s="5"/>
      <c r="GV524" s="5"/>
      <c r="GW524" s="5"/>
      <c r="GX524" s="5"/>
      <c r="GY524" s="5"/>
      <c r="GZ524" s="5"/>
      <c r="HA524" s="5"/>
      <c r="HB524" s="5"/>
      <c r="HC524" s="5"/>
      <c r="HD524" s="5"/>
      <c r="HE524" s="5"/>
      <c r="HF524" s="5"/>
      <c r="HG524" s="5"/>
      <c r="HH524" s="5"/>
      <c r="HI524" s="5"/>
      <c r="HJ524" s="5"/>
      <c r="HK524" s="5"/>
      <c r="HL524" s="5"/>
      <c r="HM524" s="5"/>
      <c r="HN524" s="5"/>
      <c r="HO524" s="5"/>
      <c r="HP524" s="5"/>
    </row>
    <row r="525" spans="3:224" ht="20.100000000000001" customHeight="1">
      <c r="C525" s="24">
        <v>15411013</v>
      </c>
      <c r="D525" s="36" t="s">
        <v>528</v>
      </c>
      <c r="E525" s="25">
        <v>11200003</v>
      </c>
      <c r="F525" s="25">
        <v>14031</v>
      </c>
      <c r="G525" s="25">
        <v>1</v>
      </c>
      <c r="H525" s="25">
        <v>50</v>
      </c>
      <c r="I525" s="29">
        <v>0.2</v>
      </c>
      <c r="J525" s="30">
        <v>20</v>
      </c>
      <c r="K525" s="25">
        <v>0</v>
      </c>
      <c r="L525" s="25">
        <v>8700</v>
      </c>
      <c r="M525" s="25">
        <f t="shared" si="81"/>
        <v>0</v>
      </c>
      <c r="N525" s="25">
        <v>0</v>
      </c>
      <c r="O525" s="25">
        <v>0</v>
      </c>
      <c r="P525" s="25">
        <v>0</v>
      </c>
      <c r="Q525" s="25">
        <f t="shared" ref="Q525:T525" si="103">ROUND(Q522*1.15,-1)</f>
        <v>90</v>
      </c>
      <c r="R525" s="25">
        <f t="shared" si="103"/>
        <v>180</v>
      </c>
      <c r="S525" s="25">
        <f t="shared" si="103"/>
        <v>90</v>
      </c>
      <c r="T525" s="25">
        <f t="shared" si="103"/>
        <v>180</v>
      </c>
      <c r="U525" s="29">
        <v>0</v>
      </c>
      <c r="V525" s="25">
        <v>0</v>
      </c>
      <c r="W525" s="25">
        <v>0</v>
      </c>
      <c r="X525" s="25">
        <v>0</v>
      </c>
      <c r="Y525" s="29">
        <v>0</v>
      </c>
      <c r="Z525" s="29">
        <v>0</v>
      </c>
      <c r="AA525" s="29">
        <v>0</v>
      </c>
      <c r="AB525" s="29">
        <v>204903</v>
      </c>
      <c r="AC525" s="29">
        <v>1000</v>
      </c>
      <c r="AD525" s="29">
        <v>1</v>
      </c>
      <c r="AE525" s="43"/>
      <c r="GR525" s="5"/>
      <c r="GS525" s="5"/>
      <c r="GT525" s="5"/>
      <c r="GU525" s="5"/>
      <c r="GV525" s="5"/>
      <c r="GW525" s="5"/>
      <c r="GX525" s="5"/>
      <c r="GY525" s="5"/>
      <c r="GZ525" s="5"/>
      <c r="HA525" s="5"/>
      <c r="HB525" s="5"/>
      <c r="HC525" s="5"/>
      <c r="HD525" s="5"/>
      <c r="HE525" s="5"/>
      <c r="HF525" s="5"/>
      <c r="HG525" s="5"/>
      <c r="HH525" s="5"/>
      <c r="HI525" s="5"/>
      <c r="HJ525" s="5"/>
      <c r="HK525" s="5"/>
      <c r="HL525" s="5"/>
      <c r="HM525" s="5"/>
      <c r="HN525" s="5"/>
      <c r="HO525" s="5"/>
      <c r="HP525" s="5"/>
    </row>
    <row r="526" spans="3:224" ht="20.100000000000001" customHeight="1">
      <c r="C526" s="24">
        <v>15501001</v>
      </c>
      <c r="D526" s="25" t="s">
        <v>529</v>
      </c>
      <c r="E526" s="25">
        <v>11200003</v>
      </c>
      <c r="F526" s="25">
        <v>0</v>
      </c>
      <c r="G526" s="25">
        <v>1</v>
      </c>
      <c r="H526" s="25">
        <v>60</v>
      </c>
      <c r="I526" s="29">
        <v>0.2</v>
      </c>
      <c r="J526" s="30">
        <v>25</v>
      </c>
      <c r="K526" s="25">
        <v>0</v>
      </c>
      <c r="L526" s="25">
        <v>0</v>
      </c>
      <c r="M526" s="25">
        <f t="shared" si="81"/>
        <v>50</v>
      </c>
      <c r="N526" s="25">
        <v>100</v>
      </c>
      <c r="O526" s="25">
        <v>0</v>
      </c>
      <c r="P526" s="25">
        <v>0</v>
      </c>
      <c r="Q526" s="25">
        <f t="shared" si="82"/>
        <v>30</v>
      </c>
      <c r="R526" s="25">
        <v>60</v>
      </c>
      <c r="S526" s="25">
        <f t="shared" si="83"/>
        <v>30</v>
      </c>
      <c r="T526" s="25">
        <v>60</v>
      </c>
      <c r="U526" s="29">
        <v>0</v>
      </c>
      <c r="V526" s="25">
        <v>0</v>
      </c>
      <c r="W526" s="25">
        <v>0</v>
      </c>
      <c r="X526" s="25">
        <v>0</v>
      </c>
      <c r="Y526" s="29">
        <v>0</v>
      </c>
      <c r="Z526" s="29">
        <v>0</v>
      </c>
      <c r="AA526" s="29">
        <v>0</v>
      </c>
      <c r="AB526" s="29">
        <v>0</v>
      </c>
      <c r="AC526" s="29">
        <v>0</v>
      </c>
      <c r="AD526" s="29">
        <v>0</v>
      </c>
      <c r="AE526" s="43"/>
      <c r="GR526" s="5"/>
      <c r="GS526" s="5"/>
      <c r="GT526" s="5"/>
      <c r="GU526" s="5"/>
      <c r="GV526" s="5"/>
      <c r="GW526" s="5"/>
      <c r="GX526" s="5"/>
      <c r="GY526" s="5"/>
      <c r="GZ526" s="5"/>
      <c r="HA526" s="5"/>
      <c r="HB526" s="5"/>
      <c r="HC526" s="5"/>
      <c r="HD526" s="5"/>
      <c r="HE526" s="5"/>
      <c r="HF526" s="5"/>
      <c r="HG526" s="5"/>
      <c r="HH526" s="5"/>
      <c r="HI526" s="5"/>
      <c r="HJ526" s="5"/>
      <c r="HK526" s="5"/>
      <c r="HL526" s="5"/>
      <c r="HM526" s="5"/>
      <c r="HN526" s="5"/>
      <c r="HO526" s="5"/>
      <c r="HP526" s="5"/>
    </row>
    <row r="527" spans="3:224" ht="20.100000000000001" customHeight="1">
      <c r="C527" s="24">
        <v>15501002</v>
      </c>
      <c r="D527" s="25" t="s">
        <v>530</v>
      </c>
      <c r="E527" s="25">
        <v>11200003</v>
      </c>
      <c r="F527" s="25">
        <v>15011</v>
      </c>
      <c r="G527" s="25">
        <v>1</v>
      </c>
      <c r="H527" s="25">
        <v>60</v>
      </c>
      <c r="I527" s="29">
        <v>0.2</v>
      </c>
      <c r="J527" s="30">
        <v>25</v>
      </c>
      <c r="K527" s="25">
        <v>0</v>
      </c>
      <c r="L527" s="25">
        <v>0</v>
      </c>
      <c r="M527" s="25">
        <f t="shared" si="81"/>
        <v>60</v>
      </c>
      <c r="N527" s="25">
        <v>120</v>
      </c>
      <c r="O527" s="25">
        <v>0</v>
      </c>
      <c r="P527" s="25">
        <v>0</v>
      </c>
      <c r="Q527" s="25">
        <f t="shared" si="82"/>
        <v>36</v>
      </c>
      <c r="R527" s="25">
        <v>72</v>
      </c>
      <c r="S527" s="25">
        <f t="shared" si="83"/>
        <v>36</v>
      </c>
      <c r="T527" s="25">
        <v>72</v>
      </c>
      <c r="U527" s="29">
        <v>0</v>
      </c>
      <c r="V527" s="25">
        <v>0</v>
      </c>
      <c r="W527" s="25">
        <v>0</v>
      </c>
      <c r="X527" s="25">
        <v>0</v>
      </c>
      <c r="Y527" s="29">
        <v>0</v>
      </c>
      <c r="Z527" s="29">
        <v>0</v>
      </c>
      <c r="AA527" s="29">
        <v>0</v>
      </c>
      <c r="AB527" s="29">
        <v>0</v>
      </c>
      <c r="AC527" s="29">
        <v>0</v>
      </c>
      <c r="AD527" s="29">
        <v>0</v>
      </c>
      <c r="AE527" s="43"/>
      <c r="GR527" s="5"/>
      <c r="GS527" s="5"/>
      <c r="GT527" s="5"/>
      <c r="GU527" s="5"/>
      <c r="GV527" s="5"/>
      <c r="GW527" s="5"/>
      <c r="GX527" s="5"/>
      <c r="GY527" s="5"/>
      <c r="GZ527" s="5"/>
      <c r="HA527" s="5"/>
      <c r="HB527" s="5"/>
      <c r="HC527" s="5"/>
      <c r="HD527" s="5"/>
      <c r="HE527" s="5"/>
      <c r="HF527" s="5"/>
      <c r="HG527" s="5"/>
      <c r="HH527" s="5"/>
      <c r="HI527" s="5"/>
      <c r="HJ527" s="5"/>
      <c r="HK527" s="5"/>
      <c r="HL527" s="5"/>
      <c r="HM527" s="5"/>
      <c r="HN527" s="5"/>
      <c r="HO527" s="5"/>
      <c r="HP527" s="5"/>
    </row>
    <row r="528" spans="3:224" ht="20.100000000000001" customHeight="1">
      <c r="C528" s="24">
        <v>15501003</v>
      </c>
      <c r="D528" s="25" t="s">
        <v>531</v>
      </c>
      <c r="E528" s="25">
        <v>11200003</v>
      </c>
      <c r="F528" s="25">
        <v>0</v>
      </c>
      <c r="G528" s="25">
        <v>1</v>
      </c>
      <c r="H528" s="25">
        <v>60</v>
      </c>
      <c r="I528" s="29">
        <v>0.2</v>
      </c>
      <c r="J528" s="30">
        <v>25</v>
      </c>
      <c r="K528" s="25">
        <v>0</v>
      </c>
      <c r="L528" s="25">
        <v>0</v>
      </c>
      <c r="M528" s="25">
        <f t="shared" si="81"/>
        <v>68</v>
      </c>
      <c r="N528" s="25">
        <v>135</v>
      </c>
      <c r="O528" s="25">
        <v>0</v>
      </c>
      <c r="P528" s="25">
        <v>0</v>
      </c>
      <c r="Q528" s="25">
        <f t="shared" si="82"/>
        <v>23</v>
      </c>
      <c r="R528" s="25">
        <v>45</v>
      </c>
      <c r="S528" s="25">
        <f t="shared" si="83"/>
        <v>23</v>
      </c>
      <c r="T528" s="25">
        <v>45</v>
      </c>
      <c r="U528" s="29">
        <v>0</v>
      </c>
      <c r="V528" s="25">
        <v>0</v>
      </c>
      <c r="W528" s="25">
        <v>0</v>
      </c>
      <c r="X528" s="25">
        <v>0</v>
      </c>
      <c r="Y528" s="29">
        <v>0</v>
      </c>
      <c r="Z528" s="29">
        <v>0</v>
      </c>
      <c r="AA528" s="29">
        <v>0</v>
      </c>
      <c r="AB528" s="29">
        <v>0</v>
      </c>
      <c r="AC528" s="29">
        <v>0</v>
      </c>
      <c r="AD528" s="29">
        <v>0</v>
      </c>
      <c r="AE528" s="43"/>
      <c r="GR528" s="5"/>
      <c r="GS528" s="5"/>
      <c r="GT528" s="5"/>
      <c r="GU528" s="5"/>
      <c r="GV528" s="5"/>
      <c r="GW528" s="5"/>
      <c r="GX528" s="5"/>
      <c r="GY528" s="5"/>
      <c r="GZ528" s="5"/>
      <c r="HA528" s="5"/>
      <c r="HB528" s="5"/>
      <c r="HC528" s="5"/>
      <c r="HD528" s="5"/>
      <c r="HE528" s="5"/>
      <c r="HF528" s="5"/>
      <c r="HG528" s="5"/>
      <c r="HH528" s="5"/>
      <c r="HI528" s="5"/>
      <c r="HJ528" s="5"/>
      <c r="HK528" s="5"/>
      <c r="HL528" s="5"/>
      <c r="HM528" s="5"/>
      <c r="HN528" s="5"/>
      <c r="HO528" s="5"/>
      <c r="HP528" s="5"/>
    </row>
    <row r="529" spans="3:224" ht="20.100000000000001" customHeight="1">
      <c r="C529" s="24">
        <v>15501004</v>
      </c>
      <c r="D529" s="25" t="s">
        <v>532</v>
      </c>
      <c r="E529" s="25">
        <v>11200003</v>
      </c>
      <c r="F529" s="25">
        <v>15021</v>
      </c>
      <c r="G529" s="25">
        <v>1</v>
      </c>
      <c r="H529" s="25">
        <v>60</v>
      </c>
      <c r="I529" s="29">
        <v>0.2</v>
      </c>
      <c r="J529" s="30">
        <v>25</v>
      </c>
      <c r="K529" s="25">
        <v>0</v>
      </c>
      <c r="L529" s="25">
        <v>0</v>
      </c>
      <c r="M529" s="25">
        <f t="shared" si="81"/>
        <v>81</v>
      </c>
      <c r="N529" s="25">
        <v>162</v>
      </c>
      <c r="O529" s="25">
        <v>0</v>
      </c>
      <c r="P529" s="25">
        <v>0</v>
      </c>
      <c r="Q529" s="25">
        <f t="shared" si="82"/>
        <v>27</v>
      </c>
      <c r="R529" s="25">
        <v>54</v>
      </c>
      <c r="S529" s="25">
        <f t="shared" si="83"/>
        <v>27</v>
      </c>
      <c r="T529" s="25">
        <v>54</v>
      </c>
      <c r="U529" s="29">
        <v>0</v>
      </c>
      <c r="V529" s="25">
        <v>0</v>
      </c>
      <c r="W529" s="25">
        <v>0</v>
      </c>
      <c r="X529" s="25">
        <v>0</v>
      </c>
      <c r="Y529" s="29">
        <v>0</v>
      </c>
      <c r="Z529" s="29">
        <v>0</v>
      </c>
      <c r="AA529" s="29">
        <v>0</v>
      </c>
      <c r="AB529" s="29">
        <v>0</v>
      </c>
      <c r="AC529" s="29">
        <v>0</v>
      </c>
      <c r="AD529" s="29">
        <v>0</v>
      </c>
      <c r="AE529" s="43"/>
      <c r="GR529" s="5"/>
      <c r="GS529" s="5"/>
      <c r="GT529" s="5"/>
      <c r="GU529" s="5"/>
      <c r="GV529" s="5"/>
      <c r="GW529" s="5"/>
      <c r="GX529" s="5"/>
      <c r="GY529" s="5"/>
      <c r="GZ529" s="5"/>
      <c r="HA529" s="5"/>
      <c r="HB529" s="5"/>
      <c r="HC529" s="5"/>
      <c r="HD529" s="5"/>
      <c r="HE529" s="5"/>
      <c r="HF529" s="5"/>
      <c r="HG529" s="5"/>
      <c r="HH529" s="5"/>
      <c r="HI529" s="5"/>
      <c r="HJ529" s="5"/>
      <c r="HK529" s="5"/>
      <c r="HL529" s="5"/>
      <c r="HM529" s="5"/>
      <c r="HN529" s="5"/>
      <c r="HO529" s="5"/>
      <c r="HP529" s="5"/>
    </row>
    <row r="530" spans="3:224" ht="20.100000000000001" customHeight="1">
      <c r="C530" s="24">
        <v>15501005</v>
      </c>
      <c r="D530" s="25" t="s">
        <v>533</v>
      </c>
      <c r="E530" s="25">
        <v>11200003</v>
      </c>
      <c r="F530" s="25">
        <v>0</v>
      </c>
      <c r="G530" s="25">
        <v>1</v>
      </c>
      <c r="H530" s="25">
        <v>60</v>
      </c>
      <c r="I530" s="29">
        <v>0.2</v>
      </c>
      <c r="J530" s="30">
        <v>25</v>
      </c>
      <c r="K530" s="25">
        <v>0</v>
      </c>
      <c r="L530" s="25">
        <v>0</v>
      </c>
      <c r="M530" s="25">
        <f t="shared" si="81"/>
        <v>38</v>
      </c>
      <c r="N530" s="25">
        <v>75</v>
      </c>
      <c r="O530" s="25">
        <v>0</v>
      </c>
      <c r="P530" s="25">
        <v>0</v>
      </c>
      <c r="Q530" s="25">
        <f t="shared" si="82"/>
        <v>38</v>
      </c>
      <c r="R530" s="25">
        <v>75</v>
      </c>
      <c r="S530" s="25">
        <f t="shared" si="83"/>
        <v>38</v>
      </c>
      <c r="T530" s="25">
        <v>75</v>
      </c>
      <c r="U530" s="29">
        <v>0</v>
      </c>
      <c r="V530" s="25">
        <v>0</v>
      </c>
      <c r="W530" s="25">
        <v>0</v>
      </c>
      <c r="X530" s="25">
        <v>0</v>
      </c>
      <c r="Y530" s="29">
        <v>0</v>
      </c>
      <c r="Z530" s="29">
        <v>0</v>
      </c>
      <c r="AA530" s="29">
        <v>0</v>
      </c>
      <c r="AB530" s="29">
        <v>0</v>
      </c>
      <c r="AC530" s="29">
        <v>0</v>
      </c>
      <c r="AD530" s="29">
        <v>0</v>
      </c>
      <c r="AE530" s="43"/>
      <c r="GR530" s="5"/>
      <c r="GS530" s="5"/>
      <c r="GT530" s="5"/>
      <c r="GU530" s="5"/>
      <c r="GV530" s="5"/>
      <c r="GW530" s="5"/>
      <c r="GX530" s="5"/>
      <c r="GY530" s="5"/>
      <c r="GZ530" s="5"/>
      <c r="HA530" s="5"/>
      <c r="HB530" s="5"/>
      <c r="HC530" s="5"/>
      <c r="HD530" s="5"/>
      <c r="HE530" s="5"/>
      <c r="HF530" s="5"/>
      <c r="HG530" s="5"/>
      <c r="HH530" s="5"/>
      <c r="HI530" s="5"/>
      <c r="HJ530" s="5"/>
      <c r="HK530" s="5"/>
      <c r="HL530" s="5"/>
      <c r="HM530" s="5"/>
      <c r="HN530" s="5"/>
      <c r="HO530" s="5"/>
      <c r="HP530" s="5"/>
    </row>
    <row r="531" spans="3:224" ht="20.100000000000001" customHeight="1">
      <c r="C531" s="24">
        <v>15501006</v>
      </c>
      <c r="D531" s="25" t="s">
        <v>534</v>
      </c>
      <c r="E531" s="25">
        <v>11200003</v>
      </c>
      <c r="F531" s="25">
        <v>15031</v>
      </c>
      <c r="G531" s="25">
        <v>1</v>
      </c>
      <c r="H531" s="25">
        <v>60</v>
      </c>
      <c r="I531" s="29">
        <v>0.2</v>
      </c>
      <c r="J531" s="30">
        <v>25</v>
      </c>
      <c r="K531" s="25">
        <v>0</v>
      </c>
      <c r="L531" s="25">
        <v>0</v>
      </c>
      <c r="M531" s="25">
        <f t="shared" si="81"/>
        <v>45</v>
      </c>
      <c r="N531" s="25">
        <v>90</v>
      </c>
      <c r="O531" s="25">
        <v>0</v>
      </c>
      <c r="P531" s="25">
        <v>0</v>
      </c>
      <c r="Q531" s="25">
        <f t="shared" si="82"/>
        <v>45</v>
      </c>
      <c r="R531" s="25">
        <v>90</v>
      </c>
      <c r="S531" s="25">
        <f t="shared" si="83"/>
        <v>45</v>
      </c>
      <c r="T531" s="25">
        <v>90</v>
      </c>
      <c r="U531" s="29">
        <v>0</v>
      </c>
      <c r="V531" s="25">
        <v>0</v>
      </c>
      <c r="W531" s="25">
        <v>0</v>
      </c>
      <c r="X531" s="25">
        <v>0</v>
      </c>
      <c r="Y531" s="29">
        <v>0</v>
      </c>
      <c r="Z531" s="29">
        <v>0</v>
      </c>
      <c r="AA531" s="29">
        <v>0</v>
      </c>
      <c r="AB531" s="29">
        <v>0</v>
      </c>
      <c r="AC531" s="29">
        <v>0</v>
      </c>
      <c r="AD531" s="29">
        <v>0</v>
      </c>
      <c r="AE531" s="43"/>
      <c r="GR531" s="5"/>
      <c r="GS531" s="5"/>
      <c r="GT531" s="5"/>
      <c r="GU531" s="5"/>
      <c r="GV531" s="5"/>
      <c r="GW531" s="5"/>
      <c r="GX531" s="5"/>
      <c r="GY531" s="5"/>
      <c r="GZ531" s="5"/>
      <c r="HA531" s="5"/>
      <c r="HB531" s="5"/>
      <c r="HC531" s="5"/>
      <c r="HD531" s="5"/>
      <c r="HE531" s="5"/>
      <c r="HF531" s="5"/>
      <c r="HG531" s="5"/>
      <c r="HH531" s="5"/>
      <c r="HI531" s="5"/>
      <c r="HJ531" s="5"/>
      <c r="HK531" s="5"/>
      <c r="HL531" s="5"/>
      <c r="HM531" s="5"/>
      <c r="HN531" s="5"/>
      <c r="HO531" s="5"/>
      <c r="HP531" s="5"/>
    </row>
    <row r="532" spans="3:224" ht="20.100000000000001" customHeight="1">
      <c r="C532" s="24">
        <v>15502001</v>
      </c>
      <c r="D532" s="25" t="s">
        <v>535</v>
      </c>
      <c r="E532" s="25">
        <v>11200003</v>
      </c>
      <c r="F532" s="25">
        <v>0</v>
      </c>
      <c r="G532" s="25">
        <v>1</v>
      </c>
      <c r="H532" s="25">
        <v>60</v>
      </c>
      <c r="I532" s="29">
        <v>0.2</v>
      </c>
      <c r="J532" s="30">
        <v>25</v>
      </c>
      <c r="K532" s="25">
        <v>0</v>
      </c>
      <c r="L532" s="25">
        <v>0</v>
      </c>
      <c r="M532" s="25">
        <f t="shared" si="81"/>
        <v>68</v>
      </c>
      <c r="N532" s="25">
        <v>135</v>
      </c>
      <c r="O532" s="25">
        <v>0</v>
      </c>
      <c r="P532" s="25">
        <v>0</v>
      </c>
      <c r="Q532" s="25">
        <f t="shared" si="82"/>
        <v>0</v>
      </c>
      <c r="R532" s="25">
        <v>0</v>
      </c>
      <c r="S532" s="25">
        <f t="shared" si="83"/>
        <v>93</v>
      </c>
      <c r="T532" s="25">
        <v>185</v>
      </c>
      <c r="U532" s="29">
        <v>0</v>
      </c>
      <c r="V532" s="25">
        <v>0</v>
      </c>
      <c r="W532" s="25">
        <v>0</v>
      </c>
      <c r="X532" s="25">
        <v>0</v>
      </c>
      <c r="Y532" s="29">
        <v>0</v>
      </c>
      <c r="Z532" s="29">
        <v>0</v>
      </c>
      <c r="AA532" s="29">
        <v>0</v>
      </c>
      <c r="AB532" s="29">
        <v>0</v>
      </c>
      <c r="AC532" s="29">
        <v>0</v>
      </c>
      <c r="AD532" s="29">
        <v>0</v>
      </c>
      <c r="AE532" s="43"/>
      <c r="GR532" s="5"/>
      <c r="GS532" s="5"/>
      <c r="GT532" s="5"/>
      <c r="GU532" s="5"/>
      <c r="GV532" s="5"/>
      <c r="GW532" s="5"/>
      <c r="GX532" s="5"/>
      <c r="GY532" s="5"/>
      <c r="GZ532" s="5"/>
      <c r="HA532" s="5"/>
      <c r="HB532" s="5"/>
      <c r="HC532" s="5"/>
      <c r="HD532" s="5"/>
      <c r="HE532" s="5"/>
      <c r="HF532" s="5"/>
      <c r="HG532" s="5"/>
      <c r="HH532" s="5"/>
      <c r="HI532" s="5"/>
      <c r="HJ532" s="5"/>
      <c r="HK532" s="5"/>
      <c r="HL532" s="5"/>
      <c r="HM532" s="5"/>
      <c r="HN532" s="5"/>
      <c r="HO532" s="5"/>
      <c r="HP532" s="5"/>
    </row>
    <row r="533" spans="3:224" ht="20.100000000000001" customHeight="1">
      <c r="C533" s="24">
        <v>15502002</v>
      </c>
      <c r="D533" s="25" t="s">
        <v>536</v>
      </c>
      <c r="E533" s="25">
        <v>11200003</v>
      </c>
      <c r="F533" s="25">
        <v>15011</v>
      </c>
      <c r="G533" s="25">
        <v>1</v>
      </c>
      <c r="H533" s="25">
        <v>60</v>
      </c>
      <c r="I533" s="29">
        <v>0.2</v>
      </c>
      <c r="J533" s="30">
        <v>25</v>
      </c>
      <c r="K533" s="25">
        <v>0</v>
      </c>
      <c r="L533" s="25">
        <v>0</v>
      </c>
      <c r="M533" s="25">
        <f t="shared" si="81"/>
        <v>78</v>
      </c>
      <c r="N533" s="25">
        <v>156</v>
      </c>
      <c r="O533" s="25">
        <v>0</v>
      </c>
      <c r="P533" s="25">
        <v>0</v>
      </c>
      <c r="Q533" s="25">
        <f t="shared" si="82"/>
        <v>0</v>
      </c>
      <c r="R533" s="25">
        <v>0</v>
      </c>
      <c r="S533" s="25">
        <f t="shared" si="83"/>
        <v>108</v>
      </c>
      <c r="T533" s="25">
        <v>216</v>
      </c>
      <c r="U533" s="29">
        <v>0</v>
      </c>
      <c r="V533" s="25">
        <v>0</v>
      </c>
      <c r="W533" s="25">
        <v>0</v>
      </c>
      <c r="X533" s="25">
        <v>0</v>
      </c>
      <c r="Y533" s="29">
        <v>0</v>
      </c>
      <c r="Z533" s="29">
        <v>0</v>
      </c>
      <c r="AA533" s="29">
        <v>0</v>
      </c>
      <c r="AB533" s="29">
        <v>0</v>
      </c>
      <c r="AC533" s="29">
        <v>0</v>
      </c>
      <c r="AD533" s="29">
        <v>0</v>
      </c>
      <c r="AE533" s="43"/>
      <c r="GR533" s="5"/>
      <c r="GS533" s="5"/>
      <c r="GT533" s="5"/>
      <c r="GU533" s="5"/>
      <c r="GV533" s="5"/>
      <c r="GW533" s="5"/>
      <c r="GX533" s="5"/>
      <c r="GY533" s="5"/>
      <c r="GZ533" s="5"/>
      <c r="HA533" s="5"/>
      <c r="HB533" s="5"/>
      <c r="HC533" s="5"/>
      <c r="HD533" s="5"/>
      <c r="HE533" s="5"/>
      <c r="HF533" s="5"/>
      <c r="HG533" s="5"/>
      <c r="HH533" s="5"/>
      <c r="HI533" s="5"/>
      <c r="HJ533" s="5"/>
      <c r="HK533" s="5"/>
      <c r="HL533" s="5"/>
      <c r="HM533" s="5"/>
      <c r="HN533" s="5"/>
      <c r="HO533" s="5"/>
      <c r="HP533" s="5"/>
    </row>
    <row r="534" spans="3:224" ht="20.100000000000001" customHeight="1">
      <c r="C534" s="24">
        <v>15502003</v>
      </c>
      <c r="D534" s="25" t="s">
        <v>537</v>
      </c>
      <c r="E534" s="25">
        <v>11200003</v>
      </c>
      <c r="F534" s="25">
        <v>0</v>
      </c>
      <c r="G534" s="25">
        <v>1</v>
      </c>
      <c r="H534" s="25">
        <v>60</v>
      </c>
      <c r="I534" s="29">
        <v>0.2</v>
      </c>
      <c r="J534" s="30">
        <v>25</v>
      </c>
      <c r="K534" s="25">
        <v>0</v>
      </c>
      <c r="L534" s="25">
        <v>0</v>
      </c>
      <c r="M534" s="25">
        <f t="shared" si="81"/>
        <v>91</v>
      </c>
      <c r="N534" s="25">
        <v>182</v>
      </c>
      <c r="O534" s="25">
        <v>0</v>
      </c>
      <c r="P534" s="25">
        <v>0</v>
      </c>
      <c r="Q534" s="25">
        <f t="shared" si="82"/>
        <v>0</v>
      </c>
      <c r="R534" s="25">
        <v>0</v>
      </c>
      <c r="S534" s="25">
        <f t="shared" si="83"/>
        <v>70</v>
      </c>
      <c r="T534" s="25">
        <v>139</v>
      </c>
      <c r="U534" s="29">
        <v>0</v>
      </c>
      <c r="V534" s="25">
        <v>0</v>
      </c>
      <c r="W534" s="25">
        <v>0</v>
      </c>
      <c r="X534" s="25">
        <v>0</v>
      </c>
      <c r="Y534" s="29">
        <v>0</v>
      </c>
      <c r="Z534" s="29">
        <v>0</v>
      </c>
      <c r="AA534" s="29">
        <v>0</v>
      </c>
      <c r="AB534" s="29">
        <v>0</v>
      </c>
      <c r="AC534" s="29">
        <v>0</v>
      </c>
      <c r="AD534" s="29">
        <v>0</v>
      </c>
      <c r="AE534" s="43"/>
      <c r="GR534" s="5"/>
      <c r="GS534" s="5"/>
      <c r="GT534" s="5"/>
      <c r="GU534" s="5"/>
      <c r="GV534" s="5"/>
      <c r="GW534" s="5"/>
      <c r="GX534" s="5"/>
      <c r="GY534" s="5"/>
      <c r="GZ534" s="5"/>
      <c r="HA534" s="5"/>
      <c r="HB534" s="5"/>
      <c r="HC534" s="5"/>
      <c r="HD534" s="5"/>
      <c r="HE534" s="5"/>
      <c r="HF534" s="5"/>
      <c r="HG534" s="5"/>
      <c r="HH534" s="5"/>
      <c r="HI534" s="5"/>
      <c r="HJ534" s="5"/>
      <c r="HK534" s="5"/>
      <c r="HL534" s="5"/>
      <c r="HM534" s="5"/>
      <c r="HN534" s="5"/>
      <c r="HO534" s="5"/>
      <c r="HP534" s="5"/>
    </row>
    <row r="535" spans="3:224" ht="20.100000000000001" customHeight="1">
      <c r="C535" s="24">
        <v>15502004</v>
      </c>
      <c r="D535" s="25" t="s">
        <v>538</v>
      </c>
      <c r="E535" s="25">
        <v>11200003</v>
      </c>
      <c r="F535" s="25">
        <v>15021</v>
      </c>
      <c r="G535" s="25">
        <v>1</v>
      </c>
      <c r="H535" s="25">
        <v>60</v>
      </c>
      <c r="I535" s="29">
        <v>0.2</v>
      </c>
      <c r="J535" s="30">
        <v>25</v>
      </c>
      <c r="K535" s="25">
        <v>0</v>
      </c>
      <c r="L535" s="25">
        <v>0</v>
      </c>
      <c r="M535" s="25">
        <f t="shared" si="81"/>
        <v>106</v>
      </c>
      <c r="N535" s="25">
        <v>211</v>
      </c>
      <c r="O535" s="25">
        <v>0</v>
      </c>
      <c r="P535" s="25">
        <v>0</v>
      </c>
      <c r="Q535" s="25">
        <f t="shared" si="82"/>
        <v>0</v>
      </c>
      <c r="R535" s="25">
        <v>0</v>
      </c>
      <c r="S535" s="25">
        <f t="shared" si="83"/>
        <v>81</v>
      </c>
      <c r="T535" s="25">
        <v>162</v>
      </c>
      <c r="U535" s="29">
        <v>0</v>
      </c>
      <c r="V535" s="25">
        <v>0</v>
      </c>
      <c r="W535" s="25">
        <v>0</v>
      </c>
      <c r="X535" s="25">
        <v>0</v>
      </c>
      <c r="Y535" s="29">
        <v>0</v>
      </c>
      <c r="Z535" s="29">
        <v>0</v>
      </c>
      <c r="AA535" s="29">
        <v>0</v>
      </c>
      <c r="AB535" s="29">
        <v>0</v>
      </c>
      <c r="AC535" s="29">
        <v>0</v>
      </c>
      <c r="AD535" s="29">
        <v>0</v>
      </c>
      <c r="AE535" s="43"/>
      <c r="GR535" s="5"/>
      <c r="GS535" s="5"/>
      <c r="GT535" s="5"/>
      <c r="GU535" s="5"/>
      <c r="GV535" s="5"/>
      <c r="GW535" s="5"/>
      <c r="GX535" s="5"/>
      <c r="GY535" s="5"/>
      <c r="GZ535" s="5"/>
      <c r="HA535" s="5"/>
      <c r="HB535" s="5"/>
      <c r="HC535" s="5"/>
      <c r="HD535" s="5"/>
      <c r="HE535" s="5"/>
      <c r="HF535" s="5"/>
      <c r="HG535" s="5"/>
      <c r="HH535" s="5"/>
      <c r="HI535" s="5"/>
      <c r="HJ535" s="5"/>
      <c r="HK535" s="5"/>
      <c r="HL535" s="5"/>
      <c r="HM535" s="5"/>
      <c r="HN535" s="5"/>
      <c r="HO535" s="5"/>
      <c r="HP535" s="5"/>
    </row>
    <row r="536" spans="3:224" ht="20.100000000000001" customHeight="1">
      <c r="C536" s="24">
        <v>15502005</v>
      </c>
      <c r="D536" s="25" t="s">
        <v>539</v>
      </c>
      <c r="E536" s="25">
        <v>11200003</v>
      </c>
      <c r="F536" s="25">
        <v>0</v>
      </c>
      <c r="G536" s="25">
        <v>1</v>
      </c>
      <c r="H536" s="25">
        <v>60</v>
      </c>
      <c r="I536" s="29">
        <v>0.2</v>
      </c>
      <c r="J536" s="30">
        <v>25</v>
      </c>
      <c r="K536" s="25">
        <v>0</v>
      </c>
      <c r="L536" s="25">
        <v>0</v>
      </c>
      <c r="M536" s="25">
        <f t="shared" si="81"/>
        <v>51</v>
      </c>
      <c r="N536" s="25">
        <v>101</v>
      </c>
      <c r="O536" s="25">
        <v>0</v>
      </c>
      <c r="P536" s="25">
        <v>0</v>
      </c>
      <c r="Q536" s="25">
        <f t="shared" si="82"/>
        <v>0</v>
      </c>
      <c r="R536" s="25">
        <v>0</v>
      </c>
      <c r="S536" s="25">
        <f t="shared" si="83"/>
        <v>116</v>
      </c>
      <c r="T536" s="25">
        <v>231</v>
      </c>
      <c r="U536" s="29">
        <v>0</v>
      </c>
      <c r="V536" s="25">
        <v>0</v>
      </c>
      <c r="W536" s="25">
        <v>0</v>
      </c>
      <c r="X536" s="25">
        <v>0</v>
      </c>
      <c r="Y536" s="29">
        <v>0</v>
      </c>
      <c r="Z536" s="29">
        <v>0</v>
      </c>
      <c r="AA536" s="29">
        <v>0</v>
      </c>
      <c r="AB536" s="29">
        <v>0</v>
      </c>
      <c r="AC536" s="29">
        <v>0</v>
      </c>
      <c r="AD536" s="29">
        <v>0</v>
      </c>
      <c r="AE536" s="43"/>
      <c r="GR536" s="5"/>
      <c r="GS536" s="5"/>
      <c r="GT536" s="5"/>
      <c r="GU536" s="5"/>
      <c r="GV536" s="5"/>
      <c r="GW536" s="5"/>
      <c r="GX536" s="5"/>
      <c r="GY536" s="5"/>
      <c r="GZ536" s="5"/>
      <c r="HA536" s="5"/>
      <c r="HB536" s="5"/>
      <c r="HC536" s="5"/>
      <c r="HD536" s="5"/>
      <c r="HE536" s="5"/>
      <c r="HF536" s="5"/>
      <c r="HG536" s="5"/>
      <c r="HH536" s="5"/>
      <c r="HI536" s="5"/>
      <c r="HJ536" s="5"/>
      <c r="HK536" s="5"/>
      <c r="HL536" s="5"/>
      <c r="HM536" s="5"/>
      <c r="HN536" s="5"/>
      <c r="HO536" s="5"/>
      <c r="HP536" s="5"/>
    </row>
    <row r="537" spans="3:224" ht="20.100000000000001" customHeight="1">
      <c r="C537" s="24">
        <v>15502006</v>
      </c>
      <c r="D537" s="25" t="s">
        <v>540</v>
      </c>
      <c r="E537" s="25">
        <v>11200003</v>
      </c>
      <c r="F537" s="25">
        <v>15031</v>
      </c>
      <c r="G537" s="25">
        <v>1</v>
      </c>
      <c r="H537" s="25">
        <v>60</v>
      </c>
      <c r="I537" s="29">
        <v>0.2</v>
      </c>
      <c r="J537" s="30">
        <v>25</v>
      </c>
      <c r="K537" s="25">
        <v>0</v>
      </c>
      <c r="L537" s="25">
        <v>0</v>
      </c>
      <c r="M537" s="25">
        <f t="shared" si="81"/>
        <v>59</v>
      </c>
      <c r="N537" s="25">
        <v>117</v>
      </c>
      <c r="O537" s="25">
        <v>0</v>
      </c>
      <c r="P537" s="25">
        <v>0</v>
      </c>
      <c r="Q537" s="25">
        <f t="shared" si="82"/>
        <v>0</v>
      </c>
      <c r="R537" s="25">
        <v>0</v>
      </c>
      <c r="S537" s="25">
        <f t="shared" si="83"/>
        <v>135</v>
      </c>
      <c r="T537" s="25">
        <v>270</v>
      </c>
      <c r="U537" s="29">
        <v>0</v>
      </c>
      <c r="V537" s="25">
        <v>0</v>
      </c>
      <c r="W537" s="25">
        <v>0</v>
      </c>
      <c r="X537" s="25">
        <v>0</v>
      </c>
      <c r="Y537" s="29">
        <v>0</v>
      </c>
      <c r="Z537" s="29">
        <v>0</v>
      </c>
      <c r="AA537" s="29">
        <v>0</v>
      </c>
      <c r="AB537" s="29">
        <v>0</v>
      </c>
      <c r="AC537" s="29">
        <v>0</v>
      </c>
      <c r="AD537" s="29">
        <v>0</v>
      </c>
      <c r="AE537" s="43"/>
      <c r="GR537" s="5"/>
      <c r="GS537" s="5"/>
      <c r="GT537" s="5"/>
      <c r="GU537" s="5"/>
      <c r="GV537" s="5"/>
      <c r="GW537" s="5"/>
      <c r="GX537" s="5"/>
      <c r="GY537" s="5"/>
      <c r="GZ537" s="5"/>
      <c r="HA537" s="5"/>
      <c r="HB537" s="5"/>
      <c r="HC537" s="5"/>
      <c r="HD537" s="5"/>
      <c r="HE537" s="5"/>
      <c r="HF537" s="5"/>
      <c r="HG537" s="5"/>
      <c r="HH537" s="5"/>
      <c r="HI537" s="5"/>
      <c r="HJ537" s="5"/>
      <c r="HK537" s="5"/>
      <c r="HL537" s="5"/>
      <c r="HM537" s="5"/>
      <c r="HN537" s="5"/>
      <c r="HO537" s="5"/>
      <c r="HP537" s="5"/>
    </row>
    <row r="538" spans="3:224" ht="20.100000000000001" customHeight="1">
      <c r="C538" s="24">
        <v>15503001</v>
      </c>
      <c r="D538" s="25" t="s">
        <v>541</v>
      </c>
      <c r="E538" s="25">
        <v>11200003</v>
      </c>
      <c r="F538" s="25">
        <v>0</v>
      </c>
      <c r="G538" s="25">
        <v>1</v>
      </c>
      <c r="H538" s="25">
        <v>60</v>
      </c>
      <c r="I538" s="29">
        <v>0.2</v>
      </c>
      <c r="J538" s="30">
        <v>25</v>
      </c>
      <c r="K538" s="25">
        <v>0</v>
      </c>
      <c r="L538" s="25">
        <v>2080</v>
      </c>
      <c r="M538" s="25">
        <f t="shared" si="81"/>
        <v>36</v>
      </c>
      <c r="N538" s="25">
        <v>72</v>
      </c>
      <c r="O538" s="25">
        <v>0</v>
      </c>
      <c r="P538" s="25">
        <v>0</v>
      </c>
      <c r="Q538" s="25">
        <f t="shared" si="82"/>
        <v>61</v>
      </c>
      <c r="R538" s="25">
        <v>122</v>
      </c>
      <c r="S538" s="25">
        <f t="shared" si="83"/>
        <v>0</v>
      </c>
      <c r="T538" s="25">
        <v>0</v>
      </c>
      <c r="U538" s="29">
        <v>0</v>
      </c>
      <c r="V538" s="25">
        <v>0</v>
      </c>
      <c r="W538" s="25">
        <v>0</v>
      </c>
      <c r="X538" s="25">
        <v>0</v>
      </c>
      <c r="Y538" s="29">
        <v>0</v>
      </c>
      <c r="Z538" s="29">
        <v>0</v>
      </c>
      <c r="AA538" s="29">
        <v>0</v>
      </c>
      <c r="AB538" s="29">
        <v>0</v>
      </c>
      <c r="AC538" s="29">
        <v>0</v>
      </c>
      <c r="AD538" s="29">
        <v>0</v>
      </c>
      <c r="AE538" s="43"/>
      <c r="GR538" s="5"/>
      <c r="GS538" s="5"/>
      <c r="GT538" s="5"/>
      <c r="GU538" s="5"/>
      <c r="GV538" s="5"/>
      <c r="GW538" s="5"/>
      <c r="GX538" s="5"/>
      <c r="GY538" s="5"/>
      <c r="GZ538" s="5"/>
      <c r="HA538" s="5"/>
      <c r="HB538" s="5"/>
      <c r="HC538" s="5"/>
      <c r="HD538" s="5"/>
      <c r="HE538" s="5"/>
      <c r="HF538" s="5"/>
      <c r="HG538" s="5"/>
      <c r="HH538" s="5"/>
      <c r="HI538" s="5"/>
      <c r="HJ538" s="5"/>
      <c r="HK538" s="5"/>
      <c r="HL538" s="5"/>
      <c r="HM538" s="5"/>
      <c r="HN538" s="5"/>
      <c r="HO538" s="5"/>
      <c r="HP538" s="5"/>
    </row>
    <row r="539" spans="3:224" ht="20.100000000000001" customHeight="1">
      <c r="C539" s="24">
        <v>15503002</v>
      </c>
      <c r="D539" s="25" t="s">
        <v>542</v>
      </c>
      <c r="E539" s="25">
        <v>11200003</v>
      </c>
      <c r="F539" s="25">
        <v>15011</v>
      </c>
      <c r="G539" s="25">
        <v>1</v>
      </c>
      <c r="H539" s="25">
        <v>60</v>
      </c>
      <c r="I539" s="29">
        <v>0.2</v>
      </c>
      <c r="J539" s="30">
        <v>25</v>
      </c>
      <c r="K539" s="25">
        <v>0</v>
      </c>
      <c r="L539" s="25">
        <v>2520</v>
      </c>
      <c r="M539" s="25">
        <f t="shared" si="81"/>
        <v>42</v>
      </c>
      <c r="N539" s="25">
        <v>84</v>
      </c>
      <c r="O539" s="25">
        <v>0</v>
      </c>
      <c r="P539" s="25">
        <v>0</v>
      </c>
      <c r="Q539" s="25">
        <f t="shared" si="82"/>
        <v>72</v>
      </c>
      <c r="R539" s="25">
        <v>144</v>
      </c>
      <c r="S539" s="25">
        <f t="shared" si="83"/>
        <v>0</v>
      </c>
      <c r="T539" s="25">
        <v>0</v>
      </c>
      <c r="U539" s="29">
        <v>0</v>
      </c>
      <c r="V539" s="25">
        <v>0</v>
      </c>
      <c r="W539" s="25">
        <v>0</v>
      </c>
      <c r="X539" s="25">
        <v>0</v>
      </c>
      <c r="Y539" s="29">
        <v>0</v>
      </c>
      <c r="Z539" s="29">
        <v>0</v>
      </c>
      <c r="AA539" s="29">
        <v>0</v>
      </c>
      <c r="AB539" s="29">
        <v>0</v>
      </c>
      <c r="AC539" s="29">
        <v>0</v>
      </c>
      <c r="AD539" s="29">
        <v>0</v>
      </c>
      <c r="AE539" s="43"/>
      <c r="GR539" s="5"/>
      <c r="GS539" s="5"/>
      <c r="GT539" s="5"/>
      <c r="GU539" s="5"/>
      <c r="GV539" s="5"/>
      <c r="GW539" s="5"/>
      <c r="GX539" s="5"/>
      <c r="GY539" s="5"/>
      <c r="GZ539" s="5"/>
      <c r="HA539" s="5"/>
      <c r="HB539" s="5"/>
      <c r="HC539" s="5"/>
      <c r="HD539" s="5"/>
      <c r="HE539" s="5"/>
      <c r="HF539" s="5"/>
      <c r="HG539" s="5"/>
      <c r="HH539" s="5"/>
      <c r="HI539" s="5"/>
      <c r="HJ539" s="5"/>
      <c r="HK539" s="5"/>
      <c r="HL539" s="5"/>
      <c r="HM539" s="5"/>
      <c r="HN539" s="5"/>
      <c r="HO539" s="5"/>
      <c r="HP539" s="5"/>
    </row>
    <row r="540" spans="3:224" ht="20.100000000000001" customHeight="1">
      <c r="C540" s="24">
        <v>15503003</v>
      </c>
      <c r="D540" s="25" t="s">
        <v>543</v>
      </c>
      <c r="E540" s="25">
        <v>11200003</v>
      </c>
      <c r="F540" s="25">
        <v>0</v>
      </c>
      <c r="G540" s="25">
        <v>1</v>
      </c>
      <c r="H540" s="25">
        <v>60</v>
      </c>
      <c r="I540" s="29">
        <v>0.2</v>
      </c>
      <c r="J540" s="30">
        <v>25</v>
      </c>
      <c r="K540" s="25">
        <v>0</v>
      </c>
      <c r="L540" s="25">
        <v>1040</v>
      </c>
      <c r="M540" s="25">
        <f t="shared" si="81"/>
        <v>49</v>
      </c>
      <c r="N540" s="25">
        <v>97</v>
      </c>
      <c r="O540" s="25">
        <v>0</v>
      </c>
      <c r="P540" s="25">
        <v>0</v>
      </c>
      <c r="Q540" s="25">
        <f t="shared" si="82"/>
        <v>46</v>
      </c>
      <c r="R540" s="25">
        <v>92</v>
      </c>
      <c r="S540" s="25">
        <f t="shared" si="83"/>
        <v>0</v>
      </c>
      <c r="T540" s="25">
        <v>0</v>
      </c>
      <c r="U540" s="29">
        <v>0</v>
      </c>
      <c r="V540" s="25">
        <v>0</v>
      </c>
      <c r="W540" s="25">
        <v>0</v>
      </c>
      <c r="X540" s="25">
        <v>0</v>
      </c>
      <c r="Y540" s="29">
        <v>0</v>
      </c>
      <c r="Z540" s="29">
        <v>0</v>
      </c>
      <c r="AA540" s="29">
        <v>0</v>
      </c>
      <c r="AB540" s="29">
        <v>0</v>
      </c>
      <c r="AC540" s="29">
        <v>0</v>
      </c>
      <c r="AD540" s="29">
        <v>0</v>
      </c>
      <c r="AE540" s="43"/>
      <c r="GR540" s="5"/>
      <c r="GS540" s="5"/>
      <c r="GT540" s="5"/>
      <c r="GU540" s="5"/>
      <c r="GV540" s="5"/>
      <c r="GW540" s="5"/>
      <c r="GX540" s="5"/>
      <c r="GY540" s="5"/>
      <c r="GZ540" s="5"/>
      <c r="HA540" s="5"/>
      <c r="HB540" s="5"/>
      <c r="HC540" s="5"/>
      <c r="HD540" s="5"/>
      <c r="HE540" s="5"/>
      <c r="HF540" s="5"/>
      <c r="HG540" s="5"/>
      <c r="HH540" s="5"/>
      <c r="HI540" s="5"/>
      <c r="HJ540" s="5"/>
      <c r="HK540" s="5"/>
      <c r="HL540" s="5"/>
      <c r="HM540" s="5"/>
      <c r="HN540" s="5"/>
      <c r="HO540" s="5"/>
      <c r="HP540" s="5"/>
    </row>
    <row r="541" spans="3:224" ht="20.100000000000001" customHeight="1">
      <c r="C541" s="24">
        <v>15503004</v>
      </c>
      <c r="D541" s="25" t="s">
        <v>544</v>
      </c>
      <c r="E541" s="25">
        <v>11200003</v>
      </c>
      <c r="F541" s="25">
        <v>15021</v>
      </c>
      <c r="G541" s="25">
        <v>1</v>
      </c>
      <c r="H541" s="25">
        <v>60</v>
      </c>
      <c r="I541" s="29">
        <v>0.2</v>
      </c>
      <c r="J541" s="30">
        <v>25</v>
      </c>
      <c r="K541" s="25">
        <v>0</v>
      </c>
      <c r="L541" s="25">
        <v>1260</v>
      </c>
      <c r="M541" s="25">
        <f t="shared" si="81"/>
        <v>57</v>
      </c>
      <c r="N541" s="25">
        <v>113</v>
      </c>
      <c r="O541" s="25">
        <v>0</v>
      </c>
      <c r="P541" s="25">
        <v>0</v>
      </c>
      <c r="Q541" s="25">
        <f t="shared" si="82"/>
        <v>54</v>
      </c>
      <c r="R541" s="25">
        <v>108</v>
      </c>
      <c r="S541" s="25">
        <f t="shared" si="83"/>
        <v>0</v>
      </c>
      <c r="T541" s="25">
        <v>0</v>
      </c>
      <c r="U541" s="29">
        <v>0</v>
      </c>
      <c r="V541" s="25">
        <v>0</v>
      </c>
      <c r="W541" s="25">
        <v>0</v>
      </c>
      <c r="X541" s="25">
        <v>0</v>
      </c>
      <c r="Y541" s="29">
        <v>0</v>
      </c>
      <c r="Z541" s="29">
        <v>0</v>
      </c>
      <c r="AA541" s="29">
        <v>0</v>
      </c>
      <c r="AB541" s="29">
        <v>0</v>
      </c>
      <c r="AC541" s="29">
        <v>0</v>
      </c>
      <c r="AD541" s="29">
        <v>0</v>
      </c>
      <c r="AE541" s="43"/>
      <c r="GR541" s="5"/>
      <c r="GS541" s="5"/>
      <c r="GT541" s="5"/>
      <c r="GU541" s="5"/>
      <c r="GV541" s="5"/>
      <c r="GW541" s="5"/>
      <c r="GX541" s="5"/>
      <c r="GY541" s="5"/>
      <c r="GZ541" s="5"/>
      <c r="HA541" s="5"/>
      <c r="HB541" s="5"/>
      <c r="HC541" s="5"/>
      <c r="HD541" s="5"/>
      <c r="HE541" s="5"/>
      <c r="HF541" s="5"/>
      <c r="HG541" s="5"/>
      <c r="HH541" s="5"/>
      <c r="HI541" s="5"/>
      <c r="HJ541" s="5"/>
      <c r="HK541" s="5"/>
      <c r="HL541" s="5"/>
      <c r="HM541" s="5"/>
      <c r="HN541" s="5"/>
      <c r="HO541" s="5"/>
      <c r="HP541" s="5"/>
    </row>
    <row r="542" spans="3:224" ht="20.100000000000001" customHeight="1">
      <c r="C542" s="24">
        <v>15503005</v>
      </c>
      <c r="D542" s="25" t="s">
        <v>545</v>
      </c>
      <c r="E542" s="25">
        <v>11200003</v>
      </c>
      <c r="F542" s="25">
        <v>0</v>
      </c>
      <c r="G542" s="25">
        <v>1</v>
      </c>
      <c r="H542" s="25">
        <v>60</v>
      </c>
      <c r="I542" s="29">
        <v>0.2</v>
      </c>
      <c r="J542" s="30">
        <v>25</v>
      </c>
      <c r="K542" s="25">
        <v>0</v>
      </c>
      <c r="L542" s="25">
        <v>3120</v>
      </c>
      <c r="M542" s="25">
        <f t="shared" si="81"/>
        <v>27</v>
      </c>
      <c r="N542" s="25">
        <v>54</v>
      </c>
      <c r="O542" s="25">
        <v>0</v>
      </c>
      <c r="P542" s="25">
        <v>0</v>
      </c>
      <c r="Q542" s="25">
        <f t="shared" si="82"/>
        <v>77</v>
      </c>
      <c r="R542" s="25">
        <v>153</v>
      </c>
      <c r="S542" s="25">
        <f t="shared" si="83"/>
        <v>0</v>
      </c>
      <c r="T542" s="25">
        <v>0</v>
      </c>
      <c r="U542" s="29">
        <v>0</v>
      </c>
      <c r="V542" s="25">
        <v>0</v>
      </c>
      <c r="W542" s="25">
        <v>0</v>
      </c>
      <c r="X542" s="25">
        <v>0</v>
      </c>
      <c r="Y542" s="29">
        <v>0</v>
      </c>
      <c r="Z542" s="29">
        <v>0</v>
      </c>
      <c r="AA542" s="29">
        <v>0</v>
      </c>
      <c r="AB542" s="29">
        <v>0</v>
      </c>
      <c r="AC542" s="29">
        <v>0</v>
      </c>
      <c r="AD542" s="29">
        <v>0</v>
      </c>
      <c r="AE542" s="43"/>
      <c r="GR542" s="5"/>
      <c r="GS542" s="5"/>
      <c r="GT542" s="5"/>
      <c r="GU542" s="5"/>
      <c r="GV542" s="5"/>
      <c r="GW542" s="5"/>
      <c r="GX542" s="5"/>
      <c r="GY542" s="5"/>
      <c r="GZ542" s="5"/>
      <c r="HA542" s="5"/>
      <c r="HB542" s="5"/>
      <c r="HC542" s="5"/>
      <c r="HD542" s="5"/>
      <c r="HE542" s="5"/>
      <c r="HF542" s="5"/>
      <c r="HG542" s="5"/>
      <c r="HH542" s="5"/>
      <c r="HI542" s="5"/>
      <c r="HJ542" s="5"/>
      <c r="HK542" s="5"/>
      <c r="HL542" s="5"/>
      <c r="HM542" s="5"/>
      <c r="HN542" s="5"/>
      <c r="HO542" s="5"/>
      <c r="HP542" s="5"/>
    </row>
    <row r="543" spans="3:224" ht="20.100000000000001" customHeight="1">
      <c r="C543" s="24">
        <v>15503006</v>
      </c>
      <c r="D543" s="25" t="s">
        <v>546</v>
      </c>
      <c r="E543" s="25">
        <v>11200003</v>
      </c>
      <c r="F543" s="25">
        <v>15031</v>
      </c>
      <c r="G543" s="25">
        <v>1</v>
      </c>
      <c r="H543" s="25">
        <v>60</v>
      </c>
      <c r="I543" s="29">
        <v>0.2</v>
      </c>
      <c r="J543" s="30">
        <v>25</v>
      </c>
      <c r="K543" s="25">
        <v>0</v>
      </c>
      <c r="L543" s="25">
        <v>3780</v>
      </c>
      <c r="M543" s="25">
        <f t="shared" si="81"/>
        <v>32</v>
      </c>
      <c r="N543" s="25">
        <v>63</v>
      </c>
      <c r="O543" s="25">
        <v>0</v>
      </c>
      <c r="P543" s="25">
        <v>0</v>
      </c>
      <c r="Q543" s="25">
        <f t="shared" si="82"/>
        <v>90</v>
      </c>
      <c r="R543" s="25">
        <v>180</v>
      </c>
      <c r="S543" s="25">
        <f t="shared" si="83"/>
        <v>0</v>
      </c>
      <c r="T543" s="25">
        <v>0</v>
      </c>
      <c r="U543" s="29">
        <v>0</v>
      </c>
      <c r="V543" s="25">
        <v>0</v>
      </c>
      <c r="W543" s="25">
        <v>0</v>
      </c>
      <c r="X543" s="25">
        <v>0</v>
      </c>
      <c r="Y543" s="29">
        <v>0</v>
      </c>
      <c r="Z543" s="29">
        <v>0</v>
      </c>
      <c r="AA543" s="29">
        <v>0</v>
      </c>
      <c r="AB543" s="29">
        <v>0</v>
      </c>
      <c r="AC543" s="29">
        <v>0</v>
      </c>
      <c r="AD543" s="29">
        <v>0</v>
      </c>
      <c r="AE543" s="43"/>
      <c r="GR543" s="5"/>
      <c r="GS543" s="5"/>
      <c r="GT543" s="5"/>
      <c r="GU543" s="5"/>
      <c r="GV543" s="5"/>
      <c r="GW543" s="5"/>
      <c r="GX543" s="5"/>
      <c r="GY543" s="5"/>
      <c r="GZ543" s="5"/>
      <c r="HA543" s="5"/>
      <c r="HB543" s="5"/>
      <c r="HC543" s="5"/>
      <c r="HD543" s="5"/>
      <c r="HE543" s="5"/>
      <c r="HF543" s="5"/>
      <c r="HG543" s="5"/>
      <c r="HH543" s="5"/>
      <c r="HI543" s="5"/>
      <c r="HJ543" s="5"/>
      <c r="HK543" s="5"/>
      <c r="HL543" s="5"/>
      <c r="HM543" s="5"/>
      <c r="HN543" s="5"/>
      <c r="HO543" s="5"/>
      <c r="HP543" s="5"/>
    </row>
    <row r="544" spans="3:224" s="3" customFormat="1" ht="20.100000000000001" customHeight="1">
      <c r="C544" s="26">
        <v>15503007</v>
      </c>
      <c r="D544" s="40" t="s">
        <v>547</v>
      </c>
      <c r="E544" s="28">
        <v>11200003</v>
      </c>
      <c r="F544" s="28">
        <v>0</v>
      </c>
      <c r="G544" s="28">
        <v>1</v>
      </c>
      <c r="H544" s="28">
        <v>60</v>
      </c>
      <c r="I544" s="31">
        <v>0.2</v>
      </c>
      <c r="J544" s="30">
        <v>25</v>
      </c>
      <c r="K544" s="28">
        <v>0</v>
      </c>
      <c r="L544" s="28">
        <v>4200</v>
      </c>
      <c r="M544" s="28">
        <v>40</v>
      </c>
      <c r="N544" s="28">
        <v>75</v>
      </c>
      <c r="O544" s="28">
        <v>0</v>
      </c>
      <c r="P544" s="28">
        <v>0</v>
      </c>
      <c r="Q544" s="28">
        <f t="shared" ref="Q544" si="104">ROUND(R544/2,0)</f>
        <v>100</v>
      </c>
      <c r="R544" s="28">
        <v>200</v>
      </c>
      <c r="S544" s="28">
        <f t="shared" ref="S544" si="105">ROUND(T544/2,0)</f>
        <v>0</v>
      </c>
      <c r="T544" s="28">
        <v>0</v>
      </c>
      <c r="U544" s="31">
        <v>0</v>
      </c>
      <c r="V544" s="28">
        <v>0</v>
      </c>
      <c r="W544" s="28">
        <v>0</v>
      </c>
      <c r="X544" s="28">
        <v>0</v>
      </c>
      <c r="Y544" s="31">
        <v>0</v>
      </c>
      <c r="Z544" s="31">
        <v>0</v>
      </c>
      <c r="AA544" s="31">
        <v>0</v>
      </c>
      <c r="AB544" s="31">
        <v>202101</v>
      </c>
      <c r="AC544" s="31">
        <v>500</v>
      </c>
      <c r="AD544" s="31">
        <v>1</v>
      </c>
      <c r="AE544" s="45"/>
      <c r="AF544" s="33"/>
      <c r="AG544" s="33"/>
      <c r="AH544" s="33"/>
      <c r="AI544" s="33"/>
      <c r="AJ544" s="33"/>
      <c r="AK544" s="33"/>
      <c r="AL544" s="33"/>
      <c r="AM544" s="33"/>
      <c r="AN544" s="33"/>
      <c r="AO544" s="33"/>
      <c r="AP544" s="33"/>
      <c r="AQ544" s="33"/>
      <c r="AR544" s="33"/>
      <c r="AS544" s="33"/>
      <c r="AT544" s="33"/>
      <c r="AU544" s="33"/>
      <c r="AV544" s="33"/>
      <c r="AW544" s="33"/>
      <c r="AX544" s="33"/>
      <c r="AY544" s="33"/>
      <c r="AZ544" s="33"/>
      <c r="BA544" s="33"/>
      <c r="BB544" s="33"/>
      <c r="BC544" s="33"/>
      <c r="BD544" s="33"/>
      <c r="BE544" s="33"/>
      <c r="BF544" s="33"/>
      <c r="BG544" s="33"/>
      <c r="BH544" s="33"/>
      <c r="BI544" s="33"/>
      <c r="BJ544" s="33"/>
      <c r="BK544" s="33"/>
      <c r="BL544" s="33"/>
      <c r="BM544" s="33"/>
      <c r="BN544" s="33"/>
      <c r="BO544" s="33"/>
      <c r="BP544" s="33"/>
      <c r="BQ544" s="33"/>
      <c r="BR544" s="33"/>
      <c r="BS544" s="33"/>
      <c r="BT544" s="33"/>
      <c r="BU544" s="33"/>
      <c r="BV544" s="33"/>
      <c r="BW544" s="33"/>
      <c r="BX544" s="33"/>
      <c r="BY544" s="33"/>
      <c r="BZ544" s="33"/>
      <c r="CA544" s="33"/>
      <c r="CB544" s="33"/>
      <c r="CC544" s="33"/>
      <c r="CD544" s="33"/>
      <c r="CE544" s="33"/>
      <c r="CF544" s="33"/>
      <c r="CG544" s="33"/>
      <c r="CH544" s="33"/>
      <c r="CI544" s="33"/>
      <c r="CJ544" s="33"/>
      <c r="CK544" s="33"/>
      <c r="CL544" s="33"/>
      <c r="CM544" s="33"/>
      <c r="CN544" s="33"/>
      <c r="CO544" s="33"/>
      <c r="CP544" s="33"/>
      <c r="CQ544" s="33"/>
      <c r="CR544" s="33"/>
      <c r="CS544" s="33"/>
      <c r="CT544" s="33"/>
      <c r="CU544" s="33"/>
      <c r="CV544" s="33"/>
      <c r="CW544" s="33"/>
      <c r="CX544" s="33"/>
      <c r="CY544" s="33"/>
      <c r="CZ544" s="33"/>
      <c r="DA544" s="33"/>
      <c r="DB544" s="33"/>
      <c r="DC544" s="33"/>
      <c r="DD544" s="33"/>
      <c r="DE544" s="33"/>
      <c r="DF544" s="33"/>
      <c r="DG544" s="33"/>
      <c r="DH544" s="33"/>
      <c r="DI544" s="33"/>
      <c r="DJ544" s="33"/>
      <c r="DK544" s="33"/>
      <c r="DL544" s="33"/>
      <c r="DM544" s="33"/>
      <c r="DN544" s="33"/>
      <c r="DO544" s="33"/>
      <c r="DP544" s="33"/>
      <c r="DQ544" s="33"/>
      <c r="DR544" s="33"/>
      <c r="DS544" s="33"/>
      <c r="DT544" s="33"/>
      <c r="DU544" s="33"/>
      <c r="DV544" s="33"/>
      <c r="DW544" s="33"/>
      <c r="DX544" s="33"/>
      <c r="DY544" s="33"/>
      <c r="DZ544" s="33"/>
      <c r="EA544" s="33"/>
      <c r="EB544" s="33"/>
      <c r="EC544" s="33"/>
      <c r="ED544" s="33"/>
      <c r="EE544" s="33"/>
      <c r="EF544" s="33"/>
      <c r="EG544" s="33"/>
      <c r="EH544" s="33"/>
      <c r="EI544" s="33"/>
      <c r="EJ544" s="33"/>
      <c r="EK544" s="33"/>
      <c r="EL544" s="33"/>
      <c r="EM544" s="33"/>
      <c r="EN544" s="33"/>
      <c r="EO544" s="33"/>
      <c r="EP544" s="33"/>
      <c r="EQ544" s="33"/>
      <c r="ER544" s="33"/>
      <c r="ES544" s="33"/>
      <c r="ET544" s="33"/>
      <c r="EU544" s="33"/>
      <c r="EV544" s="33"/>
      <c r="EW544" s="33"/>
      <c r="EX544" s="33"/>
      <c r="EY544" s="33"/>
      <c r="EZ544" s="33"/>
      <c r="FA544" s="33"/>
      <c r="FB544" s="33"/>
      <c r="FC544" s="33"/>
      <c r="FD544" s="33"/>
      <c r="FE544" s="33"/>
      <c r="FF544" s="33"/>
      <c r="FG544" s="33"/>
      <c r="FH544" s="33"/>
      <c r="FI544" s="33"/>
      <c r="FJ544" s="33"/>
      <c r="FK544" s="33"/>
      <c r="FL544" s="33"/>
      <c r="FM544" s="33"/>
      <c r="FN544" s="33"/>
      <c r="FO544" s="33"/>
      <c r="FP544" s="33"/>
      <c r="FQ544" s="33"/>
      <c r="FR544" s="33"/>
      <c r="FS544" s="33"/>
      <c r="FT544" s="33"/>
      <c r="FU544" s="33"/>
      <c r="FV544" s="33"/>
      <c r="FW544" s="33"/>
      <c r="FX544" s="33"/>
      <c r="FY544" s="33"/>
      <c r="FZ544" s="33"/>
      <c r="GA544" s="33"/>
      <c r="GB544" s="33"/>
      <c r="GC544" s="33"/>
      <c r="GD544" s="33"/>
      <c r="GE544" s="33"/>
      <c r="GF544" s="33"/>
      <c r="GG544" s="33"/>
      <c r="GH544" s="33"/>
      <c r="GI544" s="33"/>
      <c r="GJ544" s="33"/>
      <c r="GK544" s="33"/>
      <c r="GL544" s="33"/>
      <c r="GM544" s="33"/>
      <c r="GN544" s="33"/>
      <c r="GO544" s="33"/>
      <c r="GP544" s="33"/>
      <c r="GQ544" s="33"/>
      <c r="GR544" s="33"/>
      <c r="GS544" s="33"/>
      <c r="GT544" s="33"/>
      <c r="GU544" s="33"/>
      <c r="GV544" s="33"/>
      <c r="GW544" s="33"/>
      <c r="GX544" s="33"/>
      <c r="GY544" s="33"/>
      <c r="GZ544" s="33"/>
      <c r="HA544" s="33"/>
      <c r="HB544" s="33"/>
      <c r="HC544" s="33"/>
      <c r="HD544" s="33"/>
      <c r="HE544" s="33"/>
      <c r="HF544" s="33"/>
      <c r="HG544" s="33"/>
      <c r="HH544" s="33"/>
      <c r="HI544" s="33"/>
      <c r="HJ544" s="33"/>
      <c r="HK544" s="33"/>
      <c r="HL544" s="33"/>
      <c r="HM544" s="33"/>
      <c r="HN544" s="33"/>
      <c r="HO544" s="33"/>
      <c r="HP544" s="33"/>
    </row>
    <row r="545" spans="3:224" ht="20.100000000000001" customHeight="1">
      <c r="C545" s="24">
        <v>15504001</v>
      </c>
      <c r="D545" s="25" t="s">
        <v>548</v>
      </c>
      <c r="E545" s="25">
        <v>11200003</v>
      </c>
      <c r="F545" s="25">
        <v>0</v>
      </c>
      <c r="G545" s="25">
        <v>1</v>
      </c>
      <c r="H545" s="25">
        <v>60</v>
      </c>
      <c r="I545" s="29">
        <v>0.2</v>
      </c>
      <c r="J545" s="30">
        <v>25</v>
      </c>
      <c r="K545" s="25">
        <v>0</v>
      </c>
      <c r="L545" s="25">
        <v>0</v>
      </c>
      <c r="M545" s="25">
        <f t="shared" si="81"/>
        <v>56</v>
      </c>
      <c r="N545" s="25">
        <v>112</v>
      </c>
      <c r="O545" s="25">
        <v>0</v>
      </c>
      <c r="P545" s="25">
        <v>0</v>
      </c>
      <c r="Q545" s="25">
        <f t="shared" si="82"/>
        <v>60</v>
      </c>
      <c r="R545" s="25">
        <v>120</v>
      </c>
      <c r="S545" s="25">
        <f t="shared" si="83"/>
        <v>60</v>
      </c>
      <c r="T545" s="25">
        <v>120</v>
      </c>
      <c r="U545" s="29">
        <v>0</v>
      </c>
      <c r="V545" s="25">
        <v>0</v>
      </c>
      <c r="W545" s="25">
        <v>0</v>
      </c>
      <c r="X545" s="25">
        <v>0</v>
      </c>
      <c r="Y545" s="29">
        <v>0</v>
      </c>
      <c r="Z545" s="29">
        <v>0</v>
      </c>
      <c r="AA545" s="29">
        <v>0</v>
      </c>
      <c r="AB545" s="29">
        <v>0</v>
      </c>
      <c r="AC545" s="29">
        <v>0</v>
      </c>
      <c r="AD545" s="29">
        <v>0</v>
      </c>
      <c r="AE545" s="43"/>
      <c r="GR545" s="5"/>
      <c r="GS545" s="5"/>
      <c r="GT545" s="5"/>
      <c r="GU545" s="5"/>
      <c r="GV545" s="5"/>
      <c r="GW545" s="5"/>
      <c r="GX545" s="5"/>
      <c r="GY545" s="5"/>
      <c r="GZ545" s="5"/>
      <c r="HA545" s="5"/>
      <c r="HB545" s="5"/>
      <c r="HC545" s="5"/>
      <c r="HD545" s="5"/>
      <c r="HE545" s="5"/>
      <c r="HF545" s="5"/>
      <c r="HG545" s="5"/>
      <c r="HH545" s="5"/>
      <c r="HI545" s="5"/>
      <c r="HJ545" s="5"/>
      <c r="HK545" s="5"/>
      <c r="HL545" s="5"/>
      <c r="HM545" s="5"/>
      <c r="HN545" s="5"/>
      <c r="HO545" s="5"/>
      <c r="HP545" s="5"/>
    </row>
    <row r="546" spans="3:224" ht="20.100000000000001" customHeight="1">
      <c r="C546" s="24">
        <v>15504002</v>
      </c>
      <c r="D546" s="25" t="s">
        <v>549</v>
      </c>
      <c r="E546" s="25">
        <v>11200003</v>
      </c>
      <c r="F546" s="25">
        <v>15011</v>
      </c>
      <c r="G546" s="25">
        <v>1</v>
      </c>
      <c r="H546" s="25">
        <v>60</v>
      </c>
      <c r="I546" s="29">
        <v>0.2</v>
      </c>
      <c r="J546" s="30">
        <v>25</v>
      </c>
      <c r="K546" s="25">
        <v>0</v>
      </c>
      <c r="L546" s="25">
        <v>0</v>
      </c>
      <c r="M546" s="25">
        <f t="shared" ref="M546:M585" si="106">ROUND(N546/2,0)</f>
        <v>66</v>
      </c>
      <c r="N546" s="25">
        <v>132</v>
      </c>
      <c r="O546" s="25">
        <v>0</v>
      </c>
      <c r="P546" s="25">
        <v>0</v>
      </c>
      <c r="Q546" s="25">
        <f t="shared" ref="Q546:Q585" si="107">ROUND(R546/2,0)</f>
        <v>72</v>
      </c>
      <c r="R546" s="25">
        <v>144</v>
      </c>
      <c r="S546" s="25">
        <f t="shared" ref="S546:S585" si="108">ROUND(T546/2,0)</f>
        <v>72</v>
      </c>
      <c r="T546" s="25">
        <v>144</v>
      </c>
      <c r="U546" s="29">
        <v>0</v>
      </c>
      <c r="V546" s="25">
        <v>0</v>
      </c>
      <c r="W546" s="25">
        <v>0</v>
      </c>
      <c r="X546" s="25">
        <v>0</v>
      </c>
      <c r="Y546" s="29">
        <v>0</v>
      </c>
      <c r="Z546" s="29">
        <v>0</v>
      </c>
      <c r="AA546" s="29">
        <v>0</v>
      </c>
      <c r="AB546" s="29">
        <v>0</v>
      </c>
      <c r="AC546" s="29">
        <v>0</v>
      </c>
      <c r="AD546" s="29">
        <v>0</v>
      </c>
      <c r="AE546" s="43"/>
      <c r="GR546" s="5"/>
      <c r="GS546" s="5"/>
      <c r="GT546" s="5"/>
      <c r="GU546" s="5"/>
      <c r="GV546" s="5"/>
      <c r="GW546" s="5"/>
      <c r="GX546" s="5"/>
      <c r="GY546" s="5"/>
      <c r="GZ546" s="5"/>
      <c r="HA546" s="5"/>
      <c r="HB546" s="5"/>
      <c r="HC546" s="5"/>
      <c r="HD546" s="5"/>
      <c r="HE546" s="5"/>
      <c r="HF546" s="5"/>
      <c r="HG546" s="5"/>
      <c r="HH546" s="5"/>
      <c r="HI546" s="5"/>
      <c r="HJ546" s="5"/>
      <c r="HK546" s="5"/>
      <c r="HL546" s="5"/>
      <c r="HM546" s="5"/>
      <c r="HN546" s="5"/>
      <c r="HO546" s="5"/>
      <c r="HP546" s="5"/>
    </row>
    <row r="547" spans="3:224" ht="20.100000000000001" customHeight="1">
      <c r="C547" s="24">
        <v>15504003</v>
      </c>
      <c r="D547" s="25" t="s">
        <v>550</v>
      </c>
      <c r="E547" s="25">
        <v>11200003</v>
      </c>
      <c r="F547" s="25">
        <v>0</v>
      </c>
      <c r="G547" s="25">
        <v>1</v>
      </c>
      <c r="H547" s="25">
        <v>60</v>
      </c>
      <c r="I547" s="29">
        <v>0.2</v>
      </c>
      <c r="J547" s="30">
        <v>25</v>
      </c>
      <c r="K547" s="25">
        <v>0</v>
      </c>
      <c r="L547" s="25">
        <v>0</v>
      </c>
      <c r="M547" s="25">
        <f t="shared" si="106"/>
        <v>76</v>
      </c>
      <c r="N547" s="25">
        <v>151</v>
      </c>
      <c r="O547" s="25">
        <v>0</v>
      </c>
      <c r="P547" s="25">
        <v>0</v>
      </c>
      <c r="Q547" s="25">
        <f t="shared" si="107"/>
        <v>45</v>
      </c>
      <c r="R547" s="25">
        <v>90</v>
      </c>
      <c r="S547" s="25">
        <f t="shared" si="108"/>
        <v>45</v>
      </c>
      <c r="T547" s="25">
        <v>90</v>
      </c>
      <c r="U547" s="29">
        <v>0</v>
      </c>
      <c r="V547" s="25">
        <v>0</v>
      </c>
      <c r="W547" s="25">
        <v>0</v>
      </c>
      <c r="X547" s="25">
        <v>0</v>
      </c>
      <c r="Y547" s="29">
        <v>0</v>
      </c>
      <c r="Z547" s="29">
        <v>0</v>
      </c>
      <c r="AA547" s="29">
        <v>0</v>
      </c>
      <c r="AB547" s="29">
        <v>0</v>
      </c>
      <c r="AC547" s="29">
        <v>0</v>
      </c>
      <c r="AD547" s="29">
        <v>0</v>
      </c>
      <c r="AE547" s="43"/>
      <c r="GR547" s="5"/>
      <c r="GS547" s="5"/>
      <c r="GT547" s="5"/>
      <c r="GU547" s="5"/>
      <c r="GV547" s="5"/>
      <c r="GW547" s="5"/>
      <c r="GX547" s="5"/>
      <c r="GY547" s="5"/>
      <c r="GZ547" s="5"/>
      <c r="HA547" s="5"/>
      <c r="HB547" s="5"/>
      <c r="HC547" s="5"/>
      <c r="HD547" s="5"/>
      <c r="HE547" s="5"/>
      <c r="HF547" s="5"/>
      <c r="HG547" s="5"/>
      <c r="HH547" s="5"/>
      <c r="HI547" s="5"/>
      <c r="HJ547" s="5"/>
      <c r="HK547" s="5"/>
      <c r="HL547" s="5"/>
      <c r="HM547" s="5"/>
      <c r="HN547" s="5"/>
      <c r="HO547" s="5"/>
      <c r="HP547" s="5"/>
    </row>
    <row r="548" spans="3:224" ht="20.100000000000001" customHeight="1">
      <c r="C548" s="24">
        <v>15504004</v>
      </c>
      <c r="D548" s="25" t="s">
        <v>551</v>
      </c>
      <c r="E548" s="25">
        <v>11200003</v>
      </c>
      <c r="F548" s="25">
        <v>15021</v>
      </c>
      <c r="G548" s="25">
        <v>1</v>
      </c>
      <c r="H548" s="25">
        <v>60</v>
      </c>
      <c r="I548" s="29">
        <v>0.2</v>
      </c>
      <c r="J548" s="30">
        <v>25</v>
      </c>
      <c r="K548" s="25">
        <v>0</v>
      </c>
      <c r="L548" s="25">
        <v>0</v>
      </c>
      <c r="M548" s="25">
        <f t="shared" si="106"/>
        <v>89</v>
      </c>
      <c r="N548" s="25">
        <v>178</v>
      </c>
      <c r="O548" s="25">
        <v>0</v>
      </c>
      <c r="P548" s="25">
        <v>0</v>
      </c>
      <c r="Q548" s="25">
        <f t="shared" si="107"/>
        <v>54</v>
      </c>
      <c r="R548" s="25">
        <v>108</v>
      </c>
      <c r="S548" s="25">
        <f t="shared" si="108"/>
        <v>54</v>
      </c>
      <c r="T548" s="25">
        <v>108</v>
      </c>
      <c r="U548" s="29">
        <v>0</v>
      </c>
      <c r="V548" s="25">
        <v>0</v>
      </c>
      <c r="W548" s="25">
        <v>0</v>
      </c>
      <c r="X548" s="25">
        <v>0</v>
      </c>
      <c r="Y548" s="29">
        <v>0</v>
      </c>
      <c r="Z548" s="29">
        <v>0</v>
      </c>
      <c r="AA548" s="29">
        <v>0</v>
      </c>
      <c r="AB548" s="29">
        <v>0</v>
      </c>
      <c r="AC548" s="29">
        <v>0</v>
      </c>
      <c r="AD548" s="29">
        <v>0</v>
      </c>
      <c r="AE548" s="43"/>
      <c r="GR548" s="5"/>
      <c r="GS548" s="5"/>
      <c r="GT548" s="5"/>
      <c r="GU548" s="5"/>
      <c r="GV548" s="5"/>
      <c r="GW548" s="5"/>
      <c r="GX548" s="5"/>
      <c r="GY548" s="5"/>
      <c r="GZ548" s="5"/>
      <c r="HA548" s="5"/>
      <c r="HB548" s="5"/>
      <c r="HC548" s="5"/>
      <c r="HD548" s="5"/>
      <c r="HE548" s="5"/>
      <c r="HF548" s="5"/>
      <c r="HG548" s="5"/>
      <c r="HH548" s="5"/>
      <c r="HI548" s="5"/>
      <c r="HJ548" s="5"/>
      <c r="HK548" s="5"/>
      <c r="HL548" s="5"/>
      <c r="HM548" s="5"/>
      <c r="HN548" s="5"/>
      <c r="HO548" s="5"/>
      <c r="HP548" s="5"/>
    </row>
    <row r="549" spans="3:224" ht="20.100000000000001" customHeight="1">
      <c r="C549" s="24">
        <v>15504005</v>
      </c>
      <c r="D549" s="25" t="s">
        <v>552</v>
      </c>
      <c r="E549" s="25">
        <v>11200003</v>
      </c>
      <c r="F549" s="25">
        <v>0</v>
      </c>
      <c r="G549" s="25">
        <v>1</v>
      </c>
      <c r="H549" s="25">
        <v>60</v>
      </c>
      <c r="I549" s="29">
        <v>0.2</v>
      </c>
      <c r="J549" s="30">
        <v>25</v>
      </c>
      <c r="K549" s="25">
        <v>0</v>
      </c>
      <c r="L549" s="25">
        <v>0</v>
      </c>
      <c r="M549" s="25">
        <f t="shared" si="106"/>
        <v>42</v>
      </c>
      <c r="N549" s="25">
        <v>84</v>
      </c>
      <c r="O549" s="25">
        <v>0</v>
      </c>
      <c r="P549" s="25">
        <v>0</v>
      </c>
      <c r="Q549" s="25">
        <f t="shared" si="107"/>
        <v>75</v>
      </c>
      <c r="R549" s="25">
        <v>150</v>
      </c>
      <c r="S549" s="25">
        <f t="shared" si="108"/>
        <v>75</v>
      </c>
      <c r="T549" s="25">
        <v>150</v>
      </c>
      <c r="U549" s="29">
        <v>0</v>
      </c>
      <c r="V549" s="25">
        <v>0</v>
      </c>
      <c r="W549" s="25">
        <v>0</v>
      </c>
      <c r="X549" s="25">
        <v>0</v>
      </c>
      <c r="Y549" s="29">
        <v>0</v>
      </c>
      <c r="Z549" s="29">
        <v>0</v>
      </c>
      <c r="AA549" s="29">
        <v>0</v>
      </c>
      <c r="AB549" s="29">
        <v>0</v>
      </c>
      <c r="AC549" s="29">
        <v>0</v>
      </c>
      <c r="AD549" s="29">
        <v>0</v>
      </c>
      <c r="AE549" s="43"/>
      <c r="GR549" s="5"/>
      <c r="GS549" s="5"/>
      <c r="GT549" s="5"/>
      <c r="GU549" s="5"/>
      <c r="GV549" s="5"/>
      <c r="GW549" s="5"/>
      <c r="GX549" s="5"/>
      <c r="GY549" s="5"/>
      <c r="GZ549" s="5"/>
      <c r="HA549" s="5"/>
      <c r="HB549" s="5"/>
      <c r="HC549" s="5"/>
      <c r="HD549" s="5"/>
      <c r="HE549" s="5"/>
      <c r="HF549" s="5"/>
      <c r="HG549" s="5"/>
      <c r="HH549" s="5"/>
      <c r="HI549" s="5"/>
      <c r="HJ549" s="5"/>
      <c r="HK549" s="5"/>
      <c r="HL549" s="5"/>
      <c r="HM549" s="5"/>
      <c r="HN549" s="5"/>
      <c r="HO549" s="5"/>
      <c r="HP549" s="5"/>
    </row>
    <row r="550" spans="3:224" ht="20.100000000000001" customHeight="1">
      <c r="C550" s="24">
        <v>15504006</v>
      </c>
      <c r="D550" s="25" t="s">
        <v>553</v>
      </c>
      <c r="E550" s="25">
        <v>11200003</v>
      </c>
      <c r="F550" s="25">
        <v>15031</v>
      </c>
      <c r="G550" s="25">
        <v>1</v>
      </c>
      <c r="H550" s="25">
        <v>60</v>
      </c>
      <c r="I550" s="29">
        <v>0.2</v>
      </c>
      <c r="J550" s="30">
        <v>25</v>
      </c>
      <c r="K550" s="25">
        <v>0</v>
      </c>
      <c r="L550" s="25">
        <v>0</v>
      </c>
      <c r="M550" s="25">
        <f t="shared" si="106"/>
        <v>50</v>
      </c>
      <c r="N550" s="25">
        <v>99</v>
      </c>
      <c r="O550" s="25">
        <v>0</v>
      </c>
      <c r="P550" s="25">
        <v>0</v>
      </c>
      <c r="Q550" s="25">
        <f t="shared" si="107"/>
        <v>90</v>
      </c>
      <c r="R550" s="25">
        <v>180</v>
      </c>
      <c r="S550" s="25">
        <f t="shared" si="108"/>
        <v>90</v>
      </c>
      <c r="T550" s="25">
        <v>180</v>
      </c>
      <c r="U550" s="29">
        <v>0</v>
      </c>
      <c r="V550" s="25">
        <v>0</v>
      </c>
      <c r="W550" s="25">
        <v>0</v>
      </c>
      <c r="X550" s="25">
        <v>0</v>
      </c>
      <c r="Y550" s="29">
        <v>0</v>
      </c>
      <c r="Z550" s="29">
        <v>0</v>
      </c>
      <c r="AA550" s="29">
        <v>0</v>
      </c>
      <c r="AB550" s="29">
        <v>0</v>
      </c>
      <c r="AC550" s="29">
        <v>0</v>
      </c>
      <c r="AD550" s="29">
        <v>0</v>
      </c>
      <c r="AE550" s="43"/>
      <c r="GR550" s="5"/>
      <c r="GS550" s="5"/>
      <c r="GT550" s="5"/>
      <c r="GU550" s="5"/>
      <c r="GV550" s="5"/>
      <c r="GW550" s="5"/>
      <c r="GX550" s="5"/>
      <c r="GY550" s="5"/>
      <c r="GZ550" s="5"/>
      <c r="HA550" s="5"/>
      <c r="HB550" s="5"/>
      <c r="HC550" s="5"/>
      <c r="HD550" s="5"/>
      <c r="HE550" s="5"/>
      <c r="HF550" s="5"/>
      <c r="HG550" s="5"/>
      <c r="HH550" s="5"/>
      <c r="HI550" s="5"/>
      <c r="HJ550" s="5"/>
      <c r="HK550" s="5"/>
      <c r="HL550" s="5"/>
      <c r="HM550" s="5"/>
      <c r="HN550" s="5"/>
      <c r="HO550" s="5"/>
      <c r="HP550" s="5"/>
    </row>
    <row r="551" spans="3:224" ht="20.100000000000001" customHeight="1">
      <c r="C551" s="24">
        <v>15505001</v>
      </c>
      <c r="D551" s="25" t="s">
        <v>554</v>
      </c>
      <c r="E551" s="25">
        <v>11200003</v>
      </c>
      <c r="F551" s="25">
        <v>0</v>
      </c>
      <c r="G551" s="25">
        <v>1</v>
      </c>
      <c r="H551" s="25">
        <v>60</v>
      </c>
      <c r="I551" s="29">
        <v>0.2</v>
      </c>
      <c r="J551" s="30">
        <v>25</v>
      </c>
      <c r="K551" s="25">
        <v>0</v>
      </c>
      <c r="L551" s="25">
        <v>5250</v>
      </c>
      <c r="M551" s="25">
        <f t="shared" si="106"/>
        <v>78</v>
      </c>
      <c r="N551" s="25">
        <v>156</v>
      </c>
      <c r="O551" s="25">
        <v>0</v>
      </c>
      <c r="P551" s="25">
        <v>0</v>
      </c>
      <c r="Q551" s="25">
        <f t="shared" si="107"/>
        <v>30</v>
      </c>
      <c r="R551" s="25">
        <v>60</v>
      </c>
      <c r="S551" s="25">
        <f t="shared" si="108"/>
        <v>0</v>
      </c>
      <c r="T551" s="25">
        <v>0</v>
      </c>
      <c r="U551" s="29">
        <v>0</v>
      </c>
      <c r="V551" s="25">
        <v>0</v>
      </c>
      <c r="W551" s="25">
        <v>0</v>
      </c>
      <c r="X551" s="25">
        <v>0</v>
      </c>
      <c r="Y551" s="29">
        <v>0</v>
      </c>
      <c r="Z551" s="29">
        <v>0</v>
      </c>
      <c r="AA551" s="29">
        <v>0</v>
      </c>
      <c r="AB551" s="29">
        <v>0</v>
      </c>
      <c r="AC551" s="29">
        <v>0</v>
      </c>
      <c r="AD551" s="29">
        <v>0</v>
      </c>
      <c r="AE551" s="43"/>
      <c r="GR551" s="5"/>
      <c r="GS551" s="5"/>
      <c r="GT551" s="5"/>
      <c r="GU551" s="5"/>
      <c r="GV551" s="5"/>
      <c r="GW551" s="5"/>
      <c r="GX551" s="5"/>
      <c r="GY551" s="5"/>
      <c r="GZ551" s="5"/>
      <c r="HA551" s="5"/>
      <c r="HB551" s="5"/>
      <c r="HC551" s="5"/>
      <c r="HD551" s="5"/>
      <c r="HE551" s="5"/>
      <c r="HF551" s="5"/>
      <c r="HG551" s="5"/>
      <c r="HH551" s="5"/>
      <c r="HI551" s="5"/>
      <c r="HJ551" s="5"/>
      <c r="HK551" s="5"/>
      <c r="HL551" s="5"/>
      <c r="HM551" s="5"/>
      <c r="HN551" s="5"/>
      <c r="HO551" s="5"/>
      <c r="HP551" s="5"/>
    </row>
    <row r="552" spans="3:224" ht="20.100000000000001" customHeight="1">
      <c r="C552" s="24">
        <v>15505002</v>
      </c>
      <c r="D552" s="25" t="s">
        <v>555</v>
      </c>
      <c r="E552" s="25">
        <v>11200003</v>
      </c>
      <c r="F552" s="25">
        <v>15011</v>
      </c>
      <c r="G552" s="25">
        <v>1</v>
      </c>
      <c r="H552" s="25">
        <v>60</v>
      </c>
      <c r="I552" s="29">
        <v>0.2</v>
      </c>
      <c r="J552" s="30">
        <v>25</v>
      </c>
      <c r="K552" s="25">
        <v>0</v>
      </c>
      <c r="L552" s="25">
        <v>6300</v>
      </c>
      <c r="M552" s="25">
        <f t="shared" si="106"/>
        <v>90</v>
      </c>
      <c r="N552" s="25">
        <v>180</v>
      </c>
      <c r="O552" s="25">
        <v>0</v>
      </c>
      <c r="P552" s="25">
        <v>0</v>
      </c>
      <c r="Q552" s="25">
        <f t="shared" si="107"/>
        <v>36</v>
      </c>
      <c r="R552" s="25">
        <v>72</v>
      </c>
      <c r="S552" s="25">
        <f t="shared" si="108"/>
        <v>0</v>
      </c>
      <c r="T552" s="25">
        <v>0</v>
      </c>
      <c r="U552" s="29">
        <v>0</v>
      </c>
      <c r="V552" s="25">
        <v>0</v>
      </c>
      <c r="W552" s="25">
        <v>0</v>
      </c>
      <c r="X552" s="25">
        <v>0</v>
      </c>
      <c r="Y552" s="29">
        <v>0</v>
      </c>
      <c r="Z552" s="29">
        <v>0</v>
      </c>
      <c r="AA552" s="29">
        <v>0</v>
      </c>
      <c r="AB552" s="29">
        <v>0</v>
      </c>
      <c r="AC552" s="29">
        <v>0</v>
      </c>
      <c r="AD552" s="29">
        <v>0</v>
      </c>
      <c r="AE552" s="43"/>
      <c r="GR552" s="5"/>
      <c r="GS552" s="5"/>
      <c r="GT552" s="5"/>
      <c r="GU552" s="5"/>
      <c r="GV552" s="5"/>
      <c r="GW552" s="5"/>
      <c r="GX552" s="5"/>
      <c r="GY552" s="5"/>
      <c r="GZ552" s="5"/>
      <c r="HA552" s="5"/>
      <c r="HB552" s="5"/>
      <c r="HC552" s="5"/>
      <c r="HD552" s="5"/>
      <c r="HE552" s="5"/>
      <c r="HF552" s="5"/>
      <c r="HG552" s="5"/>
      <c r="HH552" s="5"/>
      <c r="HI552" s="5"/>
      <c r="HJ552" s="5"/>
      <c r="HK552" s="5"/>
      <c r="HL552" s="5"/>
      <c r="HM552" s="5"/>
      <c r="HN552" s="5"/>
      <c r="HO552" s="5"/>
      <c r="HP552" s="5"/>
    </row>
    <row r="553" spans="3:224" ht="20.100000000000001" customHeight="1">
      <c r="C553" s="24">
        <v>15505003</v>
      </c>
      <c r="D553" s="25" t="s">
        <v>556</v>
      </c>
      <c r="E553" s="25">
        <v>11200003</v>
      </c>
      <c r="F553" s="25">
        <v>0</v>
      </c>
      <c r="G553" s="25">
        <v>1</v>
      </c>
      <c r="H553" s="25">
        <v>60</v>
      </c>
      <c r="I553" s="29">
        <v>0.2</v>
      </c>
      <c r="J553" s="30">
        <v>25</v>
      </c>
      <c r="K553" s="25">
        <v>0</v>
      </c>
      <c r="L553" s="25">
        <v>2630</v>
      </c>
      <c r="M553" s="25">
        <f t="shared" si="106"/>
        <v>106</v>
      </c>
      <c r="N553" s="25">
        <v>211</v>
      </c>
      <c r="O553" s="25">
        <v>0</v>
      </c>
      <c r="P553" s="25">
        <v>0</v>
      </c>
      <c r="Q553" s="25">
        <f t="shared" si="107"/>
        <v>23</v>
      </c>
      <c r="R553" s="25">
        <v>45</v>
      </c>
      <c r="S553" s="25">
        <f t="shared" si="108"/>
        <v>0</v>
      </c>
      <c r="T553" s="25">
        <v>0</v>
      </c>
      <c r="U553" s="29">
        <v>0</v>
      </c>
      <c r="V553" s="25">
        <v>0</v>
      </c>
      <c r="W553" s="25">
        <v>0</v>
      </c>
      <c r="X553" s="25">
        <v>0</v>
      </c>
      <c r="Y553" s="29">
        <v>0</v>
      </c>
      <c r="Z553" s="29">
        <v>0</v>
      </c>
      <c r="AA553" s="29">
        <v>0</v>
      </c>
      <c r="AB553" s="29">
        <v>0</v>
      </c>
      <c r="AC553" s="29">
        <v>0</v>
      </c>
      <c r="AD553" s="29">
        <v>0</v>
      </c>
      <c r="AE553" s="43"/>
      <c r="GR553" s="5"/>
      <c r="GS553" s="5"/>
      <c r="GT553" s="5"/>
      <c r="GU553" s="5"/>
      <c r="GV553" s="5"/>
      <c r="GW553" s="5"/>
      <c r="GX553" s="5"/>
      <c r="GY553" s="5"/>
      <c r="GZ553" s="5"/>
      <c r="HA553" s="5"/>
      <c r="HB553" s="5"/>
      <c r="HC553" s="5"/>
      <c r="HD553" s="5"/>
      <c r="HE553" s="5"/>
      <c r="HF553" s="5"/>
      <c r="HG553" s="5"/>
      <c r="HH553" s="5"/>
      <c r="HI553" s="5"/>
      <c r="HJ553" s="5"/>
      <c r="HK553" s="5"/>
      <c r="HL553" s="5"/>
      <c r="HM553" s="5"/>
      <c r="HN553" s="5"/>
      <c r="HO553" s="5"/>
      <c r="HP553" s="5"/>
    </row>
    <row r="554" spans="3:224" ht="20.100000000000001" customHeight="1">
      <c r="C554" s="24">
        <v>15505004</v>
      </c>
      <c r="D554" s="25" t="s">
        <v>557</v>
      </c>
      <c r="E554" s="25">
        <v>11200003</v>
      </c>
      <c r="F554" s="25">
        <v>15021</v>
      </c>
      <c r="G554" s="25">
        <v>1</v>
      </c>
      <c r="H554" s="25">
        <v>60</v>
      </c>
      <c r="I554" s="29">
        <v>0.2</v>
      </c>
      <c r="J554" s="30">
        <v>25</v>
      </c>
      <c r="K554" s="25">
        <v>0</v>
      </c>
      <c r="L554" s="25">
        <v>3150</v>
      </c>
      <c r="M554" s="25">
        <f t="shared" si="106"/>
        <v>122</v>
      </c>
      <c r="N554" s="25">
        <v>243</v>
      </c>
      <c r="O554" s="25">
        <v>0</v>
      </c>
      <c r="P554" s="25">
        <v>0</v>
      </c>
      <c r="Q554" s="25">
        <f t="shared" si="107"/>
        <v>27</v>
      </c>
      <c r="R554" s="25">
        <v>54</v>
      </c>
      <c r="S554" s="25">
        <f t="shared" si="108"/>
        <v>0</v>
      </c>
      <c r="T554" s="25">
        <v>0</v>
      </c>
      <c r="U554" s="29">
        <v>0</v>
      </c>
      <c r="V554" s="25">
        <v>0</v>
      </c>
      <c r="W554" s="25">
        <v>0</v>
      </c>
      <c r="X554" s="25">
        <v>0</v>
      </c>
      <c r="Y554" s="29">
        <v>0</v>
      </c>
      <c r="Z554" s="29">
        <v>0</v>
      </c>
      <c r="AA554" s="29">
        <v>0</v>
      </c>
      <c r="AB554" s="29">
        <v>0</v>
      </c>
      <c r="AC554" s="29">
        <v>0</v>
      </c>
      <c r="AD554" s="29">
        <v>0</v>
      </c>
      <c r="AE554" s="43"/>
      <c r="GR554" s="5"/>
      <c r="GS554" s="5"/>
      <c r="GT554" s="5"/>
      <c r="GU554" s="5"/>
      <c r="GV554" s="5"/>
      <c r="GW554" s="5"/>
      <c r="GX554" s="5"/>
      <c r="GY554" s="5"/>
      <c r="GZ554" s="5"/>
      <c r="HA554" s="5"/>
      <c r="HB554" s="5"/>
      <c r="HC554" s="5"/>
      <c r="HD554" s="5"/>
      <c r="HE554" s="5"/>
      <c r="HF554" s="5"/>
      <c r="HG554" s="5"/>
      <c r="HH554" s="5"/>
      <c r="HI554" s="5"/>
      <c r="HJ554" s="5"/>
      <c r="HK554" s="5"/>
      <c r="HL554" s="5"/>
      <c r="HM554" s="5"/>
      <c r="HN554" s="5"/>
      <c r="HO554" s="5"/>
      <c r="HP554" s="5"/>
    </row>
    <row r="555" spans="3:224" ht="20.100000000000001" customHeight="1">
      <c r="C555" s="24">
        <v>15505005</v>
      </c>
      <c r="D555" s="25" t="s">
        <v>558</v>
      </c>
      <c r="E555" s="25">
        <v>11200003</v>
      </c>
      <c r="F555" s="25">
        <v>0</v>
      </c>
      <c r="G555" s="25">
        <v>1</v>
      </c>
      <c r="H555" s="25">
        <v>60</v>
      </c>
      <c r="I555" s="29">
        <v>0.2</v>
      </c>
      <c r="J555" s="30">
        <v>25</v>
      </c>
      <c r="K555" s="25">
        <v>0</v>
      </c>
      <c r="L555" s="25">
        <v>7880</v>
      </c>
      <c r="M555" s="25">
        <f t="shared" si="106"/>
        <v>59</v>
      </c>
      <c r="N555" s="25">
        <v>117</v>
      </c>
      <c r="O555" s="25">
        <v>0</v>
      </c>
      <c r="P555" s="25">
        <v>0</v>
      </c>
      <c r="Q555" s="25">
        <f t="shared" si="107"/>
        <v>38</v>
      </c>
      <c r="R555" s="25">
        <v>75</v>
      </c>
      <c r="S555" s="25">
        <f t="shared" si="108"/>
        <v>0</v>
      </c>
      <c r="T555" s="25">
        <v>0</v>
      </c>
      <c r="U555" s="29">
        <v>0</v>
      </c>
      <c r="V555" s="25">
        <v>0</v>
      </c>
      <c r="W555" s="25">
        <v>0</v>
      </c>
      <c r="X555" s="25">
        <v>0</v>
      </c>
      <c r="Y555" s="29">
        <v>0</v>
      </c>
      <c r="Z555" s="29">
        <v>0</v>
      </c>
      <c r="AA555" s="29">
        <v>0</v>
      </c>
      <c r="AB555" s="29">
        <v>0</v>
      </c>
      <c r="AC555" s="29">
        <v>0</v>
      </c>
      <c r="AD555" s="29">
        <v>0</v>
      </c>
      <c r="AE555" s="43"/>
      <c r="GR555" s="5"/>
      <c r="GS555" s="5"/>
      <c r="GT555" s="5"/>
      <c r="GU555" s="5"/>
      <c r="GV555" s="5"/>
      <c r="GW555" s="5"/>
      <c r="GX555" s="5"/>
      <c r="GY555" s="5"/>
      <c r="GZ555" s="5"/>
      <c r="HA555" s="5"/>
      <c r="HB555" s="5"/>
      <c r="HC555" s="5"/>
      <c r="HD555" s="5"/>
      <c r="HE555" s="5"/>
      <c r="HF555" s="5"/>
      <c r="HG555" s="5"/>
      <c r="HH555" s="5"/>
      <c r="HI555" s="5"/>
      <c r="HJ555" s="5"/>
      <c r="HK555" s="5"/>
      <c r="HL555" s="5"/>
      <c r="HM555" s="5"/>
      <c r="HN555" s="5"/>
      <c r="HO555" s="5"/>
      <c r="HP555" s="5"/>
    </row>
    <row r="556" spans="3:224" ht="20.100000000000001" customHeight="1">
      <c r="C556" s="24">
        <v>15505006</v>
      </c>
      <c r="D556" s="25" t="s">
        <v>559</v>
      </c>
      <c r="E556" s="25">
        <v>11200003</v>
      </c>
      <c r="F556" s="25">
        <v>15031</v>
      </c>
      <c r="G556" s="25">
        <v>1</v>
      </c>
      <c r="H556" s="25">
        <v>60</v>
      </c>
      <c r="I556" s="29">
        <v>0.2</v>
      </c>
      <c r="J556" s="30">
        <v>25</v>
      </c>
      <c r="K556" s="25">
        <v>0</v>
      </c>
      <c r="L556" s="25">
        <v>9450</v>
      </c>
      <c r="M556" s="25">
        <f t="shared" si="106"/>
        <v>68</v>
      </c>
      <c r="N556" s="25">
        <v>135</v>
      </c>
      <c r="O556" s="25">
        <v>0</v>
      </c>
      <c r="P556" s="25">
        <v>0</v>
      </c>
      <c r="Q556" s="25">
        <f t="shared" si="107"/>
        <v>45</v>
      </c>
      <c r="R556" s="25">
        <v>90</v>
      </c>
      <c r="S556" s="25">
        <f t="shared" si="108"/>
        <v>0</v>
      </c>
      <c r="T556" s="25">
        <v>0</v>
      </c>
      <c r="U556" s="29">
        <v>0</v>
      </c>
      <c r="V556" s="25">
        <v>0</v>
      </c>
      <c r="W556" s="25">
        <v>0</v>
      </c>
      <c r="X556" s="25">
        <v>0</v>
      </c>
      <c r="Y556" s="29">
        <v>0</v>
      </c>
      <c r="Z556" s="29">
        <v>0</v>
      </c>
      <c r="AA556" s="29">
        <v>0</v>
      </c>
      <c r="AB556" s="29">
        <v>0</v>
      </c>
      <c r="AC556" s="29">
        <v>0</v>
      </c>
      <c r="AD556" s="29">
        <v>0</v>
      </c>
      <c r="AE556" s="43"/>
      <c r="GR556" s="5"/>
      <c r="GS556" s="5"/>
      <c r="GT556" s="5"/>
      <c r="GU556" s="5"/>
      <c r="GV556" s="5"/>
      <c r="GW556" s="5"/>
      <c r="GX556" s="5"/>
      <c r="GY556" s="5"/>
      <c r="GZ556" s="5"/>
      <c r="HA556" s="5"/>
      <c r="HB556" s="5"/>
      <c r="HC556" s="5"/>
      <c r="HD556" s="5"/>
      <c r="HE556" s="5"/>
      <c r="HF556" s="5"/>
      <c r="HG556" s="5"/>
      <c r="HH556" s="5"/>
      <c r="HI556" s="5"/>
      <c r="HJ556" s="5"/>
      <c r="HK556" s="5"/>
      <c r="HL556" s="5"/>
      <c r="HM556" s="5"/>
      <c r="HN556" s="5"/>
      <c r="HO556" s="5"/>
      <c r="HP556" s="5"/>
    </row>
    <row r="557" spans="3:224" ht="20.100000000000001" customHeight="1">
      <c r="C557" s="24">
        <v>15506001</v>
      </c>
      <c r="D557" s="25" t="s">
        <v>560</v>
      </c>
      <c r="E557" s="25">
        <v>11200002</v>
      </c>
      <c r="F557" s="25">
        <v>0</v>
      </c>
      <c r="G557" s="25">
        <v>1</v>
      </c>
      <c r="H557" s="25">
        <v>60</v>
      </c>
      <c r="I557" s="29">
        <v>0.2</v>
      </c>
      <c r="J557" s="30">
        <v>25</v>
      </c>
      <c r="K557" s="25">
        <v>0</v>
      </c>
      <c r="L557" s="25">
        <v>0</v>
      </c>
      <c r="M557" s="25">
        <f t="shared" si="106"/>
        <v>150</v>
      </c>
      <c r="N557" s="25">
        <v>300</v>
      </c>
      <c r="O557" s="25">
        <v>0</v>
      </c>
      <c r="P557" s="25">
        <v>0</v>
      </c>
      <c r="Q557" s="25">
        <f t="shared" si="107"/>
        <v>45</v>
      </c>
      <c r="R557" s="25">
        <v>90</v>
      </c>
      <c r="S557" s="25">
        <f t="shared" si="108"/>
        <v>0</v>
      </c>
      <c r="T557" s="25">
        <v>0</v>
      </c>
      <c r="U557" s="29">
        <v>0</v>
      </c>
      <c r="V557" s="25">
        <v>0</v>
      </c>
      <c r="W557" s="25">
        <v>0</v>
      </c>
      <c r="X557" s="25">
        <v>0</v>
      </c>
      <c r="Y557" s="29">
        <v>0</v>
      </c>
      <c r="Z557" s="29">
        <v>0</v>
      </c>
      <c r="AA557" s="29">
        <v>0</v>
      </c>
      <c r="AB557" s="29">
        <v>0</v>
      </c>
      <c r="AC557" s="29">
        <v>0</v>
      </c>
      <c r="AD557" s="29">
        <v>0</v>
      </c>
      <c r="AE557" s="43"/>
      <c r="GR557" s="5"/>
      <c r="GS557" s="5"/>
      <c r="GT557" s="5"/>
      <c r="GU557" s="5"/>
      <c r="GV557" s="5"/>
      <c r="GW557" s="5"/>
      <c r="GX557" s="5"/>
      <c r="GY557" s="5"/>
      <c r="GZ557" s="5"/>
      <c r="HA557" s="5"/>
      <c r="HB557" s="5"/>
      <c r="HC557" s="5"/>
      <c r="HD557" s="5"/>
      <c r="HE557" s="5"/>
      <c r="HF557" s="5"/>
      <c r="HG557" s="5"/>
      <c r="HH557" s="5"/>
      <c r="HI557" s="5"/>
      <c r="HJ557" s="5"/>
      <c r="HK557" s="5"/>
      <c r="HL557" s="5"/>
      <c r="HM557" s="5"/>
      <c r="HN557" s="5"/>
      <c r="HO557" s="5"/>
      <c r="HP557" s="5"/>
    </row>
    <row r="558" spans="3:224" ht="20.100000000000001" customHeight="1">
      <c r="C558" s="24">
        <v>15506002</v>
      </c>
      <c r="D558" s="25" t="s">
        <v>561</v>
      </c>
      <c r="E558" s="25">
        <v>11200002</v>
      </c>
      <c r="F558" s="25">
        <v>0</v>
      </c>
      <c r="G558" s="25">
        <v>1</v>
      </c>
      <c r="H558" s="25">
        <v>60</v>
      </c>
      <c r="I558" s="29">
        <v>0.2</v>
      </c>
      <c r="J558" s="30">
        <v>25</v>
      </c>
      <c r="K558" s="25">
        <v>0</v>
      </c>
      <c r="L558" s="25">
        <v>0</v>
      </c>
      <c r="M558" s="25">
        <f t="shared" si="106"/>
        <v>180</v>
      </c>
      <c r="N558" s="25">
        <v>360</v>
      </c>
      <c r="O558" s="25">
        <v>0</v>
      </c>
      <c r="P558" s="25">
        <v>0</v>
      </c>
      <c r="Q558" s="25">
        <f t="shared" si="107"/>
        <v>54</v>
      </c>
      <c r="R558" s="25">
        <v>108</v>
      </c>
      <c r="S558" s="25">
        <f t="shared" si="108"/>
        <v>0</v>
      </c>
      <c r="T558" s="25">
        <v>0</v>
      </c>
      <c r="U558" s="29">
        <v>0</v>
      </c>
      <c r="V558" s="25">
        <v>0</v>
      </c>
      <c r="W558" s="25">
        <v>0</v>
      </c>
      <c r="X558" s="25">
        <v>0</v>
      </c>
      <c r="Y558" s="29">
        <v>0</v>
      </c>
      <c r="Z558" s="29">
        <v>0</v>
      </c>
      <c r="AA558" s="29">
        <v>0</v>
      </c>
      <c r="AB558" s="29">
        <v>0</v>
      </c>
      <c r="AC558" s="29">
        <v>0</v>
      </c>
      <c r="AD558" s="29">
        <v>0</v>
      </c>
      <c r="AE558" s="43"/>
      <c r="GR558" s="5"/>
      <c r="GS558" s="5"/>
      <c r="GT558" s="5"/>
      <c r="GU558" s="5"/>
      <c r="GV558" s="5"/>
      <c r="GW558" s="5"/>
      <c r="GX558" s="5"/>
      <c r="GY558" s="5"/>
      <c r="GZ558" s="5"/>
      <c r="HA558" s="5"/>
      <c r="HB558" s="5"/>
      <c r="HC558" s="5"/>
      <c r="HD558" s="5"/>
      <c r="HE558" s="5"/>
      <c r="HF558" s="5"/>
      <c r="HG558" s="5"/>
      <c r="HH558" s="5"/>
      <c r="HI558" s="5"/>
      <c r="HJ558" s="5"/>
      <c r="HK558" s="5"/>
      <c r="HL558" s="5"/>
      <c r="HM558" s="5"/>
      <c r="HN558" s="5"/>
      <c r="HO558" s="5"/>
      <c r="HP558" s="5"/>
    </row>
    <row r="559" spans="3:224" ht="20.100000000000001" customHeight="1">
      <c r="C559" s="24">
        <v>15506003</v>
      </c>
      <c r="D559" s="36" t="s">
        <v>562</v>
      </c>
      <c r="E559" s="25">
        <v>11200002</v>
      </c>
      <c r="F559" s="25">
        <v>15051</v>
      </c>
      <c r="G559" s="25">
        <v>1</v>
      </c>
      <c r="H559" s="25">
        <v>60</v>
      </c>
      <c r="I559" s="29">
        <v>0.2</v>
      </c>
      <c r="J559" s="30">
        <v>25</v>
      </c>
      <c r="K559" s="25">
        <v>0</v>
      </c>
      <c r="L559" s="25">
        <v>0</v>
      </c>
      <c r="M559" s="25">
        <v>200</v>
      </c>
      <c r="N559" s="25">
        <v>400</v>
      </c>
      <c r="O559" s="25">
        <v>0</v>
      </c>
      <c r="P559" s="25">
        <v>0</v>
      </c>
      <c r="Q559" s="25">
        <v>56</v>
      </c>
      <c r="R559" s="25">
        <v>120</v>
      </c>
      <c r="S559" s="25">
        <f t="shared" ref="S559" si="109">ROUND(T559/2,0)</f>
        <v>0</v>
      </c>
      <c r="T559" s="25">
        <v>0</v>
      </c>
      <c r="U559" s="29">
        <v>0</v>
      </c>
      <c r="V559" s="25">
        <v>0</v>
      </c>
      <c r="W559" s="25">
        <v>0</v>
      </c>
      <c r="X559" s="25">
        <v>0</v>
      </c>
      <c r="Y559" s="29">
        <v>0</v>
      </c>
      <c r="Z559" s="29">
        <v>0</v>
      </c>
      <c r="AA559" s="29">
        <v>0</v>
      </c>
      <c r="AB559" s="29">
        <v>200103</v>
      </c>
      <c r="AC559" s="29">
        <v>500</v>
      </c>
      <c r="AD559" s="29">
        <v>1</v>
      </c>
      <c r="AE559" s="43"/>
      <c r="GR559" s="5"/>
      <c r="GS559" s="5"/>
      <c r="GT559" s="5"/>
      <c r="GU559" s="5"/>
      <c r="GV559" s="5"/>
      <c r="GW559" s="5"/>
      <c r="GX559" s="5"/>
      <c r="GY559" s="5"/>
      <c r="GZ559" s="5"/>
      <c r="HA559" s="5"/>
      <c r="HB559" s="5"/>
      <c r="HC559" s="5"/>
      <c r="HD559" s="5"/>
      <c r="HE559" s="5"/>
      <c r="HF559" s="5"/>
      <c r="HG559" s="5"/>
      <c r="HH559" s="5"/>
      <c r="HI559" s="5"/>
      <c r="HJ559" s="5"/>
      <c r="HK559" s="5"/>
      <c r="HL559" s="5"/>
      <c r="HM559" s="5"/>
      <c r="HN559" s="5"/>
      <c r="HO559" s="5"/>
      <c r="HP559" s="5"/>
    </row>
    <row r="560" spans="3:224" ht="20.100000000000001" customHeight="1">
      <c r="C560" s="24">
        <v>15507001</v>
      </c>
      <c r="D560" s="25" t="s">
        <v>563</v>
      </c>
      <c r="E560" s="25">
        <v>11200002</v>
      </c>
      <c r="F560" s="25">
        <v>0</v>
      </c>
      <c r="G560" s="25">
        <v>1</v>
      </c>
      <c r="H560" s="25">
        <v>60</v>
      </c>
      <c r="I560" s="29">
        <v>0.2</v>
      </c>
      <c r="J560" s="30">
        <v>25</v>
      </c>
      <c r="K560" s="25">
        <v>0</v>
      </c>
      <c r="L560" s="25">
        <v>0</v>
      </c>
      <c r="M560" s="25">
        <f t="shared" si="106"/>
        <v>150</v>
      </c>
      <c r="N560" s="25">
        <v>300</v>
      </c>
      <c r="O560" s="25">
        <v>0</v>
      </c>
      <c r="P560" s="25">
        <v>0</v>
      </c>
      <c r="Q560" s="25">
        <f t="shared" si="107"/>
        <v>0</v>
      </c>
      <c r="R560" s="25">
        <v>0</v>
      </c>
      <c r="S560" s="25">
        <f t="shared" si="108"/>
        <v>45</v>
      </c>
      <c r="T560" s="25">
        <v>90</v>
      </c>
      <c r="U560" s="29">
        <v>0</v>
      </c>
      <c r="V560" s="25">
        <v>0</v>
      </c>
      <c r="W560" s="25">
        <v>0</v>
      </c>
      <c r="X560" s="25">
        <v>0</v>
      </c>
      <c r="Y560" s="29">
        <v>0</v>
      </c>
      <c r="Z560" s="29">
        <v>0</v>
      </c>
      <c r="AA560" s="29">
        <v>0</v>
      </c>
      <c r="AB560" s="29">
        <v>0</v>
      </c>
      <c r="AC560" s="29">
        <v>0</v>
      </c>
      <c r="AD560" s="29">
        <v>0</v>
      </c>
      <c r="AE560" s="43"/>
      <c r="GR560" s="5"/>
      <c r="GS560" s="5"/>
      <c r="GT560" s="5"/>
      <c r="GU560" s="5"/>
      <c r="GV560" s="5"/>
      <c r="GW560" s="5"/>
      <c r="GX560" s="5"/>
      <c r="GY560" s="5"/>
      <c r="GZ560" s="5"/>
      <c r="HA560" s="5"/>
      <c r="HB560" s="5"/>
      <c r="HC560" s="5"/>
      <c r="HD560" s="5"/>
      <c r="HE560" s="5"/>
      <c r="HF560" s="5"/>
      <c r="HG560" s="5"/>
      <c r="HH560" s="5"/>
      <c r="HI560" s="5"/>
      <c r="HJ560" s="5"/>
      <c r="HK560" s="5"/>
      <c r="HL560" s="5"/>
      <c r="HM560" s="5"/>
      <c r="HN560" s="5"/>
      <c r="HO560" s="5"/>
      <c r="HP560" s="5"/>
    </row>
    <row r="561" spans="3:224" ht="20.100000000000001" customHeight="1">
      <c r="C561" s="24">
        <v>15507002</v>
      </c>
      <c r="D561" s="25" t="s">
        <v>564</v>
      </c>
      <c r="E561" s="25">
        <v>11200002</v>
      </c>
      <c r="F561" s="25">
        <v>0</v>
      </c>
      <c r="G561" s="25">
        <v>1</v>
      </c>
      <c r="H561" s="25">
        <v>60</v>
      </c>
      <c r="I561" s="29">
        <v>0.2</v>
      </c>
      <c r="J561" s="30">
        <v>25</v>
      </c>
      <c r="K561" s="25">
        <v>0</v>
      </c>
      <c r="L561" s="25">
        <v>0</v>
      </c>
      <c r="M561" s="25">
        <f t="shared" si="106"/>
        <v>180</v>
      </c>
      <c r="N561" s="25">
        <v>360</v>
      </c>
      <c r="O561" s="25">
        <v>0</v>
      </c>
      <c r="P561" s="25">
        <v>0</v>
      </c>
      <c r="Q561" s="25">
        <f t="shared" si="107"/>
        <v>0</v>
      </c>
      <c r="R561" s="25">
        <v>0</v>
      </c>
      <c r="S561" s="25">
        <f t="shared" si="108"/>
        <v>54</v>
      </c>
      <c r="T561" s="25">
        <v>108</v>
      </c>
      <c r="U561" s="29">
        <v>0</v>
      </c>
      <c r="V561" s="25">
        <v>0</v>
      </c>
      <c r="W561" s="25">
        <v>0</v>
      </c>
      <c r="X561" s="25">
        <v>0</v>
      </c>
      <c r="Y561" s="29">
        <v>0</v>
      </c>
      <c r="Z561" s="29">
        <v>0</v>
      </c>
      <c r="AA561" s="29">
        <v>0</v>
      </c>
      <c r="AB561" s="29">
        <v>0</v>
      </c>
      <c r="AC561" s="29">
        <v>0</v>
      </c>
      <c r="AD561" s="29">
        <v>0</v>
      </c>
      <c r="AE561" s="43"/>
      <c r="GR561" s="5"/>
      <c r="GS561" s="5"/>
      <c r="GT561" s="5"/>
      <c r="GU561" s="5"/>
      <c r="GV561" s="5"/>
      <c r="GW561" s="5"/>
      <c r="GX561" s="5"/>
      <c r="GY561" s="5"/>
      <c r="GZ561" s="5"/>
      <c r="HA561" s="5"/>
      <c r="HB561" s="5"/>
      <c r="HC561" s="5"/>
      <c r="HD561" s="5"/>
      <c r="HE561" s="5"/>
      <c r="HF561" s="5"/>
      <c r="HG561" s="5"/>
      <c r="HH561" s="5"/>
      <c r="HI561" s="5"/>
      <c r="HJ561" s="5"/>
      <c r="HK561" s="5"/>
      <c r="HL561" s="5"/>
      <c r="HM561" s="5"/>
      <c r="HN561" s="5"/>
      <c r="HO561" s="5"/>
      <c r="HP561" s="5"/>
    </row>
    <row r="562" spans="3:224" s="3" customFormat="1" ht="20.100000000000001" customHeight="1">
      <c r="C562" s="26">
        <v>15507003</v>
      </c>
      <c r="D562" s="28" t="s">
        <v>565</v>
      </c>
      <c r="E562" s="28">
        <v>11200002</v>
      </c>
      <c r="F562" s="28">
        <v>0</v>
      </c>
      <c r="G562" s="28">
        <v>1</v>
      </c>
      <c r="H562" s="28">
        <v>60</v>
      </c>
      <c r="I562" s="31">
        <v>0.2</v>
      </c>
      <c r="J562" s="30">
        <v>25</v>
      </c>
      <c r="K562" s="28">
        <v>0</v>
      </c>
      <c r="L562" s="28">
        <v>0</v>
      </c>
      <c r="M562" s="28">
        <f t="shared" ref="M562" si="110">ROUND(N562/2,0)</f>
        <v>210</v>
      </c>
      <c r="N562" s="28">
        <v>420</v>
      </c>
      <c r="O562" s="28">
        <v>0</v>
      </c>
      <c r="P562" s="28">
        <v>0</v>
      </c>
      <c r="Q562" s="28">
        <f t="shared" ref="Q562" si="111">ROUND(R562/2,0)</f>
        <v>0</v>
      </c>
      <c r="R562" s="28">
        <v>0</v>
      </c>
      <c r="S562" s="28">
        <f t="shared" ref="S562" si="112">ROUND(T562/2,0)</f>
        <v>60</v>
      </c>
      <c r="T562" s="28">
        <v>120</v>
      </c>
      <c r="U562" s="31">
        <v>0</v>
      </c>
      <c r="V562" s="28">
        <v>0</v>
      </c>
      <c r="W562" s="28">
        <v>0</v>
      </c>
      <c r="X562" s="28">
        <v>0</v>
      </c>
      <c r="Y562" s="31">
        <v>0</v>
      </c>
      <c r="Z562" s="31">
        <v>0</v>
      </c>
      <c r="AA562" s="31">
        <v>0</v>
      </c>
      <c r="AB562" s="31">
        <v>0</v>
      </c>
      <c r="AC562" s="31">
        <v>0</v>
      </c>
      <c r="AD562" s="31">
        <v>0</v>
      </c>
      <c r="AE562" s="45"/>
      <c r="AF562" s="33"/>
      <c r="AG562" s="33"/>
      <c r="AH562" s="33"/>
      <c r="AI562" s="33"/>
      <c r="AJ562" s="33"/>
      <c r="AK562" s="33"/>
      <c r="AL562" s="33"/>
      <c r="AM562" s="33"/>
      <c r="AN562" s="33"/>
      <c r="AO562" s="33"/>
      <c r="AP562" s="33"/>
      <c r="AQ562" s="33"/>
      <c r="AR562" s="33"/>
      <c r="AS562" s="33"/>
      <c r="AT562" s="33"/>
      <c r="AU562" s="33"/>
      <c r="AV562" s="33"/>
      <c r="AW562" s="33"/>
      <c r="AX562" s="33"/>
      <c r="AY562" s="33"/>
      <c r="AZ562" s="33"/>
      <c r="BA562" s="33"/>
      <c r="BB562" s="33"/>
      <c r="BC562" s="33"/>
      <c r="BD562" s="33"/>
      <c r="BE562" s="33"/>
      <c r="BF562" s="33"/>
      <c r="BG562" s="33"/>
      <c r="BH562" s="33"/>
      <c r="BI562" s="33"/>
      <c r="BJ562" s="33"/>
      <c r="BK562" s="33"/>
      <c r="BL562" s="33"/>
      <c r="BM562" s="33"/>
      <c r="BN562" s="33"/>
      <c r="BO562" s="33"/>
      <c r="BP562" s="33"/>
      <c r="BQ562" s="33"/>
      <c r="BR562" s="33"/>
      <c r="BS562" s="33"/>
      <c r="BT562" s="33"/>
      <c r="BU562" s="33"/>
      <c r="BV562" s="33"/>
      <c r="BW562" s="33"/>
      <c r="BX562" s="33"/>
      <c r="BY562" s="33"/>
      <c r="BZ562" s="33"/>
      <c r="CA562" s="33"/>
      <c r="CB562" s="33"/>
      <c r="CC562" s="33"/>
      <c r="CD562" s="33"/>
      <c r="CE562" s="33"/>
      <c r="CF562" s="33"/>
      <c r="CG562" s="33"/>
      <c r="CH562" s="33"/>
      <c r="CI562" s="33"/>
      <c r="CJ562" s="33"/>
      <c r="CK562" s="33"/>
      <c r="CL562" s="33"/>
      <c r="CM562" s="33"/>
      <c r="CN562" s="33"/>
      <c r="CO562" s="33"/>
      <c r="CP562" s="33"/>
      <c r="CQ562" s="33"/>
      <c r="CR562" s="33"/>
      <c r="CS562" s="33"/>
      <c r="CT562" s="33"/>
      <c r="CU562" s="33"/>
      <c r="CV562" s="33"/>
      <c r="CW562" s="33"/>
      <c r="CX562" s="33"/>
      <c r="CY562" s="33"/>
      <c r="CZ562" s="33"/>
      <c r="DA562" s="33"/>
      <c r="DB562" s="33"/>
      <c r="DC562" s="33"/>
      <c r="DD562" s="33"/>
      <c r="DE562" s="33"/>
      <c r="DF562" s="33"/>
      <c r="DG562" s="33"/>
      <c r="DH562" s="33"/>
      <c r="DI562" s="33"/>
      <c r="DJ562" s="33"/>
      <c r="DK562" s="33"/>
      <c r="DL562" s="33"/>
      <c r="DM562" s="33"/>
      <c r="DN562" s="33"/>
      <c r="DO562" s="33"/>
      <c r="DP562" s="33"/>
      <c r="DQ562" s="33"/>
      <c r="DR562" s="33"/>
      <c r="DS562" s="33"/>
      <c r="DT562" s="33"/>
      <c r="DU562" s="33"/>
      <c r="DV562" s="33"/>
      <c r="DW562" s="33"/>
      <c r="DX562" s="33"/>
      <c r="DY562" s="33"/>
      <c r="DZ562" s="33"/>
      <c r="EA562" s="33"/>
      <c r="EB562" s="33"/>
      <c r="EC562" s="33"/>
      <c r="ED562" s="33"/>
      <c r="EE562" s="33"/>
      <c r="EF562" s="33"/>
      <c r="EG562" s="33"/>
      <c r="EH562" s="33"/>
      <c r="EI562" s="33"/>
      <c r="EJ562" s="33"/>
      <c r="EK562" s="33"/>
      <c r="EL562" s="33"/>
      <c r="EM562" s="33"/>
      <c r="EN562" s="33"/>
      <c r="EO562" s="33"/>
      <c r="EP562" s="33"/>
      <c r="EQ562" s="33"/>
      <c r="ER562" s="33"/>
      <c r="ES562" s="33"/>
      <c r="ET562" s="33"/>
      <c r="EU562" s="33"/>
      <c r="EV562" s="33"/>
      <c r="EW562" s="33"/>
      <c r="EX562" s="33"/>
      <c r="EY562" s="33"/>
      <c r="EZ562" s="33"/>
      <c r="FA562" s="33"/>
      <c r="FB562" s="33"/>
      <c r="FC562" s="33"/>
      <c r="FD562" s="33"/>
      <c r="FE562" s="33"/>
      <c r="FF562" s="33"/>
      <c r="FG562" s="33"/>
      <c r="FH562" s="33"/>
      <c r="FI562" s="33"/>
      <c r="FJ562" s="33"/>
      <c r="FK562" s="33"/>
      <c r="FL562" s="33"/>
      <c r="FM562" s="33"/>
      <c r="FN562" s="33"/>
      <c r="FO562" s="33"/>
      <c r="FP562" s="33"/>
      <c r="FQ562" s="33"/>
      <c r="FR562" s="33"/>
      <c r="FS562" s="33"/>
      <c r="FT562" s="33"/>
      <c r="FU562" s="33"/>
      <c r="FV562" s="33"/>
      <c r="FW562" s="33"/>
      <c r="FX562" s="33"/>
      <c r="FY562" s="33"/>
      <c r="FZ562" s="33"/>
      <c r="GA562" s="33"/>
      <c r="GB562" s="33"/>
      <c r="GC562" s="33"/>
      <c r="GD562" s="33"/>
      <c r="GE562" s="33"/>
      <c r="GF562" s="33"/>
      <c r="GG562" s="33"/>
      <c r="GH562" s="33"/>
      <c r="GI562" s="33"/>
      <c r="GJ562" s="33"/>
      <c r="GK562" s="33"/>
      <c r="GL562" s="33"/>
      <c r="GM562" s="33"/>
      <c r="GN562" s="33"/>
      <c r="GO562" s="33"/>
      <c r="GP562" s="33"/>
      <c r="GQ562" s="33"/>
      <c r="GR562" s="33"/>
      <c r="GS562" s="33"/>
      <c r="GT562" s="33"/>
      <c r="GU562" s="33"/>
      <c r="GV562" s="33"/>
      <c r="GW562" s="33"/>
      <c r="GX562" s="33"/>
      <c r="GY562" s="33"/>
      <c r="GZ562" s="33"/>
      <c r="HA562" s="33"/>
      <c r="HB562" s="33"/>
      <c r="HC562" s="33"/>
      <c r="HD562" s="33"/>
      <c r="HE562" s="33"/>
      <c r="HF562" s="33"/>
      <c r="HG562" s="33"/>
      <c r="HH562" s="33"/>
      <c r="HI562" s="33"/>
      <c r="HJ562" s="33"/>
      <c r="HK562" s="33"/>
      <c r="HL562" s="33"/>
      <c r="HM562" s="33"/>
      <c r="HN562" s="33"/>
      <c r="HO562" s="33"/>
      <c r="HP562" s="33"/>
    </row>
    <row r="563" spans="3:224" ht="20.100000000000001" customHeight="1">
      <c r="C563" s="24">
        <v>15508001</v>
      </c>
      <c r="D563" s="25" t="s">
        <v>329</v>
      </c>
      <c r="E563" s="25">
        <v>11200002</v>
      </c>
      <c r="F563" s="25">
        <v>0</v>
      </c>
      <c r="G563" s="25">
        <v>1</v>
      </c>
      <c r="H563" s="25">
        <v>60</v>
      </c>
      <c r="I563" s="29">
        <v>0.2</v>
      </c>
      <c r="J563" s="30">
        <v>25</v>
      </c>
      <c r="K563" s="25">
        <v>0</v>
      </c>
      <c r="L563" s="25">
        <v>0</v>
      </c>
      <c r="M563" s="25">
        <f t="shared" si="106"/>
        <v>25</v>
      </c>
      <c r="N563" s="25">
        <v>50</v>
      </c>
      <c r="O563" s="25">
        <v>0</v>
      </c>
      <c r="P563" s="25">
        <v>0</v>
      </c>
      <c r="Q563" s="25">
        <f t="shared" si="107"/>
        <v>0</v>
      </c>
      <c r="R563" s="25">
        <v>0</v>
      </c>
      <c r="S563" s="25">
        <f t="shared" si="108"/>
        <v>0</v>
      </c>
      <c r="T563" s="25">
        <v>0</v>
      </c>
      <c r="U563" s="29">
        <v>0</v>
      </c>
      <c r="V563" s="25">
        <v>0</v>
      </c>
      <c r="W563" s="25">
        <v>0</v>
      </c>
      <c r="X563" s="25">
        <v>0</v>
      </c>
      <c r="Y563" s="29">
        <v>0</v>
      </c>
      <c r="Z563" s="29">
        <v>0</v>
      </c>
      <c r="AA563" s="29">
        <v>0</v>
      </c>
      <c r="AB563" s="29">
        <v>0</v>
      </c>
      <c r="AC563" s="29">
        <v>0</v>
      </c>
      <c r="AD563" s="29">
        <v>0</v>
      </c>
      <c r="AE563" s="43"/>
      <c r="GR563" s="5"/>
      <c r="GS563" s="5"/>
      <c r="GT563" s="5"/>
      <c r="GU563" s="5"/>
      <c r="GV563" s="5"/>
      <c r="GW563" s="5"/>
      <c r="GX563" s="5"/>
      <c r="GY563" s="5"/>
      <c r="GZ563" s="5"/>
      <c r="HA563" s="5"/>
      <c r="HB563" s="5"/>
      <c r="HC563" s="5"/>
      <c r="HD563" s="5"/>
      <c r="HE563" s="5"/>
      <c r="HF563" s="5"/>
      <c r="HG563" s="5"/>
      <c r="HH563" s="5"/>
      <c r="HI563" s="5"/>
      <c r="HJ563" s="5"/>
      <c r="HK563" s="5"/>
      <c r="HL563" s="5"/>
      <c r="HM563" s="5"/>
      <c r="HN563" s="5"/>
      <c r="HO563" s="5"/>
      <c r="HP563" s="5"/>
    </row>
    <row r="564" spans="3:224" ht="20.100000000000001" customHeight="1">
      <c r="C564" s="24">
        <v>15508002</v>
      </c>
      <c r="D564" s="25" t="s">
        <v>566</v>
      </c>
      <c r="E564" s="25">
        <v>11200002</v>
      </c>
      <c r="F564" s="25">
        <v>0</v>
      </c>
      <c r="G564" s="25">
        <v>1</v>
      </c>
      <c r="H564" s="25">
        <v>60</v>
      </c>
      <c r="I564" s="29">
        <v>0.2</v>
      </c>
      <c r="J564" s="30">
        <v>25</v>
      </c>
      <c r="K564" s="25">
        <v>0</v>
      </c>
      <c r="L564" s="25">
        <v>0</v>
      </c>
      <c r="M564" s="25">
        <v>30</v>
      </c>
      <c r="N564" s="25">
        <v>65</v>
      </c>
      <c r="O564" s="25">
        <v>0</v>
      </c>
      <c r="P564" s="25">
        <v>0</v>
      </c>
      <c r="Q564" s="25">
        <f t="shared" si="107"/>
        <v>0</v>
      </c>
      <c r="R564" s="25">
        <v>0</v>
      </c>
      <c r="S564" s="25">
        <f t="shared" si="108"/>
        <v>0</v>
      </c>
      <c r="T564" s="25">
        <v>0</v>
      </c>
      <c r="U564" s="29">
        <v>0</v>
      </c>
      <c r="V564" s="25">
        <v>0</v>
      </c>
      <c r="W564" s="25">
        <v>0</v>
      </c>
      <c r="X564" s="25">
        <v>0</v>
      </c>
      <c r="Y564" s="29">
        <v>0</v>
      </c>
      <c r="Z564" s="29">
        <v>0</v>
      </c>
      <c r="AA564" s="29">
        <v>0</v>
      </c>
      <c r="AB564" s="29">
        <v>0</v>
      </c>
      <c r="AC564" s="29">
        <v>0</v>
      </c>
      <c r="AD564" s="29">
        <v>0</v>
      </c>
      <c r="AE564" s="43"/>
      <c r="GR564" s="5"/>
      <c r="GS564" s="5"/>
      <c r="GT564" s="5"/>
      <c r="GU564" s="5"/>
      <c r="GV564" s="5"/>
      <c r="GW564" s="5"/>
      <c r="GX564" s="5"/>
      <c r="GY564" s="5"/>
      <c r="GZ564" s="5"/>
      <c r="HA564" s="5"/>
      <c r="HB564" s="5"/>
      <c r="HC564" s="5"/>
      <c r="HD564" s="5"/>
      <c r="HE564" s="5"/>
      <c r="HF564" s="5"/>
      <c r="HG564" s="5"/>
      <c r="HH564" s="5"/>
      <c r="HI564" s="5"/>
      <c r="HJ564" s="5"/>
      <c r="HK564" s="5"/>
      <c r="HL564" s="5"/>
      <c r="HM564" s="5"/>
      <c r="HN564" s="5"/>
      <c r="HO564" s="5"/>
      <c r="HP564" s="5"/>
    </row>
    <row r="565" spans="3:224" s="3" customFormat="1" ht="20.100000000000001" customHeight="1">
      <c r="C565" s="26">
        <v>15508003</v>
      </c>
      <c r="D565" s="46" t="s">
        <v>567</v>
      </c>
      <c r="E565" s="28">
        <v>11200002</v>
      </c>
      <c r="F565" s="28">
        <v>0</v>
      </c>
      <c r="G565" s="28">
        <v>1</v>
      </c>
      <c r="H565" s="28">
        <v>60</v>
      </c>
      <c r="I565" s="31">
        <v>0.2</v>
      </c>
      <c r="J565" s="30">
        <v>25</v>
      </c>
      <c r="K565" s="28">
        <v>0</v>
      </c>
      <c r="L565" s="28">
        <v>0</v>
      </c>
      <c r="M565" s="28">
        <v>30</v>
      </c>
      <c r="N565" s="28">
        <v>80</v>
      </c>
      <c r="O565" s="28">
        <v>0</v>
      </c>
      <c r="P565" s="28">
        <v>0</v>
      </c>
      <c r="Q565" s="28">
        <f t="shared" ref="Q565" si="113">ROUND(R565/2,0)</f>
        <v>0</v>
      </c>
      <c r="R565" s="28">
        <v>0</v>
      </c>
      <c r="S565" s="28">
        <f t="shared" ref="S565" si="114">ROUND(T565/2,0)</f>
        <v>0</v>
      </c>
      <c r="T565" s="28">
        <v>0</v>
      </c>
      <c r="U565" s="31">
        <v>0</v>
      </c>
      <c r="V565" s="28">
        <v>0</v>
      </c>
      <c r="W565" s="28">
        <v>0</v>
      </c>
      <c r="X565" s="28">
        <v>0</v>
      </c>
      <c r="Y565" s="31">
        <v>0</v>
      </c>
      <c r="Z565" s="31">
        <v>0</v>
      </c>
      <c r="AA565" s="31">
        <v>0</v>
      </c>
      <c r="AB565" s="31">
        <v>0</v>
      </c>
      <c r="AC565" s="31">
        <v>0</v>
      </c>
      <c r="AD565" s="31">
        <v>0</v>
      </c>
      <c r="AE565" s="45"/>
      <c r="AF565" s="33"/>
      <c r="AG565" s="33"/>
      <c r="AH565" s="33"/>
      <c r="AI565" s="33"/>
      <c r="AJ565" s="33"/>
      <c r="AK565" s="33"/>
      <c r="AL565" s="33"/>
      <c r="AM565" s="33"/>
      <c r="AN565" s="33"/>
      <c r="AO565" s="33"/>
      <c r="AP565" s="33"/>
      <c r="AQ565" s="33"/>
      <c r="AR565" s="33"/>
      <c r="AS565" s="33"/>
      <c r="AT565" s="33"/>
      <c r="AU565" s="33"/>
      <c r="AV565" s="33"/>
      <c r="AW565" s="33"/>
      <c r="AX565" s="33"/>
      <c r="AY565" s="33"/>
      <c r="AZ565" s="33"/>
      <c r="BA565" s="33"/>
      <c r="BB565" s="33"/>
      <c r="BC565" s="33"/>
      <c r="BD565" s="33"/>
      <c r="BE565" s="33"/>
      <c r="BF565" s="33"/>
      <c r="BG565" s="33"/>
      <c r="BH565" s="33"/>
      <c r="BI565" s="33"/>
      <c r="BJ565" s="33"/>
      <c r="BK565" s="33"/>
      <c r="BL565" s="33"/>
      <c r="BM565" s="33"/>
      <c r="BN565" s="33"/>
      <c r="BO565" s="33"/>
      <c r="BP565" s="33"/>
      <c r="BQ565" s="33"/>
      <c r="BR565" s="33"/>
      <c r="BS565" s="33"/>
      <c r="BT565" s="33"/>
      <c r="BU565" s="33"/>
      <c r="BV565" s="33"/>
      <c r="BW565" s="33"/>
      <c r="BX565" s="33"/>
      <c r="BY565" s="33"/>
      <c r="BZ565" s="33"/>
      <c r="CA565" s="33"/>
      <c r="CB565" s="33"/>
      <c r="CC565" s="33"/>
      <c r="CD565" s="33"/>
      <c r="CE565" s="33"/>
      <c r="CF565" s="33"/>
      <c r="CG565" s="33"/>
      <c r="CH565" s="33"/>
      <c r="CI565" s="33"/>
      <c r="CJ565" s="33"/>
      <c r="CK565" s="33"/>
      <c r="CL565" s="33"/>
      <c r="CM565" s="33"/>
      <c r="CN565" s="33"/>
      <c r="CO565" s="33"/>
      <c r="CP565" s="33"/>
      <c r="CQ565" s="33"/>
      <c r="CR565" s="33"/>
      <c r="CS565" s="33"/>
      <c r="CT565" s="33"/>
      <c r="CU565" s="33"/>
      <c r="CV565" s="33"/>
      <c r="CW565" s="33"/>
      <c r="CX565" s="33"/>
      <c r="CY565" s="33"/>
      <c r="CZ565" s="33"/>
      <c r="DA565" s="33"/>
      <c r="DB565" s="33"/>
      <c r="DC565" s="33"/>
      <c r="DD565" s="33"/>
      <c r="DE565" s="33"/>
      <c r="DF565" s="33"/>
      <c r="DG565" s="33"/>
      <c r="DH565" s="33"/>
      <c r="DI565" s="33"/>
      <c r="DJ565" s="33"/>
      <c r="DK565" s="33"/>
      <c r="DL565" s="33"/>
      <c r="DM565" s="33"/>
      <c r="DN565" s="33"/>
      <c r="DO565" s="33"/>
      <c r="DP565" s="33"/>
      <c r="DQ565" s="33"/>
      <c r="DR565" s="33"/>
      <c r="DS565" s="33"/>
      <c r="DT565" s="33"/>
      <c r="DU565" s="33"/>
      <c r="DV565" s="33"/>
      <c r="DW565" s="33"/>
      <c r="DX565" s="33"/>
      <c r="DY565" s="33"/>
      <c r="DZ565" s="33"/>
      <c r="EA565" s="33"/>
      <c r="EB565" s="33"/>
      <c r="EC565" s="33"/>
      <c r="ED565" s="33"/>
      <c r="EE565" s="33"/>
      <c r="EF565" s="33"/>
      <c r="EG565" s="33"/>
      <c r="EH565" s="33"/>
      <c r="EI565" s="33"/>
      <c r="EJ565" s="33"/>
      <c r="EK565" s="33"/>
      <c r="EL565" s="33"/>
      <c r="EM565" s="33"/>
      <c r="EN565" s="33"/>
      <c r="EO565" s="33"/>
      <c r="EP565" s="33"/>
      <c r="EQ565" s="33"/>
      <c r="ER565" s="33"/>
      <c r="ES565" s="33"/>
      <c r="ET565" s="33"/>
      <c r="EU565" s="33"/>
      <c r="EV565" s="33"/>
      <c r="EW565" s="33"/>
      <c r="EX565" s="33"/>
      <c r="EY565" s="33"/>
      <c r="EZ565" s="33"/>
      <c r="FA565" s="33"/>
      <c r="FB565" s="33"/>
      <c r="FC565" s="33"/>
      <c r="FD565" s="33"/>
      <c r="FE565" s="33"/>
      <c r="FF565" s="33"/>
      <c r="FG565" s="33"/>
      <c r="FH565" s="33"/>
      <c r="FI565" s="33"/>
      <c r="FJ565" s="33"/>
      <c r="FK565" s="33"/>
      <c r="FL565" s="33"/>
      <c r="FM565" s="33"/>
      <c r="FN565" s="33"/>
      <c r="FO565" s="33"/>
      <c r="FP565" s="33"/>
      <c r="FQ565" s="33"/>
      <c r="FR565" s="33"/>
      <c r="FS565" s="33"/>
      <c r="FT565" s="33"/>
      <c r="FU565" s="33"/>
      <c r="FV565" s="33"/>
      <c r="FW565" s="33"/>
      <c r="FX565" s="33"/>
      <c r="FY565" s="33"/>
      <c r="FZ565" s="33"/>
      <c r="GA565" s="33"/>
      <c r="GB565" s="33"/>
      <c r="GC565" s="33"/>
      <c r="GD565" s="33"/>
      <c r="GE565" s="33"/>
      <c r="GF565" s="33"/>
      <c r="GG565" s="33"/>
      <c r="GH565" s="33"/>
      <c r="GI565" s="33"/>
      <c r="GJ565" s="33"/>
      <c r="GK565" s="33"/>
      <c r="GL565" s="33"/>
      <c r="GM565" s="33"/>
      <c r="GN565" s="33"/>
      <c r="GO565" s="33"/>
      <c r="GP565" s="33"/>
      <c r="GQ565" s="33"/>
      <c r="GR565" s="33"/>
      <c r="GS565" s="33"/>
      <c r="GT565" s="33"/>
      <c r="GU565" s="33"/>
      <c r="GV565" s="33"/>
      <c r="GW565" s="33"/>
      <c r="GX565" s="33"/>
      <c r="GY565" s="33"/>
      <c r="GZ565" s="33"/>
      <c r="HA565" s="33"/>
      <c r="HB565" s="33"/>
      <c r="HC565" s="33"/>
      <c r="HD565" s="33"/>
      <c r="HE565" s="33"/>
      <c r="HF565" s="33"/>
      <c r="HG565" s="33"/>
      <c r="HH565" s="33"/>
      <c r="HI565" s="33"/>
      <c r="HJ565" s="33"/>
      <c r="HK565" s="33"/>
      <c r="HL565" s="33"/>
      <c r="HM565" s="33"/>
      <c r="HN565" s="33"/>
      <c r="HO565" s="33"/>
      <c r="HP565" s="33"/>
    </row>
    <row r="566" spans="3:224" ht="20.100000000000001" customHeight="1">
      <c r="C566" s="24">
        <v>15509001</v>
      </c>
      <c r="D566" s="25" t="s">
        <v>568</v>
      </c>
      <c r="E566" s="25">
        <v>11200001</v>
      </c>
      <c r="F566" s="25">
        <v>0</v>
      </c>
      <c r="G566" s="25">
        <v>1</v>
      </c>
      <c r="H566" s="25">
        <v>60</v>
      </c>
      <c r="I566" s="29">
        <v>0.2</v>
      </c>
      <c r="J566" s="30">
        <v>25</v>
      </c>
      <c r="K566" s="25">
        <v>0</v>
      </c>
      <c r="L566" s="25">
        <v>8650</v>
      </c>
      <c r="M566" s="25">
        <f t="shared" si="106"/>
        <v>0</v>
      </c>
      <c r="N566" s="25">
        <v>0</v>
      </c>
      <c r="O566" s="25">
        <v>0</v>
      </c>
      <c r="P566" s="25">
        <v>0</v>
      </c>
      <c r="Q566" s="25">
        <f t="shared" si="107"/>
        <v>0</v>
      </c>
      <c r="R566" s="25">
        <v>0</v>
      </c>
      <c r="S566" s="25">
        <f t="shared" si="108"/>
        <v>0</v>
      </c>
      <c r="T566" s="25">
        <v>0</v>
      </c>
      <c r="U566" s="29">
        <v>0</v>
      </c>
      <c r="V566" s="25">
        <v>0</v>
      </c>
      <c r="W566" s="25">
        <v>0</v>
      </c>
      <c r="X566" s="25">
        <v>0</v>
      </c>
      <c r="Y566" s="29">
        <v>0</v>
      </c>
      <c r="Z566" s="29">
        <v>0</v>
      </c>
      <c r="AA566" s="29">
        <v>0</v>
      </c>
      <c r="AB566" s="29">
        <v>0</v>
      </c>
      <c r="AC566" s="29">
        <v>0</v>
      </c>
      <c r="AD566" s="29">
        <v>0</v>
      </c>
      <c r="AE566" s="43"/>
      <c r="GR566" s="5"/>
      <c r="GS566" s="5"/>
      <c r="GT566" s="5"/>
      <c r="GU566" s="5"/>
      <c r="GV566" s="5"/>
      <c r="GW566" s="5"/>
      <c r="GX566" s="5"/>
      <c r="GY566" s="5"/>
      <c r="GZ566" s="5"/>
      <c r="HA566" s="5"/>
      <c r="HB566" s="5"/>
      <c r="HC566" s="5"/>
      <c r="HD566" s="5"/>
      <c r="HE566" s="5"/>
      <c r="HF566" s="5"/>
      <c r="HG566" s="5"/>
      <c r="HH566" s="5"/>
      <c r="HI566" s="5"/>
      <c r="HJ566" s="5"/>
      <c r="HK566" s="5"/>
      <c r="HL566" s="5"/>
      <c r="HM566" s="5"/>
      <c r="HN566" s="5"/>
      <c r="HO566" s="5"/>
      <c r="HP566" s="5"/>
    </row>
    <row r="567" spans="3:224" ht="20.100000000000001" customHeight="1">
      <c r="C567" s="24">
        <v>15509002</v>
      </c>
      <c r="D567" s="25" t="s">
        <v>569</v>
      </c>
      <c r="E567" s="25">
        <v>11200001</v>
      </c>
      <c r="F567" s="25">
        <v>0</v>
      </c>
      <c r="G567" s="25">
        <v>1</v>
      </c>
      <c r="H567" s="25">
        <v>60</v>
      </c>
      <c r="I567" s="29">
        <v>0.2</v>
      </c>
      <c r="J567" s="30">
        <v>25</v>
      </c>
      <c r="K567" s="25">
        <v>0</v>
      </c>
      <c r="L567" s="25">
        <v>10080</v>
      </c>
      <c r="M567" s="25">
        <f t="shared" si="106"/>
        <v>0</v>
      </c>
      <c r="N567" s="25">
        <v>0</v>
      </c>
      <c r="O567" s="25">
        <v>0</v>
      </c>
      <c r="P567" s="25">
        <v>0</v>
      </c>
      <c r="Q567" s="25">
        <f t="shared" si="107"/>
        <v>0</v>
      </c>
      <c r="R567" s="25">
        <v>0</v>
      </c>
      <c r="S567" s="25">
        <f t="shared" si="108"/>
        <v>0</v>
      </c>
      <c r="T567" s="25">
        <v>0</v>
      </c>
      <c r="U567" s="29">
        <v>0</v>
      </c>
      <c r="V567" s="25">
        <v>0</v>
      </c>
      <c r="W567" s="25">
        <v>0</v>
      </c>
      <c r="X567" s="25">
        <v>0</v>
      </c>
      <c r="Y567" s="29">
        <v>0</v>
      </c>
      <c r="Z567" s="29">
        <v>0</v>
      </c>
      <c r="AA567" s="29">
        <v>0</v>
      </c>
      <c r="AB567" s="29">
        <v>0</v>
      </c>
      <c r="AC567" s="29">
        <v>0</v>
      </c>
      <c r="AD567" s="29">
        <v>0</v>
      </c>
      <c r="AE567" s="43"/>
      <c r="GR567" s="5"/>
      <c r="GS567" s="5"/>
      <c r="GT567" s="5"/>
      <c r="GU567" s="5"/>
      <c r="GV567" s="5"/>
      <c r="GW567" s="5"/>
      <c r="GX567" s="5"/>
      <c r="GY567" s="5"/>
      <c r="GZ567" s="5"/>
      <c r="HA567" s="5"/>
      <c r="HB567" s="5"/>
      <c r="HC567" s="5"/>
      <c r="HD567" s="5"/>
      <c r="HE567" s="5"/>
      <c r="HF567" s="5"/>
      <c r="HG567" s="5"/>
      <c r="HH567" s="5"/>
      <c r="HI567" s="5"/>
      <c r="HJ567" s="5"/>
      <c r="HK567" s="5"/>
      <c r="HL567" s="5"/>
      <c r="HM567" s="5"/>
      <c r="HN567" s="5"/>
      <c r="HO567" s="5"/>
      <c r="HP567" s="5"/>
    </row>
    <row r="568" spans="3:224" s="3" customFormat="1" ht="20.100000000000001" customHeight="1">
      <c r="C568" s="26">
        <v>15509003</v>
      </c>
      <c r="D568" s="46" t="s">
        <v>570</v>
      </c>
      <c r="E568" s="28">
        <v>11200001</v>
      </c>
      <c r="F568" s="28">
        <v>0</v>
      </c>
      <c r="G568" s="28">
        <v>1</v>
      </c>
      <c r="H568" s="28">
        <v>60</v>
      </c>
      <c r="I568" s="31">
        <v>0.2</v>
      </c>
      <c r="J568" s="30">
        <v>25</v>
      </c>
      <c r="K568" s="28">
        <v>0</v>
      </c>
      <c r="L568" s="28">
        <v>11020</v>
      </c>
      <c r="M568" s="28">
        <f t="shared" ref="M568" si="115">ROUND(N568/2,0)</f>
        <v>0</v>
      </c>
      <c r="N568" s="28">
        <v>0</v>
      </c>
      <c r="O568" s="28">
        <v>0</v>
      </c>
      <c r="P568" s="28">
        <v>0</v>
      </c>
      <c r="Q568" s="28">
        <f t="shared" ref="Q568" si="116">ROUND(R568/2,0)</f>
        <v>0</v>
      </c>
      <c r="R568" s="28">
        <v>0</v>
      </c>
      <c r="S568" s="28">
        <f t="shared" ref="S568" si="117">ROUND(T568/2,0)</f>
        <v>0</v>
      </c>
      <c r="T568" s="28">
        <v>0</v>
      </c>
      <c r="U568" s="31">
        <v>0</v>
      </c>
      <c r="V568" s="28">
        <v>0</v>
      </c>
      <c r="W568" s="28">
        <v>0</v>
      </c>
      <c r="X568" s="28">
        <v>0</v>
      </c>
      <c r="Y568" s="31">
        <v>0</v>
      </c>
      <c r="Z568" s="31">
        <v>0</v>
      </c>
      <c r="AA568" s="31">
        <v>0</v>
      </c>
      <c r="AB568" s="31">
        <v>0</v>
      </c>
      <c r="AC568" s="31">
        <v>0</v>
      </c>
      <c r="AD568" s="31">
        <v>0</v>
      </c>
      <c r="AE568" s="45"/>
      <c r="AF568" s="33"/>
      <c r="AG568" s="33"/>
      <c r="AH568" s="33"/>
      <c r="AI568" s="33"/>
      <c r="AJ568" s="33"/>
      <c r="AK568" s="33"/>
      <c r="AL568" s="33"/>
      <c r="AM568" s="33"/>
      <c r="AN568" s="33"/>
      <c r="AO568" s="33"/>
      <c r="AP568" s="33"/>
      <c r="AQ568" s="33"/>
      <c r="AR568" s="33"/>
      <c r="AS568" s="33"/>
      <c r="AT568" s="33"/>
      <c r="AU568" s="33"/>
      <c r="AV568" s="33"/>
      <c r="AW568" s="33"/>
      <c r="AX568" s="33"/>
      <c r="AY568" s="33"/>
      <c r="AZ568" s="33"/>
      <c r="BA568" s="33"/>
      <c r="BB568" s="33"/>
      <c r="BC568" s="33"/>
      <c r="BD568" s="33"/>
      <c r="BE568" s="33"/>
      <c r="BF568" s="33"/>
      <c r="BG568" s="33"/>
      <c r="BH568" s="33"/>
      <c r="BI568" s="33"/>
      <c r="BJ568" s="33"/>
      <c r="BK568" s="33"/>
      <c r="BL568" s="33"/>
      <c r="BM568" s="33"/>
      <c r="BN568" s="33"/>
      <c r="BO568" s="33"/>
      <c r="BP568" s="33"/>
      <c r="BQ568" s="33"/>
      <c r="BR568" s="33"/>
      <c r="BS568" s="33"/>
      <c r="BT568" s="33"/>
      <c r="BU568" s="33"/>
      <c r="BV568" s="33"/>
      <c r="BW568" s="33"/>
      <c r="BX568" s="33"/>
      <c r="BY568" s="33"/>
      <c r="BZ568" s="33"/>
      <c r="CA568" s="33"/>
      <c r="CB568" s="33"/>
      <c r="CC568" s="33"/>
      <c r="CD568" s="33"/>
      <c r="CE568" s="33"/>
      <c r="CF568" s="33"/>
      <c r="CG568" s="33"/>
      <c r="CH568" s="33"/>
      <c r="CI568" s="33"/>
      <c r="CJ568" s="33"/>
      <c r="CK568" s="33"/>
      <c r="CL568" s="33"/>
      <c r="CM568" s="33"/>
      <c r="CN568" s="33"/>
      <c r="CO568" s="33"/>
      <c r="CP568" s="33"/>
      <c r="CQ568" s="33"/>
      <c r="CR568" s="33"/>
      <c r="CS568" s="33"/>
      <c r="CT568" s="33"/>
      <c r="CU568" s="33"/>
      <c r="CV568" s="33"/>
      <c r="CW568" s="33"/>
      <c r="CX568" s="33"/>
      <c r="CY568" s="33"/>
      <c r="CZ568" s="33"/>
      <c r="DA568" s="33"/>
      <c r="DB568" s="33"/>
      <c r="DC568" s="33"/>
      <c r="DD568" s="33"/>
      <c r="DE568" s="33"/>
      <c r="DF568" s="33"/>
      <c r="DG568" s="33"/>
      <c r="DH568" s="33"/>
      <c r="DI568" s="33"/>
      <c r="DJ568" s="33"/>
      <c r="DK568" s="33"/>
      <c r="DL568" s="33"/>
      <c r="DM568" s="33"/>
      <c r="DN568" s="33"/>
      <c r="DO568" s="33"/>
      <c r="DP568" s="33"/>
      <c r="DQ568" s="33"/>
      <c r="DR568" s="33"/>
      <c r="DS568" s="33"/>
      <c r="DT568" s="33"/>
      <c r="DU568" s="33"/>
      <c r="DV568" s="33"/>
      <c r="DW568" s="33"/>
      <c r="DX568" s="33"/>
      <c r="DY568" s="33"/>
      <c r="DZ568" s="33"/>
      <c r="EA568" s="33"/>
      <c r="EB568" s="33"/>
      <c r="EC568" s="33"/>
      <c r="ED568" s="33"/>
      <c r="EE568" s="33"/>
      <c r="EF568" s="33"/>
      <c r="EG568" s="33"/>
      <c r="EH568" s="33"/>
      <c r="EI568" s="33"/>
      <c r="EJ568" s="33"/>
      <c r="EK568" s="33"/>
      <c r="EL568" s="33"/>
      <c r="EM568" s="33"/>
      <c r="EN568" s="33"/>
      <c r="EO568" s="33"/>
      <c r="EP568" s="33"/>
      <c r="EQ568" s="33"/>
      <c r="ER568" s="33"/>
      <c r="ES568" s="33"/>
      <c r="ET568" s="33"/>
      <c r="EU568" s="33"/>
      <c r="EV568" s="33"/>
      <c r="EW568" s="33"/>
      <c r="EX568" s="33"/>
      <c r="EY568" s="33"/>
      <c r="EZ568" s="33"/>
      <c r="FA568" s="33"/>
      <c r="FB568" s="33"/>
      <c r="FC568" s="33"/>
      <c r="FD568" s="33"/>
      <c r="FE568" s="33"/>
      <c r="FF568" s="33"/>
      <c r="FG568" s="33"/>
      <c r="FH568" s="33"/>
      <c r="FI568" s="33"/>
      <c r="FJ568" s="33"/>
      <c r="FK568" s="33"/>
      <c r="FL568" s="33"/>
      <c r="FM568" s="33"/>
      <c r="FN568" s="33"/>
      <c r="FO568" s="33"/>
      <c r="FP568" s="33"/>
      <c r="FQ568" s="33"/>
      <c r="FR568" s="33"/>
      <c r="FS568" s="33"/>
      <c r="FT568" s="33"/>
      <c r="FU568" s="33"/>
      <c r="FV568" s="33"/>
      <c r="FW568" s="33"/>
      <c r="FX568" s="33"/>
      <c r="FY568" s="33"/>
      <c r="FZ568" s="33"/>
      <c r="GA568" s="33"/>
      <c r="GB568" s="33"/>
      <c r="GC568" s="33"/>
      <c r="GD568" s="33"/>
      <c r="GE568" s="33"/>
      <c r="GF568" s="33"/>
      <c r="GG568" s="33"/>
      <c r="GH568" s="33"/>
      <c r="GI568" s="33"/>
      <c r="GJ568" s="33"/>
      <c r="GK568" s="33"/>
      <c r="GL568" s="33"/>
      <c r="GM568" s="33"/>
      <c r="GN568" s="33"/>
      <c r="GO568" s="33"/>
      <c r="GP568" s="33"/>
      <c r="GQ568" s="33"/>
      <c r="GR568" s="33"/>
      <c r="GS568" s="33"/>
      <c r="GT568" s="33"/>
      <c r="GU568" s="33"/>
      <c r="GV568" s="33"/>
      <c r="GW568" s="33"/>
      <c r="GX568" s="33"/>
      <c r="GY568" s="33"/>
      <c r="GZ568" s="33"/>
      <c r="HA568" s="33"/>
      <c r="HB568" s="33"/>
      <c r="HC568" s="33"/>
      <c r="HD568" s="33"/>
      <c r="HE568" s="33"/>
      <c r="HF568" s="33"/>
      <c r="HG568" s="33"/>
      <c r="HH568" s="33"/>
      <c r="HI568" s="33"/>
      <c r="HJ568" s="33"/>
      <c r="HK568" s="33"/>
      <c r="HL568" s="33"/>
      <c r="HM568" s="33"/>
      <c r="HN568" s="33"/>
      <c r="HO568" s="33"/>
      <c r="HP568" s="33"/>
    </row>
    <row r="569" spans="3:224" ht="20.100000000000001" customHeight="1">
      <c r="C569" s="24">
        <v>15510001</v>
      </c>
      <c r="D569" s="24" t="s">
        <v>571</v>
      </c>
      <c r="E569" s="25">
        <v>11200001</v>
      </c>
      <c r="F569" s="25">
        <v>0</v>
      </c>
      <c r="G569" s="25">
        <v>1</v>
      </c>
      <c r="H569" s="25">
        <v>60</v>
      </c>
      <c r="I569" s="29">
        <v>0.2</v>
      </c>
      <c r="J569" s="30">
        <v>25</v>
      </c>
      <c r="K569" s="25">
        <v>0</v>
      </c>
      <c r="L569" s="25">
        <v>0</v>
      </c>
      <c r="M569" s="25">
        <f t="shared" si="106"/>
        <v>425</v>
      </c>
      <c r="N569" s="25">
        <v>850</v>
      </c>
      <c r="O569" s="25">
        <v>0</v>
      </c>
      <c r="P569" s="25">
        <v>0</v>
      </c>
      <c r="Q569" s="25">
        <f t="shared" si="107"/>
        <v>0</v>
      </c>
      <c r="R569" s="25">
        <v>0</v>
      </c>
      <c r="S569" s="25">
        <f t="shared" si="108"/>
        <v>0</v>
      </c>
      <c r="T569" s="25">
        <v>0</v>
      </c>
      <c r="U569" s="29">
        <v>0</v>
      </c>
      <c r="V569" s="25">
        <v>0</v>
      </c>
      <c r="W569" s="25">
        <v>0</v>
      </c>
      <c r="X569" s="25">
        <v>0</v>
      </c>
      <c r="Y569" s="29">
        <v>0</v>
      </c>
      <c r="Z569" s="29">
        <v>0</v>
      </c>
      <c r="AA569" s="29">
        <v>0</v>
      </c>
      <c r="AB569" s="29">
        <v>0</v>
      </c>
      <c r="AC569" s="29">
        <v>0</v>
      </c>
      <c r="AD569" s="29">
        <v>0</v>
      </c>
      <c r="AE569" s="43"/>
      <c r="GR569" s="5"/>
      <c r="GS569" s="5"/>
      <c r="GT569" s="5"/>
      <c r="GU569" s="5"/>
      <c r="GV569" s="5"/>
      <c r="GW569" s="5"/>
      <c r="GX569" s="5"/>
      <c r="GY569" s="5"/>
      <c r="GZ569" s="5"/>
      <c r="HA569" s="5"/>
      <c r="HB569" s="5"/>
      <c r="HC569" s="5"/>
      <c r="HD569" s="5"/>
      <c r="HE569" s="5"/>
      <c r="HF569" s="5"/>
      <c r="HG569" s="5"/>
      <c r="HH569" s="5"/>
      <c r="HI569" s="5"/>
      <c r="HJ569" s="5"/>
      <c r="HK569" s="5"/>
      <c r="HL569" s="5"/>
      <c r="HM569" s="5"/>
      <c r="HN569" s="5"/>
      <c r="HO569" s="5"/>
      <c r="HP569" s="5"/>
    </row>
    <row r="570" spans="3:224" ht="20.100000000000001" customHeight="1">
      <c r="C570" s="24">
        <v>15510002</v>
      </c>
      <c r="D570" s="24" t="s">
        <v>572</v>
      </c>
      <c r="E570" s="25">
        <v>11200001</v>
      </c>
      <c r="F570" s="25">
        <v>0</v>
      </c>
      <c r="G570" s="25">
        <v>1</v>
      </c>
      <c r="H570" s="25">
        <v>60</v>
      </c>
      <c r="I570" s="29">
        <v>0.2</v>
      </c>
      <c r="J570" s="30">
        <v>25</v>
      </c>
      <c r="K570" s="25">
        <v>0</v>
      </c>
      <c r="L570" s="25">
        <v>0</v>
      </c>
      <c r="M570" s="25">
        <f t="shared" si="106"/>
        <v>504</v>
      </c>
      <c r="N570" s="25">
        <v>1008</v>
      </c>
      <c r="O570" s="25">
        <v>0</v>
      </c>
      <c r="P570" s="25">
        <v>0</v>
      </c>
      <c r="Q570" s="25">
        <f t="shared" si="107"/>
        <v>0</v>
      </c>
      <c r="R570" s="25">
        <v>0</v>
      </c>
      <c r="S570" s="25">
        <f t="shared" si="108"/>
        <v>0</v>
      </c>
      <c r="T570" s="25">
        <v>0</v>
      </c>
      <c r="U570" s="29">
        <v>0</v>
      </c>
      <c r="V570" s="25">
        <v>0</v>
      </c>
      <c r="W570" s="25">
        <v>0</v>
      </c>
      <c r="X570" s="25">
        <v>0</v>
      </c>
      <c r="Y570" s="29">
        <v>0</v>
      </c>
      <c r="Z570" s="29">
        <v>0</v>
      </c>
      <c r="AA570" s="29">
        <v>0</v>
      </c>
      <c r="AB570" s="29">
        <v>0</v>
      </c>
      <c r="AC570" s="29">
        <v>0</v>
      </c>
      <c r="AD570" s="29">
        <v>0</v>
      </c>
      <c r="AE570" s="43"/>
      <c r="GR570" s="5"/>
      <c r="GS570" s="5"/>
      <c r="GT570" s="5"/>
      <c r="GU570" s="5"/>
      <c r="GV570" s="5"/>
      <c r="GW570" s="5"/>
      <c r="GX570" s="5"/>
      <c r="GY570" s="5"/>
      <c r="GZ570" s="5"/>
      <c r="HA570" s="5"/>
      <c r="HB570" s="5"/>
      <c r="HC570" s="5"/>
      <c r="HD570" s="5"/>
      <c r="HE570" s="5"/>
      <c r="HF570" s="5"/>
      <c r="HG570" s="5"/>
      <c r="HH570" s="5"/>
      <c r="HI570" s="5"/>
      <c r="HJ570" s="5"/>
      <c r="HK570" s="5"/>
      <c r="HL570" s="5"/>
      <c r="HM570" s="5"/>
      <c r="HN570" s="5"/>
      <c r="HO570" s="5"/>
      <c r="HP570" s="5"/>
    </row>
    <row r="571" spans="3:224" ht="20.100000000000001" customHeight="1">
      <c r="C571" s="24">
        <v>15510003</v>
      </c>
      <c r="D571" s="24" t="s">
        <v>573</v>
      </c>
      <c r="E571" s="25">
        <v>11200001</v>
      </c>
      <c r="F571" s="25">
        <v>0</v>
      </c>
      <c r="G571" s="25">
        <v>1</v>
      </c>
      <c r="H571" s="25">
        <v>60</v>
      </c>
      <c r="I571" s="29">
        <v>0.2</v>
      </c>
      <c r="J571" s="30">
        <v>25</v>
      </c>
      <c r="K571" s="25">
        <v>0</v>
      </c>
      <c r="L571" s="25">
        <v>0</v>
      </c>
      <c r="M571" s="25">
        <f t="shared" si="106"/>
        <v>425</v>
      </c>
      <c r="N571" s="25">
        <v>850</v>
      </c>
      <c r="O571" s="25">
        <v>0</v>
      </c>
      <c r="P571" s="25">
        <v>0</v>
      </c>
      <c r="Q571" s="25">
        <f t="shared" si="107"/>
        <v>0</v>
      </c>
      <c r="R571" s="25">
        <v>0</v>
      </c>
      <c r="S571" s="25">
        <f t="shared" si="108"/>
        <v>0</v>
      </c>
      <c r="T571" s="25">
        <v>0</v>
      </c>
      <c r="U571" s="29">
        <v>0</v>
      </c>
      <c r="V571" s="25">
        <v>0</v>
      </c>
      <c r="W571" s="25">
        <v>0</v>
      </c>
      <c r="X571" s="25">
        <v>0</v>
      </c>
      <c r="Y571" s="29">
        <v>0</v>
      </c>
      <c r="Z571" s="29">
        <v>0</v>
      </c>
      <c r="AA571" s="29">
        <v>0</v>
      </c>
      <c r="AB571" s="29">
        <v>0</v>
      </c>
      <c r="AC571" s="29">
        <v>0</v>
      </c>
      <c r="AD571" s="29">
        <v>0</v>
      </c>
      <c r="AE571" s="43"/>
      <c r="GR571" s="5"/>
      <c r="GS571" s="5"/>
      <c r="GT571" s="5"/>
      <c r="GU571" s="5"/>
      <c r="GV571" s="5"/>
      <c r="GW571" s="5"/>
      <c r="GX571" s="5"/>
      <c r="GY571" s="5"/>
      <c r="GZ571" s="5"/>
      <c r="HA571" s="5"/>
      <c r="HB571" s="5"/>
      <c r="HC571" s="5"/>
      <c r="HD571" s="5"/>
      <c r="HE571" s="5"/>
      <c r="HF571" s="5"/>
      <c r="HG571" s="5"/>
      <c r="HH571" s="5"/>
      <c r="HI571" s="5"/>
      <c r="HJ571" s="5"/>
      <c r="HK571" s="5"/>
      <c r="HL571" s="5"/>
      <c r="HM571" s="5"/>
      <c r="HN571" s="5"/>
      <c r="HO571" s="5"/>
      <c r="HP571" s="5"/>
    </row>
    <row r="572" spans="3:224" ht="20.100000000000001" customHeight="1">
      <c r="C572" s="24">
        <v>15510004</v>
      </c>
      <c r="D572" s="24" t="s">
        <v>574</v>
      </c>
      <c r="E572" s="25">
        <v>11200001</v>
      </c>
      <c r="F572" s="25">
        <v>0</v>
      </c>
      <c r="G572" s="25">
        <v>1</v>
      </c>
      <c r="H572" s="25">
        <v>60</v>
      </c>
      <c r="I572" s="29">
        <v>0.2</v>
      </c>
      <c r="J572" s="30">
        <v>25</v>
      </c>
      <c r="K572" s="25">
        <v>0</v>
      </c>
      <c r="L572" s="25">
        <v>0</v>
      </c>
      <c r="M572" s="25">
        <f t="shared" si="106"/>
        <v>504</v>
      </c>
      <c r="N572" s="25">
        <v>1008</v>
      </c>
      <c r="O572" s="25">
        <v>0</v>
      </c>
      <c r="P572" s="25">
        <v>0</v>
      </c>
      <c r="Q572" s="25">
        <f t="shared" si="107"/>
        <v>0</v>
      </c>
      <c r="R572" s="25">
        <v>0</v>
      </c>
      <c r="S572" s="25">
        <f t="shared" si="108"/>
        <v>0</v>
      </c>
      <c r="T572" s="25">
        <v>0</v>
      </c>
      <c r="U572" s="29">
        <v>0</v>
      </c>
      <c r="V572" s="25">
        <v>0</v>
      </c>
      <c r="W572" s="25">
        <v>0</v>
      </c>
      <c r="X572" s="25">
        <v>0</v>
      </c>
      <c r="Y572" s="29">
        <v>0</v>
      </c>
      <c r="Z572" s="29">
        <v>0</v>
      </c>
      <c r="AA572" s="29">
        <v>0</v>
      </c>
      <c r="AB572" s="29">
        <v>0</v>
      </c>
      <c r="AC572" s="29">
        <v>0</v>
      </c>
      <c r="AD572" s="29">
        <v>0</v>
      </c>
      <c r="AE572" s="43"/>
      <c r="GR572" s="5"/>
      <c r="GS572" s="5"/>
      <c r="GT572" s="5"/>
      <c r="GU572" s="5"/>
      <c r="GV572" s="5"/>
      <c r="GW572" s="5"/>
      <c r="GX572" s="5"/>
      <c r="GY572" s="5"/>
      <c r="GZ572" s="5"/>
      <c r="HA572" s="5"/>
      <c r="HB572" s="5"/>
      <c r="HC572" s="5"/>
      <c r="HD572" s="5"/>
      <c r="HE572" s="5"/>
      <c r="HF572" s="5"/>
      <c r="HG572" s="5"/>
      <c r="HH572" s="5"/>
      <c r="HI572" s="5"/>
      <c r="HJ572" s="5"/>
      <c r="HK572" s="5"/>
      <c r="HL572" s="5"/>
      <c r="HM572" s="5"/>
      <c r="HN572" s="5"/>
      <c r="HO572" s="5"/>
      <c r="HP572" s="5"/>
    </row>
    <row r="573" spans="3:224" ht="20.100000000000001" customHeight="1">
      <c r="C573" s="24">
        <v>15510011</v>
      </c>
      <c r="D573" s="36" t="s">
        <v>575</v>
      </c>
      <c r="E573" s="25">
        <v>11200001</v>
      </c>
      <c r="F573" s="25">
        <v>15051</v>
      </c>
      <c r="G573" s="25">
        <v>1</v>
      </c>
      <c r="H573" s="25">
        <v>60</v>
      </c>
      <c r="I573" s="29">
        <v>0.2</v>
      </c>
      <c r="J573" s="30">
        <v>25</v>
      </c>
      <c r="K573" s="25">
        <v>0</v>
      </c>
      <c r="L573" s="25">
        <v>0</v>
      </c>
      <c r="M573" s="25">
        <v>520</v>
      </c>
      <c r="N573" s="25">
        <v>1120</v>
      </c>
      <c r="O573" s="25">
        <v>0</v>
      </c>
      <c r="P573" s="25">
        <v>0</v>
      </c>
      <c r="Q573" s="25">
        <f t="shared" ref="Q573:Q574" si="118">ROUND(R573/2,0)</f>
        <v>0</v>
      </c>
      <c r="R573" s="25">
        <v>0</v>
      </c>
      <c r="S573" s="25">
        <f t="shared" ref="S573:S574" si="119">ROUND(T573/2,0)</f>
        <v>0</v>
      </c>
      <c r="T573" s="25">
        <v>0</v>
      </c>
      <c r="U573" s="29">
        <v>0</v>
      </c>
      <c r="V573" s="25">
        <v>0</v>
      </c>
      <c r="W573" s="25">
        <v>0</v>
      </c>
      <c r="X573" s="25">
        <v>0</v>
      </c>
      <c r="Y573" s="29">
        <v>0</v>
      </c>
      <c r="Z573" s="29">
        <v>0</v>
      </c>
      <c r="AA573" s="29">
        <v>0</v>
      </c>
      <c r="AB573" s="29">
        <v>0</v>
      </c>
      <c r="AC573" s="29">
        <v>0</v>
      </c>
      <c r="AD573" s="29">
        <v>0</v>
      </c>
      <c r="AE573" s="47">
        <v>100009</v>
      </c>
      <c r="GR573" s="5"/>
      <c r="GS573" s="5"/>
      <c r="GT573" s="5"/>
      <c r="GU573" s="5"/>
      <c r="GV573" s="5"/>
      <c r="GW573" s="5"/>
      <c r="GX573" s="5"/>
      <c r="GY573" s="5"/>
      <c r="GZ573" s="5"/>
      <c r="HA573" s="5"/>
      <c r="HB573" s="5"/>
      <c r="HC573" s="5"/>
      <c r="HD573" s="5"/>
      <c r="HE573" s="5"/>
      <c r="HF573" s="5"/>
      <c r="HG573" s="5"/>
      <c r="HH573" s="5"/>
      <c r="HI573" s="5"/>
      <c r="HJ573" s="5"/>
      <c r="HK573" s="5"/>
      <c r="HL573" s="5"/>
      <c r="HM573" s="5"/>
      <c r="HN573" s="5"/>
      <c r="HO573" s="5"/>
      <c r="HP573" s="5"/>
    </row>
    <row r="574" spans="3:224" ht="20.100000000000001" customHeight="1">
      <c r="C574" s="24">
        <v>15510012</v>
      </c>
      <c r="D574" s="36" t="s">
        <v>576</v>
      </c>
      <c r="E574" s="25">
        <v>11200001</v>
      </c>
      <c r="F574" s="25">
        <v>15051</v>
      </c>
      <c r="G574" s="25">
        <v>1</v>
      </c>
      <c r="H574" s="25">
        <v>60</v>
      </c>
      <c r="I574" s="29">
        <v>0.2</v>
      </c>
      <c r="J574" s="30">
        <v>25</v>
      </c>
      <c r="K574" s="25">
        <v>0</v>
      </c>
      <c r="L574" s="25">
        <v>0</v>
      </c>
      <c r="M574" s="25">
        <v>520</v>
      </c>
      <c r="N574" s="25">
        <v>1120</v>
      </c>
      <c r="O574" s="25">
        <v>0</v>
      </c>
      <c r="P574" s="25">
        <v>0</v>
      </c>
      <c r="Q574" s="25">
        <f t="shared" si="118"/>
        <v>0</v>
      </c>
      <c r="R574" s="25">
        <v>0</v>
      </c>
      <c r="S574" s="25">
        <f t="shared" si="119"/>
        <v>0</v>
      </c>
      <c r="T574" s="25">
        <v>0</v>
      </c>
      <c r="U574" s="29">
        <v>0</v>
      </c>
      <c r="V574" s="25">
        <v>0</v>
      </c>
      <c r="W574" s="25">
        <v>0</v>
      </c>
      <c r="X574" s="25">
        <v>0</v>
      </c>
      <c r="Y574" s="29">
        <v>0</v>
      </c>
      <c r="Z574" s="29">
        <v>0</v>
      </c>
      <c r="AA574" s="29">
        <v>0</v>
      </c>
      <c r="AB574" s="29">
        <v>0</v>
      </c>
      <c r="AC574" s="29">
        <v>0</v>
      </c>
      <c r="AD574" s="29">
        <v>0</v>
      </c>
      <c r="AE574" s="43">
        <v>100008</v>
      </c>
      <c r="GR574" s="5"/>
      <c r="GS574" s="5"/>
      <c r="GT574" s="5"/>
      <c r="GU574" s="5"/>
      <c r="GV574" s="5"/>
      <c r="GW574" s="5"/>
      <c r="GX574" s="5"/>
      <c r="GY574" s="5"/>
      <c r="GZ574" s="5"/>
      <c r="HA574" s="5"/>
      <c r="HB574" s="5"/>
      <c r="HC574" s="5"/>
      <c r="HD574" s="5"/>
      <c r="HE574" s="5"/>
      <c r="HF574" s="5"/>
      <c r="HG574" s="5"/>
      <c r="HH574" s="5"/>
      <c r="HI574" s="5"/>
      <c r="HJ574" s="5"/>
      <c r="HK574" s="5"/>
      <c r="HL574" s="5"/>
      <c r="HM574" s="5"/>
      <c r="HN574" s="5"/>
      <c r="HO574" s="5"/>
      <c r="HP574" s="5"/>
    </row>
    <row r="575" spans="3:224" ht="20.100000000000001" customHeight="1">
      <c r="C575" s="24">
        <v>15510121</v>
      </c>
      <c r="D575" s="36" t="s">
        <v>577</v>
      </c>
      <c r="E575" s="25">
        <v>11200001</v>
      </c>
      <c r="F575" s="25">
        <v>15051</v>
      </c>
      <c r="G575" s="25">
        <v>1</v>
      </c>
      <c r="H575" s="25">
        <v>60</v>
      </c>
      <c r="I575" s="29">
        <v>0.2</v>
      </c>
      <c r="J575" s="30">
        <v>25</v>
      </c>
      <c r="K575" s="25">
        <v>0</v>
      </c>
      <c r="L575" s="25">
        <v>0</v>
      </c>
      <c r="M575" s="25">
        <v>520</v>
      </c>
      <c r="N575" s="25">
        <v>1120</v>
      </c>
      <c r="O575" s="25">
        <v>0</v>
      </c>
      <c r="P575" s="25">
        <v>0</v>
      </c>
      <c r="Q575" s="25">
        <f t="shared" ref="Q575:Q579" si="120">ROUND(R575/2,0)</f>
        <v>0</v>
      </c>
      <c r="R575" s="25">
        <v>0</v>
      </c>
      <c r="S575" s="25">
        <f t="shared" ref="S575:S579" si="121">ROUND(T575/2,0)</f>
        <v>0</v>
      </c>
      <c r="T575" s="25">
        <v>0</v>
      </c>
      <c r="U575" s="29">
        <v>0</v>
      </c>
      <c r="V575" s="25">
        <v>0</v>
      </c>
      <c r="W575" s="25">
        <v>0</v>
      </c>
      <c r="X575" s="25">
        <v>0</v>
      </c>
      <c r="Y575" s="29">
        <v>0</v>
      </c>
      <c r="Z575" s="29">
        <v>0</v>
      </c>
      <c r="AA575" s="29">
        <v>0</v>
      </c>
      <c r="AB575" s="29">
        <v>0</v>
      </c>
      <c r="AC575" s="29">
        <v>0</v>
      </c>
      <c r="AD575" s="29">
        <v>0</v>
      </c>
      <c r="AE575" s="43"/>
      <c r="GR575" s="5"/>
      <c r="GS575" s="5"/>
      <c r="GT575" s="5"/>
      <c r="GU575" s="5"/>
      <c r="GV575" s="5"/>
      <c r="GW575" s="5"/>
      <c r="GX575" s="5"/>
      <c r="GY575" s="5"/>
      <c r="GZ575" s="5"/>
      <c r="HA575" s="5"/>
      <c r="HB575" s="5"/>
      <c r="HC575" s="5"/>
      <c r="HD575" s="5"/>
      <c r="HE575" s="5"/>
      <c r="HF575" s="5"/>
      <c r="HG575" s="5"/>
      <c r="HH575" s="5"/>
      <c r="HI575" s="5"/>
      <c r="HJ575" s="5"/>
      <c r="HK575" s="5"/>
      <c r="HL575" s="5"/>
      <c r="HM575" s="5"/>
      <c r="HN575" s="5"/>
      <c r="HO575" s="5"/>
      <c r="HP575" s="5"/>
    </row>
    <row r="576" spans="3:224" ht="20.100000000000001" customHeight="1">
      <c r="C576" s="24">
        <v>15510122</v>
      </c>
      <c r="D576" s="36" t="s">
        <v>578</v>
      </c>
      <c r="E576" s="25">
        <v>11200001</v>
      </c>
      <c r="F576" s="25">
        <v>15051</v>
      </c>
      <c r="G576" s="25">
        <v>1</v>
      </c>
      <c r="H576" s="25">
        <v>60</v>
      </c>
      <c r="I576" s="29">
        <v>0.2</v>
      </c>
      <c r="J576" s="30">
        <v>25</v>
      </c>
      <c r="K576" s="25">
        <v>0</v>
      </c>
      <c r="L576" s="25">
        <v>0</v>
      </c>
      <c r="M576" s="25">
        <v>520</v>
      </c>
      <c r="N576" s="25">
        <v>1120</v>
      </c>
      <c r="O576" s="25">
        <v>0</v>
      </c>
      <c r="P576" s="25">
        <v>0</v>
      </c>
      <c r="Q576" s="25">
        <f t="shared" si="120"/>
        <v>0</v>
      </c>
      <c r="R576" s="25">
        <v>0</v>
      </c>
      <c r="S576" s="25">
        <f t="shared" si="121"/>
        <v>0</v>
      </c>
      <c r="T576" s="25">
        <v>0</v>
      </c>
      <c r="U576" s="29">
        <v>0</v>
      </c>
      <c r="V576" s="25">
        <v>0</v>
      </c>
      <c r="W576" s="25">
        <v>0</v>
      </c>
      <c r="X576" s="25">
        <v>0</v>
      </c>
      <c r="Y576" s="29">
        <v>0</v>
      </c>
      <c r="Z576" s="29">
        <v>0</v>
      </c>
      <c r="AA576" s="29">
        <v>0</v>
      </c>
      <c r="AB576" s="29">
        <v>0</v>
      </c>
      <c r="AC576" s="29">
        <v>0</v>
      </c>
      <c r="AD576" s="29">
        <v>0</v>
      </c>
      <c r="AE576" s="43">
        <v>100010</v>
      </c>
      <c r="GR576" s="5"/>
      <c r="GS576" s="5"/>
      <c r="GT576" s="5"/>
      <c r="GU576" s="5"/>
      <c r="GV576" s="5"/>
      <c r="GW576" s="5"/>
      <c r="GX576" s="5"/>
      <c r="GY576" s="5"/>
      <c r="GZ576" s="5"/>
      <c r="HA576" s="5"/>
      <c r="HB576" s="5"/>
      <c r="HC576" s="5"/>
      <c r="HD576" s="5"/>
      <c r="HE576" s="5"/>
      <c r="HF576" s="5"/>
      <c r="HG576" s="5"/>
      <c r="HH576" s="5"/>
      <c r="HI576" s="5"/>
      <c r="HJ576" s="5"/>
      <c r="HK576" s="5"/>
      <c r="HL576" s="5"/>
      <c r="HM576" s="5"/>
      <c r="HN576" s="5"/>
      <c r="HO576" s="5"/>
      <c r="HP576" s="5"/>
    </row>
    <row r="577" spans="3:224" ht="20.100000000000001" customHeight="1">
      <c r="C577" s="24">
        <v>15510201</v>
      </c>
      <c r="D577" s="24" t="s">
        <v>660</v>
      </c>
      <c r="E577" s="25">
        <v>11200001</v>
      </c>
      <c r="F577" s="25">
        <v>0</v>
      </c>
      <c r="G577" s="25">
        <v>1</v>
      </c>
      <c r="H577" s="25">
        <v>60</v>
      </c>
      <c r="I577" s="29">
        <v>0.2</v>
      </c>
      <c r="J577" s="30">
        <v>25</v>
      </c>
      <c r="K577" s="25">
        <v>0</v>
      </c>
      <c r="L577" s="25">
        <v>0</v>
      </c>
      <c r="M577" s="25">
        <f t="shared" ref="M577:M578" si="122">ROUND(N577/2,0)</f>
        <v>425</v>
      </c>
      <c r="N577" s="25">
        <v>850</v>
      </c>
      <c r="O577" s="25">
        <v>0</v>
      </c>
      <c r="P577" s="25">
        <v>0</v>
      </c>
      <c r="Q577" s="25">
        <f t="shared" si="120"/>
        <v>0</v>
      </c>
      <c r="R577" s="25">
        <v>0</v>
      </c>
      <c r="S577" s="25">
        <f t="shared" si="121"/>
        <v>0</v>
      </c>
      <c r="T577" s="25">
        <v>0</v>
      </c>
      <c r="U577" s="29">
        <v>0</v>
      </c>
      <c r="V577" s="25">
        <v>0</v>
      </c>
      <c r="W577" s="25">
        <v>0</v>
      </c>
      <c r="X577" s="25">
        <v>0</v>
      </c>
      <c r="Y577" s="29">
        <v>0</v>
      </c>
      <c r="Z577" s="29">
        <v>0</v>
      </c>
      <c r="AA577" s="29">
        <v>0</v>
      </c>
      <c r="AB577" s="29">
        <v>0</v>
      </c>
      <c r="AC577" s="29">
        <v>0</v>
      </c>
      <c r="AD577" s="29">
        <v>0</v>
      </c>
      <c r="AE577" s="43"/>
      <c r="GR577" s="5"/>
      <c r="GS577" s="5"/>
      <c r="GT577" s="5"/>
      <c r="GU577" s="5"/>
      <c r="GV577" s="5"/>
      <c r="GW577" s="5"/>
      <c r="GX577" s="5"/>
      <c r="GY577" s="5"/>
      <c r="GZ577" s="5"/>
      <c r="HA577" s="5"/>
      <c r="HB577" s="5"/>
      <c r="HC577" s="5"/>
      <c r="HD577" s="5"/>
      <c r="HE577" s="5"/>
      <c r="HF577" s="5"/>
      <c r="HG577" s="5"/>
      <c r="HH577" s="5"/>
      <c r="HI577" s="5"/>
      <c r="HJ577" s="5"/>
      <c r="HK577" s="5"/>
      <c r="HL577" s="5"/>
      <c r="HM577" s="5"/>
      <c r="HN577" s="5"/>
      <c r="HO577" s="5"/>
      <c r="HP577" s="5"/>
    </row>
    <row r="578" spans="3:224" ht="20.100000000000001" customHeight="1">
      <c r="C578" s="24">
        <v>15510202</v>
      </c>
      <c r="D578" s="24" t="s">
        <v>661</v>
      </c>
      <c r="E578" s="25">
        <v>11200001</v>
      </c>
      <c r="F578" s="25">
        <v>0</v>
      </c>
      <c r="G578" s="25">
        <v>1</v>
      </c>
      <c r="H578" s="25">
        <v>60</v>
      </c>
      <c r="I578" s="29">
        <v>0.2</v>
      </c>
      <c r="J578" s="30">
        <v>25</v>
      </c>
      <c r="K578" s="25">
        <v>0</v>
      </c>
      <c r="L578" s="25">
        <v>0</v>
      </c>
      <c r="M578" s="25">
        <f t="shared" si="122"/>
        <v>504</v>
      </c>
      <c r="N578" s="25">
        <v>1008</v>
      </c>
      <c r="O578" s="25">
        <v>0</v>
      </c>
      <c r="P578" s="25">
        <v>0</v>
      </c>
      <c r="Q578" s="25">
        <f t="shared" si="120"/>
        <v>0</v>
      </c>
      <c r="R578" s="25">
        <v>0</v>
      </c>
      <c r="S578" s="25">
        <f t="shared" si="121"/>
        <v>0</v>
      </c>
      <c r="T578" s="25">
        <v>0</v>
      </c>
      <c r="U578" s="29">
        <v>0</v>
      </c>
      <c r="V578" s="25">
        <v>0</v>
      </c>
      <c r="W578" s="25">
        <v>0</v>
      </c>
      <c r="X578" s="25">
        <v>0</v>
      </c>
      <c r="Y578" s="29">
        <v>0</v>
      </c>
      <c r="Z578" s="29">
        <v>0</v>
      </c>
      <c r="AA578" s="29">
        <v>0</v>
      </c>
      <c r="AB578" s="29">
        <v>0</v>
      </c>
      <c r="AC578" s="29">
        <v>0</v>
      </c>
      <c r="AD578" s="29">
        <v>0</v>
      </c>
      <c r="AE578" s="43"/>
      <c r="GR578" s="5"/>
      <c r="GS578" s="5"/>
      <c r="GT578" s="5"/>
      <c r="GU578" s="5"/>
      <c r="GV578" s="5"/>
      <c r="GW578" s="5"/>
      <c r="GX578" s="5"/>
      <c r="GY578" s="5"/>
      <c r="GZ578" s="5"/>
      <c r="HA578" s="5"/>
      <c r="HB578" s="5"/>
      <c r="HC578" s="5"/>
      <c r="HD578" s="5"/>
      <c r="HE578" s="5"/>
      <c r="HF578" s="5"/>
      <c r="HG578" s="5"/>
      <c r="HH578" s="5"/>
      <c r="HI578" s="5"/>
      <c r="HJ578" s="5"/>
      <c r="HK578" s="5"/>
      <c r="HL578" s="5"/>
      <c r="HM578" s="5"/>
      <c r="HN578" s="5"/>
      <c r="HO578" s="5"/>
      <c r="HP578" s="5"/>
    </row>
    <row r="579" spans="3:224" ht="20.100000000000001" customHeight="1">
      <c r="C579" s="24">
        <v>15510211</v>
      </c>
      <c r="D579" s="36" t="s">
        <v>662</v>
      </c>
      <c r="E579" s="25">
        <v>11200001</v>
      </c>
      <c r="F579" s="25">
        <v>15051</v>
      </c>
      <c r="G579" s="25">
        <v>1</v>
      </c>
      <c r="H579" s="25">
        <v>60</v>
      </c>
      <c r="I579" s="29">
        <v>0.2</v>
      </c>
      <c r="J579" s="30">
        <v>25</v>
      </c>
      <c r="K579" s="25">
        <v>0</v>
      </c>
      <c r="L579" s="25">
        <v>0</v>
      </c>
      <c r="M579" s="25">
        <v>520</v>
      </c>
      <c r="N579" s="25">
        <v>1120</v>
      </c>
      <c r="O579" s="25">
        <v>0</v>
      </c>
      <c r="P579" s="25">
        <v>0</v>
      </c>
      <c r="Q579" s="25">
        <f t="shared" si="120"/>
        <v>0</v>
      </c>
      <c r="R579" s="25">
        <v>0</v>
      </c>
      <c r="S579" s="25">
        <f t="shared" si="121"/>
        <v>0</v>
      </c>
      <c r="T579" s="25">
        <v>0</v>
      </c>
      <c r="U579" s="29">
        <v>0</v>
      </c>
      <c r="V579" s="25">
        <v>0</v>
      </c>
      <c r="W579" s="25">
        <v>0</v>
      </c>
      <c r="X579" s="25">
        <v>0</v>
      </c>
      <c r="Y579" s="29">
        <v>0</v>
      </c>
      <c r="Z579" s="29">
        <v>0</v>
      </c>
      <c r="AA579" s="29">
        <v>0</v>
      </c>
      <c r="AB579" s="29">
        <v>200103</v>
      </c>
      <c r="AC579" s="29">
        <v>500</v>
      </c>
      <c r="AD579" s="29">
        <v>1</v>
      </c>
      <c r="AE579" s="47"/>
      <c r="GR579" s="5"/>
      <c r="GS579" s="5"/>
      <c r="GT579" s="5"/>
      <c r="GU579" s="5"/>
      <c r="GV579" s="5"/>
      <c r="GW579" s="5"/>
      <c r="GX579" s="5"/>
      <c r="GY579" s="5"/>
      <c r="GZ579" s="5"/>
      <c r="HA579" s="5"/>
      <c r="HB579" s="5"/>
      <c r="HC579" s="5"/>
      <c r="HD579" s="5"/>
      <c r="HE579" s="5"/>
      <c r="HF579" s="5"/>
      <c r="HG579" s="5"/>
      <c r="HH579" s="5"/>
      <c r="HI579" s="5"/>
      <c r="HJ579" s="5"/>
      <c r="HK579" s="5"/>
      <c r="HL579" s="5"/>
      <c r="HM579" s="5"/>
      <c r="HN579" s="5"/>
      <c r="HO579" s="5"/>
      <c r="HP579" s="5"/>
    </row>
    <row r="580" spans="3:224" ht="20.100000000000001" customHeight="1">
      <c r="C580" s="24">
        <v>15511001</v>
      </c>
      <c r="D580" s="25" t="s">
        <v>579</v>
      </c>
      <c r="E580" s="25">
        <v>11200003</v>
      </c>
      <c r="F580" s="25">
        <v>0</v>
      </c>
      <c r="G580" s="25">
        <v>1</v>
      </c>
      <c r="H580" s="25">
        <v>60</v>
      </c>
      <c r="I580" s="29">
        <v>0.2</v>
      </c>
      <c r="J580" s="30">
        <v>25</v>
      </c>
      <c r="K580" s="25">
        <v>0</v>
      </c>
      <c r="L580" s="25">
        <v>6100</v>
      </c>
      <c r="M580" s="25">
        <f t="shared" si="106"/>
        <v>0</v>
      </c>
      <c r="N580" s="25">
        <v>0</v>
      </c>
      <c r="O580" s="25">
        <v>0</v>
      </c>
      <c r="P580" s="25">
        <v>0</v>
      </c>
      <c r="Q580" s="25">
        <f t="shared" si="107"/>
        <v>75</v>
      </c>
      <c r="R580" s="25">
        <v>150</v>
      </c>
      <c r="S580" s="25">
        <f t="shared" si="108"/>
        <v>75</v>
      </c>
      <c r="T580" s="25">
        <v>150</v>
      </c>
      <c r="U580" s="29">
        <v>0</v>
      </c>
      <c r="V580" s="25">
        <v>0</v>
      </c>
      <c r="W580" s="25">
        <v>0</v>
      </c>
      <c r="X580" s="25">
        <v>0</v>
      </c>
      <c r="Y580" s="29">
        <v>0</v>
      </c>
      <c r="Z580" s="29">
        <v>0</v>
      </c>
      <c r="AA580" s="29">
        <v>0</v>
      </c>
      <c r="AB580" s="29">
        <v>0</v>
      </c>
      <c r="AC580" s="29">
        <v>0</v>
      </c>
      <c r="AD580" s="29">
        <v>0</v>
      </c>
      <c r="AE580" s="29"/>
      <c r="GR580" s="5"/>
      <c r="GS580" s="5"/>
      <c r="GT580" s="5"/>
      <c r="GU580" s="5"/>
      <c r="GV580" s="5"/>
      <c r="GW580" s="5"/>
      <c r="GX580" s="5"/>
      <c r="GY580" s="5"/>
      <c r="GZ580" s="5"/>
      <c r="HA580" s="5"/>
      <c r="HB580" s="5"/>
      <c r="HC580" s="5"/>
      <c r="HD580" s="5"/>
      <c r="HE580" s="5"/>
      <c r="HF580" s="5"/>
      <c r="HG580" s="5"/>
      <c r="HH580" s="5"/>
      <c r="HI580" s="5"/>
      <c r="HJ580" s="5"/>
      <c r="HK580" s="5"/>
      <c r="HL580" s="5"/>
      <c r="HM580" s="5"/>
      <c r="HN580" s="5"/>
      <c r="HO580" s="5"/>
      <c r="HP580" s="5"/>
    </row>
    <row r="581" spans="3:224" ht="20.100000000000001" customHeight="1">
      <c r="C581" s="24">
        <v>15511002</v>
      </c>
      <c r="D581" s="25" t="s">
        <v>580</v>
      </c>
      <c r="E581" s="25">
        <v>11200003</v>
      </c>
      <c r="F581" s="25">
        <v>15011</v>
      </c>
      <c r="G581" s="25">
        <v>1</v>
      </c>
      <c r="H581" s="25">
        <v>60</v>
      </c>
      <c r="I581" s="29">
        <v>0.2</v>
      </c>
      <c r="J581" s="30">
        <v>25</v>
      </c>
      <c r="K581" s="25">
        <v>0</v>
      </c>
      <c r="L581" s="25">
        <v>7200</v>
      </c>
      <c r="M581" s="25">
        <f t="shared" si="106"/>
        <v>0</v>
      </c>
      <c r="N581" s="25">
        <v>0</v>
      </c>
      <c r="O581" s="25">
        <v>0</v>
      </c>
      <c r="P581" s="25">
        <v>0</v>
      </c>
      <c r="Q581" s="25">
        <f t="shared" si="107"/>
        <v>90</v>
      </c>
      <c r="R581" s="25">
        <v>180</v>
      </c>
      <c r="S581" s="25">
        <f t="shared" si="108"/>
        <v>90</v>
      </c>
      <c r="T581" s="25">
        <v>180</v>
      </c>
      <c r="U581" s="29">
        <v>0</v>
      </c>
      <c r="V581" s="25">
        <v>0</v>
      </c>
      <c r="W581" s="25">
        <v>0</v>
      </c>
      <c r="X581" s="25">
        <v>0</v>
      </c>
      <c r="Y581" s="29">
        <v>0</v>
      </c>
      <c r="Z581" s="29">
        <v>0</v>
      </c>
      <c r="AA581" s="29">
        <v>0</v>
      </c>
      <c r="AB581" s="29">
        <v>0</v>
      </c>
      <c r="AC581" s="29">
        <v>0</v>
      </c>
      <c r="AD581" s="29">
        <v>0</v>
      </c>
      <c r="AE581" s="29"/>
      <c r="GR581" s="5"/>
      <c r="GS581" s="5"/>
      <c r="GT581" s="5"/>
      <c r="GU581" s="5"/>
      <c r="GV581" s="5"/>
      <c r="GW581" s="5"/>
      <c r="GX581" s="5"/>
      <c r="GY581" s="5"/>
      <c r="GZ581" s="5"/>
      <c r="HA581" s="5"/>
      <c r="HB581" s="5"/>
      <c r="HC581" s="5"/>
      <c r="HD581" s="5"/>
      <c r="HE581" s="5"/>
      <c r="HF581" s="5"/>
      <c r="HG581" s="5"/>
      <c r="HH581" s="5"/>
      <c r="HI581" s="5"/>
      <c r="HJ581" s="5"/>
      <c r="HK581" s="5"/>
      <c r="HL581" s="5"/>
      <c r="HM581" s="5"/>
      <c r="HN581" s="5"/>
      <c r="HO581" s="5"/>
      <c r="HP581" s="5"/>
    </row>
    <row r="582" spans="3:224" ht="20.100000000000001" customHeight="1">
      <c r="C582" s="24">
        <v>15511003</v>
      </c>
      <c r="D582" s="25" t="s">
        <v>581</v>
      </c>
      <c r="E582" s="25">
        <v>11200003</v>
      </c>
      <c r="F582" s="25">
        <v>0</v>
      </c>
      <c r="G582" s="25">
        <v>1</v>
      </c>
      <c r="H582" s="25">
        <v>60</v>
      </c>
      <c r="I582" s="29">
        <v>0.2</v>
      </c>
      <c r="J582" s="30">
        <v>25</v>
      </c>
      <c r="K582" s="25">
        <v>0</v>
      </c>
      <c r="L582" s="25">
        <v>3050</v>
      </c>
      <c r="M582" s="25">
        <f t="shared" si="106"/>
        <v>0</v>
      </c>
      <c r="N582" s="25">
        <v>0</v>
      </c>
      <c r="O582" s="25">
        <v>0</v>
      </c>
      <c r="P582" s="25">
        <v>0</v>
      </c>
      <c r="Q582" s="25">
        <f t="shared" si="107"/>
        <v>57</v>
      </c>
      <c r="R582" s="25">
        <v>113</v>
      </c>
      <c r="S582" s="25">
        <f t="shared" si="108"/>
        <v>57</v>
      </c>
      <c r="T582" s="25">
        <v>113</v>
      </c>
      <c r="U582" s="29">
        <v>0</v>
      </c>
      <c r="V582" s="25">
        <v>0</v>
      </c>
      <c r="W582" s="25">
        <v>0</v>
      </c>
      <c r="X582" s="25">
        <v>0</v>
      </c>
      <c r="Y582" s="29">
        <v>0</v>
      </c>
      <c r="Z582" s="29">
        <v>0</v>
      </c>
      <c r="AA582" s="29">
        <v>0</v>
      </c>
      <c r="AB582" s="29">
        <v>0</v>
      </c>
      <c r="AC582" s="29">
        <v>0</v>
      </c>
      <c r="AD582" s="29">
        <v>0</v>
      </c>
      <c r="AE582" s="29"/>
      <c r="GR582" s="5"/>
      <c r="GS582" s="5"/>
      <c r="GT582" s="5"/>
      <c r="GU582" s="5"/>
      <c r="GV582" s="5"/>
      <c r="GW582" s="5"/>
      <c r="GX582" s="5"/>
      <c r="GY582" s="5"/>
      <c r="GZ582" s="5"/>
      <c r="HA582" s="5"/>
      <c r="HB582" s="5"/>
      <c r="HC582" s="5"/>
      <c r="HD582" s="5"/>
      <c r="HE582" s="5"/>
      <c r="HF582" s="5"/>
      <c r="HG582" s="5"/>
      <c r="HH582" s="5"/>
      <c r="HI582" s="5"/>
      <c r="HJ582" s="5"/>
      <c r="HK582" s="5"/>
      <c r="HL582" s="5"/>
      <c r="HM582" s="5"/>
      <c r="HN582" s="5"/>
      <c r="HO582" s="5"/>
      <c r="HP582" s="5"/>
    </row>
    <row r="583" spans="3:224" ht="20.100000000000001" customHeight="1">
      <c r="C583" s="24">
        <v>15511004</v>
      </c>
      <c r="D583" s="25" t="s">
        <v>582</v>
      </c>
      <c r="E583" s="25">
        <v>11200003</v>
      </c>
      <c r="F583" s="25">
        <v>15021</v>
      </c>
      <c r="G583" s="25">
        <v>1</v>
      </c>
      <c r="H583" s="25">
        <v>60</v>
      </c>
      <c r="I583" s="29">
        <v>0.2</v>
      </c>
      <c r="J583" s="30">
        <v>25</v>
      </c>
      <c r="K583" s="25">
        <v>0</v>
      </c>
      <c r="L583" s="25">
        <v>3600</v>
      </c>
      <c r="M583" s="25">
        <f t="shared" si="106"/>
        <v>0</v>
      </c>
      <c r="N583" s="25">
        <v>0</v>
      </c>
      <c r="O583" s="25">
        <v>0</v>
      </c>
      <c r="P583" s="25">
        <v>0</v>
      </c>
      <c r="Q583" s="25">
        <f t="shared" si="107"/>
        <v>68</v>
      </c>
      <c r="R583" s="25">
        <v>135</v>
      </c>
      <c r="S583" s="25">
        <f t="shared" si="108"/>
        <v>68</v>
      </c>
      <c r="T583" s="25">
        <v>135</v>
      </c>
      <c r="U583" s="29">
        <v>0</v>
      </c>
      <c r="V583" s="25">
        <v>0</v>
      </c>
      <c r="W583" s="25">
        <v>0</v>
      </c>
      <c r="X583" s="25">
        <v>0</v>
      </c>
      <c r="Y583" s="29">
        <v>0</v>
      </c>
      <c r="Z583" s="29">
        <v>0</v>
      </c>
      <c r="AA583" s="29">
        <v>0</v>
      </c>
      <c r="AB583" s="29">
        <v>0</v>
      </c>
      <c r="AC583" s="29">
        <v>0</v>
      </c>
      <c r="AD583" s="29">
        <v>0</v>
      </c>
      <c r="AE583" s="29"/>
      <c r="GR583" s="5"/>
      <c r="GS583" s="5"/>
      <c r="GT583" s="5"/>
      <c r="GU583" s="5"/>
      <c r="GV583" s="5"/>
      <c r="GW583" s="5"/>
      <c r="GX583" s="5"/>
      <c r="GY583" s="5"/>
      <c r="GZ583" s="5"/>
      <c r="HA583" s="5"/>
      <c r="HB583" s="5"/>
      <c r="HC583" s="5"/>
      <c r="HD583" s="5"/>
      <c r="HE583" s="5"/>
      <c r="HF583" s="5"/>
      <c r="HG583" s="5"/>
      <c r="HH583" s="5"/>
      <c r="HI583" s="5"/>
      <c r="HJ583" s="5"/>
      <c r="HK583" s="5"/>
      <c r="HL583" s="5"/>
      <c r="HM583" s="5"/>
      <c r="HN583" s="5"/>
      <c r="HO583" s="5"/>
      <c r="HP583" s="5"/>
    </row>
    <row r="584" spans="3:224" ht="20.100000000000001" customHeight="1">
      <c r="C584" s="24">
        <v>15511005</v>
      </c>
      <c r="D584" s="25" t="s">
        <v>583</v>
      </c>
      <c r="E584" s="25">
        <v>11200003</v>
      </c>
      <c r="F584" s="25">
        <v>0</v>
      </c>
      <c r="G584" s="25">
        <v>1</v>
      </c>
      <c r="H584" s="25">
        <v>60</v>
      </c>
      <c r="I584" s="29">
        <v>0.2</v>
      </c>
      <c r="J584" s="30">
        <v>25</v>
      </c>
      <c r="K584" s="25">
        <v>0</v>
      </c>
      <c r="L584" s="25">
        <f>L580*1.5</f>
        <v>9150</v>
      </c>
      <c r="M584" s="25">
        <f t="shared" si="106"/>
        <v>0</v>
      </c>
      <c r="N584" s="25">
        <v>0</v>
      </c>
      <c r="O584" s="25">
        <v>0</v>
      </c>
      <c r="P584" s="25">
        <v>0</v>
      </c>
      <c r="Q584" s="25">
        <f t="shared" si="107"/>
        <v>94</v>
      </c>
      <c r="R584" s="25">
        <v>188</v>
      </c>
      <c r="S584" s="25">
        <f t="shared" si="108"/>
        <v>94</v>
      </c>
      <c r="T584" s="25">
        <v>188</v>
      </c>
      <c r="U584" s="29">
        <v>0</v>
      </c>
      <c r="V584" s="25">
        <v>0</v>
      </c>
      <c r="W584" s="25">
        <v>0</v>
      </c>
      <c r="X584" s="25">
        <v>0</v>
      </c>
      <c r="Y584" s="29">
        <v>0</v>
      </c>
      <c r="Z584" s="29">
        <v>0</v>
      </c>
      <c r="AA584" s="29">
        <v>0</v>
      </c>
      <c r="AB584" s="29">
        <v>0</v>
      </c>
      <c r="AC584" s="29">
        <v>0</v>
      </c>
      <c r="AD584" s="29">
        <v>0</v>
      </c>
      <c r="AE584" s="29"/>
      <c r="GR584" s="5"/>
      <c r="GS584" s="5"/>
      <c r="GT584" s="5"/>
      <c r="GU584" s="5"/>
      <c r="GV584" s="5"/>
      <c r="GW584" s="5"/>
      <c r="GX584" s="5"/>
      <c r="GY584" s="5"/>
      <c r="GZ584" s="5"/>
      <c r="HA584" s="5"/>
      <c r="HB584" s="5"/>
      <c r="HC584" s="5"/>
      <c r="HD584" s="5"/>
      <c r="HE584" s="5"/>
      <c r="HF584" s="5"/>
      <c r="HG584" s="5"/>
      <c r="HH584" s="5"/>
      <c r="HI584" s="5"/>
      <c r="HJ584" s="5"/>
      <c r="HK584" s="5"/>
      <c r="HL584" s="5"/>
      <c r="HM584" s="5"/>
      <c r="HN584" s="5"/>
      <c r="HO584" s="5"/>
      <c r="HP584" s="5"/>
    </row>
    <row r="585" spans="3:224" ht="20.100000000000001" customHeight="1">
      <c r="C585" s="24">
        <v>15511006</v>
      </c>
      <c r="D585" s="25" t="s">
        <v>584</v>
      </c>
      <c r="E585" s="25">
        <v>11200003</v>
      </c>
      <c r="F585" s="25">
        <v>15031</v>
      </c>
      <c r="G585" s="25">
        <v>1</v>
      </c>
      <c r="H585" s="25">
        <v>60</v>
      </c>
      <c r="I585" s="29">
        <v>0.2</v>
      </c>
      <c r="J585" s="30">
        <v>25</v>
      </c>
      <c r="K585" s="25">
        <v>0</v>
      </c>
      <c r="L585" s="25">
        <f>L581*1.5</f>
        <v>10800</v>
      </c>
      <c r="M585" s="25">
        <f t="shared" si="106"/>
        <v>0</v>
      </c>
      <c r="N585" s="25">
        <v>0</v>
      </c>
      <c r="O585" s="25">
        <v>0</v>
      </c>
      <c r="P585" s="25">
        <v>0</v>
      </c>
      <c r="Q585" s="25">
        <f t="shared" si="107"/>
        <v>113</v>
      </c>
      <c r="R585" s="25">
        <v>225</v>
      </c>
      <c r="S585" s="25">
        <f t="shared" si="108"/>
        <v>113</v>
      </c>
      <c r="T585" s="25">
        <v>225</v>
      </c>
      <c r="U585" s="29">
        <v>0</v>
      </c>
      <c r="V585" s="25">
        <v>0</v>
      </c>
      <c r="W585" s="25">
        <v>0</v>
      </c>
      <c r="X585" s="25">
        <v>0</v>
      </c>
      <c r="Y585" s="29">
        <v>0</v>
      </c>
      <c r="Z585" s="29">
        <v>0</v>
      </c>
      <c r="AA585" s="29">
        <v>0</v>
      </c>
      <c r="AB585" s="29">
        <v>0</v>
      </c>
      <c r="AC585" s="29">
        <v>0</v>
      </c>
      <c r="AD585" s="29">
        <v>0</v>
      </c>
      <c r="AE585" s="29"/>
      <c r="GR585" s="5"/>
      <c r="GS585" s="5"/>
      <c r="GT585" s="5"/>
      <c r="GU585" s="5"/>
      <c r="GV585" s="5"/>
      <c r="GW585" s="5"/>
      <c r="GX585" s="5"/>
      <c r="GY585" s="5"/>
      <c r="GZ585" s="5"/>
      <c r="HA585" s="5"/>
      <c r="HB585" s="5"/>
      <c r="HC585" s="5"/>
      <c r="HD585" s="5"/>
      <c r="HE585" s="5"/>
      <c r="HF585" s="5"/>
      <c r="HG585" s="5"/>
      <c r="HH585" s="5"/>
      <c r="HI585" s="5"/>
      <c r="HJ585" s="5"/>
      <c r="HK585" s="5"/>
      <c r="HL585" s="5"/>
      <c r="HM585" s="5"/>
      <c r="HN585" s="5"/>
      <c r="HO585" s="5"/>
      <c r="HP585" s="5"/>
    </row>
    <row r="586" spans="3:224" ht="20.100000000000001" customHeight="1">
      <c r="C586" s="24">
        <v>15511011</v>
      </c>
      <c r="D586" s="36" t="s">
        <v>585</v>
      </c>
      <c r="E586" s="25">
        <v>11200003</v>
      </c>
      <c r="F586" s="25">
        <v>15011</v>
      </c>
      <c r="G586" s="25">
        <v>1</v>
      </c>
      <c r="H586" s="25">
        <v>60</v>
      </c>
      <c r="I586" s="29">
        <v>0.2</v>
      </c>
      <c r="J586" s="30">
        <v>25</v>
      </c>
      <c r="K586" s="25">
        <v>0</v>
      </c>
      <c r="L586" s="25">
        <v>8280</v>
      </c>
      <c r="M586" s="25">
        <v>0</v>
      </c>
      <c r="N586" s="25">
        <v>0</v>
      </c>
      <c r="O586" s="25">
        <v>0</v>
      </c>
      <c r="P586" s="25">
        <v>0</v>
      </c>
      <c r="Q586" s="25">
        <v>100</v>
      </c>
      <c r="R586" s="25">
        <v>200</v>
      </c>
      <c r="S586" s="25">
        <v>100</v>
      </c>
      <c r="T586" s="25">
        <v>200</v>
      </c>
      <c r="U586" s="29">
        <v>0</v>
      </c>
      <c r="V586" s="25">
        <v>0</v>
      </c>
      <c r="W586" s="25">
        <v>0</v>
      </c>
      <c r="X586" s="25">
        <v>0</v>
      </c>
      <c r="Y586" s="29">
        <v>0</v>
      </c>
      <c r="Z586" s="29">
        <v>0</v>
      </c>
      <c r="AA586" s="29">
        <v>0</v>
      </c>
      <c r="AB586" s="29">
        <v>0</v>
      </c>
      <c r="AC586" s="29">
        <v>0</v>
      </c>
      <c r="AD586" s="29">
        <v>0</v>
      </c>
      <c r="AE586" s="29"/>
      <c r="GR586" s="5"/>
      <c r="GS586" s="5"/>
      <c r="GT586" s="5"/>
      <c r="GU586" s="5"/>
      <c r="GV586" s="5"/>
      <c r="GW586" s="5"/>
      <c r="GX586" s="5"/>
      <c r="GY586" s="5"/>
      <c r="GZ586" s="5"/>
      <c r="HA586" s="5"/>
      <c r="HB586" s="5"/>
      <c r="HC586" s="5"/>
      <c r="HD586" s="5"/>
      <c r="HE586" s="5"/>
      <c r="HF586" s="5"/>
      <c r="HG586" s="5"/>
      <c r="HH586" s="5"/>
      <c r="HI586" s="5"/>
      <c r="HJ586" s="5"/>
      <c r="HK586" s="5"/>
      <c r="HL586" s="5"/>
      <c r="HM586" s="5"/>
      <c r="HN586" s="5"/>
      <c r="HO586" s="5"/>
      <c r="HP586" s="5"/>
    </row>
    <row r="587" spans="3:224" ht="20.100000000000001" customHeight="1">
      <c r="C587" s="24">
        <v>15511012</v>
      </c>
      <c r="D587" s="36" t="s">
        <v>586</v>
      </c>
      <c r="E587" s="25">
        <v>11200003</v>
      </c>
      <c r="F587" s="25">
        <v>15021</v>
      </c>
      <c r="G587" s="25">
        <v>1</v>
      </c>
      <c r="H587" s="25">
        <v>60</v>
      </c>
      <c r="I587" s="29">
        <v>0.2</v>
      </c>
      <c r="J587" s="30">
        <v>25</v>
      </c>
      <c r="K587" s="25">
        <v>0</v>
      </c>
      <c r="L587" s="25">
        <v>4140</v>
      </c>
      <c r="M587" s="25">
        <v>0</v>
      </c>
      <c r="N587" s="25">
        <v>0</v>
      </c>
      <c r="O587" s="25">
        <v>0</v>
      </c>
      <c r="P587" s="25">
        <v>0</v>
      </c>
      <c r="Q587" s="25">
        <v>76</v>
      </c>
      <c r="R587" s="25">
        <v>148</v>
      </c>
      <c r="S587" s="25">
        <v>76</v>
      </c>
      <c r="T587" s="25">
        <v>148</v>
      </c>
      <c r="U587" s="29">
        <v>0</v>
      </c>
      <c r="V587" s="25">
        <v>0</v>
      </c>
      <c r="W587" s="25">
        <v>0</v>
      </c>
      <c r="X587" s="25">
        <v>0</v>
      </c>
      <c r="Y587" s="29">
        <v>0</v>
      </c>
      <c r="Z587" s="29">
        <v>0</v>
      </c>
      <c r="AA587" s="29">
        <v>0</v>
      </c>
      <c r="AB587" s="29">
        <v>100402</v>
      </c>
      <c r="AC587" s="29">
        <v>500</v>
      </c>
      <c r="AD587" s="29">
        <v>1</v>
      </c>
      <c r="AE587" s="29"/>
      <c r="GR587" s="5"/>
      <c r="GS587" s="5"/>
      <c r="GT587" s="5"/>
      <c r="GU587" s="5"/>
      <c r="GV587" s="5"/>
      <c r="GW587" s="5"/>
      <c r="GX587" s="5"/>
      <c r="GY587" s="5"/>
      <c r="GZ587" s="5"/>
      <c r="HA587" s="5"/>
      <c r="HB587" s="5"/>
      <c r="HC587" s="5"/>
      <c r="HD587" s="5"/>
      <c r="HE587" s="5"/>
      <c r="HF587" s="5"/>
      <c r="HG587" s="5"/>
      <c r="HH587" s="5"/>
      <c r="HI587" s="5"/>
      <c r="HJ587" s="5"/>
      <c r="HK587" s="5"/>
      <c r="HL587" s="5"/>
      <c r="HM587" s="5"/>
      <c r="HN587" s="5"/>
      <c r="HO587" s="5"/>
      <c r="HP587" s="5"/>
    </row>
    <row r="588" spans="3:224" ht="20.100000000000001" customHeight="1">
      <c r="C588" s="24">
        <v>15511013</v>
      </c>
      <c r="D588" s="36" t="s">
        <v>587</v>
      </c>
      <c r="E588" s="25">
        <v>11200003</v>
      </c>
      <c r="F588" s="25">
        <v>15031</v>
      </c>
      <c r="G588" s="25">
        <v>1</v>
      </c>
      <c r="H588" s="25">
        <v>60</v>
      </c>
      <c r="I588" s="29">
        <v>0.2</v>
      </c>
      <c r="J588" s="30">
        <v>25</v>
      </c>
      <c r="K588" s="25">
        <v>0</v>
      </c>
      <c r="L588" s="25">
        <f>L586*1.5</f>
        <v>12420</v>
      </c>
      <c r="M588" s="25">
        <v>0</v>
      </c>
      <c r="N588" s="25">
        <v>0</v>
      </c>
      <c r="O588" s="25">
        <v>0</v>
      </c>
      <c r="P588" s="25">
        <v>0</v>
      </c>
      <c r="Q588" s="25">
        <v>120</v>
      </c>
      <c r="R588" s="25">
        <v>245</v>
      </c>
      <c r="S588" s="25">
        <v>120</v>
      </c>
      <c r="T588" s="25">
        <v>245</v>
      </c>
      <c r="U588" s="29">
        <v>0</v>
      </c>
      <c r="V588" s="25">
        <v>0</v>
      </c>
      <c r="W588" s="25">
        <v>0</v>
      </c>
      <c r="X588" s="25">
        <v>0</v>
      </c>
      <c r="Y588" s="29">
        <v>0</v>
      </c>
      <c r="Z588" s="29">
        <v>0</v>
      </c>
      <c r="AA588" s="29">
        <v>0</v>
      </c>
      <c r="AB588" s="29">
        <v>200303</v>
      </c>
      <c r="AC588" s="29">
        <v>500</v>
      </c>
      <c r="AD588" s="29">
        <v>1</v>
      </c>
      <c r="AE588" s="29"/>
      <c r="GR588" s="5"/>
      <c r="GS588" s="5"/>
      <c r="GT588" s="5"/>
      <c r="GU588" s="5"/>
      <c r="GV588" s="5"/>
      <c r="GW588" s="5"/>
      <c r="GX588" s="5"/>
      <c r="GY588" s="5"/>
      <c r="GZ588" s="5"/>
      <c r="HA588" s="5"/>
      <c r="HB588" s="5"/>
      <c r="HC588" s="5"/>
      <c r="HD588" s="5"/>
      <c r="HE588" s="5"/>
      <c r="HF588" s="5"/>
      <c r="HG588" s="5"/>
      <c r="HH588" s="5"/>
      <c r="HI588" s="5"/>
      <c r="HJ588" s="5"/>
      <c r="HK588" s="5"/>
      <c r="HL588" s="5"/>
      <c r="HM588" s="5"/>
      <c r="HN588" s="5"/>
      <c r="HO588" s="5"/>
      <c r="HP588" s="5"/>
    </row>
    <row r="589" spans="3:224" ht="20.100000000000001" customHeight="1">
      <c r="C589" s="24">
        <v>15601001</v>
      </c>
      <c r="D589" s="25" t="s">
        <v>530</v>
      </c>
      <c r="E589" s="25">
        <v>11200003</v>
      </c>
      <c r="F589" s="25">
        <v>16011</v>
      </c>
      <c r="G589" s="25">
        <v>1</v>
      </c>
      <c r="H589" s="25">
        <v>60</v>
      </c>
      <c r="I589" s="29">
        <v>0.2</v>
      </c>
      <c r="J589" s="30">
        <v>25</v>
      </c>
      <c r="K589" s="25">
        <v>0</v>
      </c>
      <c r="L589" s="25">
        <v>0</v>
      </c>
      <c r="M589" s="25">
        <v>70</v>
      </c>
      <c r="N589" s="25">
        <v>140</v>
      </c>
      <c r="O589" s="25">
        <v>0</v>
      </c>
      <c r="P589" s="25">
        <v>0</v>
      </c>
      <c r="Q589" s="25">
        <v>40</v>
      </c>
      <c r="R589" s="25">
        <v>90</v>
      </c>
      <c r="S589" s="25">
        <v>40</v>
      </c>
      <c r="T589" s="25">
        <v>90</v>
      </c>
      <c r="U589" s="29">
        <v>0</v>
      </c>
      <c r="V589" s="25">
        <v>0</v>
      </c>
      <c r="W589" s="25">
        <v>0</v>
      </c>
      <c r="X589" s="25">
        <v>0</v>
      </c>
      <c r="Y589" s="29">
        <v>0</v>
      </c>
      <c r="Z589" s="29">
        <v>0</v>
      </c>
      <c r="AA589" s="29">
        <v>0</v>
      </c>
      <c r="AB589" s="29">
        <v>200503</v>
      </c>
      <c r="AC589" s="29">
        <v>100</v>
      </c>
      <c r="AD589" s="29">
        <v>1</v>
      </c>
      <c r="AE589" s="29"/>
      <c r="GR589" s="5"/>
      <c r="GS589" s="5"/>
      <c r="GT589" s="5"/>
      <c r="GU589" s="5"/>
      <c r="GV589" s="5"/>
      <c r="GW589" s="5"/>
      <c r="GX589" s="5"/>
      <c r="GY589" s="5"/>
      <c r="GZ589" s="5"/>
      <c r="HA589" s="5"/>
      <c r="HB589" s="5"/>
      <c r="HC589" s="5"/>
      <c r="HD589" s="5"/>
      <c r="HE589" s="5"/>
      <c r="HF589" s="5"/>
      <c r="HG589" s="5"/>
      <c r="HH589" s="5"/>
      <c r="HI589" s="5"/>
      <c r="HJ589" s="5"/>
      <c r="HK589" s="5"/>
      <c r="HL589" s="5"/>
      <c r="HM589" s="5"/>
      <c r="HN589" s="5"/>
      <c r="HO589" s="5"/>
      <c r="HP589" s="5"/>
    </row>
    <row r="590" spans="3:224" ht="20.100000000000001" customHeight="1">
      <c r="C590" s="24">
        <v>15601002</v>
      </c>
      <c r="D590" s="25" t="s">
        <v>532</v>
      </c>
      <c r="E590" s="25">
        <v>11200003</v>
      </c>
      <c r="F590" s="25">
        <v>16021</v>
      </c>
      <c r="G590" s="25">
        <v>1</v>
      </c>
      <c r="H590" s="25">
        <v>60</v>
      </c>
      <c r="I590" s="29">
        <v>0.2</v>
      </c>
      <c r="J590" s="30">
        <v>25</v>
      </c>
      <c r="K590" s="25">
        <v>0</v>
      </c>
      <c r="L590" s="25">
        <v>0</v>
      </c>
      <c r="M590" s="25">
        <v>100</v>
      </c>
      <c r="N590" s="25">
        <v>190</v>
      </c>
      <c r="O590" s="25">
        <v>0</v>
      </c>
      <c r="P590" s="25">
        <v>0</v>
      </c>
      <c r="Q590" s="25">
        <v>30</v>
      </c>
      <c r="R590" s="25">
        <v>60</v>
      </c>
      <c r="S590" s="25">
        <v>30</v>
      </c>
      <c r="T590" s="25">
        <v>60</v>
      </c>
      <c r="U590" s="29">
        <v>0</v>
      </c>
      <c r="V590" s="25">
        <v>0</v>
      </c>
      <c r="W590" s="25">
        <v>0</v>
      </c>
      <c r="X590" s="25">
        <v>0</v>
      </c>
      <c r="Y590" s="29">
        <v>0</v>
      </c>
      <c r="Z590" s="29">
        <v>0</v>
      </c>
      <c r="AA590" s="29">
        <v>0</v>
      </c>
      <c r="AB590" s="29">
        <v>200603</v>
      </c>
      <c r="AC590" s="29">
        <v>100</v>
      </c>
      <c r="AD590" s="29">
        <v>1</v>
      </c>
      <c r="AE590" s="29"/>
      <c r="GR590" s="5"/>
      <c r="GS590" s="5"/>
      <c r="GT590" s="5"/>
      <c r="GU590" s="5"/>
      <c r="GV590" s="5"/>
      <c r="GW590" s="5"/>
      <c r="GX590" s="5"/>
      <c r="GY590" s="5"/>
      <c r="GZ590" s="5"/>
      <c r="HA590" s="5"/>
      <c r="HB590" s="5"/>
      <c r="HC590" s="5"/>
      <c r="HD590" s="5"/>
      <c r="HE590" s="5"/>
      <c r="HF590" s="5"/>
      <c r="HG590" s="5"/>
      <c r="HH590" s="5"/>
      <c r="HI590" s="5"/>
      <c r="HJ590" s="5"/>
      <c r="HK590" s="5"/>
      <c r="HL590" s="5"/>
      <c r="HM590" s="5"/>
      <c r="HN590" s="5"/>
      <c r="HO590" s="5"/>
      <c r="HP590" s="5"/>
    </row>
    <row r="591" spans="3:224" ht="20.100000000000001" customHeight="1">
      <c r="C591" s="24">
        <v>15601003</v>
      </c>
      <c r="D591" s="25" t="s">
        <v>534</v>
      </c>
      <c r="E591" s="25">
        <v>11200003</v>
      </c>
      <c r="F591" s="25">
        <v>16031</v>
      </c>
      <c r="G591" s="25">
        <v>1</v>
      </c>
      <c r="H591" s="25">
        <v>60</v>
      </c>
      <c r="I591" s="29">
        <v>0.2</v>
      </c>
      <c r="J591" s="30">
        <v>25</v>
      </c>
      <c r="K591" s="25">
        <v>0</v>
      </c>
      <c r="L591" s="25">
        <v>0</v>
      </c>
      <c r="M591" s="25">
        <v>50</v>
      </c>
      <c r="N591" s="25">
        <v>110</v>
      </c>
      <c r="O591" s="25">
        <v>0</v>
      </c>
      <c r="P591" s="25">
        <v>0</v>
      </c>
      <c r="Q591" s="25">
        <v>50</v>
      </c>
      <c r="R591" s="25">
        <v>110</v>
      </c>
      <c r="S591" s="25">
        <v>50</v>
      </c>
      <c r="T591" s="25">
        <v>110</v>
      </c>
      <c r="U591" s="29">
        <v>0</v>
      </c>
      <c r="V591" s="25">
        <v>0</v>
      </c>
      <c r="W591" s="25">
        <v>0</v>
      </c>
      <c r="X591" s="25">
        <v>0</v>
      </c>
      <c r="Y591" s="29">
        <v>0</v>
      </c>
      <c r="Z591" s="29">
        <v>0</v>
      </c>
      <c r="AA591" s="29">
        <v>0</v>
      </c>
      <c r="AB591" s="29">
        <v>200503</v>
      </c>
      <c r="AC591" s="29">
        <v>100</v>
      </c>
      <c r="AD591" s="29">
        <v>1</v>
      </c>
      <c r="AE591" s="29"/>
      <c r="GR591" s="5"/>
      <c r="GS591" s="5"/>
      <c r="GT591" s="5"/>
      <c r="GU591" s="5"/>
      <c r="GV591" s="5"/>
      <c r="GW591" s="5"/>
      <c r="GX591" s="5"/>
      <c r="GY591" s="5"/>
      <c r="GZ591" s="5"/>
      <c r="HA591" s="5"/>
      <c r="HB591" s="5"/>
      <c r="HC591" s="5"/>
      <c r="HD591" s="5"/>
      <c r="HE591" s="5"/>
      <c r="HF591" s="5"/>
      <c r="HG591" s="5"/>
      <c r="HH591" s="5"/>
      <c r="HI591" s="5"/>
      <c r="HJ591" s="5"/>
      <c r="HK591" s="5"/>
      <c r="HL591" s="5"/>
      <c r="HM591" s="5"/>
      <c r="HN591" s="5"/>
      <c r="HO591" s="5"/>
      <c r="HP591" s="5"/>
    </row>
    <row r="592" spans="3:224" ht="20.100000000000001" customHeight="1">
      <c r="C592" s="24">
        <v>15602001</v>
      </c>
      <c r="D592" s="25" t="s">
        <v>536</v>
      </c>
      <c r="E592" s="25">
        <v>11200003</v>
      </c>
      <c r="F592" s="25">
        <v>16011</v>
      </c>
      <c r="G592" s="25">
        <v>1</v>
      </c>
      <c r="H592" s="25">
        <v>60</v>
      </c>
      <c r="I592" s="29">
        <v>0.2</v>
      </c>
      <c r="J592" s="30">
        <v>25</v>
      </c>
      <c r="K592" s="25">
        <v>0</v>
      </c>
      <c r="L592" s="25">
        <v>0</v>
      </c>
      <c r="M592" s="25">
        <v>90</v>
      </c>
      <c r="N592" s="25">
        <v>190</v>
      </c>
      <c r="O592" s="25">
        <v>0</v>
      </c>
      <c r="P592" s="25">
        <v>0</v>
      </c>
      <c r="Q592" s="25">
        <v>0</v>
      </c>
      <c r="R592" s="25">
        <v>0</v>
      </c>
      <c r="S592" s="25">
        <v>130</v>
      </c>
      <c r="T592" s="25">
        <v>260</v>
      </c>
      <c r="U592" s="29">
        <v>0</v>
      </c>
      <c r="V592" s="25">
        <v>0</v>
      </c>
      <c r="W592" s="25">
        <v>0</v>
      </c>
      <c r="X592" s="25">
        <v>0</v>
      </c>
      <c r="Y592" s="29">
        <v>0</v>
      </c>
      <c r="Z592" s="29">
        <v>0</v>
      </c>
      <c r="AA592" s="29">
        <v>0</v>
      </c>
      <c r="AB592" s="29">
        <v>202303</v>
      </c>
      <c r="AC592" s="29">
        <v>100</v>
      </c>
      <c r="AD592" s="29">
        <v>1</v>
      </c>
      <c r="AE592" s="29"/>
      <c r="GR592" s="5"/>
      <c r="GS592" s="5"/>
      <c r="GT592" s="5"/>
      <c r="GU592" s="5"/>
      <c r="GV592" s="5"/>
      <c r="GW592" s="5"/>
      <c r="GX592" s="5"/>
      <c r="GY592" s="5"/>
      <c r="GZ592" s="5"/>
      <c r="HA592" s="5"/>
      <c r="HB592" s="5"/>
      <c r="HC592" s="5"/>
      <c r="HD592" s="5"/>
      <c r="HE592" s="5"/>
      <c r="HF592" s="5"/>
      <c r="HG592" s="5"/>
      <c r="HH592" s="5"/>
      <c r="HI592" s="5"/>
      <c r="HJ592" s="5"/>
      <c r="HK592" s="5"/>
      <c r="HL592" s="5"/>
      <c r="HM592" s="5"/>
      <c r="HN592" s="5"/>
      <c r="HO592" s="5"/>
      <c r="HP592" s="5"/>
    </row>
    <row r="593" spans="3:224" ht="20.100000000000001" customHeight="1">
      <c r="C593" s="24">
        <v>15602002</v>
      </c>
      <c r="D593" s="25" t="s">
        <v>538</v>
      </c>
      <c r="E593" s="25">
        <v>11200003</v>
      </c>
      <c r="F593" s="25">
        <v>16021</v>
      </c>
      <c r="G593" s="25">
        <v>1</v>
      </c>
      <c r="H593" s="25">
        <v>60</v>
      </c>
      <c r="I593" s="29">
        <v>0.2</v>
      </c>
      <c r="J593" s="30">
        <v>25</v>
      </c>
      <c r="K593" s="25">
        <v>0</v>
      </c>
      <c r="L593" s="25">
        <v>0</v>
      </c>
      <c r="M593" s="25">
        <v>130</v>
      </c>
      <c r="N593" s="25">
        <v>250</v>
      </c>
      <c r="O593" s="25">
        <v>0</v>
      </c>
      <c r="P593" s="25">
        <v>0</v>
      </c>
      <c r="Q593" s="25">
        <v>0</v>
      </c>
      <c r="R593" s="25">
        <v>0</v>
      </c>
      <c r="S593" s="25">
        <v>100</v>
      </c>
      <c r="T593" s="25">
        <v>190</v>
      </c>
      <c r="U593" s="29">
        <v>0</v>
      </c>
      <c r="V593" s="25">
        <v>0</v>
      </c>
      <c r="W593" s="25">
        <v>0</v>
      </c>
      <c r="X593" s="25">
        <v>0</v>
      </c>
      <c r="Y593" s="29">
        <v>0</v>
      </c>
      <c r="Z593" s="29">
        <v>0</v>
      </c>
      <c r="AA593" s="29">
        <v>0</v>
      </c>
      <c r="AB593" s="29">
        <v>202303</v>
      </c>
      <c r="AC593" s="29">
        <v>100</v>
      </c>
      <c r="AD593" s="29">
        <v>1</v>
      </c>
      <c r="AE593" s="29"/>
      <c r="GR593" s="5"/>
      <c r="GS593" s="5"/>
      <c r="GT593" s="5"/>
      <c r="GU593" s="5"/>
      <c r="GV593" s="5"/>
      <c r="GW593" s="5"/>
      <c r="GX593" s="5"/>
      <c r="GY593" s="5"/>
      <c r="GZ593" s="5"/>
      <c r="HA593" s="5"/>
      <c r="HB593" s="5"/>
      <c r="HC593" s="5"/>
      <c r="HD593" s="5"/>
      <c r="HE593" s="5"/>
      <c r="HF593" s="5"/>
      <c r="HG593" s="5"/>
      <c r="HH593" s="5"/>
      <c r="HI593" s="5"/>
      <c r="HJ593" s="5"/>
      <c r="HK593" s="5"/>
      <c r="HL593" s="5"/>
      <c r="HM593" s="5"/>
      <c r="HN593" s="5"/>
      <c r="HO593" s="5"/>
      <c r="HP593" s="5"/>
    </row>
    <row r="594" spans="3:224" ht="20.100000000000001" customHeight="1">
      <c r="C594" s="24">
        <v>15602003</v>
      </c>
      <c r="D594" s="25" t="s">
        <v>540</v>
      </c>
      <c r="E594" s="25">
        <v>11200003</v>
      </c>
      <c r="F594" s="25">
        <v>16031</v>
      </c>
      <c r="G594" s="25">
        <v>1</v>
      </c>
      <c r="H594" s="25">
        <v>60</v>
      </c>
      <c r="I594" s="29">
        <v>0.2</v>
      </c>
      <c r="J594" s="30">
        <v>25</v>
      </c>
      <c r="K594" s="25">
        <v>0</v>
      </c>
      <c r="L594" s="25">
        <v>0</v>
      </c>
      <c r="M594" s="25">
        <v>70</v>
      </c>
      <c r="N594" s="25">
        <v>140</v>
      </c>
      <c r="O594" s="25">
        <v>0</v>
      </c>
      <c r="P594" s="25">
        <v>0</v>
      </c>
      <c r="Q594" s="25">
        <v>0</v>
      </c>
      <c r="R594" s="25">
        <v>0</v>
      </c>
      <c r="S594" s="25">
        <v>160</v>
      </c>
      <c r="T594" s="25">
        <v>320</v>
      </c>
      <c r="U594" s="29">
        <v>0</v>
      </c>
      <c r="V594" s="25">
        <v>0</v>
      </c>
      <c r="W594" s="25">
        <v>0</v>
      </c>
      <c r="X594" s="25">
        <v>0</v>
      </c>
      <c r="Y594" s="29">
        <v>0</v>
      </c>
      <c r="Z594" s="29">
        <v>0</v>
      </c>
      <c r="AA594" s="29">
        <v>0</v>
      </c>
      <c r="AB594" s="29">
        <v>202303</v>
      </c>
      <c r="AC594" s="29">
        <v>100</v>
      </c>
      <c r="AD594" s="29">
        <v>1</v>
      </c>
      <c r="AE594" s="29"/>
      <c r="GR594" s="5"/>
      <c r="GS594" s="5"/>
      <c r="GT594" s="5"/>
      <c r="GU594" s="5"/>
      <c r="GV594" s="5"/>
      <c r="GW594" s="5"/>
      <c r="GX594" s="5"/>
      <c r="GY594" s="5"/>
      <c r="GZ594" s="5"/>
      <c r="HA594" s="5"/>
      <c r="HB594" s="5"/>
      <c r="HC594" s="5"/>
      <c r="HD594" s="5"/>
      <c r="HE594" s="5"/>
      <c r="HF594" s="5"/>
      <c r="HG594" s="5"/>
      <c r="HH594" s="5"/>
      <c r="HI594" s="5"/>
      <c r="HJ594" s="5"/>
      <c r="HK594" s="5"/>
      <c r="HL594" s="5"/>
      <c r="HM594" s="5"/>
      <c r="HN594" s="5"/>
      <c r="HO594" s="5"/>
      <c r="HP594" s="5"/>
    </row>
    <row r="595" spans="3:224" ht="20.100000000000001" customHeight="1">
      <c r="C595" s="24">
        <v>15603001</v>
      </c>
      <c r="D595" s="25" t="s">
        <v>542</v>
      </c>
      <c r="E595" s="25">
        <v>11200003</v>
      </c>
      <c r="F595" s="25">
        <v>16011</v>
      </c>
      <c r="G595" s="25">
        <v>1</v>
      </c>
      <c r="H595" s="25">
        <v>60</v>
      </c>
      <c r="I595" s="29">
        <v>0.2</v>
      </c>
      <c r="J595" s="30">
        <v>25</v>
      </c>
      <c r="K595" s="25">
        <v>0</v>
      </c>
      <c r="L595" s="25">
        <v>3020</v>
      </c>
      <c r="M595" s="25">
        <v>50</v>
      </c>
      <c r="N595" s="25">
        <v>100</v>
      </c>
      <c r="O595" s="25">
        <v>0</v>
      </c>
      <c r="P595" s="25">
        <v>0</v>
      </c>
      <c r="Q595" s="25">
        <v>90</v>
      </c>
      <c r="R595" s="25">
        <v>170</v>
      </c>
      <c r="S595" s="25">
        <v>0</v>
      </c>
      <c r="T595" s="25">
        <v>0</v>
      </c>
      <c r="U595" s="29">
        <v>0</v>
      </c>
      <c r="V595" s="25">
        <v>0</v>
      </c>
      <c r="W595" s="25">
        <v>0</v>
      </c>
      <c r="X595" s="25">
        <v>0</v>
      </c>
      <c r="Y595" s="29">
        <v>0</v>
      </c>
      <c r="Z595" s="29">
        <v>0</v>
      </c>
      <c r="AA595" s="29">
        <v>0</v>
      </c>
      <c r="AB595" s="29">
        <v>200403</v>
      </c>
      <c r="AC595" s="29">
        <v>100</v>
      </c>
      <c r="AD595" s="29">
        <v>1</v>
      </c>
      <c r="AE595" s="29"/>
      <c r="GR595" s="5"/>
      <c r="GS595" s="5"/>
      <c r="GT595" s="5"/>
      <c r="GU595" s="5"/>
      <c r="GV595" s="5"/>
      <c r="GW595" s="5"/>
      <c r="GX595" s="5"/>
      <c r="GY595" s="5"/>
      <c r="GZ595" s="5"/>
      <c r="HA595" s="5"/>
      <c r="HB595" s="5"/>
      <c r="HC595" s="5"/>
      <c r="HD595" s="5"/>
      <c r="HE595" s="5"/>
      <c r="HF595" s="5"/>
      <c r="HG595" s="5"/>
      <c r="HH595" s="5"/>
      <c r="HI595" s="5"/>
      <c r="HJ595" s="5"/>
      <c r="HK595" s="5"/>
      <c r="HL595" s="5"/>
      <c r="HM595" s="5"/>
      <c r="HN595" s="5"/>
      <c r="HO595" s="5"/>
      <c r="HP595" s="5"/>
    </row>
    <row r="596" spans="3:224" ht="20.100000000000001" customHeight="1">
      <c r="C596" s="24">
        <v>15603002</v>
      </c>
      <c r="D596" s="25" t="s">
        <v>544</v>
      </c>
      <c r="E596" s="25">
        <v>11200003</v>
      </c>
      <c r="F596" s="25">
        <v>16021</v>
      </c>
      <c r="G596" s="25">
        <v>1</v>
      </c>
      <c r="H596" s="25">
        <v>60</v>
      </c>
      <c r="I596" s="29">
        <v>0.2</v>
      </c>
      <c r="J596" s="30">
        <v>25</v>
      </c>
      <c r="K596" s="25">
        <v>0</v>
      </c>
      <c r="L596" s="25">
        <v>1510</v>
      </c>
      <c r="M596" s="25">
        <v>70</v>
      </c>
      <c r="N596" s="25">
        <v>140</v>
      </c>
      <c r="O596" s="25">
        <v>0</v>
      </c>
      <c r="P596" s="25">
        <v>0</v>
      </c>
      <c r="Q596" s="25">
        <v>60</v>
      </c>
      <c r="R596" s="25">
        <v>130</v>
      </c>
      <c r="S596" s="25">
        <v>0</v>
      </c>
      <c r="T596" s="25">
        <v>0</v>
      </c>
      <c r="U596" s="29">
        <v>0</v>
      </c>
      <c r="V596" s="25">
        <v>0</v>
      </c>
      <c r="W596" s="25">
        <v>0</v>
      </c>
      <c r="X596" s="25">
        <v>0</v>
      </c>
      <c r="Y596" s="29">
        <v>0</v>
      </c>
      <c r="Z596" s="29">
        <v>0</v>
      </c>
      <c r="AA596" s="29">
        <v>0</v>
      </c>
      <c r="AB596" s="29">
        <v>200403</v>
      </c>
      <c r="AC596" s="29">
        <v>100</v>
      </c>
      <c r="AD596" s="29">
        <v>1</v>
      </c>
      <c r="AE596" s="29"/>
      <c r="GR596" s="5"/>
      <c r="GS596" s="5"/>
      <c r="GT596" s="5"/>
      <c r="GU596" s="5"/>
      <c r="GV596" s="5"/>
      <c r="GW596" s="5"/>
      <c r="GX596" s="5"/>
      <c r="GY596" s="5"/>
      <c r="GZ596" s="5"/>
      <c r="HA596" s="5"/>
      <c r="HB596" s="5"/>
      <c r="HC596" s="5"/>
      <c r="HD596" s="5"/>
      <c r="HE596" s="5"/>
      <c r="HF596" s="5"/>
      <c r="HG596" s="5"/>
      <c r="HH596" s="5"/>
      <c r="HI596" s="5"/>
      <c r="HJ596" s="5"/>
      <c r="HK596" s="5"/>
      <c r="HL596" s="5"/>
      <c r="HM596" s="5"/>
      <c r="HN596" s="5"/>
      <c r="HO596" s="5"/>
      <c r="HP596" s="5"/>
    </row>
    <row r="597" spans="3:224" ht="20.100000000000001" customHeight="1">
      <c r="C597" s="24">
        <v>15603003</v>
      </c>
      <c r="D597" s="25" t="s">
        <v>546</v>
      </c>
      <c r="E597" s="25">
        <v>11200003</v>
      </c>
      <c r="F597" s="25">
        <v>16031</v>
      </c>
      <c r="G597" s="25">
        <v>1</v>
      </c>
      <c r="H597" s="25">
        <v>60</v>
      </c>
      <c r="I597" s="29">
        <v>0.2</v>
      </c>
      <c r="J597" s="30">
        <v>25</v>
      </c>
      <c r="K597" s="25">
        <v>0</v>
      </c>
      <c r="L597" s="25">
        <v>4540</v>
      </c>
      <c r="M597" s="25">
        <v>40</v>
      </c>
      <c r="N597" s="25">
        <v>80</v>
      </c>
      <c r="O597" s="25">
        <v>0</v>
      </c>
      <c r="P597" s="25">
        <v>0</v>
      </c>
      <c r="Q597" s="25">
        <v>110</v>
      </c>
      <c r="R597" s="25">
        <v>220</v>
      </c>
      <c r="S597" s="25">
        <v>0</v>
      </c>
      <c r="T597" s="25">
        <v>0</v>
      </c>
      <c r="U597" s="29">
        <v>0</v>
      </c>
      <c r="V597" s="25">
        <v>0</v>
      </c>
      <c r="W597" s="25">
        <v>0</v>
      </c>
      <c r="X597" s="25">
        <v>0</v>
      </c>
      <c r="Y597" s="29">
        <v>0</v>
      </c>
      <c r="Z597" s="29">
        <v>0</v>
      </c>
      <c r="AA597" s="29">
        <v>0</v>
      </c>
      <c r="AB597" s="29">
        <v>200403</v>
      </c>
      <c r="AC597" s="29">
        <v>100</v>
      </c>
      <c r="AD597" s="29">
        <v>1</v>
      </c>
      <c r="AE597" s="29"/>
      <c r="GR597" s="5"/>
      <c r="GS597" s="5"/>
      <c r="GT597" s="5"/>
      <c r="GU597" s="5"/>
      <c r="GV597" s="5"/>
      <c r="GW597" s="5"/>
      <c r="GX597" s="5"/>
      <c r="GY597" s="5"/>
      <c r="GZ597" s="5"/>
      <c r="HA597" s="5"/>
      <c r="HB597" s="5"/>
      <c r="HC597" s="5"/>
      <c r="HD597" s="5"/>
      <c r="HE597" s="5"/>
      <c r="HF597" s="5"/>
      <c r="HG597" s="5"/>
      <c r="HH597" s="5"/>
      <c r="HI597" s="5"/>
      <c r="HJ597" s="5"/>
      <c r="HK597" s="5"/>
      <c r="HL597" s="5"/>
      <c r="HM597" s="5"/>
      <c r="HN597" s="5"/>
      <c r="HO597" s="5"/>
      <c r="HP597" s="5"/>
    </row>
    <row r="598" spans="3:224" ht="20.100000000000001" customHeight="1">
      <c r="C598" s="24">
        <v>15604001</v>
      </c>
      <c r="D598" s="25" t="s">
        <v>549</v>
      </c>
      <c r="E598" s="25">
        <v>11200003</v>
      </c>
      <c r="F598" s="25">
        <v>16011</v>
      </c>
      <c r="G598" s="25">
        <v>1</v>
      </c>
      <c r="H598" s="25">
        <v>60</v>
      </c>
      <c r="I598" s="29">
        <v>0.2</v>
      </c>
      <c r="J598" s="30">
        <v>25</v>
      </c>
      <c r="K598" s="25">
        <v>0</v>
      </c>
      <c r="L598" s="25">
        <v>0</v>
      </c>
      <c r="M598" s="25">
        <v>80</v>
      </c>
      <c r="N598" s="25">
        <v>160</v>
      </c>
      <c r="O598" s="25">
        <v>0</v>
      </c>
      <c r="P598" s="25">
        <v>0</v>
      </c>
      <c r="Q598" s="25">
        <v>90</v>
      </c>
      <c r="R598" s="25">
        <v>170</v>
      </c>
      <c r="S598" s="25">
        <v>90</v>
      </c>
      <c r="T598" s="25">
        <v>170</v>
      </c>
      <c r="U598" s="29">
        <v>0</v>
      </c>
      <c r="V598" s="25">
        <v>0</v>
      </c>
      <c r="W598" s="25">
        <v>0</v>
      </c>
      <c r="X598" s="25">
        <v>0</v>
      </c>
      <c r="Y598" s="29">
        <v>0</v>
      </c>
      <c r="Z598" s="29">
        <v>0</v>
      </c>
      <c r="AA598" s="29">
        <v>0</v>
      </c>
      <c r="AB598" s="29">
        <v>202203</v>
      </c>
      <c r="AC598" s="29">
        <v>100</v>
      </c>
      <c r="AD598" s="29">
        <v>1</v>
      </c>
      <c r="AE598" s="29"/>
      <c r="GR598" s="5"/>
      <c r="GS598" s="5"/>
      <c r="GT598" s="5"/>
      <c r="GU598" s="5"/>
      <c r="GV598" s="5"/>
      <c r="GW598" s="5"/>
      <c r="GX598" s="5"/>
      <c r="GY598" s="5"/>
      <c r="GZ598" s="5"/>
      <c r="HA598" s="5"/>
      <c r="HB598" s="5"/>
      <c r="HC598" s="5"/>
      <c r="HD598" s="5"/>
      <c r="HE598" s="5"/>
      <c r="HF598" s="5"/>
      <c r="HG598" s="5"/>
      <c r="HH598" s="5"/>
      <c r="HI598" s="5"/>
      <c r="HJ598" s="5"/>
      <c r="HK598" s="5"/>
      <c r="HL598" s="5"/>
      <c r="HM598" s="5"/>
      <c r="HN598" s="5"/>
      <c r="HO598" s="5"/>
      <c r="HP598" s="5"/>
    </row>
    <row r="599" spans="3:224" ht="20.100000000000001" customHeight="1">
      <c r="C599" s="24">
        <v>15604002</v>
      </c>
      <c r="D599" s="25" t="s">
        <v>551</v>
      </c>
      <c r="E599" s="25">
        <v>11200003</v>
      </c>
      <c r="F599" s="25">
        <v>16021</v>
      </c>
      <c r="G599" s="25">
        <v>1</v>
      </c>
      <c r="H599" s="25">
        <v>60</v>
      </c>
      <c r="I599" s="29">
        <v>0.2</v>
      </c>
      <c r="J599" s="30">
        <v>25</v>
      </c>
      <c r="K599" s="25">
        <v>0</v>
      </c>
      <c r="L599" s="25">
        <v>0</v>
      </c>
      <c r="M599" s="25">
        <v>110</v>
      </c>
      <c r="N599" s="25">
        <v>210</v>
      </c>
      <c r="O599" s="25">
        <v>0</v>
      </c>
      <c r="P599" s="25">
        <v>0</v>
      </c>
      <c r="Q599" s="25">
        <v>60</v>
      </c>
      <c r="R599" s="25">
        <v>130</v>
      </c>
      <c r="S599" s="25">
        <v>60</v>
      </c>
      <c r="T599" s="25">
        <v>130</v>
      </c>
      <c r="U599" s="29">
        <v>0</v>
      </c>
      <c r="V599" s="25">
        <v>0</v>
      </c>
      <c r="W599" s="25">
        <v>0</v>
      </c>
      <c r="X599" s="25">
        <v>0</v>
      </c>
      <c r="Y599" s="29">
        <v>0</v>
      </c>
      <c r="Z599" s="29">
        <v>0</v>
      </c>
      <c r="AA599" s="29">
        <v>0</v>
      </c>
      <c r="AB599" s="29">
        <v>202303</v>
      </c>
      <c r="AC599" s="29">
        <v>100</v>
      </c>
      <c r="AD599" s="29">
        <v>1</v>
      </c>
      <c r="AE599" s="29"/>
      <c r="GR599" s="5"/>
      <c r="GS599" s="5"/>
      <c r="GT599" s="5"/>
      <c r="GU599" s="5"/>
      <c r="GV599" s="5"/>
      <c r="GW599" s="5"/>
      <c r="GX599" s="5"/>
      <c r="GY599" s="5"/>
      <c r="GZ599" s="5"/>
      <c r="HA599" s="5"/>
      <c r="HB599" s="5"/>
      <c r="HC599" s="5"/>
      <c r="HD599" s="5"/>
      <c r="HE599" s="5"/>
      <c r="HF599" s="5"/>
      <c r="HG599" s="5"/>
      <c r="HH599" s="5"/>
      <c r="HI599" s="5"/>
      <c r="HJ599" s="5"/>
      <c r="HK599" s="5"/>
      <c r="HL599" s="5"/>
      <c r="HM599" s="5"/>
      <c r="HN599" s="5"/>
      <c r="HO599" s="5"/>
      <c r="HP599" s="5"/>
    </row>
    <row r="600" spans="3:224" ht="20.100000000000001" customHeight="1">
      <c r="C600" s="24">
        <v>15604003</v>
      </c>
      <c r="D600" s="25" t="s">
        <v>553</v>
      </c>
      <c r="E600" s="25">
        <v>11200003</v>
      </c>
      <c r="F600" s="25">
        <v>16031</v>
      </c>
      <c r="G600" s="25">
        <v>1</v>
      </c>
      <c r="H600" s="25">
        <v>60</v>
      </c>
      <c r="I600" s="29">
        <v>0.2</v>
      </c>
      <c r="J600" s="30">
        <v>25</v>
      </c>
      <c r="K600" s="25">
        <v>0</v>
      </c>
      <c r="L600" s="25">
        <v>0</v>
      </c>
      <c r="M600" s="25">
        <v>60</v>
      </c>
      <c r="N600" s="25">
        <v>120</v>
      </c>
      <c r="O600" s="25">
        <v>0</v>
      </c>
      <c r="P600" s="25">
        <v>0</v>
      </c>
      <c r="Q600" s="25">
        <v>110</v>
      </c>
      <c r="R600" s="25">
        <v>220</v>
      </c>
      <c r="S600" s="25">
        <v>110</v>
      </c>
      <c r="T600" s="25">
        <v>220</v>
      </c>
      <c r="U600" s="29">
        <v>0</v>
      </c>
      <c r="V600" s="25">
        <v>0</v>
      </c>
      <c r="W600" s="25">
        <v>0</v>
      </c>
      <c r="X600" s="25">
        <v>0</v>
      </c>
      <c r="Y600" s="29">
        <v>0</v>
      </c>
      <c r="Z600" s="29">
        <v>0</v>
      </c>
      <c r="AA600" s="29">
        <v>0</v>
      </c>
      <c r="AB600" s="29">
        <v>202203</v>
      </c>
      <c r="AC600" s="29">
        <v>100</v>
      </c>
      <c r="AD600" s="29">
        <v>1</v>
      </c>
      <c r="AE600" s="29"/>
      <c r="GR600" s="5"/>
      <c r="GS600" s="5"/>
      <c r="GT600" s="5"/>
      <c r="GU600" s="5"/>
      <c r="GV600" s="5"/>
      <c r="GW600" s="5"/>
      <c r="GX600" s="5"/>
      <c r="GY600" s="5"/>
      <c r="GZ600" s="5"/>
      <c r="HA600" s="5"/>
      <c r="HB600" s="5"/>
      <c r="HC600" s="5"/>
      <c r="HD600" s="5"/>
      <c r="HE600" s="5"/>
      <c r="HF600" s="5"/>
      <c r="HG600" s="5"/>
      <c r="HH600" s="5"/>
      <c r="HI600" s="5"/>
      <c r="HJ600" s="5"/>
      <c r="HK600" s="5"/>
      <c r="HL600" s="5"/>
      <c r="HM600" s="5"/>
      <c r="HN600" s="5"/>
      <c r="HO600" s="5"/>
      <c r="HP600" s="5"/>
    </row>
    <row r="601" spans="3:224" ht="20.100000000000001" customHeight="1">
      <c r="C601" s="24">
        <v>15605001</v>
      </c>
      <c r="D601" s="25" t="s">
        <v>555</v>
      </c>
      <c r="E601" s="25">
        <v>11200003</v>
      </c>
      <c r="F601" s="25">
        <v>16011</v>
      </c>
      <c r="G601" s="25">
        <v>1</v>
      </c>
      <c r="H601" s="25">
        <v>60</v>
      </c>
      <c r="I601" s="29">
        <v>0.2</v>
      </c>
      <c r="J601" s="30">
        <v>25</v>
      </c>
      <c r="K601" s="25">
        <v>0</v>
      </c>
      <c r="L601" s="25">
        <v>7560</v>
      </c>
      <c r="M601" s="25">
        <v>110</v>
      </c>
      <c r="N601" s="25">
        <v>220</v>
      </c>
      <c r="O601" s="25">
        <v>0</v>
      </c>
      <c r="P601" s="25">
        <v>0</v>
      </c>
      <c r="Q601" s="25">
        <v>40</v>
      </c>
      <c r="R601" s="25">
        <v>90</v>
      </c>
      <c r="S601" s="25">
        <v>0</v>
      </c>
      <c r="T601" s="25">
        <v>0</v>
      </c>
      <c r="U601" s="29">
        <v>0</v>
      </c>
      <c r="V601" s="25">
        <v>0</v>
      </c>
      <c r="W601" s="25">
        <v>0</v>
      </c>
      <c r="X601" s="25">
        <v>0</v>
      </c>
      <c r="Y601" s="29">
        <v>0</v>
      </c>
      <c r="Z601" s="29">
        <v>0</v>
      </c>
      <c r="AA601" s="29">
        <v>0</v>
      </c>
      <c r="AB601" s="29">
        <v>200103</v>
      </c>
      <c r="AC601" s="29">
        <v>100</v>
      </c>
      <c r="AD601" s="29">
        <v>1</v>
      </c>
      <c r="AE601" s="29"/>
      <c r="GR601" s="5"/>
      <c r="GS601" s="5"/>
      <c r="GT601" s="5"/>
      <c r="GU601" s="5"/>
      <c r="GV601" s="5"/>
      <c r="GW601" s="5"/>
      <c r="GX601" s="5"/>
      <c r="GY601" s="5"/>
      <c r="GZ601" s="5"/>
      <c r="HA601" s="5"/>
      <c r="HB601" s="5"/>
      <c r="HC601" s="5"/>
      <c r="HD601" s="5"/>
      <c r="HE601" s="5"/>
      <c r="HF601" s="5"/>
      <c r="HG601" s="5"/>
      <c r="HH601" s="5"/>
      <c r="HI601" s="5"/>
      <c r="HJ601" s="5"/>
      <c r="HK601" s="5"/>
      <c r="HL601" s="5"/>
      <c r="HM601" s="5"/>
      <c r="HN601" s="5"/>
      <c r="HO601" s="5"/>
      <c r="HP601" s="5"/>
    </row>
    <row r="602" spans="3:224" ht="20.100000000000001" customHeight="1">
      <c r="C602" s="24">
        <v>15605002</v>
      </c>
      <c r="D602" s="25" t="s">
        <v>557</v>
      </c>
      <c r="E602" s="25">
        <v>11200003</v>
      </c>
      <c r="F602" s="25">
        <v>16021</v>
      </c>
      <c r="G602" s="25">
        <v>1</v>
      </c>
      <c r="H602" s="25">
        <v>60</v>
      </c>
      <c r="I602" s="29">
        <v>0.2</v>
      </c>
      <c r="J602" s="30">
        <v>25</v>
      </c>
      <c r="K602" s="25">
        <v>0</v>
      </c>
      <c r="L602" s="25">
        <v>3780</v>
      </c>
      <c r="M602" s="25">
        <v>150</v>
      </c>
      <c r="N602" s="25">
        <v>290</v>
      </c>
      <c r="O602" s="25">
        <v>0</v>
      </c>
      <c r="P602" s="25">
        <v>0</v>
      </c>
      <c r="Q602" s="25">
        <v>30</v>
      </c>
      <c r="R602" s="25">
        <v>60</v>
      </c>
      <c r="S602" s="25">
        <v>0</v>
      </c>
      <c r="T602" s="25">
        <v>0</v>
      </c>
      <c r="U602" s="29">
        <v>0</v>
      </c>
      <c r="V602" s="25">
        <v>0</v>
      </c>
      <c r="W602" s="25">
        <v>0</v>
      </c>
      <c r="X602" s="25">
        <v>0</v>
      </c>
      <c r="Y602" s="29">
        <v>0</v>
      </c>
      <c r="Z602" s="29">
        <v>0</v>
      </c>
      <c r="AA602" s="29">
        <v>0</v>
      </c>
      <c r="AB602" s="29">
        <v>200103</v>
      </c>
      <c r="AC602" s="29">
        <v>100</v>
      </c>
      <c r="AD602" s="29">
        <v>1</v>
      </c>
      <c r="AE602" s="29"/>
      <c r="GR602" s="5"/>
      <c r="GS602" s="5"/>
      <c r="GT602" s="5"/>
      <c r="GU602" s="5"/>
      <c r="GV602" s="5"/>
      <c r="GW602" s="5"/>
      <c r="GX602" s="5"/>
      <c r="GY602" s="5"/>
      <c r="GZ602" s="5"/>
      <c r="HA602" s="5"/>
      <c r="HB602" s="5"/>
      <c r="HC602" s="5"/>
      <c r="HD602" s="5"/>
      <c r="HE602" s="5"/>
      <c r="HF602" s="5"/>
      <c r="HG602" s="5"/>
      <c r="HH602" s="5"/>
      <c r="HI602" s="5"/>
      <c r="HJ602" s="5"/>
      <c r="HK602" s="5"/>
      <c r="HL602" s="5"/>
      <c r="HM602" s="5"/>
      <c r="HN602" s="5"/>
      <c r="HO602" s="5"/>
      <c r="HP602" s="5"/>
    </row>
    <row r="603" spans="3:224" ht="20.100000000000001" customHeight="1">
      <c r="C603" s="24">
        <v>15605003</v>
      </c>
      <c r="D603" s="25" t="s">
        <v>559</v>
      </c>
      <c r="E603" s="25">
        <v>11200003</v>
      </c>
      <c r="F603" s="25">
        <v>16031</v>
      </c>
      <c r="G603" s="25">
        <v>1</v>
      </c>
      <c r="H603" s="25">
        <v>60</v>
      </c>
      <c r="I603" s="29">
        <v>0.2</v>
      </c>
      <c r="J603" s="30">
        <v>25</v>
      </c>
      <c r="K603" s="25">
        <v>0</v>
      </c>
      <c r="L603" s="25">
        <v>11340</v>
      </c>
      <c r="M603" s="25">
        <v>80</v>
      </c>
      <c r="N603" s="25">
        <v>160</v>
      </c>
      <c r="O603" s="25">
        <v>0</v>
      </c>
      <c r="P603" s="25">
        <v>0</v>
      </c>
      <c r="Q603" s="25">
        <v>50</v>
      </c>
      <c r="R603" s="25">
        <v>110</v>
      </c>
      <c r="S603" s="25">
        <v>0</v>
      </c>
      <c r="T603" s="25">
        <v>0</v>
      </c>
      <c r="U603" s="29">
        <v>0</v>
      </c>
      <c r="V603" s="25">
        <v>0</v>
      </c>
      <c r="W603" s="25">
        <v>0</v>
      </c>
      <c r="X603" s="25">
        <v>0</v>
      </c>
      <c r="Y603" s="29">
        <v>0</v>
      </c>
      <c r="Z603" s="29">
        <v>0</v>
      </c>
      <c r="AA603" s="29">
        <v>0</v>
      </c>
      <c r="AB603" s="29">
        <v>200103</v>
      </c>
      <c r="AC603" s="29">
        <v>100</v>
      </c>
      <c r="AD603" s="29">
        <v>1</v>
      </c>
      <c r="AE603" s="29"/>
      <c r="GR603" s="5"/>
      <c r="GS603" s="5"/>
      <c r="GT603" s="5"/>
      <c r="GU603" s="5"/>
      <c r="GV603" s="5"/>
      <c r="GW603" s="5"/>
      <c r="GX603" s="5"/>
      <c r="GY603" s="5"/>
      <c r="GZ603" s="5"/>
      <c r="HA603" s="5"/>
      <c r="HB603" s="5"/>
      <c r="HC603" s="5"/>
      <c r="HD603" s="5"/>
      <c r="HE603" s="5"/>
      <c r="HF603" s="5"/>
      <c r="HG603" s="5"/>
      <c r="HH603" s="5"/>
      <c r="HI603" s="5"/>
      <c r="HJ603" s="5"/>
      <c r="HK603" s="5"/>
      <c r="HL603" s="5"/>
      <c r="HM603" s="5"/>
      <c r="HN603" s="5"/>
      <c r="HO603" s="5"/>
      <c r="HP603" s="5"/>
    </row>
    <row r="604" spans="3:224" ht="20.100000000000001" customHeight="1">
      <c r="C604" s="24">
        <v>15606001</v>
      </c>
      <c r="D604" s="25" t="s">
        <v>561</v>
      </c>
      <c r="E604" s="25">
        <v>11200002</v>
      </c>
      <c r="F604" s="25">
        <v>16051</v>
      </c>
      <c r="G604" s="25">
        <v>1</v>
      </c>
      <c r="H604" s="25">
        <v>60</v>
      </c>
      <c r="I604" s="29">
        <v>0.2</v>
      </c>
      <c r="J604" s="30">
        <v>25</v>
      </c>
      <c r="K604" s="25">
        <v>0</v>
      </c>
      <c r="L604" s="25">
        <v>0</v>
      </c>
      <c r="M604" s="25">
        <v>220</v>
      </c>
      <c r="N604" s="25">
        <v>430</v>
      </c>
      <c r="O604" s="25">
        <v>0</v>
      </c>
      <c r="P604" s="25">
        <v>0</v>
      </c>
      <c r="Q604" s="25">
        <v>60</v>
      </c>
      <c r="R604" s="25">
        <v>130</v>
      </c>
      <c r="S604" s="25">
        <v>0</v>
      </c>
      <c r="T604" s="25">
        <v>0</v>
      </c>
      <c r="U604" s="29">
        <v>0</v>
      </c>
      <c r="V604" s="25">
        <v>0</v>
      </c>
      <c r="W604" s="25">
        <v>0</v>
      </c>
      <c r="X604" s="25">
        <v>0</v>
      </c>
      <c r="Y604" s="29">
        <v>0</v>
      </c>
      <c r="Z604" s="29">
        <v>0</v>
      </c>
      <c r="AA604" s="29">
        <v>0</v>
      </c>
      <c r="AB604" s="29">
        <v>100402</v>
      </c>
      <c r="AC604" s="29">
        <v>100</v>
      </c>
      <c r="AD604" s="29">
        <v>1</v>
      </c>
      <c r="AE604" s="29"/>
      <c r="GR604" s="5"/>
      <c r="GS604" s="5"/>
      <c r="GT604" s="5"/>
      <c r="GU604" s="5"/>
      <c r="GV604" s="5"/>
      <c r="GW604" s="5"/>
      <c r="GX604" s="5"/>
      <c r="GY604" s="5"/>
      <c r="GZ604" s="5"/>
      <c r="HA604" s="5"/>
      <c r="HB604" s="5"/>
      <c r="HC604" s="5"/>
      <c r="HD604" s="5"/>
      <c r="HE604" s="5"/>
      <c r="HF604" s="5"/>
      <c r="HG604" s="5"/>
      <c r="HH604" s="5"/>
      <c r="HI604" s="5"/>
      <c r="HJ604" s="5"/>
      <c r="HK604" s="5"/>
      <c r="HL604" s="5"/>
      <c r="HM604" s="5"/>
      <c r="HN604" s="5"/>
      <c r="HO604" s="5"/>
      <c r="HP604" s="5"/>
    </row>
    <row r="605" spans="3:224" ht="20.100000000000001" customHeight="1">
      <c r="C605" s="24">
        <v>15607001</v>
      </c>
      <c r="D605" s="25" t="s">
        <v>564</v>
      </c>
      <c r="E605" s="25">
        <v>11200002</v>
      </c>
      <c r="F605" s="25">
        <v>0</v>
      </c>
      <c r="G605" s="25">
        <v>1</v>
      </c>
      <c r="H605" s="25">
        <v>60</v>
      </c>
      <c r="I605" s="29">
        <v>0.2</v>
      </c>
      <c r="J605" s="30">
        <v>25</v>
      </c>
      <c r="K605" s="25">
        <v>0</v>
      </c>
      <c r="L605" s="25">
        <v>0</v>
      </c>
      <c r="M605" s="25">
        <v>220</v>
      </c>
      <c r="N605" s="25">
        <v>430</v>
      </c>
      <c r="O605" s="25">
        <v>0</v>
      </c>
      <c r="P605" s="25">
        <v>0</v>
      </c>
      <c r="Q605" s="25">
        <v>0</v>
      </c>
      <c r="R605" s="25">
        <v>0</v>
      </c>
      <c r="S605" s="25">
        <v>60</v>
      </c>
      <c r="T605" s="25">
        <v>130</v>
      </c>
      <c r="U605" s="29">
        <v>0</v>
      </c>
      <c r="V605" s="25">
        <v>0</v>
      </c>
      <c r="W605" s="25">
        <v>0</v>
      </c>
      <c r="X605" s="25">
        <v>0</v>
      </c>
      <c r="Y605" s="29">
        <v>0</v>
      </c>
      <c r="Z605" s="29">
        <v>0</v>
      </c>
      <c r="AA605" s="29">
        <v>0</v>
      </c>
      <c r="AB605" s="29">
        <v>200203</v>
      </c>
      <c r="AC605" s="29">
        <v>100</v>
      </c>
      <c r="AD605" s="29">
        <v>1</v>
      </c>
      <c r="AE605" s="29"/>
      <c r="GR605" s="5"/>
      <c r="GS605" s="5"/>
      <c r="GT605" s="5"/>
      <c r="GU605" s="5"/>
      <c r="GV605" s="5"/>
      <c r="GW605" s="5"/>
      <c r="GX605" s="5"/>
      <c r="GY605" s="5"/>
      <c r="GZ605" s="5"/>
      <c r="HA605" s="5"/>
      <c r="HB605" s="5"/>
      <c r="HC605" s="5"/>
      <c r="HD605" s="5"/>
      <c r="HE605" s="5"/>
      <c r="HF605" s="5"/>
      <c r="HG605" s="5"/>
      <c r="HH605" s="5"/>
      <c r="HI605" s="5"/>
      <c r="HJ605" s="5"/>
      <c r="HK605" s="5"/>
      <c r="HL605" s="5"/>
      <c r="HM605" s="5"/>
      <c r="HN605" s="5"/>
      <c r="HO605" s="5"/>
      <c r="HP605" s="5"/>
    </row>
    <row r="606" spans="3:224" ht="20.100000000000001" customHeight="1">
      <c r="C606" s="24">
        <v>15608001</v>
      </c>
      <c r="D606" s="25" t="s">
        <v>566</v>
      </c>
      <c r="E606" s="25">
        <v>11200002</v>
      </c>
      <c r="F606" s="25">
        <v>0</v>
      </c>
      <c r="G606" s="25">
        <v>1</v>
      </c>
      <c r="H606" s="25">
        <v>60</v>
      </c>
      <c r="I606" s="29">
        <v>0.2</v>
      </c>
      <c r="J606" s="30">
        <v>25</v>
      </c>
      <c r="K606" s="25">
        <v>0</v>
      </c>
      <c r="L606" s="25">
        <v>0</v>
      </c>
      <c r="M606" s="25">
        <v>40</v>
      </c>
      <c r="N606" s="25">
        <v>100</v>
      </c>
      <c r="O606" s="25">
        <v>0</v>
      </c>
      <c r="P606" s="25">
        <v>0</v>
      </c>
      <c r="Q606" s="25">
        <v>0</v>
      </c>
      <c r="R606" s="25">
        <v>0</v>
      </c>
      <c r="S606" s="25">
        <v>0</v>
      </c>
      <c r="T606" s="25">
        <v>0</v>
      </c>
      <c r="U606" s="29">
        <v>0</v>
      </c>
      <c r="V606" s="25">
        <v>0</v>
      </c>
      <c r="W606" s="25">
        <v>0</v>
      </c>
      <c r="X606" s="25">
        <v>0</v>
      </c>
      <c r="Y606" s="29">
        <v>0</v>
      </c>
      <c r="Z606" s="29">
        <v>0</v>
      </c>
      <c r="AA606" s="29">
        <v>0</v>
      </c>
      <c r="AB606" s="29">
        <v>0</v>
      </c>
      <c r="AC606" s="29">
        <v>0</v>
      </c>
      <c r="AD606" s="29">
        <v>0</v>
      </c>
      <c r="AE606" s="29"/>
      <c r="GR606" s="5"/>
      <c r="GS606" s="5"/>
      <c r="GT606" s="5"/>
      <c r="GU606" s="5"/>
      <c r="GV606" s="5"/>
      <c r="GW606" s="5"/>
      <c r="GX606" s="5"/>
      <c r="GY606" s="5"/>
      <c r="GZ606" s="5"/>
      <c r="HA606" s="5"/>
      <c r="HB606" s="5"/>
      <c r="HC606" s="5"/>
      <c r="HD606" s="5"/>
      <c r="HE606" s="5"/>
      <c r="HF606" s="5"/>
      <c r="HG606" s="5"/>
      <c r="HH606" s="5"/>
      <c r="HI606" s="5"/>
      <c r="HJ606" s="5"/>
      <c r="HK606" s="5"/>
      <c r="HL606" s="5"/>
      <c r="HM606" s="5"/>
      <c r="HN606" s="5"/>
      <c r="HO606" s="5"/>
      <c r="HP606" s="5"/>
    </row>
    <row r="607" spans="3:224" ht="20.100000000000001" customHeight="1">
      <c r="C607" s="24">
        <v>15609001</v>
      </c>
      <c r="D607" s="25" t="s">
        <v>569</v>
      </c>
      <c r="E607" s="25">
        <v>11200001</v>
      </c>
      <c r="F607" s="25">
        <v>0</v>
      </c>
      <c r="G607" s="25">
        <v>1</v>
      </c>
      <c r="H607" s="25">
        <v>60</v>
      </c>
      <c r="I607" s="29">
        <v>0.2</v>
      </c>
      <c r="J607" s="30">
        <v>25</v>
      </c>
      <c r="K607" s="25">
        <v>0</v>
      </c>
      <c r="L607" s="25">
        <v>12100</v>
      </c>
      <c r="M607" s="25">
        <v>0</v>
      </c>
      <c r="N607" s="25">
        <v>0</v>
      </c>
      <c r="O607" s="25">
        <v>0</v>
      </c>
      <c r="P607" s="25">
        <v>0</v>
      </c>
      <c r="Q607" s="25">
        <v>0</v>
      </c>
      <c r="R607" s="25">
        <v>0</v>
      </c>
      <c r="S607" s="25">
        <v>0</v>
      </c>
      <c r="T607" s="25">
        <v>0</v>
      </c>
      <c r="U607" s="29">
        <v>0</v>
      </c>
      <c r="V607" s="25">
        <v>0</v>
      </c>
      <c r="W607" s="25">
        <v>0</v>
      </c>
      <c r="X607" s="25">
        <v>0</v>
      </c>
      <c r="Y607" s="29">
        <v>0</v>
      </c>
      <c r="Z607" s="29">
        <v>0</v>
      </c>
      <c r="AA607" s="29">
        <v>0</v>
      </c>
      <c r="AB607" s="29">
        <v>200303</v>
      </c>
      <c r="AC607" s="29">
        <v>100</v>
      </c>
      <c r="AD607" s="29">
        <v>1</v>
      </c>
      <c r="AE607" s="29"/>
      <c r="GR607" s="5"/>
      <c r="GS607" s="5"/>
      <c r="GT607" s="5"/>
      <c r="GU607" s="5"/>
      <c r="GV607" s="5"/>
      <c r="GW607" s="5"/>
      <c r="GX607" s="5"/>
      <c r="GY607" s="5"/>
      <c r="GZ607" s="5"/>
      <c r="HA607" s="5"/>
      <c r="HB607" s="5"/>
      <c r="HC607" s="5"/>
      <c r="HD607" s="5"/>
      <c r="HE607" s="5"/>
      <c r="HF607" s="5"/>
      <c r="HG607" s="5"/>
      <c r="HH607" s="5"/>
      <c r="HI607" s="5"/>
      <c r="HJ607" s="5"/>
      <c r="HK607" s="5"/>
      <c r="HL607" s="5"/>
      <c r="HM607" s="5"/>
      <c r="HN607" s="5"/>
      <c r="HO607" s="5"/>
      <c r="HP607" s="5"/>
    </row>
    <row r="608" spans="3:224" ht="20.100000000000001" customHeight="1">
      <c r="C608" s="24">
        <v>15610001</v>
      </c>
      <c r="D608" s="24" t="s">
        <v>572</v>
      </c>
      <c r="E608" s="25">
        <v>11200001</v>
      </c>
      <c r="F608" s="25">
        <v>16051</v>
      </c>
      <c r="G608" s="25">
        <v>1</v>
      </c>
      <c r="H608" s="25">
        <v>60</v>
      </c>
      <c r="I608" s="29">
        <v>0.2</v>
      </c>
      <c r="J608" s="30">
        <v>25</v>
      </c>
      <c r="K608" s="25">
        <v>0</v>
      </c>
      <c r="L608" s="25">
        <v>0</v>
      </c>
      <c r="M608" s="25">
        <v>600</v>
      </c>
      <c r="N608" s="25">
        <v>1320</v>
      </c>
      <c r="O608" s="25">
        <v>0</v>
      </c>
      <c r="P608" s="25">
        <v>0</v>
      </c>
      <c r="Q608" s="25">
        <v>0</v>
      </c>
      <c r="R608" s="25">
        <v>0</v>
      </c>
      <c r="S608" s="25">
        <v>0</v>
      </c>
      <c r="T608" s="25">
        <v>0</v>
      </c>
      <c r="U608" s="29">
        <v>0</v>
      </c>
      <c r="V608" s="25">
        <v>0</v>
      </c>
      <c r="W608" s="25">
        <v>0</v>
      </c>
      <c r="X608" s="25">
        <v>0</v>
      </c>
      <c r="Y608" s="29">
        <v>0</v>
      </c>
      <c r="Z608" s="29">
        <v>0</v>
      </c>
      <c r="AA608" s="29">
        <v>0</v>
      </c>
      <c r="AB608" s="29">
        <v>200903</v>
      </c>
      <c r="AC608" s="29">
        <v>100</v>
      </c>
      <c r="AD608" s="29">
        <v>1</v>
      </c>
      <c r="AE608" s="29"/>
      <c r="GR608" s="5"/>
      <c r="GS608" s="5"/>
      <c r="GT608" s="5"/>
      <c r="GU608" s="5"/>
      <c r="GV608" s="5"/>
      <c r="GW608" s="5"/>
      <c r="GX608" s="5"/>
      <c r="GY608" s="5"/>
      <c r="GZ608" s="5"/>
      <c r="HA608" s="5"/>
      <c r="HB608" s="5"/>
      <c r="HC608" s="5"/>
      <c r="HD608" s="5"/>
      <c r="HE608" s="5"/>
      <c r="HF608" s="5"/>
      <c r="HG608" s="5"/>
      <c r="HH608" s="5"/>
      <c r="HI608" s="5"/>
      <c r="HJ608" s="5"/>
      <c r="HK608" s="5"/>
      <c r="HL608" s="5"/>
      <c r="HM608" s="5"/>
      <c r="HN608" s="5"/>
      <c r="HO608" s="5"/>
      <c r="HP608" s="5"/>
    </row>
    <row r="609" spans="3:224" ht="20.100000000000001" customHeight="1">
      <c r="C609" s="24">
        <v>15610002</v>
      </c>
      <c r="D609" s="24" t="s">
        <v>574</v>
      </c>
      <c r="E609" s="25">
        <v>11200001</v>
      </c>
      <c r="F609" s="25">
        <v>16051</v>
      </c>
      <c r="G609" s="25">
        <v>1</v>
      </c>
      <c r="H609" s="25">
        <v>60</v>
      </c>
      <c r="I609" s="29">
        <v>0.2</v>
      </c>
      <c r="J609" s="30">
        <v>25</v>
      </c>
      <c r="K609" s="25">
        <v>0</v>
      </c>
      <c r="L609" s="25">
        <v>0</v>
      </c>
      <c r="M609" s="25">
        <v>600</v>
      </c>
      <c r="N609" s="25">
        <v>1320</v>
      </c>
      <c r="O609" s="25">
        <v>0</v>
      </c>
      <c r="P609" s="25">
        <v>0</v>
      </c>
      <c r="Q609" s="25">
        <v>0</v>
      </c>
      <c r="R609" s="25">
        <v>0</v>
      </c>
      <c r="S609" s="25">
        <v>0</v>
      </c>
      <c r="T609" s="25">
        <v>0</v>
      </c>
      <c r="U609" s="29">
        <v>0</v>
      </c>
      <c r="V609" s="25">
        <v>0</v>
      </c>
      <c r="W609" s="25">
        <v>0</v>
      </c>
      <c r="X609" s="25">
        <v>0</v>
      </c>
      <c r="Y609" s="29">
        <v>0</v>
      </c>
      <c r="Z609" s="29">
        <v>0</v>
      </c>
      <c r="AA609" s="29">
        <v>0</v>
      </c>
      <c r="AB609" s="29">
        <v>200903</v>
      </c>
      <c r="AC609" s="29">
        <v>100</v>
      </c>
      <c r="AD609" s="29">
        <v>1</v>
      </c>
      <c r="AE609" s="29"/>
      <c r="GR609" s="5"/>
      <c r="GS609" s="5"/>
      <c r="GT609" s="5"/>
      <c r="GU609" s="5"/>
      <c r="GV609" s="5"/>
      <c r="GW609" s="5"/>
      <c r="GX609" s="5"/>
      <c r="GY609" s="5"/>
      <c r="GZ609" s="5"/>
      <c r="HA609" s="5"/>
      <c r="HB609" s="5"/>
      <c r="HC609" s="5"/>
      <c r="HD609" s="5"/>
      <c r="HE609" s="5"/>
      <c r="HF609" s="5"/>
      <c r="HG609" s="5"/>
      <c r="HH609" s="5"/>
      <c r="HI609" s="5"/>
      <c r="HJ609" s="5"/>
      <c r="HK609" s="5"/>
      <c r="HL609" s="5"/>
      <c r="HM609" s="5"/>
      <c r="HN609" s="5"/>
      <c r="HO609" s="5"/>
      <c r="HP609" s="5"/>
    </row>
    <row r="610" spans="3:224" ht="20.100000000000001" customHeight="1">
      <c r="C610" s="24">
        <v>15610201</v>
      </c>
      <c r="D610" s="60" t="s">
        <v>664</v>
      </c>
      <c r="E610" s="25">
        <v>11200001</v>
      </c>
      <c r="F610" s="25">
        <v>16051</v>
      </c>
      <c r="G610" s="25">
        <v>1</v>
      </c>
      <c r="H610" s="25">
        <v>60</v>
      </c>
      <c r="I610" s="29">
        <v>0.2</v>
      </c>
      <c r="J610" s="30">
        <v>25</v>
      </c>
      <c r="K610" s="25">
        <v>0</v>
      </c>
      <c r="L610" s="25">
        <v>0</v>
      </c>
      <c r="M610" s="25">
        <v>600</v>
      </c>
      <c r="N610" s="25">
        <v>1320</v>
      </c>
      <c r="O610" s="25">
        <v>0</v>
      </c>
      <c r="P610" s="25">
        <v>0</v>
      </c>
      <c r="Q610" s="25">
        <v>0</v>
      </c>
      <c r="R610" s="25">
        <v>0</v>
      </c>
      <c r="S610" s="25">
        <v>0</v>
      </c>
      <c r="T610" s="25">
        <v>0</v>
      </c>
      <c r="U610" s="29">
        <v>0</v>
      </c>
      <c r="V610" s="25">
        <v>0</v>
      </c>
      <c r="W610" s="25">
        <v>0</v>
      </c>
      <c r="X610" s="25">
        <v>0</v>
      </c>
      <c r="Y610" s="29">
        <v>0</v>
      </c>
      <c r="Z610" s="29">
        <v>0</v>
      </c>
      <c r="AA610" s="29">
        <v>0</v>
      </c>
      <c r="AB610" s="29">
        <v>200903</v>
      </c>
      <c r="AC610" s="29">
        <v>100</v>
      </c>
      <c r="AD610" s="29">
        <v>1</v>
      </c>
      <c r="AE610" s="29"/>
      <c r="GR610" s="5"/>
      <c r="GS610" s="5"/>
      <c r="GT610" s="5"/>
      <c r="GU610" s="5"/>
      <c r="GV610" s="5"/>
      <c r="GW610" s="5"/>
      <c r="GX610" s="5"/>
      <c r="GY610" s="5"/>
      <c r="GZ610" s="5"/>
      <c r="HA610" s="5"/>
      <c r="HB610" s="5"/>
      <c r="HC610" s="5"/>
      <c r="HD610" s="5"/>
      <c r="HE610" s="5"/>
      <c r="HF610" s="5"/>
      <c r="HG610" s="5"/>
      <c r="HH610" s="5"/>
      <c r="HI610" s="5"/>
      <c r="HJ610" s="5"/>
      <c r="HK610" s="5"/>
      <c r="HL610" s="5"/>
      <c r="HM610" s="5"/>
      <c r="HN610" s="5"/>
      <c r="HO610" s="5"/>
      <c r="HP610" s="5"/>
    </row>
    <row r="611" spans="3:224" ht="20.100000000000001" customHeight="1">
      <c r="C611" s="24">
        <v>15611001</v>
      </c>
      <c r="D611" s="25" t="s">
        <v>580</v>
      </c>
      <c r="E611" s="25">
        <v>11200003</v>
      </c>
      <c r="F611" s="25">
        <v>16011</v>
      </c>
      <c r="G611" s="25">
        <v>1</v>
      </c>
      <c r="H611" s="25">
        <v>60</v>
      </c>
      <c r="I611" s="29">
        <v>0.2</v>
      </c>
      <c r="J611" s="30">
        <v>25</v>
      </c>
      <c r="K611" s="25">
        <v>0</v>
      </c>
      <c r="L611" s="25">
        <v>10370</v>
      </c>
      <c r="M611" s="25">
        <v>0</v>
      </c>
      <c r="N611" s="25">
        <v>0</v>
      </c>
      <c r="O611" s="25">
        <v>0</v>
      </c>
      <c r="P611" s="25">
        <v>0</v>
      </c>
      <c r="Q611" s="25">
        <v>110</v>
      </c>
      <c r="R611" s="25">
        <v>220</v>
      </c>
      <c r="S611" s="25">
        <v>110</v>
      </c>
      <c r="T611" s="25">
        <v>220</v>
      </c>
      <c r="U611" s="29">
        <v>0</v>
      </c>
      <c r="V611" s="25">
        <v>0</v>
      </c>
      <c r="W611" s="25">
        <v>0</v>
      </c>
      <c r="X611" s="25">
        <v>0</v>
      </c>
      <c r="Y611" s="29">
        <v>0</v>
      </c>
      <c r="Z611" s="29">
        <v>0</v>
      </c>
      <c r="AA611" s="29">
        <v>0</v>
      </c>
      <c r="AB611" s="29">
        <v>201003</v>
      </c>
      <c r="AC611" s="29">
        <v>100</v>
      </c>
      <c r="AD611" s="29">
        <v>1</v>
      </c>
      <c r="AE611" s="29"/>
      <c r="GR611" s="5"/>
      <c r="GS611" s="5"/>
      <c r="GT611" s="5"/>
      <c r="GU611" s="5"/>
      <c r="GV611" s="5"/>
      <c r="GW611" s="5"/>
      <c r="GX611" s="5"/>
      <c r="GY611" s="5"/>
      <c r="GZ611" s="5"/>
      <c r="HA611" s="5"/>
      <c r="HB611" s="5"/>
      <c r="HC611" s="5"/>
      <c r="HD611" s="5"/>
      <c r="HE611" s="5"/>
      <c r="HF611" s="5"/>
      <c r="HG611" s="5"/>
      <c r="HH611" s="5"/>
      <c r="HI611" s="5"/>
      <c r="HJ611" s="5"/>
      <c r="HK611" s="5"/>
      <c r="HL611" s="5"/>
      <c r="HM611" s="5"/>
      <c r="HN611" s="5"/>
      <c r="HO611" s="5"/>
      <c r="HP611" s="5"/>
    </row>
    <row r="612" spans="3:224" ht="20.100000000000001" customHeight="1">
      <c r="C612" s="24">
        <v>15611002</v>
      </c>
      <c r="D612" s="41" t="s">
        <v>663</v>
      </c>
      <c r="E612" s="25">
        <v>11200003</v>
      </c>
      <c r="F612" s="25">
        <v>16021</v>
      </c>
      <c r="G612" s="25">
        <v>1</v>
      </c>
      <c r="H612" s="25">
        <v>60</v>
      </c>
      <c r="I612" s="29">
        <v>0.2</v>
      </c>
      <c r="J612" s="30">
        <v>25</v>
      </c>
      <c r="K612" s="25">
        <v>0</v>
      </c>
      <c r="L612" s="25">
        <v>5180</v>
      </c>
      <c r="M612" s="25">
        <v>0</v>
      </c>
      <c r="N612" s="25">
        <v>0</v>
      </c>
      <c r="O612" s="25">
        <v>0</v>
      </c>
      <c r="P612" s="25">
        <v>0</v>
      </c>
      <c r="Q612" s="25">
        <v>80</v>
      </c>
      <c r="R612" s="25">
        <v>160</v>
      </c>
      <c r="S612" s="25">
        <v>80</v>
      </c>
      <c r="T612" s="25">
        <v>160</v>
      </c>
      <c r="U612" s="29">
        <v>0</v>
      </c>
      <c r="V612" s="25">
        <v>0</v>
      </c>
      <c r="W612" s="25">
        <v>0</v>
      </c>
      <c r="X612" s="25">
        <v>0</v>
      </c>
      <c r="Y612" s="29">
        <v>0</v>
      </c>
      <c r="Z612" s="29">
        <v>0</v>
      </c>
      <c r="AA612" s="29">
        <v>0</v>
      </c>
      <c r="AB612" s="29">
        <v>201003</v>
      </c>
      <c r="AC612" s="29">
        <v>100</v>
      </c>
      <c r="AD612" s="29">
        <v>1</v>
      </c>
      <c r="AE612" s="29"/>
      <c r="GR612" s="5"/>
      <c r="GS612" s="5"/>
      <c r="GT612" s="5"/>
      <c r="GU612" s="5"/>
      <c r="GV612" s="5"/>
      <c r="GW612" s="5"/>
      <c r="GX612" s="5"/>
      <c r="GY612" s="5"/>
      <c r="GZ612" s="5"/>
      <c r="HA612" s="5"/>
      <c r="HB612" s="5"/>
      <c r="HC612" s="5"/>
      <c r="HD612" s="5"/>
      <c r="HE612" s="5"/>
      <c r="HF612" s="5"/>
      <c r="HG612" s="5"/>
      <c r="HH612" s="5"/>
      <c r="HI612" s="5"/>
      <c r="HJ612" s="5"/>
      <c r="HK612" s="5"/>
      <c r="HL612" s="5"/>
      <c r="HM612" s="5"/>
      <c r="HN612" s="5"/>
      <c r="HO612" s="5"/>
      <c r="HP612" s="5"/>
    </row>
    <row r="613" spans="3:224" ht="20.100000000000001" customHeight="1">
      <c r="C613" s="24">
        <v>15611003</v>
      </c>
      <c r="D613" s="25" t="s">
        <v>584</v>
      </c>
      <c r="E613" s="25">
        <v>11200003</v>
      </c>
      <c r="F613" s="25">
        <v>16031</v>
      </c>
      <c r="G613" s="25">
        <v>1</v>
      </c>
      <c r="H613" s="25">
        <v>60</v>
      </c>
      <c r="I613" s="29">
        <v>0.2</v>
      </c>
      <c r="J613" s="30">
        <v>25</v>
      </c>
      <c r="K613" s="25">
        <v>0</v>
      </c>
      <c r="L613" s="25">
        <v>15550</v>
      </c>
      <c r="M613" s="25">
        <v>0</v>
      </c>
      <c r="N613" s="25">
        <v>0</v>
      </c>
      <c r="O613" s="25">
        <v>0</v>
      </c>
      <c r="P613" s="25">
        <v>0</v>
      </c>
      <c r="Q613" s="25">
        <v>140</v>
      </c>
      <c r="R613" s="25">
        <v>270</v>
      </c>
      <c r="S613" s="25">
        <v>140</v>
      </c>
      <c r="T613" s="25">
        <v>270</v>
      </c>
      <c r="U613" s="29">
        <v>0</v>
      </c>
      <c r="V613" s="25">
        <v>0</v>
      </c>
      <c r="W613" s="25">
        <v>0</v>
      </c>
      <c r="X613" s="25">
        <v>0</v>
      </c>
      <c r="Y613" s="29">
        <v>0</v>
      </c>
      <c r="Z613" s="29">
        <v>0</v>
      </c>
      <c r="AA613" s="29">
        <v>0</v>
      </c>
      <c r="AB613" s="29">
        <v>201003</v>
      </c>
      <c r="AC613" s="29">
        <v>100</v>
      </c>
      <c r="AD613" s="29">
        <v>1</v>
      </c>
      <c r="AE613" s="29"/>
      <c r="GR613" s="5"/>
      <c r="GS613" s="5"/>
      <c r="GT613" s="5"/>
      <c r="GU613" s="5"/>
      <c r="GV613" s="5"/>
      <c r="GW613" s="5"/>
      <c r="GX613" s="5"/>
      <c r="GY613" s="5"/>
      <c r="GZ613" s="5"/>
      <c r="HA613" s="5"/>
      <c r="HB613" s="5"/>
      <c r="HC613" s="5"/>
      <c r="HD613" s="5"/>
      <c r="HE613" s="5"/>
      <c r="HF613" s="5"/>
      <c r="HG613" s="5"/>
      <c r="HH613" s="5"/>
      <c r="HI613" s="5"/>
      <c r="HJ613" s="5"/>
      <c r="HK613" s="5"/>
      <c r="HL613" s="5"/>
      <c r="HM613" s="5"/>
      <c r="HN613" s="5"/>
      <c r="HO613" s="5"/>
      <c r="HP613" s="5"/>
    </row>
    <row r="614" spans="3:224" ht="20.100000000000001" customHeight="1">
      <c r="C614" s="24">
        <v>15701001</v>
      </c>
      <c r="D614" s="25" t="s">
        <v>530</v>
      </c>
      <c r="E614" s="25">
        <v>11200003</v>
      </c>
      <c r="F614" s="25">
        <v>17011</v>
      </c>
      <c r="G614" s="25">
        <v>1</v>
      </c>
      <c r="H614" s="25">
        <v>60</v>
      </c>
      <c r="I614" s="29">
        <v>0.2</v>
      </c>
      <c r="J614" s="30">
        <v>30</v>
      </c>
      <c r="K614" s="25">
        <v>0</v>
      </c>
      <c r="L614" s="25">
        <v>0</v>
      </c>
      <c r="M614" s="25">
        <v>106</v>
      </c>
      <c r="N614" s="25">
        <v>210</v>
      </c>
      <c r="O614" s="25">
        <v>0</v>
      </c>
      <c r="P614" s="25">
        <v>0</v>
      </c>
      <c r="Q614" s="25">
        <v>60</v>
      </c>
      <c r="R614" s="25">
        <v>136</v>
      </c>
      <c r="S614" s="25">
        <v>60</v>
      </c>
      <c r="T614" s="25">
        <v>136</v>
      </c>
      <c r="U614" s="29">
        <v>0</v>
      </c>
      <c r="V614" s="25">
        <v>0</v>
      </c>
      <c r="W614" s="25">
        <v>0</v>
      </c>
      <c r="X614" s="25">
        <v>0</v>
      </c>
      <c r="Y614" s="29">
        <v>0</v>
      </c>
      <c r="Z614" s="29">
        <v>0</v>
      </c>
      <c r="AA614" s="29">
        <v>0</v>
      </c>
      <c r="AB614" s="29">
        <v>200503</v>
      </c>
      <c r="AC614" s="29">
        <v>200</v>
      </c>
      <c r="AD614" s="29">
        <v>1</v>
      </c>
      <c r="AE614" s="29"/>
      <c r="GR614" s="5"/>
      <c r="GS614" s="5"/>
      <c r="GT614" s="5"/>
      <c r="GU614" s="5"/>
      <c r="GV614" s="5"/>
      <c r="GW614" s="5"/>
      <c r="GX614" s="5"/>
      <c r="GY614" s="5"/>
      <c r="GZ614" s="5"/>
      <c r="HA614" s="5"/>
      <c r="HB614" s="5"/>
      <c r="HC614" s="5"/>
      <c r="HD614" s="5"/>
      <c r="HE614" s="5"/>
      <c r="HF614" s="5"/>
      <c r="HG614" s="5"/>
      <c r="HH614" s="5"/>
      <c r="HI614" s="5"/>
      <c r="HJ614" s="5"/>
      <c r="HK614" s="5"/>
      <c r="HL614" s="5"/>
      <c r="HM614" s="5"/>
      <c r="HN614" s="5"/>
      <c r="HO614" s="5"/>
      <c r="HP614" s="5"/>
    </row>
    <row r="615" spans="3:224" ht="20.100000000000001" customHeight="1">
      <c r="C615" s="24">
        <v>15701002</v>
      </c>
      <c r="D615" s="25" t="s">
        <v>532</v>
      </c>
      <c r="E615" s="25">
        <v>11200003</v>
      </c>
      <c r="F615" s="25">
        <v>17021</v>
      </c>
      <c r="G615" s="25">
        <v>1</v>
      </c>
      <c r="H615" s="25">
        <v>60</v>
      </c>
      <c r="I615" s="29">
        <v>0.2</v>
      </c>
      <c r="J615" s="30">
        <v>30</v>
      </c>
      <c r="K615" s="25">
        <v>0</v>
      </c>
      <c r="L615" s="25">
        <v>0</v>
      </c>
      <c r="M615" s="25">
        <v>150</v>
      </c>
      <c r="N615" s="25">
        <v>286</v>
      </c>
      <c r="O615" s="25">
        <v>0</v>
      </c>
      <c r="P615" s="25">
        <v>0</v>
      </c>
      <c r="Q615" s="25">
        <v>46</v>
      </c>
      <c r="R615" s="25">
        <v>90</v>
      </c>
      <c r="S615" s="25">
        <v>46</v>
      </c>
      <c r="T615" s="25">
        <v>90</v>
      </c>
      <c r="U615" s="29">
        <v>0</v>
      </c>
      <c r="V615" s="25">
        <v>0</v>
      </c>
      <c r="W615" s="25">
        <v>0</v>
      </c>
      <c r="X615" s="25">
        <v>0</v>
      </c>
      <c r="Y615" s="29">
        <v>0</v>
      </c>
      <c r="Z615" s="29">
        <v>0</v>
      </c>
      <c r="AA615" s="29">
        <v>0</v>
      </c>
      <c r="AB615" s="29">
        <v>200603</v>
      </c>
      <c r="AC615" s="29">
        <v>200</v>
      </c>
      <c r="AD615" s="29">
        <v>1</v>
      </c>
      <c r="AE615" s="29"/>
      <c r="GR615" s="5"/>
      <c r="GS615" s="5"/>
      <c r="GT615" s="5"/>
      <c r="GU615" s="5"/>
      <c r="GV615" s="5"/>
      <c r="GW615" s="5"/>
      <c r="GX615" s="5"/>
      <c r="GY615" s="5"/>
      <c r="GZ615" s="5"/>
      <c r="HA615" s="5"/>
      <c r="HB615" s="5"/>
      <c r="HC615" s="5"/>
      <c r="HD615" s="5"/>
      <c r="HE615" s="5"/>
      <c r="HF615" s="5"/>
      <c r="HG615" s="5"/>
      <c r="HH615" s="5"/>
      <c r="HI615" s="5"/>
      <c r="HJ615" s="5"/>
      <c r="HK615" s="5"/>
      <c r="HL615" s="5"/>
      <c r="HM615" s="5"/>
      <c r="HN615" s="5"/>
      <c r="HO615" s="5"/>
      <c r="HP615" s="5"/>
    </row>
    <row r="616" spans="3:224" ht="20.100000000000001" customHeight="1">
      <c r="C616" s="24">
        <v>15701003</v>
      </c>
      <c r="D616" s="25" t="s">
        <v>534</v>
      </c>
      <c r="E616" s="25">
        <v>11200003</v>
      </c>
      <c r="F616" s="25">
        <v>17031</v>
      </c>
      <c r="G616" s="25">
        <v>1</v>
      </c>
      <c r="H616" s="25">
        <v>60</v>
      </c>
      <c r="I616" s="29">
        <v>0.2</v>
      </c>
      <c r="J616" s="30">
        <v>30</v>
      </c>
      <c r="K616" s="25">
        <v>0</v>
      </c>
      <c r="L616" s="25">
        <v>0</v>
      </c>
      <c r="M616" s="25">
        <v>76</v>
      </c>
      <c r="N616" s="25">
        <v>166</v>
      </c>
      <c r="O616" s="25">
        <v>0</v>
      </c>
      <c r="P616" s="25">
        <v>0</v>
      </c>
      <c r="Q616" s="25">
        <v>76</v>
      </c>
      <c r="R616" s="25">
        <v>166</v>
      </c>
      <c r="S616" s="25">
        <v>76</v>
      </c>
      <c r="T616" s="25">
        <v>166</v>
      </c>
      <c r="U616" s="29">
        <v>0</v>
      </c>
      <c r="V616" s="25">
        <v>0</v>
      </c>
      <c r="W616" s="25">
        <v>0</v>
      </c>
      <c r="X616" s="25">
        <v>0</v>
      </c>
      <c r="Y616" s="29">
        <v>0</v>
      </c>
      <c r="Z616" s="29">
        <v>0</v>
      </c>
      <c r="AA616" s="29">
        <v>0</v>
      </c>
      <c r="AB616" s="29">
        <v>200503</v>
      </c>
      <c r="AC616" s="29">
        <v>200</v>
      </c>
      <c r="AD616" s="29">
        <v>1</v>
      </c>
      <c r="AE616" s="29"/>
      <c r="GR616" s="5"/>
      <c r="GS616" s="5"/>
      <c r="GT616" s="5"/>
      <c r="GU616" s="5"/>
      <c r="GV616" s="5"/>
      <c r="GW616" s="5"/>
      <c r="GX616" s="5"/>
      <c r="GY616" s="5"/>
      <c r="GZ616" s="5"/>
      <c r="HA616" s="5"/>
      <c r="HB616" s="5"/>
      <c r="HC616" s="5"/>
      <c r="HD616" s="5"/>
      <c r="HE616" s="5"/>
      <c r="HF616" s="5"/>
      <c r="HG616" s="5"/>
      <c r="HH616" s="5"/>
      <c r="HI616" s="5"/>
      <c r="HJ616" s="5"/>
      <c r="HK616" s="5"/>
      <c r="HL616" s="5"/>
      <c r="HM616" s="5"/>
      <c r="HN616" s="5"/>
      <c r="HO616" s="5"/>
      <c r="HP616" s="5"/>
    </row>
    <row r="617" spans="3:224" ht="20.100000000000001" customHeight="1">
      <c r="C617" s="24">
        <v>15702001</v>
      </c>
      <c r="D617" s="25" t="s">
        <v>536</v>
      </c>
      <c r="E617" s="25">
        <v>11200003</v>
      </c>
      <c r="F617" s="25">
        <v>17011</v>
      </c>
      <c r="G617" s="25">
        <v>1</v>
      </c>
      <c r="H617" s="25">
        <v>60</v>
      </c>
      <c r="I617" s="29">
        <v>0.2</v>
      </c>
      <c r="J617" s="30">
        <v>30</v>
      </c>
      <c r="K617" s="25">
        <v>0</v>
      </c>
      <c r="L617" s="25">
        <v>0</v>
      </c>
      <c r="M617" s="25">
        <v>136</v>
      </c>
      <c r="N617" s="25">
        <v>286</v>
      </c>
      <c r="O617" s="25">
        <v>0</v>
      </c>
      <c r="P617" s="25">
        <v>0</v>
      </c>
      <c r="Q617" s="25">
        <v>0</v>
      </c>
      <c r="R617" s="25">
        <v>0</v>
      </c>
      <c r="S617" s="25">
        <v>196</v>
      </c>
      <c r="T617" s="25">
        <v>390</v>
      </c>
      <c r="U617" s="29">
        <v>0</v>
      </c>
      <c r="V617" s="25">
        <v>0</v>
      </c>
      <c r="W617" s="25">
        <v>0</v>
      </c>
      <c r="X617" s="25">
        <v>0</v>
      </c>
      <c r="Y617" s="29">
        <v>0</v>
      </c>
      <c r="Z617" s="29">
        <v>0</v>
      </c>
      <c r="AA617" s="29">
        <v>0</v>
      </c>
      <c r="AB617" s="29">
        <v>202303</v>
      </c>
      <c r="AC617" s="29">
        <v>200</v>
      </c>
      <c r="AD617" s="29">
        <v>1</v>
      </c>
      <c r="AE617" s="29"/>
      <c r="GR617" s="5"/>
      <c r="GS617" s="5"/>
      <c r="GT617" s="5"/>
      <c r="GU617" s="5"/>
      <c r="GV617" s="5"/>
      <c r="GW617" s="5"/>
      <c r="GX617" s="5"/>
      <c r="GY617" s="5"/>
      <c r="GZ617" s="5"/>
      <c r="HA617" s="5"/>
      <c r="HB617" s="5"/>
      <c r="HC617" s="5"/>
      <c r="HD617" s="5"/>
      <c r="HE617" s="5"/>
      <c r="HF617" s="5"/>
      <c r="HG617" s="5"/>
      <c r="HH617" s="5"/>
      <c r="HI617" s="5"/>
      <c r="HJ617" s="5"/>
      <c r="HK617" s="5"/>
      <c r="HL617" s="5"/>
      <c r="HM617" s="5"/>
      <c r="HN617" s="5"/>
      <c r="HO617" s="5"/>
      <c r="HP617" s="5"/>
    </row>
    <row r="618" spans="3:224" ht="20.100000000000001" customHeight="1">
      <c r="C618" s="24">
        <v>15702002</v>
      </c>
      <c r="D618" s="25" t="s">
        <v>538</v>
      </c>
      <c r="E618" s="25">
        <v>11200003</v>
      </c>
      <c r="F618" s="25">
        <v>17021</v>
      </c>
      <c r="G618" s="25">
        <v>1</v>
      </c>
      <c r="H618" s="25">
        <v>60</v>
      </c>
      <c r="I618" s="29">
        <v>0.2</v>
      </c>
      <c r="J618" s="30">
        <v>30</v>
      </c>
      <c r="K618" s="25">
        <v>0</v>
      </c>
      <c r="L618" s="25">
        <v>0</v>
      </c>
      <c r="M618" s="25">
        <v>196</v>
      </c>
      <c r="N618" s="25">
        <v>376</v>
      </c>
      <c r="O618" s="25">
        <v>0</v>
      </c>
      <c r="P618" s="25">
        <v>0</v>
      </c>
      <c r="Q618" s="25">
        <v>0</v>
      </c>
      <c r="R618" s="25">
        <v>0</v>
      </c>
      <c r="S618" s="25">
        <v>150</v>
      </c>
      <c r="T618" s="25">
        <v>286</v>
      </c>
      <c r="U618" s="29">
        <v>0</v>
      </c>
      <c r="V618" s="25">
        <v>0</v>
      </c>
      <c r="W618" s="25">
        <v>0</v>
      </c>
      <c r="X618" s="25">
        <v>0</v>
      </c>
      <c r="Y618" s="29">
        <v>0</v>
      </c>
      <c r="Z618" s="29">
        <v>0</v>
      </c>
      <c r="AA618" s="29">
        <v>0</v>
      </c>
      <c r="AB618" s="29">
        <v>202303</v>
      </c>
      <c r="AC618" s="29">
        <v>200</v>
      </c>
      <c r="AD618" s="29">
        <v>1</v>
      </c>
      <c r="AE618" s="29"/>
      <c r="GR618" s="5"/>
      <c r="GS618" s="5"/>
      <c r="GT618" s="5"/>
      <c r="GU618" s="5"/>
      <c r="GV618" s="5"/>
      <c r="GW618" s="5"/>
      <c r="GX618" s="5"/>
      <c r="GY618" s="5"/>
      <c r="GZ618" s="5"/>
      <c r="HA618" s="5"/>
      <c r="HB618" s="5"/>
      <c r="HC618" s="5"/>
      <c r="HD618" s="5"/>
      <c r="HE618" s="5"/>
      <c r="HF618" s="5"/>
      <c r="HG618" s="5"/>
      <c r="HH618" s="5"/>
      <c r="HI618" s="5"/>
      <c r="HJ618" s="5"/>
      <c r="HK618" s="5"/>
      <c r="HL618" s="5"/>
      <c r="HM618" s="5"/>
      <c r="HN618" s="5"/>
      <c r="HO618" s="5"/>
      <c r="HP618" s="5"/>
    </row>
    <row r="619" spans="3:224" ht="20.100000000000001" customHeight="1">
      <c r="C619" s="24">
        <v>15702003</v>
      </c>
      <c r="D619" s="25" t="s">
        <v>540</v>
      </c>
      <c r="E619" s="25">
        <v>11200003</v>
      </c>
      <c r="F619" s="25">
        <v>17031</v>
      </c>
      <c r="G619" s="25">
        <v>1</v>
      </c>
      <c r="H619" s="25">
        <v>60</v>
      </c>
      <c r="I619" s="29">
        <v>0.2</v>
      </c>
      <c r="J619" s="30">
        <v>30</v>
      </c>
      <c r="K619" s="25">
        <v>0</v>
      </c>
      <c r="L619" s="25">
        <v>0</v>
      </c>
      <c r="M619" s="25">
        <v>106</v>
      </c>
      <c r="N619" s="25">
        <v>210</v>
      </c>
      <c r="O619" s="25">
        <v>0</v>
      </c>
      <c r="P619" s="25">
        <v>0</v>
      </c>
      <c r="Q619" s="25">
        <v>0</v>
      </c>
      <c r="R619" s="25">
        <v>0</v>
      </c>
      <c r="S619" s="25">
        <v>240</v>
      </c>
      <c r="T619" s="25">
        <v>480</v>
      </c>
      <c r="U619" s="29">
        <v>0</v>
      </c>
      <c r="V619" s="25">
        <v>0</v>
      </c>
      <c r="W619" s="25">
        <v>0</v>
      </c>
      <c r="X619" s="25">
        <v>0</v>
      </c>
      <c r="Y619" s="29">
        <v>0</v>
      </c>
      <c r="Z619" s="29">
        <v>0</v>
      </c>
      <c r="AA619" s="29">
        <v>0</v>
      </c>
      <c r="AB619" s="29">
        <v>202303</v>
      </c>
      <c r="AC619" s="29">
        <v>200</v>
      </c>
      <c r="AD619" s="29">
        <v>1</v>
      </c>
      <c r="AE619" s="29"/>
      <c r="GR619" s="5"/>
      <c r="GS619" s="5"/>
      <c r="GT619" s="5"/>
      <c r="GU619" s="5"/>
      <c r="GV619" s="5"/>
      <c r="GW619" s="5"/>
      <c r="GX619" s="5"/>
      <c r="GY619" s="5"/>
      <c r="GZ619" s="5"/>
      <c r="HA619" s="5"/>
      <c r="HB619" s="5"/>
      <c r="HC619" s="5"/>
      <c r="HD619" s="5"/>
      <c r="HE619" s="5"/>
      <c r="HF619" s="5"/>
      <c r="HG619" s="5"/>
      <c r="HH619" s="5"/>
      <c r="HI619" s="5"/>
      <c r="HJ619" s="5"/>
      <c r="HK619" s="5"/>
      <c r="HL619" s="5"/>
      <c r="HM619" s="5"/>
      <c r="HN619" s="5"/>
      <c r="HO619" s="5"/>
      <c r="HP619" s="5"/>
    </row>
    <row r="620" spans="3:224" ht="20.100000000000001" customHeight="1">
      <c r="C620" s="24">
        <v>15703001</v>
      </c>
      <c r="D620" s="25" t="s">
        <v>542</v>
      </c>
      <c r="E620" s="25">
        <v>11200003</v>
      </c>
      <c r="F620" s="25">
        <v>17011</v>
      </c>
      <c r="G620" s="25">
        <v>1</v>
      </c>
      <c r="H620" s="25">
        <v>60</v>
      </c>
      <c r="I620" s="29">
        <v>0.2</v>
      </c>
      <c r="J620" s="30">
        <v>30</v>
      </c>
      <c r="K620" s="25">
        <v>0</v>
      </c>
      <c r="L620" s="25">
        <v>4530</v>
      </c>
      <c r="M620" s="25">
        <v>76</v>
      </c>
      <c r="N620" s="25">
        <v>150</v>
      </c>
      <c r="O620" s="25">
        <v>0</v>
      </c>
      <c r="P620" s="25">
        <v>0</v>
      </c>
      <c r="Q620" s="25">
        <v>136</v>
      </c>
      <c r="R620" s="25">
        <v>256</v>
      </c>
      <c r="S620" s="25">
        <v>0</v>
      </c>
      <c r="T620" s="25">
        <v>0</v>
      </c>
      <c r="U620" s="29">
        <v>0</v>
      </c>
      <c r="V620" s="25">
        <v>0</v>
      </c>
      <c r="W620" s="25">
        <v>0</v>
      </c>
      <c r="X620" s="25">
        <v>0</v>
      </c>
      <c r="Y620" s="29">
        <v>0</v>
      </c>
      <c r="Z620" s="29">
        <v>0</v>
      </c>
      <c r="AA620" s="29">
        <v>0</v>
      </c>
      <c r="AB620" s="29">
        <v>200403</v>
      </c>
      <c r="AC620" s="29">
        <v>200</v>
      </c>
      <c r="AD620" s="29">
        <v>1</v>
      </c>
      <c r="AE620" s="29"/>
      <c r="GR620" s="5"/>
      <c r="GS620" s="5"/>
      <c r="GT620" s="5"/>
      <c r="GU620" s="5"/>
      <c r="GV620" s="5"/>
      <c r="GW620" s="5"/>
      <c r="GX620" s="5"/>
      <c r="GY620" s="5"/>
      <c r="GZ620" s="5"/>
      <c r="HA620" s="5"/>
      <c r="HB620" s="5"/>
      <c r="HC620" s="5"/>
      <c r="HD620" s="5"/>
      <c r="HE620" s="5"/>
      <c r="HF620" s="5"/>
      <c r="HG620" s="5"/>
      <c r="HH620" s="5"/>
      <c r="HI620" s="5"/>
      <c r="HJ620" s="5"/>
      <c r="HK620" s="5"/>
      <c r="HL620" s="5"/>
      <c r="HM620" s="5"/>
      <c r="HN620" s="5"/>
      <c r="HO620" s="5"/>
      <c r="HP620" s="5"/>
    </row>
    <row r="621" spans="3:224" ht="20.100000000000001" customHeight="1">
      <c r="C621" s="24">
        <v>15703002</v>
      </c>
      <c r="D621" s="25" t="s">
        <v>544</v>
      </c>
      <c r="E621" s="25">
        <v>11200003</v>
      </c>
      <c r="F621" s="25">
        <v>17021</v>
      </c>
      <c r="G621" s="25">
        <v>1</v>
      </c>
      <c r="H621" s="25">
        <v>60</v>
      </c>
      <c r="I621" s="29">
        <v>0.2</v>
      </c>
      <c r="J621" s="30">
        <v>30</v>
      </c>
      <c r="K621" s="25">
        <v>0</v>
      </c>
      <c r="L621" s="25">
        <v>2270</v>
      </c>
      <c r="M621" s="25">
        <v>106</v>
      </c>
      <c r="N621" s="25">
        <v>210</v>
      </c>
      <c r="O621" s="25">
        <v>0</v>
      </c>
      <c r="P621" s="25">
        <v>0</v>
      </c>
      <c r="Q621" s="25">
        <v>90</v>
      </c>
      <c r="R621" s="25">
        <v>196</v>
      </c>
      <c r="S621" s="25">
        <v>0</v>
      </c>
      <c r="T621" s="25">
        <v>0</v>
      </c>
      <c r="U621" s="29">
        <v>0</v>
      </c>
      <c r="V621" s="25">
        <v>0</v>
      </c>
      <c r="W621" s="25">
        <v>0</v>
      </c>
      <c r="X621" s="25">
        <v>0</v>
      </c>
      <c r="Y621" s="29">
        <v>0</v>
      </c>
      <c r="Z621" s="29">
        <v>0</v>
      </c>
      <c r="AA621" s="29">
        <v>0</v>
      </c>
      <c r="AB621" s="29">
        <v>200403</v>
      </c>
      <c r="AC621" s="29">
        <v>200</v>
      </c>
      <c r="AD621" s="29">
        <v>1</v>
      </c>
      <c r="AE621" s="29"/>
      <c r="GR621" s="5"/>
      <c r="GS621" s="5"/>
      <c r="GT621" s="5"/>
      <c r="GU621" s="5"/>
      <c r="GV621" s="5"/>
      <c r="GW621" s="5"/>
      <c r="GX621" s="5"/>
      <c r="GY621" s="5"/>
      <c r="GZ621" s="5"/>
      <c r="HA621" s="5"/>
      <c r="HB621" s="5"/>
      <c r="HC621" s="5"/>
      <c r="HD621" s="5"/>
      <c r="HE621" s="5"/>
      <c r="HF621" s="5"/>
      <c r="HG621" s="5"/>
      <c r="HH621" s="5"/>
      <c r="HI621" s="5"/>
      <c r="HJ621" s="5"/>
      <c r="HK621" s="5"/>
      <c r="HL621" s="5"/>
      <c r="HM621" s="5"/>
      <c r="HN621" s="5"/>
      <c r="HO621" s="5"/>
      <c r="HP621" s="5"/>
    </row>
    <row r="622" spans="3:224" ht="20.100000000000001" customHeight="1">
      <c r="C622" s="24">
        <v>15703003</v>
      </c>
      <c r="D622" s="25" t="s">
        <v>546</v>
      </c>
      <c r="E622" s="25">
        <v>11200003</v>
      </c>
      <c r="F622" s="25">
        <v>17031</v>
      </c>
      <c r="G622" s="25">
        <v>1</v>
      </c>
      <c r="H622" s="25">
        <v>60</v>
      </c>
      <c r="I622" s="29">
        <v>0.2</v>
      </c>
      <c r="J622" s="30">
        <v>30</v>
      </c>
      <c r="K622" s="25">
        <v>0</v>
      </c>
      <c r="L622" s="25">
        <v>6810</v>
      </c>
      <c r="M622" s="25">
        <v>60</v>
      </c>
      <c r="N622" s="25">
        <v>120</v>
      </c>
      <c r="O622" s="25">
        <v>0</v>
      </c>
      <c r="P622" s="25">
        <v>0</v>
      </c>
      <c r="Q622" s="25">
        <v>166</v>
      </c>
      <c r="R622" s="25">
        <v>330</v>
      </c>
      <c r="S622" s="25">
        <v>0</v>
      </c>
      <c r="T622" s="25">
        <v>0</v>
      </c>
      <c r="U622" s="29">
        <v>0</v>
      </c>
      <c r="V622" s="25">
        <v>0</v>
      </c>
      <c r="W622" s="25">
        <v>0</v>
      </c>
      <c r="X622" s="25">
        <v>0</v>
      </c>
      <c r="Y622" s="29">
        <v>0</v>
      </c>
      <c r="Z622" s="29">
        <v>0</v>
      </c>
      <c r="AA622" s="29">
        <v>0</v>
      </c>
      <c r="AB622" s="29">
        <v>200403</v>
      </c>
      <c r="AC622" s="29">
        <v>200</v>
      </c>
      <c r="AD622" s="29">
        <v>1</v>
      </c>
      <c r="AE622" s="29"/>
      <c r="GR622" s="5"/>
      <c r="GS622" s="5"/>
      <c r="GT622" s="5"/>
      <c r="GU622" s="5"/>
      <c r="GV622" s="5"/>
      <c r="GW622" s="5"/>
      <c r="GX622" s="5"/>
      <c r="GY622" s="5"/>
      <c r="GZ622" s="5"/>
      <c r="HA622" s="5"/>
      <c r="HB622" s="5"/>
      <c r="HC622" s="5"/>
      <c r="HD622" s="5"/>
      <c r="HE622" s="5"/>
      <c r="HF622" s="5"/>
      <c r="HG622" s="5"/>
      <c r="HH622" s="5"/>
      <c r="HI622" s="5"/>
      <c r="HJ622" s="5"/>
      <c r="HK622" s="5"/>
      <c r="HL622" s="5"/>
      <c r="HM622" s="5"/>
      <c r="HN622" s="5"/>
      <c r="HO622" s="5"/>
      <c r="HP622" s="5"/>
    </row>
    <row r="623" spans="3:224" ht="20.100000000000001" customHeight="1">
      <c r="C623" s="24">
        <v>15704001</v>
      </c>
      <c r="D623" s="25" t="s">
        <v>549</v>
      </c>
      <c r="E623" s="25">
        <v>11200003</v>
      </c>
      <c r="F623" s="25">
        <v>17011</v>
      </c>
      <c r="G623" s="25">
        <v>1</v>
      </c>
      <c r="H623" s="25">
        <v>60</v>
      </c>
      <c r="I623" s="29">
        <v>0.2</v>
      </c>
      <c r="J623" s="30">
        <v>30</v>
      </c>
      <c r="K623" s="25">
        <v>0</v>
      </c>
      <c r="L623" s="25">
        <v>0</v>
      </c>
      <c r="M623" s="25">
        <v>120</v>
      </c>
      <c r="N623" s="25">
        <v>240</v>
      </c>
      <c r="O623" s="25">
        <v>0</v>
      </c>
      <c r="P623" s="25">
        <v>0</v>
      </c>
      <c r="Q623" s="25">
        <v>136</v>
      </c>
      <c r="R623" s="25">
        <v>256</v>
      </c>
      <c r="S623" s="25">
        <v>136</v>
      </c>
      <c r="T623" s="25">
        <v>256</v>
      </c>
      <c r="U623" s="29">
        <v>0</v>
      </c>
      <c r="V623" s="25">
        <v>0</v>
      </c>
      <c r="W623" s="25">
        <v>0</v>
      </c>
      <c r="X623" s="25">
        <v>0</v>
      </c>
      <c r="Y623" s="29">
        <v>0</v>
      </c>
      <c r="Z623" s="29">
        <v>0</v>
      </c>
      <c r="AA623" s="29">
        <v>0</v>
      </c>
      <c r="AB623" s="29">
        <v>202203</v>
      </c>
      <c r="AC623" s="29">
        <v>200</v>
      </c>
      <c r="AD623" s="29">
        <v>1</v>
      </c>
      <c r="AE623" s="29"/>
      <c r="GR623" s="5"/>
      <c r="GS623" s="5"/>
      <c r="GT623" s="5"/>
      <c r="GU623" s="5"/>
      <c r="GV623" s="5"/>
      <c r="GW623" s="5"/>
      <c r="GX623" s="5"/>
      <c r="GY623" s="5"/>
      <c r="GZ623" s="5"/>
      <c r="HA623" s="5"/>
      <c r="HB623" s="5"/>
      <c r="HC623" s="5"/>
      <c r="HD623" s="5"/>
      <c r="HE623" s="5"/>
      <c r="HF623" s="5"/>
      <c r="HG623" s="5"/>
      <c r="HH623" s="5"/>
      <c r="HI623" s="5"/>
      <c r="HJ623" s="5"/>
      <c r="HK623" s="5"/>
      <c r="HL623" s="5"/>
      <c r="HM623" s="5"/>
      <c r="HN623" s="5"/>
      <c r="HO623" s="5"/>
      <c r="HP623" s="5"/>
    </row>
    <row r="624" spans="3:224" ht="20.100000000000001" customHeight="1">
      <c r="C624" s="24">
        <v>15704002</v>
      </c>
      <c r="D624" s="25" t="s">
        <v>551</v>
      </c>
      <c r="E624" s="25">
        <v>11200003</v>
      </c>
      <c r="F624" s="25">
        <v>17021</v>
      </c>
      <c r="G624" s="25">
        <v>1</v>
      </c>
      <c r="H624" s="25">
        <v>60</v>
      </c>
      <c r="I624" s="29">
        <v>0.2</v>
      </c>
      <c r="J624" s="30">
        <v>30</v>
      </c>
      <c r="K624" s="25">
        <v>0</v>
      </c>
      <c r="L624" s="25">
        <v>0</v>
      </c>
      <c r="M624" s="25">
        <v>166</v>
      </c>
      <c r="N624" s="25">
        <v>316</v>
      </c>
      <c r="O624" s="25">
        <v>0</v>
      </c>
      <c r="P624" s="25">
        <v>0</v>
      </c>
      <c r="Q624" s="25">
        <v>90</v>
      </c>
      <c r="R624" s="25">
        <v>196</v>
      </c>
      <c r="S624" s="25">
        <v>90</v>
      </c>
      <c r="T624" s="25">
        <v>196</v>
      </c>
      <c r="U624" s="29">
        <v>0</v>
      </c>
      <c r="V624" s="25">
        <v>0</v>
      </c>
      <c r="W624" s="25">
        <v>0</v>
      </c>
      <c r="X624" s="25">
        <v>0</v>
      </c>
      <c r="Y624" s="29">
        <v>0</v>
      </c>
      <c r="Z624" s="29">
        <v>0</v>
      </c>
      <c r="AA624" s="29">
        <v>0</v>
      </c>
      <c r="AB624" s="29">
        <v>202303</v>
      </c>
      <c r="AC624" s="29">
        <v>200</v>
      </c>
      <c r="AD624" s="29">
        <v>1</v>
      </c>
      <c r="AE624" s="29"/>
      <c r="GR624" s="5"/>
      <c r="GS624" s="5"/>
      <c r="GT624" s="5"/>
      <c r="GU624" s="5"/>
      <c r="GV624" s="5"/>
      <c r="GW624" s="5"/>
      <c r="GX624" s="5"/>
      <c r="GY624" s="5"/>
      <c r="GZ624" s="5"/>
      <c r="HA624" s="5"/>
      <c r="HB624" s="5"/>
      <c r="HC624" s="5"/>
      <c r="HD624" s="5"/>
      <c r="HE624" s="5"/>
      <c r="HF624" s="5"/>
      <c r="HG624" s="5"/>
      <c r="HH624" s="5"/>
      <c r="HI624" s="5"/>
      <c r="HJ624" s="5"/>
      <c r="HK624" s="5"/>
      <c r="HL624" s="5"/>
      <c r="HM624" s="5"/>
      <c r="HN624" s="5"/>
      <c r="HO624" s="5"/>
      <c r="HP624" s="5"/>
    </row>
    <row r="625" spans="3:224" ht="20.100000000000001" customHeight="1">
      <c r="C625" s="24">
        <v>15704003</v>
      </c>
      <c r="D625" s="25" t="s">
        <v>553</v>
      </c>
      <c r="E625" s="25">
        <v>11200003</v>
      </c>
      <c r="F625" s="25">
        <v>17031</v>
      </c>
      <c r="G625" s="25">
        <v>1</v>
      </c>
      <c r="H625" s="25">
        <v>60</v>
      </c>
      <c r="I625" s="29">
        <v>0.2</v>
      </c>
      <c r="J625" s="30">
        <v>30</v>
      </c>
      <c r="K625" s="25">
        <v>0</v>
      </c>
      <c r="L625" s="25">
        <v>0</v>
      </c>
      <c r="M625" s="25">
        <v>90</v>
      </c>
      <c r="N625" s="25">
        <v>180</v>
      </c>
      <c r="O625" s="25">
        <v>0</v>
      </c>
      <c r="P625" s="25">
        <v>0</v>
      </c>
      <c r="Q625" s="25">
        <v>166</v>
      </c>
      <c r="R625" s="25">
        <v>330</v>
      </c>
      <c r="S625" s="25">
        <v>166</v>
      </c>
      <c r="T625" s="25">
        <v>330</v>
      </c>
      <c r="U625" s="29">
        <v>0</v>
      </c>
      <c r="V625" s="25">
        <v>0</v>
      </c>
      <c r="W625" s="25">
        <v>0</v>
      </c>
      <c r="X625" s="25">
        <v>0</v>
      </c>
      <c r="Y625" s="29">
        <v>0</v>
      </c>
      <c r="Z625" s="29">
        <v>0</v>
      </c>
      <c r="AA625" s="29">
        <v>0</v>
      </c>
      <c r="AB625" s="29">
        <v>202203</v>
      </c>
      <c r="AC625" s="29">
        <v>200</v>
      </c>
      <c r="AD625" s="29">
        <v>1</v>
      </c>
      <c r="AE625" s="29"/>
      <c r="GR625" s="5"/>
      <c r="GS625" s="5"/>
      <c r="GT625" s="5"/>
      <c r="GU625" s="5"/>
      <c r="GV625" s="5"/>
      <c r="GW625" s="5"/>
      <c r="GX625" s="5"/>
      <c r="GY625" s="5"/>
      <c r="GZ625" s="5"/>
      <c r="HA625" s="5"/>
      <c r="HB625" s="5"/>
      <c r="HC625" s="5"/>
      <c r="HD625" s="5"/>
      <c r="HE625" s="5"/>
      <c r="HF625" s="5"/>
      <c r="HG625" s="5"/>
      <c r="HH625" s="5"/>
      <c r="HI625" s="5"/>
      <c r="HJ625" s="5"/>
      <c r="HK625" s="5"/>
      <c r="HL625" s="5"/>
      <c r="HM625" s="5"/>
      <c r="HN625" s="5"/>
      <c r="HO625" s="5"/>
      <c r="HP625" s="5"/>
    </row>
    <row r="626" spans="3:224" ht="20.100000000000001" customHeight="1">
      <c r="C626" s="24">
        <v>15705001</v>
      </c>
      <c r="D626" s="25" t="s">
        <v>555</v>
      </c>
      <c r="E626" s="25">
        <v>11200003</v>
      </c>
      <c r="F626" s="25">
        <v>17011</v>
      </c>
      <c r="G626" s="25">
        <v>1</v>
      </c>
      <c r="H626" s="25">
        <v>60</v>
      </c>
      <c r="I626" s="29">
        <v>0.2</v>
      </c>
      <c r="J626" s="30">
        <v>30</v>
      </c>
      <c r="K626" s="25">
        <v>0</v>
      </c>
      <c r="L626" s="25">
        <v>11340</v>
      </c>
      <c r="M626" s="25">
        <v>166</v>
      </c>
      <c r="N626" s="25">
        <v>330</v>
      </c>
      <c r="O626" s="25">
        <v>0</v>
      </c>
      <c r="P626" s="25">
        <v>0</v>
      </c>
      <c r="Q626" s="25">
        <v>60</v>
      </c>
      <c r="R626" s="25">
        <v>136</v>
      </c>
      <c r="S626" s="25">
        <v>0</v>
      </c>
      <c r="T626" s="25">
        <v>0</v>
      </c>
      <c r="U626" s="29">
        <v>0</v>
      </c>
      <c r="V626" s="25">
        <v>0</v>
      </c>
      <c r="W626" s="25">
        <v>0</v>
      </c>
      <c r="X626" s="25">
        <v>0</v>
      </c>
      <c r="Y626" s="29">
        <v>0</v>
      </c>
      <c r="Z626" s="29">
        <v>0</v>
      </c>
      <c r="AA626" s="29">
        <v>0</v>
      </c>
      <c r="AB626" s="29">
        <v>200103</v>
      </c>
      <c r="AC626" s="29">
        <v>200</v>
      </c>
      <c r="AD626" s="29">
        <v>1</v>
      </c>
      <c r="AE626" s="29"/>
      <c r="GR626" s="5"/>
      <c r="GS626" s="5"/>
      <c r="GT626" s="5"/>
      <c r="GU626" s="5"/>
      <c r="GV626" s="5"/>
      <c r="GW626" s="5"/>
      <c r="GX626" s="5"/>
      <c r="GY626" s="5"/>
      <c r="GZ626" s="5"/>
      <c r="HA626" s="5"/>
      <c r="HB626" s="5"/>
      <c r="HC626" s="5"/>
      <c r="HD626" s="5"/>
      <c r="HE626" s="5"/>
      <c r="HF626" s="5"/>
      <c r="HG626" s="5"/>
      <c r="HH626" s="5"/>
      <c r="HI626" s="5"/>
      <c r="HJ626" s="5"/>
      <c r="HK626" s="5"/>
      <c r="HL626" s="5"/>
      <c r="HM626" s="5"/>
      <c r="HN626" s="5"/>
      <c r="HO626" s="5"/>
      <c r="HP626" s="5"/>
    </row>
    <row r="627" spans="3:224" ht="20.100000000000001" customHeight="1">
      <c r="C627" s="24">
        <v>15705002</v>
      </c>
      <c r="D627" s="25" t="s">
        <v>557</v>
      </c>
      <c r="E627" s="25">
        <v>11200003</v>
      </c>
      <c r="F627" s="25">
        <v>17021</v>
      </c>
      <c r="G627" s="25">
        <v>1</v>
      </c>
      <c r="H627" s="25">
        <v>60</v>
      </c>
      <c r="I627" s="29">
        <v>0.2</v>
      </c>
      <c r="J627" s="30">
        <v>30</v>
      </c>
      <c r="K627" s="25">
        <v>0</v>
      </c>
      <c r="L627" s="25">
        <v>5670</v>
      </c>
      <c r="M627" s="25">
        <v>226</v>
      </c>
      <c r="N627" s="25">
        <v>436</v>
      </c>
      <c r="O627" s="25">
        <v>0</v>
      </c>
      <c r="P627" s="25">
        <v>0</v>
      </c>
      <c r="Q627" s="25">
        <v>46</v>
      </c>
      <c r="R627" s="25">
        <v>90</v>
      </c>
      <c r="S627" s="25">
        <v>0</v>
      </c>
      <c r="T627" s="25">
        <v>0</v>
      </c>
      <c r="U627" s="29">
        <v>0</v>
      </c>
      <c r="V627" s="25">
        <v>0</v>
      </c>
      <c r="W627" s="25">
        <v>0</v>
      </c>
      <c r="X627" s="25">
        <v>0</v>
      </c>
      <c r="Y627" s="29">
        <v>0</v>
      </c>
      <c r="Z627" s="29">
        <v>0</v>
      </c>
      <c r="AA627" s="29">
        <v>0</v>
      </c>
      <c r="AB627" s="29">
        <v>200103</v>
      </c>
      <c r="AC627" s="29">
        <v>200</v>
      </c>
      <c r="AD627" s="29">
        <v>1</v>
      </c>
      <c r="AE627" s="29"/>
      <c r="GR627" s="5"/>
      <c r="GS627" s="5"/>
      <c r="GT627" s="5"/>
      <c r="GU627" s="5"/>
      <c r="GV627" s="5"/>
      <c r="GW627" s="5"/>
      <c r="GX627" s="5"/>
      <c r="GY627" s="5"/>
      <c r="GZ627" s="5"/>
      <c r="HA627" s="5"/>
      <c r="HB627" s="5"/>
      <c r="HC627" s="5"/>
      <c r="HD627" s="5"/>
      <c r="HE627" s="5"/>
      <c r="HF627" s="5"/>
      <c r="HG627" s="5"/>
      <c r="HH627" s="5"/>
      <c r="HI627" s="5"/>
      <c r="HJ627" s="5"/>
      <c r="HK627" s="5"/>
      <c r="HL627" s="5"/>
      <c r="HM627" s="5"/>
      <c r="HN627" s="5"/>
      <c r="HO627" s="5"/>
      <c r="HP627" s="5"/>
    </row>
    <row r="628" spans="3:224" ht="20.100000000000001" customHeight="1">
      <c r="C628" s="24">
        <v>15705003</v>
      </c>
      <c r="D628" s="25" t="s">
        <v>559</v>
      </c>
      <c r="E628" s="25">
        <v>11200003</v>
      </c>
      <c r="F628" s="25">
        <v>17031</v>
      </c>
      <c r="G628" s="25">
        <v>1</v>
      </c>
      <c r="H628" s="25">
        <v>60</v>
      </c>
      <c r="I628" s="29">
        <v>0.2</v>
      </c>
      <c r="J628" s="30">
        <v>30</v>
      </c>
      <c r="K628" s="25">
        <v>0</v>
      </c>
      <c r="L628" s="25">
        <v>17010</v>
      </c>
      <c r="M628" s="25">
        <v>120</v>
      </c>
      <c r="N628" s="25">
        <v>240</v>
      </c>
      <c r="O628" s="25">
        <v>0</v>
      </c>
      <c r="P628" s="25">
        <v>0</v>
      </c>
      <c r="Q628" s="25">
        <v>76</v>
      </c>
      <c r="R628" s="25">
        <v>166</v>
      </c>
      <c r="S628" s="25">
        <v>0</v>
      </c>
      <c r="T628" s="25">
        <v>0</v>
      </c>
      <c r="U628" s="29">
        <v>0</v>
      </c>
      <c r="V628" s="25">
        <v>0</v>
      </c>
      <c r="W628" s="25">
        <v>0</v>
      </c>
      <c r="X628" s="25">
        <v>0</v>
      </c>
      <c r="Y628" s="29">
        <v>0</v>
      </c>
      <c r="Z628" s="29">
        <v>0</v>
      </c>
      <c r="AA628" s="29">
        <v>0</v>
      </c>
      <c r="AB628" s="29">
        <v>200103</v>
      </c>
      <c r="AC628" s="29">
        <v>200</v>
      </c>
      <c r="AD628" s="29">
        <v>1</v>
      </c>
      <c r="AE628" s="29"/>
      <c r="GR628" s="5"/>
      <c r="GS628" s="5"/>
      <c r="GT628" s="5"/>
      <c r="GU628" s="5"/>
      <c r="GV628" s="5"/>
      <c r="GW628" s="5"/>
      <c r="GX628" s="5"/>
      <c r="GY628" s="5"/>
      <c r="GZ628" s="5"/>
      <c r="HA628" s="5"/>
      <c r="HB628" s="5"/>
      <c r="HC628" s="5"/>
      <c r="HD628" s="5"/>
      <c r="HE628" s="5"/>
      <c r="HF628" s="5"/>
      <c r="HG628" s="5"/>
      <c r="HH628" s="5"/>
      <c r="HI628" s="5"/>
      <c r="HJ628" s="5"/>
      <c r="HK628" s="5"/>
      <c r="HL628" s="5"/>
      <c r="HM628" s="5"/>
      <c r="HN628" s="5"/>
      <c r="HO628" s="5"/>
      <c r="HP628" s="5"/>
    </row>
    <row r="629" spans="3:224" ht="20.100000000000001" customHeight="1">
      <c r="C629" s="24">
        <v>15706001</v>
      </c>
      <c r="D629" s="25" t="s">
        <v>561</v>
      </c>
      <c r="E629" s="25">
        <v>11200002</v>
      </c>
      <c r="F629" s="25">
        <v>17051</v>
      </c>
      <c r="G629" s="25">
        <v>1</v>
      </c>
      <c r="H629" s="25">
        <v>60</v>
      </c>
      <c r="I629" s="29">
        <v>0.2</v>
      </c>
      <c r="J629" s="30">
        <v>30</v>
      </c>
      <c r="K629" s="25">
        <v>0</v>
      </c>
      <c r="L629" s="25">
        <v>0</v>
      </c>
      <c r="M629" s="25">
        <v>330</v>
      </c>
      <c r="N629" s="25">
        <v>646</v>
      </c>
      <c r="O629" s="25">
        <v>0</v>
      </c>
      <c r="P629" s="25">
        <v>0</v>
      </c>
      <c r="Q629" s="25">
        <v>90</v>
      </c>
      <c r="R629" s="25">
        <v>196</v>
      </c>
      <c r="S629" s="25">
        <v>0</v>
      </c>
      <c r="T629" s="25">
        <v>0</v>
      </c>
      <c r="U629" s="29">
        <v>0</v>
      </c>
      <c r="V629" s="25">
        <v>0</v>
      </c>
      <c r="W629" s="25">
        <v>0</v>
      </c>
      <c r="X629" s="25">
        <v>0</v>
      </c>
      <c r="Y629" s="29">
        <v>0</v>
      </c>
      <c r="Z629" s="29">
        <v>0</v>
      </c>
      <c r="AA629" s="29">
        <v>0</v>
      </c>
      <c r="AB629" s="29">
        <v>100402</v>
      </c>
      <c r="AC629" s="29">
        <v>200</v>
      </c>
      <c r="AD629" s="29">
        <v>1</v>
      </c>
      <c r="AE629" s="29"/>
      <c r="GR629" s="5"/>
      <c r="GS629" s="5"/>
      <c r="GT629" s="5"/>
      <c r="GU629" s="5"/>
      <c r="GV629" s="5"/>
      <c r="GW629" s="5"/>
      <c r="GX629" s="5"/>
      <c r="GY629" s="5"/>
      <c r="GZ629" s="5"/>
      <c r="HA629" s="5"/>
      <c r="HB629" s="5"/>
      <c r="HC629" s="5"/>
      <c r="HD629" s="5"/>
      <c r="HE629" s="5"/>
      <c r="HF629" s="5"/>
      <c r="HG629" s="5"/>
      <c r="HH629" s="5"/>
      <c r="HI629" s="5"/>
      <c r="HJ629" s="5"/>
      <c r="HK629" s="5"/>
      <c r="HL629" s="5"/>
      <c r="HM629" s="5"/>
      <c r="HN629" s="5"/>
      <c r="HO629" s="5"/>
      <c r="HP629" s="5"/>
    </row>
    <row r="630" spans="3:224" ht="20.100000000000001" customHeight="1">
      <c r="C630" s="24">
        <v>15707001</v>
      </c>
      <c r="D630" s="25" t="s">
        <v>564</v>
      </c>
      <c r="E630" s="25">
        <v>11200002</v>
      </c>
      <c r="F630" s="25">
        <v>0</v>
      </c>
      <c r="G630" s="25">
        <v>1</v>
      </c>
      <c r="H630" s="25">
        <v>60</v>
      </c>
      <c r="I630" s="29">
        <v>0.2</v>
      </c>
      <c r="J630" s="30">
        <v>30</v>
      </c>
      <c r="K630" s="25">
        <v>0</v>
      </c>
      <c r="L630" s="25">
        <v>0</v>
      </c>
      <c r="M630" s="25">
        <v>330</v>
      </c>
      <c r="N630" s="25">
        <v>646</v>
      </c>
      <c r="O630" s="25">
        <v>0</v>
      </c>
      <c r="P630" s="25">
        <v>0</v>
      </c>
      <c r="Q630" s="25">
        <v>0</v>
      </c>
      <c r="R630" s="25">
        <v>0</v>
      </c>
      <c r="S630" s="25">
        <v>90</v>
      </c>
      <c r="T630" s="25">
        <v>196</v>
      </c>
      <c r="U630" s="29">
        <v>0</v>
      </c>
      <c r="V630" s="25">
        <v>0</v>
      </c>
      <c r="W630" s="25">
        <v>0</v>
      </c>
      <c r="X630" s="25">
        <v>0</v>
      </c>
      <c r="Y630" s="29">
        <v>0</v>
      </c>
      <c r="Z630" s="29">
        <v>0</v>
      </c>
      <c r="AA630" s="29">
        <v>0</v>
      </c>
      <c r="AB630" s="29">
        <v>200203</v>
      </c>
      <c r="AC630" s="29">
        <v>200</v>
      </c>
      <c r="AD630" s="29">
        <v>1</v>
      </c>
      <c r="AE630" s="29"/>
      <c r="GR630" s="5"/>
      <c r="GS630" s="5"/>
      <c r="GT630" s="5"/>
      <c r="GU630" s="5"/>
      <c r="GV630" s="5"/>
      <c r="GW630" s="5"/>
      <c r="GX630" s="5"/>
      <c r="GY630" s="5"/>
      <c r="GZ630" s="5"/>
      <c r="HA630" s="5"/>
      <c r="HB630" s="5"/>
      <c r="HC630" s="5"/>
      <c r="HD630" s="5"/>
      <c r="HE630" s="5"/>
      <c r="HF630" s="5"/>
      <c r="HG630" s="5"/>
      <c r="HH630" s="5"/>
      <c r="HI630" s="5"/>
      <c r="HJ630" s="5"/>
      <c r="HK630" s="5"/>
      <c r="HL630" s="5"/>
      <c r="HM630" s="5"/>
      <c r="HN630" s="5"/>
      <c r="HO630" s="5"/>
      <c r="HP630" s="5"/>
    </row>
    <row r="631" spans="3:224" ht="20.100000000000001" customHeight="1">
      <c r="C631" s="24">
        <v>15708001</v>
      </c>
      <c r="D631" s="25" t="s">
        <v>566</v>
      </c>
      <c r="E631" s="25">
        <v>11200002</v>
      </c>
      <c r="F631" s="25">
        <v>0</v>
      </c>
      <c r="G631" s="25">
        <v>1</v>
      </c>
      <c r="H631" s="25">
        <v>60</v>
      </c>
      <c r="I631" s="29">
        <v>0.2</v>
      </c>
      <c r="J631" s="30">
        <v>30</v>
      </c>
      <c r="K631" s="25">
        <v>0</v>
      </c>
      <c r="L631" s="25">
        <v>0</v>
      </c>
      <c r="M631" s="25">
        <v>60</v>
      </c>
      <c r="N631" s="25">
        <v>150</v>
      </c>
      <c r="O631" s="25">
        <v>0</v>
      </c>
      <c r="P631" s="25">
        <v>0</v>
      </c>
      <c r="Q631" s="25">
        <v>0</v>
      </c>
      <c r="R631" s="25">
        <v>0</v>
      </c>
      <c r="S631" s="25">
        <v>0</v>
      </c>
      <c r="T631" s="25">
        <v>0</v>
      </c>
      <c r="U631" s="29">
        <v>0</v>
      </c>
      <c r="V631" s="25">
        <v>0</v>
      </c>
      <c r="W631" s="25">
        <v>0</v>
      </c>
      <c r="X631" s="25">
        <v>0</v>
      </c>
      <c r="Y631" s="29">
        <v>0</v>
      </c>
      <c r="Z631" s="29">
        <v>0</v>
      </c>
      <c r="AA631" s="29">
        <v>0</v>
      </c>
      <c r="AB631" s="29">
        <v>0</v>
      </c>
      <c r="AC631" s="29">
        <v>0</v>
      </c>
      <c r="AD631" s="29">
        <v>0</v>
      </c>
      <c r="AE631" s="29"/>
      <c r="GR631" s="5"/>
      <c r="GS631" s="5"/>
      <c r="GT631" s="5"/>
      <c r="GU631" s="5"/>
      <c r="GV631" s="5"/>
      <c r="GW631" s="5"/>
      <c r="GX631" s="5"/>
      <c r="GY631" s="5"/>
      <c r="GZ631" s="5"/>
      <c r="HA631" s="5"/>
      <c r="HB631" s="5"/>
      <c r="HC631" s="5"/>
      <c r="HD631" s="5"/>
      <c r="HE631" s="5"/>
      <c r="HF631" s="5"/>
      <c r="HG631" s="5"/>
      <c r="HH631" s="5"/>
      <c r="HI631" s="5"/>
      <c r="HJ631" s="5"/>
      <c r="HK631" s="5"/>
      <c r="HL631" s="5"/>
      <c r="HM631" s="5"/>
      <c r="HN631" s="5"/>
      <c r="HO631" s="5"/>
      <c r="HP631" s="5"/>
    </row>
    <row r="632" spans="3:224" ht="20.100000000000001" customHeight="1">
      <c r="C632" s="24">
        <v>15709001</v>
      </c>
      <c r="D632" s="25" t="s">
        <v>569</v>
      </c>
      <c r="E632" s="25">
        <v>11200001</v>
      </c>
      <c r="F632" s="25">
        <v>0</v>
      </c>
      <c r="G632" s="25">
        <v>1</v>
      </c>
      <c r="H632" s="25">
        <v>60</v>
      </c>
      <c r="I632" s="29">
        <v>0.2</v>
      </c>
      <c r="J632" s="30">
        <v>30</v>
      </c>
      <c r="K632" s="25">
        <v>0</v>
      </c>
      <c r="L632" s="25">
        <v>18150</v>
      </c>
      <c r="M632" s="25">
        <v>0</v>
      </c>
      <c r="N632" s="25">
        <v>0</v>
      </c>
      <c r="O632" s="25">
        <v>0</v>
      </c>
      <c r="P632" s="25">
        <v>0</v>
      </c>
      <c r="Q632" s="25">
        <v>0</v>
      </c>
      <c r="R632" s="25">
        <v>0</v>
      </c>
      <c r="S632" s="25">
        <v>0</v>
      </c>
      <c r="T632" s="25">
        <v>0</v>
      </c>
      <c r="U632" s="29">
        <v>0</v>
      </c>
      <c r="V632" s="25">
        <v>0</v>
      </c>
      <c r="W632" s="25">
        <v>0</v>
      </c>
      <c r="X632" s="25">
        <v>0</v>
      </c>
      <c r="Y632" s="29">
        <v>0</v>
      </c>
      <c r="Z632" s="29">
        <v>0</v>
      </c>
      <c r="AA632" s="29">
        <v>0</v>
      </c>
      <c r="AB632" s="29">
        <v>200303</v>
      </c>
      <c r="AC632" s="29">
        <v>200</v>
      </c>
      <c r="AD632" s="29">
        <v>1</v>
      </c>
      <c r="AE632" s="29"/>
      <c r="GR632" s="5"/>
      <c r="GS632" s="5"/>
      <c r="GT632" s="5"/>
      <c r="GU632" s="5"/>
      <c r="GV632" s="5"/>
      <c r="GW632" s="5"/>
      <c r="GX632" s="5"/>
      <c r="GY632" s="5"/>
      <c r="GZ632" s="5"/>
      <c r="HA632" s="5"/>
      <c r="HB632" s="5"/>
      <c r="HC632" s="5"/>
      <c r="HD632" s="5"/>
      <c r="HE632" s="5"/>
      <c r="HF632" s="5"/>
      <c r="HG632" s="5"/>
      <c r="HH632" s="5"/>
      <c r="HI632" s="5"/>
      <c r="HJ632" s="5"/>
      <c r="HK632" s="5"/>
      <c r="HL632" s="5"/>
      <c r="HM632" s="5"/>
      <c r="HN632" s="5"/>
      <c r="HO632" s="5"/>
      <c r="HP632" s="5"/>
    </row>
    <row r="633" spans="3:224" ht="20.100000000000001" customHeight="1">
      <c r="C633" s="24">
        <v>15710001</v>
      </c>
      <c r="D633" s="24" t="s">
        <v>572</v>
      </c>
      <c r="E633" s="25">
        <v>11200001</v>
      </c>
      <c r="F633" s="25">
        <v>17051</v>
      </c>
      <c r="G633" s="25">
        <v>1</v>
      </c>
      <c r="H633" s="25">
        <v>60</v>
      </c>
      <c r="I633" s="29">
        <v>0.2</v>
      </c>
      <c r="J633" s="30">
        <v>30</v>
      </c>
      <c r="K633" s="25">
        <v>0</v>
      </c>
      <c r="L633" s="25">
        <v>0</v>
      </c>
      <c r="M633" s="25">
        <v>900</v>
      </c>
      <c r="N633" s="25">
        <v>1816</v>
      </c>
      <c r="O633" s="25">
        <v>0</v>
      </c>
      <c r="P633" s="25">
        <v>0</v>
      </c>
      <c r="Q633" s="25">
        <v>0</v>
      </c>
      <c r="R633" s="25">
        <v>0</v>
      </c>
      <c r="S633" s="25">
        <v>0</v>
      </c>
      <c r="T633" s="25">
        <v>0</v>
      </c>
      <c r="U633" s="29">
        <v>0</v>
      </c>
      <c r="V633" s="25">
        <v>0</v>
      </c>
      <c r="W633" s="25">
        <v>0</v>
      </c>
      <c r="X633" s="25">
        <v>0</v>
      </c>
      <c r="Y633" s="29">
        <v>0</v>
      </c>
      <c r="Z633" s="29">
        <v>0</v>
      </c>
      <c r="AA633" s="29">
        <v>0</v>
      </c>
      <c r="AB633" s="29">
        <v>200903</v>
      </c>
      <c r="AC633" s="29">
        <v>200</v>
      </c>
      <c r="AD633" s="29">
        <v>1</v>
      </c>
      <c r="AE633" s="29"/>
      <c r="GR633" s="5"/>
      <c r="GS633" s="5"/>
      <c r="GT633" s="5"/>
      <c r="GU633" s="5"/>
      <c r="GV633" s="5"/>
      <c r="GW633" s="5"/>
      <c r="GX633" s="5"/>
      <c r="GY633" s="5"/>
      <c r="GZ633" s="5"/>
      <c r="HA633" s="5"/>
      <c r="HB633" s="5"/>
      <c r="HC633" s="5"/>
      <c r="HD633" s="5"/>
      <c r="HE633" s="5"/>
      <c r="HF633" s="5"/>
      <c r="HG633" s="5"/>
      <c r="HH633" s="5"/>
      <c r="HI633" s="5"/>
      <c r="HJ633" s="5"/>
      <c r="HK633" s="5"/>
      <c r="HL633" s="5"/>
      <c r="HM633" s="5"/>
      <c r="HN633" s="5"/>
      <c r="HO633" s="5"/>
      <c r="HP633" s="5"/>
    </row>
    <row r="634" spans="3:224" ht="20.100000000000001" customHeight="1">
      <c r="C634" s="24">
        <v>15710002</v>
      </c>
      <c r="D634" s="24" t="s">
        <v>574</v>
      </c>
      <c r="E634" s="25">
        <v>11200001</v>
      </c>
      <c r="F634" s="25">
        <v>17051</v>
      </c>
      <c r="G634" s="25">
        <v>1</v>
      </c>
      <c r="H634" s="25">
        <v>60</v>
      </c>
      <c r="I634" s="29">
        <v>0.2</v>
      </c>
      <c r="J634" s="30">
        <v>30</v>
      </c>
      <c r="K634" s="25">
        <v>0</v>
      </c>
      <c r="L634" s="25">
        <v>0</v>
      </c>
      <c r="M634" s="25">
        <v>900</v>
      </c>
      <c r="N634" s="25">
        <v>1816</v>
      </c>
      <c r="O634" s="25">
        <v>0</v>
      </c>
      <c r="P634" s="25">
        <v>0</v>
      </c>
      <c r="Q634" s="25">
        <v>0</v>
      </c>
      <c r="R634" s="25">
        <v>0</v>
      </c>
      <c r="S634" s="25">
        <v>0</v>
      </c>
      <c r="T634" s="25">
        <v>0</v>
      </c>
      <c r="U634" s="29">
        <v>0</v>
      </c>
      <c r="V634" s="25">
        <v>0</v>
      </c>
      <c r="W634" s="25">
        <v>0</v>
      </c>
      <c r="X634" s="25">
        <v>0</v>
      </c>
      <c r="Y634" s="29">
        <v>0</v>
      </c>
      <c r="Z634" s="29">
        <v>0</v>
      </c>
      <c r="AA634" s="29">
        <v>0</v>
      </c>
      <c r="AB634" s="29">
        <v>200903</v>
      </c>
      <c r="AC634" s="29">
        <v>200</v>
      </c>
      <c r="AD634" s="29">
        <v>1</v>
      </c>
      <c r="AE634" s="29"/>
      <c r="GR634" s="5"/>
      <c r="GS634" s="5"/>
      <c r="GT634" s="5"/>
      <c r="GU634" s="5"/>
      <c r="GV634" s="5"/>
      <c r="GW634" s="5"/>
      <c r="GX634" s="5"/>
      <c r="GY634" s="5"/>
      <c r="GZ634" s="5"/>
      <c r="HA634" s="5"/>
      <c r="HB634" s="5"/>
      <c r="HC634" s="5"/>
      <c r="HD634" s="5"/>
      <c r="HE634" s="5"/>
      <c r="HF634" s="5"/>
      <c r="HG634" s="5"/>
      <c r="HH634" s="5"/>
      <c r="HI634" s="5"/>
      <c r="HJ634" s="5"/>
      <c r="HK634" s="5"/>
      <c r="HL634" s="5"/>
      <c r="HM634" s="5"/>
      <c r="HN634" s="5"/>
      <c r="HO634" s="5"/>
      <c r="HP634" s="5"/>
    </row>
    <row r="635" spans="3:224" ht="20.100000000000001" customHeight="1">
      <c r="C635" s="24">
        <v>15710201</v>
      </c>
      <c r="D635" s="24" t="s">
        <v>665</v>
      </c>
      <c r="E635" s="25">
        <v>11200001</v>
      </c>
      <c r="F635" s="25">
        <v>17051</v>
      </c>
      <c r="G635" s="25">
        <v>1</v>
      </c>
      <c r="H635" s="25">
        <v>60</v>
      </c>
      <c r="I635" s="29">
        <v>0.2</v>
      </c>
      <c r="J635" s="30">
        <v>30</v>
      </c>
      <c r="K635" s="25">
        <v>0</v>
      </c>
      <c r="L635" s="25">
        <v>0</v>
      </c>
      <c r="M635" s="25">
        <v>900</v>
      </c>
      <c r="N635" s="25">
        <v>1816</v>
      </c>
      <c r="O635" s="25">
        <v>0</v>
      </c>
      <c r="P635" s="25">
        <v>0</v>
      </c>
      <c r="Q635" s="25">
        <v>0</v>
      </c>
      <c r="R635" s="25">
        <v>0</v>
      </c>
      <c r="S635" s="25">
        <v>0</v>
      </c>
      <c r="T635" s="25">
        <v>0</v>
      </c>
      <c r="U635" s="29">
        <v>0</v>
      </c>
      <c r="V635" s="25">
        <v>0</v>
      </c>
      <c r="W635" s="25">
        <v>0</v>
      </c>
      <c r="X635" s="25">
        <v>0</v>
      </c>
      <c r="Y635" s="29">
        <v>0</v>
      </c>
      <c r="Z635" s="29">
        <v>0</v>
      </c>
      <c r="AA635" s="29">
        <v>0</v>
      </c>
      <c r="AB635" s="29">
        <v>200903</v>
      </c>
      <c r="AC635" s="29">
        <v>200</v>
      </c>
      <c r="AD635" s="29">
        <v>1</v>
      </c>
      <c r="AE635" s="29"/>
      <c r="GR635" s="5"/>
      <c r="GS635" s="5"/>
      <c r="GT635" s="5"/>
      <c r="GU635" s="5"/>
      <c r="GV635" s="5"/>
      <c r="GW635" s="5"/>
      <c r="GX635" s="5"/>
      <c r="GY635" s="5"/>
      <c r="GZ635" s="5"/>
      <c r="HA635" s="5"/>
      <c r="HB635" s="5"/>
      <c r="HC635" s="5"/>
      <c r="HD635" s="5"/>
      <c r="HE635" s="5"/>
      <c r="HF635" s="5"/>
      <c r="HG635" s="5"/>
      <c r="HH635" s="5"/>
      <c r="HI635" s="5"/>
      <c r="HJ635" s="5"/>
      <c r="HK635" s="5"/>
      <c r="HL635" s="5"/>
      <c r="HM635" s="5"/>
      <c r="HN635" s="5"/>
      <c r="HO635" s="5"/>
      <c r="HP635" s="5"/>
    </row>
    <row r="636" spans="3:224" ht="20.100000000000001" customHeight="1">
      <c r="C636" s="24">
        <v>15711001</v>
      </c>
      <c r="D636" s="25" t="s">
        <v>580</v>
      </c>
      <c r="E636" s="25">
        <v>11200003</v>
      </c>
      <c r="F636" s="25">
        <v>17011</v>
      </c>
      <c r="G636" s="25">
        <v>1</v>
      </c>
      <c r="H636" s="25">
        <v>60</v>
      </c>
      <c r="I636" s="29">
        <v>0.2</v>
      </c>
      <c r="J636" s="30">
        <v>30</v>
      </c>
      <c r="K636" s="25">
        <v>0</v>
      </c>
      <c r="L636" s="25">
        <v>15560</v>
      </c>
      <c r="M636" s="25">
        <v>0</v>
      </c>
      <c r="N636" s="25">
        <v>0</v>
      </c>
      <c r="O636" s="25">
        <v>0</v>
      </c>
      <c r="P636" s="25">
        <v>0</v>
      </c>
      <c r="Q636" s="25">
        <v>166</v>
      </c>
      <c r="R636" s="25">
        <v>330</v>
      </c>
      <c r="S636" s="25">
        <v>166</v>
      </c>
      <c r="T636" s="25">
        <v>330</v>
      </c>
      <c r="U636" s="29">
        <v>0</v>
      </c>
      <c r="V636" s="25">
        <v>0</v>
      </c>
      <c r="W636" s="25">
        <v>0</v>
      </c>
      <c r="X636" s="25">
        <v>0</v>
      </c>
      <c r="Y636" s="29">
        <v>0</v>
      </c>
      <c r="Z636" s="29">
        <v>0</v>
      </c>
      <c r="AA636" s="29">
        <v>0</v>
      </c>
      <c r="AB636" s="29">
        <v>201003</v>
      </c>
      <c r="AC636" s="29">
        <v>200</v>
      </c>
      <c r="AD636" s="29">
        <v>1</v>
      </c>
      <c r="AE636" s="29"/>
      <c r="GR636" s="5"/>
      <c r="GS636" s="5"/>
      <c r="GT636" s="5"/>
      <c r="GU636" s="5"/>
      <c r="GV636" s="5"/>
      <c r="GW636" s="5"/>
      <c r="GX636" s="5"/>
      <c r="GY636" s="5"/>
      <c r="GZ636" s="5"/>
      <c r="HA636" s="5"/>
      <c r="HB636" s="5"/>
      <c r="HC636" s="5"/>
      <c r="HD636" s="5"/>
      <c r="HE636" s="5"/>
      <c r="HF636" s="5"/>
      <c r="HG636" s="5"/>
      <c r="HH636" s="5"/>
      <c r="HI636" s="5"/>
      <c r="HJ636" s="5"/>
      <c r="HK636" s="5"/>
      <c r="HL636" s="5"/>
      <c r="HM636" s="5"/>
      <c r="HN636" s="5"/>
      <c r="HO636" s="5"/>
      <c r="HP636" s="5"/>
    </row>
    <row r="637" spans="3:224" ht="20.100000000000001" customHeight="1">
      <c r="C637" s="24">
        <v>15711002</v>
      </c>
      <c r="D637" s="25" t="s">
        <v>582</v>
      </c>
      <c r="E637" s="25">
        <v>11200003</v>
      </c>
      <c r="F637" s="25">
        <v>17021</v>
      </c>
      <c r="G637" s="25">
        <v>1</v>
      </c>
      <c r="H637" s="25">
        <v>60</v>
      </c>
      <c r="I637" s="29">
        <v>0.2</v>
      </c>
      <c r="J637" s="30">
        <v>30</v>
      </c>
      <c r="K637" s="25">
        <v>0</v>
      </c>
      <c r="L637" s="25">
        <v>7770</v>
      </c>
      <c r="M637" s="25">
        <v>0</v>
      </c>
      <c r="N637" s="25">
        <v>0</v>
      </c>
      <c r="O637" s="25">
        <v>0</v>
      </c>
      <c r="P637" s="25">
        <v>0</v>
      </c>
      <c r="Q637" s="25">
        <v>120</v>
      </c>
      <c r="R637" s="25">
        <v>240</v>
      </c>
      <c r="S637" s="25">
        <v>120</v>
      </c>
      <c r="T637" s="25">
        <v>240</v>
      </c>
      <c r="U637" s="29">
        <v>0</v>
      </c>
      <c r="V637" s="25">
        <v>0</v>
      </c>
      <c r="W637" s="25">
        <v>0</v>
      </c>
      <c r="X637" s="25">
        <v>0</v>
      </c>
      <c r="Y637" s="29">
        <v>0</v>
      </c>
      <c r="Z637" s="29">
        <v>0</v>
      </c>
      <c r="AA637" s="29">
        <v>0</v>
      </c>
      <c r="AB637" s="29">
        <v>201003</v>
      </c>
      <c r="AC637" s="29">
        <v>200</v>
      </c>
      <c r="AD637" s="29">
        <v>1</v>
      </c>
      <c r="AE637" s="29"/>
      <c r="GR637" s="5"/>
      <c r="GS637" s="5"/>
      <c r="GT637" s="5"/>
      <c r="GU637" s="5"/>
      <c r="GV637" s="5"/>
      <c r="GW637" s="5"/>
      <c r="GX637" s="5"/>
      <c r="GY637" s="5"/>
      <c r="GZ637" s="5"/>
      <c r="HA637" s="5"/>
      <c r="HB637" s="5"/>
      <c r="HC637" s="5"/>
      <c r="HD637" s="5"/>
      <c r="HE637" s="5"/>
      <c r="HF637" s="5"/>
      <c r="HG637" s="5"/>
      <c r="HH637" s="5"/>
      <c r="HI637" s="5"/>
      <c r="HJ637" s="5"/>
      <c r="HK637" s="5"/>
      <c r="HL637" s="5"/>
      <c r="HM637" s="5"/>
      <c r="HN637" s="5"/>
      <c r="HO637" s="5"/>
      <c r="HP637" s="5"/>
    </row>
    <row r="638" spans="3:224" ht="20.100000000000001" customHeight="1">
      <c r="C638" s="24">
        <v>15711003</v>
      </c>
      <c r="D638" s="25" t="s">
        <v>584</v>
      </c>
      <c r="E638" s="25">
        <v>11200003</v>
      </c>
      <c r="F638" s="25">
        <v>17031</v>
      </c>
      <c r="G638" s="25">
        <v>1</v>
      </c>
      <c r="H638" s="25">
        <v>60</v>
      </c>
      <c r="I638" s="29">
        <v>0.2</v>
      </c>
      <c r="J638" s="30">
        <v>30</v>
      </c>
      <c r="K638" s="25">
        <v>0</v>
      </c>
      <c r="L638" s="25">
        <v>23330</v>
      </c>
      <c r="M638" s="25">
        <v>0</v>
      </c>
      <c r="N638" s="25">
        <v>0</v>
      </c>
      <c r="O638" s="25">
        <v>0</v>
      </c>
      <c r="P638" s="25">
        <v>0</v>
      </c>
      <c r="Q638" s="25">
        <v>210</v>
      </c>
      <c r="R638" s="25">
        <v>406</v>
      </c>
      <c r="S638" s="25">
        <v>210</v>
      </c>
      <c r="T638" s="25">
        <v>406</v>
      </c>
      <c r="U638" s="29">
        <v>0</v>
      </c>
      <c r="V638" s="25">
        <v>0</v>
      </c>
      <c r="W638" s="25">
        <v>0</v>
      </c>
      <c r="X638" s="25">
        <v>0</v>
      </c>
      <c r="Y638" s="29">
        <v>0</v>
      </c>
      <c r="Z638" s="29">
        <v>0</v>
      </c>
      <c r="AA638" s="29">
        <v>0</v>
      </c>
      <c r="AB638" s="29">
        <v>201003</v>
      </c>
      <c r="AC638" s="29">
        <v>200</v>
      </c>
      <c r="AD638" s="29">
        <v>1</v>
      </c>
      <c r="AE638" s="29"/>
      <c r="GR638" s="5"/>
      <c r="GS638" s="5"/>
      <c r="GT638" s="5"/>
      <c r="GU638" s="5"/>
      <c r="GV638" s="5"/>
      <c r="GW638" s="5"/>
      <c r="GX638" s="5"/>
      <c r="GY638" s="5"/>
      <c r="GZ638" s="5"/>
      <c r="HA638" s="5"/>
      <c r="HB638" s="5"/>
      <c r="HC638" s="5"/>
      <c r="HD638" s="5"/>
      <c r="HE638" s="5"/>
      <c r="HF638" s="5"/>
      <c r="HG638" s="5"/>
      <c r="HH638" s="5"/>
      <c r="HI638" s="5"/>
      <c r="HJ638" s="5"/>
      <c r="HK638" s="5"/>
      <c r="HL638" s="5"/>
      <c r="HM638" s="5"/>
      <c r="HN638" s="5"/>
      <c r="HO638" s="5"/>
      <c r="HP638" s="5"/>
    </row>
    <row r="639" spans="3:224" s="75" customFormat="1" ht="20.100000000000001" customHeight="1">
      <c r="C639" s="36">
        <v>15801001</v>
      </c>
      <c r="D639" s="71" t="s">
        <v>530</v>
      </c>
      <c r="E639" s="71">
        <v>11200003</v>
      </c>
      <c r="F639" s="71">
        <v>18011</v>
      </c>
      <c r="G639" s="71">
        <v>1</v>
      </c>
      <c r="H639" s="71">
        <v>60</v>
      </c>
      <c r="I639" s="72">
        <v>0.2</v>
      </c>
      <c r="J639" s="73">
        <v>35</v>
      </c>
      <c r="K639" s="71">
        <v>0</v>
      </c>
      <c r="L639" s="71">
        <v>0</v>
      </c>
      <c r="M639" s="71">
        <v>159</v>
      </c>
      <c r="N639" s="71">
        <v>315</v>
      </c>
      <c r="O639" s="71">
        <v>0</v>
      </c>
      <c r="P639" s="71">
        <v>0</v>
      </c>
      <c r="Q639" s="71">
        <v>90</v>
      </c>
      <c r="R639" s="71">
        <v>204</v>
      </c>
      <c r="S639" s="71">
        <v>90</v>
      </c>
      <c r="T639" s="71">
        <v>204</v>
      </c>
      <c r="U639" s="72">
        <v>0</v>
      </c>
      <c r="V639" s="71">
        <v>0</v>
      </c>
      <c r="W639" s="71">
        <v>0</v>
      </c>
      <c r="X639" s="71">
        <v>0</v>
      </c>
      <c r="Y639" s="72">
        <v>0</v>
      </c>
      <c r="Z639" s="72">
        <v>0</v>
      </c>
      <c r="AA639" s="72">
        <v>0</v>
      </c>
      <c r="AB639" s="72">
        <v>200503</v>
      </c>
      <c r="AC639" s="72">
        <v>200</v>
      </c>
      <c r="AD639" s="72">
        <v>1</v>
      </c>
      <c r="AE639" s="72"/>
      <c r="AF639" s="74"/>
      <c r="AG639" s="74"/>
      <c r="AH639" s="74"/>
      <c r="AI639" s="74"/>
      <c r="AJ639" s="74"/>
      <c r="AK639" s="74"/>
      <c r="AL639" s="74"/>
      <c r="AM639" s="74"/>
      <c r="AN639" s="74"/>
      <c r="AO639" s="74"/>
      <c r="AP639" s="74"/>
      <c r="AQ639" s="74"/>
      <c r="AR639" s="74"/>
      <c r="AS639" s="74"/>
      <c r="AT639" s="74"/>
      <c r="AU639" s="74"/>
      <c r="AV639" s="74"/>
      <c r="AW639" s="74"/>
      <c r="AX639" s="74"/>
      <c r="AY639" s="74"/>
      <c r="AZ639" s="74"/>
      <c r="BA639" s="74"/>
      <c r="BB639" s="74"/>
      <c r="BC639" s="74"/>
      <c r="BD639" s="74"/>
      <c r="BE639" s="74"/>
      <c r="BF639" s="74"/>
      <c r="BG639" s="74"/>
      <c r="BH639" s="74"/>
      <c r="BI639" s="74"/>
      <c r="BJ639" s="74"/>
      <c r="BK639" s="74"/>
      <c r="BL639" s="74"/>
      <c r="BM639" s="74"/>
      <c r="BN639" s="74"/>
      <c r="BO639" s="74"/>
      <c r="BP639" s="74"/>
      <c r="BQ639" s="74"/>
      <c r="BR639" s="74"/>
      <c r="BS639" s="74"/>
      <c r="BT639" s="74"/>
      <c r="BU639" s="74"/>
      <c r="BV639" s="74"/>
      <c r="BW639" s="74"/>
      <c r="BX639" s="74"/>
      <c r="BY639" s="74"/>
      <c r="BZ639" s="74"/>
      <c r="CA639" s="74"/>
      <c r="CB639" s="74"/>
      <c r="CC639" s="74"/>
      <c r="CD639" s="74"/>
      <c r="CE639" s="74"/>
      <c r="CF639" s="74"/>
      <c r="CG639" s="74"/>
      <c r="CH639" s="74"/>
      <c r="CI639" s="74"/>
      <c r="CJ639" s="74"/>
      <c r="CK639" s="74"/>
      <c r="CL639" s="74"/>
      <c r="CM639" s="74"/>
      <c r="CN639" s="74"/>
      <c r="CO639" s="74"/>
      <c r="CP639" s="74"/>
      <c r="CQ639" s="74"/>
      <c r="CR639" s="74"/>
      <c r="CS639" s="74"/>
      <c r="CT639" s="74"/>
      <c r="CU639" s="74"/>
      <c r="CV639" s="74"/>
      <c r="CW639" s="74"/>
      <c r="CX639" s="74"/>
      <c r="CY639" s="74"/>
      <c r="CZ639" s="74"/>
      <c r="DA639" s="74"/>
      <c r="DB639" s="74"/>
      <c r="DC639" s="74"/>
      <c r="DD639" s="74"/>
      <c r="DE639" s="74"/>
      <c r="DF639" s="74"/>
      <c r="DG639" s="74"/>
      <c r="DH639" s="74"/>
      <c r="DI639" s="74"/>
      <c r="DJ639" s="74"/>
      <c r="DK639" s="74"/>
      <c r="DL639" s="74"/>
      <c r="DM639" s="74"/>
      <c r="DN639" s="74"/>
      <c r="DO639" s="74"/>
      <c r="DP639" s="74"/>
      <c r="DQ639" s="74"/>
      <c r="DR639" s="74"/>
      <c r="DS639" s="74"/>
      <c r="DT639" s="74"/>
      <c r="DU639" s="74"/>
      <c r="DV639" s="74"/>
      <c r="DW639" s="74"/>
      <c r="DX639" s="74"/>
      <c r="DY639" s="74"/>
      <c r="DZ639" s="74"/>
      <c r="EA639" s="74"/>
      <c r="EB639" s="74"/>
      <c r="EC639" s="74"/>
      <c r="ED639" s="74"/>
      <c r="EE639" s="74"/>
      <c r="EF639" s="74"/>
      <c r="EG639" s="74"/>
      <c r="EH639" s="74"/>
      <c r="EI639" s="74"/>
      <c r="EJ639" s="74"/>
      <c r="EK639" s="74"/>
      <c r="EL639" s="74"/>
      <c r="EM639" s="74"/>
      <c r="EN639" s="74"/>
      <c r="EO639" s="74"/>
      <c r="EP639" s="74"/>
      <c r="EQ639" s="74"/>
      <c r="ER639" s="74"/>
      <c r="ES639" s="74"/>
      <c r="ET639" s="74"/>
      <c r="EU639" s="74"/>
      <c r="EV639" s="74"/>
      <c r="EW639" s="74"/>
      <c r="EX639" s="74"/>
      <c r="EY639" s="74"/>
      <c r="EZ639" s="74"/>
      <c r="FA639" s="74"/>
      <c r="FB639" s="74"/>
      <c r="FC639" s="74"/>
      <c r="FD639" s="74"/>
      <c r="FE639" s="74"/>
      <c r="FF639" s="74"/>
      <c r="FG639" s="74"/>
      <c r="FH639" s="74"/>
      <c r="FI639" s="74"/>
      <c r="FJ639" s="74"/>
      <c r="FK639" s="74"/>
      <c r="FL639" s="74"/>
      <c r="FM639" s="74"/>
      <c r="FN639" s="74"/>
      <c r="FO639" s="74"/>
      <c r="FP639" s="74"/>
      <c r="FQ639" s="74"/>
      <c r="FR639" s="74"/>
      <c r="FS639" s="74"/>
      <c r="FT639" s="74"/>
      <c r="FU639" s="74"/>
      <c r="FV639" s="74"/>
      <c r="FW639" s="74"/>
      <c r="FX639" s="74"/>
      <c r="FY639" s="74"/>
      <c r="FZ639" s="74"/>
      <c r="GA639" s="74"/>
      <c r="GB639" s="74"/>
      <c r="GC639" s="74"/>
      <c r="GD639" s="74"/>
      <c r="GE639" s="74"/>
      <c r="GF639" s="74"/>
      <c r="GG639" s="74"/>
      <c r="GH639" s="74"/>
      <c r="GI639" s="74"/>
      <c r="GJ639" s="74"/>
      <c r="GK639" s="74"/>
      <c r="GL639" s="74"/>
      <c r="GM639" s="74"/>
      <c r="GN639" s="74"/>
      <c r="GO639" s="74"/>
      <c r="GP639" s="74"/>
      <c r="GQ639" s="74"/>
      <c r="GR639" s="74"/>
      <c r="GS639" s="74"/>
      <c r="GT639" s="74"/>
      <c r="GU639" s="74"/>
      <c r="GV639" s="74"/>
      <c r="GW639" s="74"/>
      <c r="GX639" s="74"/>
      <c r="GY639" s="74"/>
      <c r="GZ639" s="74"/>
      <c r="HA639" s="74"/>
      <c r="HB639" s="74"/>
      <c r="HC639" s="74"/>
      <c r="HD639" s="74"/>
      <c r="HE639" s="74"/>
      <c r="HF639" s="74"/>
      <c r="HG639" s="74"/>
      <c r="HH639" s="74"/>
      <c r="HI639" s="74"/>
      <c r="HJ639" s="74"/>
      <c r="HK639" s="74"/>
      <c r="HL639" s="74"/>
      <c r="HM639" s="74"/>
      <c r="HN639" s="74"/>
      <c r="HO639" s="74"/>
      <c r="HP639" s="74"/>
    </row>
    <row r="640" spans="3:224" s="75" customFormat="1" ht="20.100000000000001" customHeight="1">
      <c r="C640" s="36">
        <v>15801002</v>
      </c>
      <c r="D640" s="71" t="s">
        <v>532</v>
      </c>
      <c r="E640" s="71">
        <v>11200003</v>
      </c>
      <c r="F640" s="71">
        <v>18021</v>
      </c>
      <c r="G640" s="71">
        <v>1</v>
      </c>
      <c r="H640" s="71">
        <v>60</v>
      </c>
      <c r="I640" s="72">
        <v>0.2</v>
      </c>
      <c r="J640" s="73">
        <v>35</v>
      </c>
      <c r="K640" s="71">
        <v>0</v>
      </c>
      <c r="L640" s="71">
        <v>0</v>
      </c>
      <c r="M640" s="71">
        <v>225</v>
      </c>
      <c r="N640" s="71">
        <v>429</v>
      </c>
      <c r="O640" s="71">
        <v>0</v>
      </c>
      <c r="P640" s="71">
        <v>0</v>
      </c>
      <c r="Q640" s="71">
        <v>69</v>
      </c>
      <c r="R640" s="71">
        <v>135</v>
      </c>
      <c r="S640" s="71">
        <v>69</v>
      </c>
      <c r="T640" s="71">
        <v>135</v>
      </c>
      <c r="U640" s="72">
        <v>0</v>
      </c>
      <c r="V640" s="71">
        <v>0</v>
      </c>
      <c r="W640" s="71">
        <v>0</v>
      </c>
      <c r="X640" s="71">
        <v>0</v>
      </c>
      <c r="Y640" s="72">
        <v>0</v>
      </c>
      <c r="Z640" s="72">
        <v>0</v>
      </c>
      <c r="AA640" s="72">
        <v>0</v>
      </c>
      <c r="AB640" s="72">
        <v>200603</v>
      </c>
      <c r="AC640" s="72">
        <v>200</v>
      </c>
      <c r="AD640" s="72">
        <v>1</v>
      </c>
      <c r="AE640" s="72"/>
      <c r="AF640" s="74"/>
      <c r="AG640" s="74"/>
      <c r="AH640" s="74"/>
      <c r="AI640" s="74"/>
      <c r="AJ640" s="74"/>
      <c r="AK640" s="74"/>
      <c r="AL640" s="74"/>
      <c r="AM640" s="74"/>
      <c r="AN640" s="74"/>
      <c r="AO640" s="74"/>
      <c r="AP640" s="74"/>
      <c r="AQ640" s="74"/>
      <c r="AR640" s="74"/>
      <c r="AS640" s="74"/>
      <c r="AT640" s="74"/>
      <c r="AU640" s="74"/>
      <c r="AV640" s="74"/>
      <c r="AW640" s="74"/>
      <c r="AX640" s="74"/>
      <c r="AY640" s="74"/>
      <c r="AZ640" s="74"/>
      <c r="BA640" s="74"/>
      <c r="BB640" s="74"/>
      <c r="BC640" s="74"/>
      <c r="BD640" s="74"/>
      <c r="BE640" s="74"/>
      <c r="BF640" s="74"/>
      <c r="BG640" s="74"/>
      <c r="BH640" s="74"/>
      <c r="BI640" s="74"/>
      <c r="BJ640" s="74"/>
      <c r="BK640" s="74"/>
      <c r="BL640" s="74"/>
      <c r="BM640" s="74"/>
      <c r="BN640" s="74"/>
      <c r="BO640" s="74"/>
      <c r="BP640" s="74"/>
      <c r="BQ640" s="74"/>
      <c r="BR640" s="74"/>
      <c r="BS640" s="74"/>
      <c r="BT640" s="74"/>
      <c r="BU640" s="74"/>
      <c r="BV640" s="74"/>
      <c r="BW640" s="74"/>
      <c r="BX640" s="74"/>
      <c r="BY640" s="74"/>
      <c r="BZ640" s="74"/>
      <c r="CA640" s="74"/>
      <c r="CB640" s="74"/>
      <c r="CC640" s="74"/>
      <c r="CD640" s="74"/>
      <c r="CE640" s="74"/>
      <c r="CF640" s="74"/>
      <c r="CG640" s="74"/>
      <c r="CH640" s="74"/>
      <c r="CI640" s="74"/>
      <c r="CJ640" s="74"/>
      <c r="CK640" s="74"/>
      <c r="CL640" s="74"/>
      <c r="CM640" s="74"/>
      <c r="CN640" s="74"/>
      <c r="CO640" s="74"/>
      <c r="CP640" s="74"/>
      <c r="CQ640" s="74"/>
      <c r="CR640" s="74"/>
      <c r="CS640" s="74"/>
      <c r="CT640" s="74"/>
      <c r="CU640" s="74"/>
      <c r="CV640" s="74"/>
      <c r="CW640" s="74"/>
      <c r="CX640" s="74"/>
      <c r="CY640" s="74"/>
      <c r="CZ640" s="74"/>
      <c r="DA640" s="74"/>
      <c r="DB640" s="74"/>
      <c r="DC640" s="74"/>
      <c r="DD640" s="74"/>
      <c r="DE640" s="74"/>
      <c r="DF640" s="74"/>
      <c r="DG640" s="74"/>
      <c r="DH640" s="74"/>
      <c r="DI640" s="74"/>
      <c r="DJ640" s="74"/>
      <c r="DK640" s="74"/>
      <c r="DL640" s="74"/>
      <c r="DM640" s="74"/>
      <c r="DN640" s="74"/>
      <c r="DO640" s="74"/>
      <c r="DP640" s="74"/>
      <c r="DQ640" s="74"/>
      <c r="DR640" s="74"/>
      <c r="DS640" s="74"/>
      <c r="DT640" s="74"/>
      <c r="DU640" s="74"/>
      <c r="DV640" s="74"/>
      <c r="DW640" s="74"/>
      <c r="DX640" s="74"/>
      <c r="DY640" s="74"/>
      <c r="DZ640" s="74"/>
      <c r="EA640" s="74"/>
      <c r="EB640" s="74"/>
      <c r="EC640" s="74"/>
      <c r="ED640" s="74"/>
      <c r="EE640" s="74"/>
      <c r="EF640" s="74"/>
      <c r="EG640" s="74"/>
      <c r="EH640" s="74"/>
      <c r="EI640" s="74"/>
      <c r="EJ640" s="74"/>
      <c r="EK640" s="74"/>
      <c r="EL640" s="74"/>
      <c r="EM640" s="74"/>
      <c r="EN640" s="74"/>
      <c r="EO640" s="74"/>
      <c r="EP640" s="74"/>
      <c r="EQ640" s="74"/>
      <c r="ER640" s="74"/>
      <c r="ES640" s="74"/>
      <c r="ET640" s="74"/>
      <c r="EU640" s="74"/>
      <c r="EV640" s="74"/>
      <c r="EW640" s="74"/>
      <c r="EX640" s="74"/>
      <c r="EY640" s="74"/>
      <c r="EZ640" s="74"/>
      <c r="FA640" s="74"/>
      <c r="FB640" s="74"/>
      <c r="FC640" s="74"/>
      <c r="FD640" s="74"/>
      <c r="FE640" s="74"/>
      <c r="FF640" s="74"/>
      <c r="FG640" s="74"/>
      <c r="FH640" s="74"/>
      <c r="FI640" s="74"/>
      <c r="FJ640" s="74"/>
      <c r="FK640" s="74"/>
      <c r="FL640" s="74"/>
      <c r="FM640" s="74"/>
      <c r="FN640" s="74"/>
      <c r="FO640" s="74"/>
      <c r="FP640" s="74"/>
      <c r="FQ640" s="74"/>
      <c r="FR640" s="74"/>
      <c r="FS640" s="74"/>
      <c r="FT640" s="74"/>
      <c r="FU640" s="74"/>
      <c r="FV640" s="74"/>
      <c r="FW640" s="74"/>
      <c r="FX640" s="74"/>
      <c r="FY640" s="74"/>
      <c r="FZ640" s="74"/>
      <c r="GA640" s="74"/>
      <c r="GB640" s="74"/>
      <c r="GC640" s="74"/>
      <c r="GD640" s="74"/>
      <c r="GE640" s="74"/>
      <c r="GF640" s="74"/>
      <c r="GG640" s="74"/>
      <c r="GH640" s="74"/>
      <c r="GI640" s="74"/>
      <c r="GJ640" s="74"/>
      <c r="GK640" s="74"/>
      <c r="GL640" s="74"/>
      <c r="GM640" s="74"/>
      <c r="GN640" s="74"/>
      <c r="GO640" s="74"/>
      <c r="GP640" s="74"/>
      <c r="GQ640" s="74"/>
      <c r="GR640" s="74"/>
      <c r="GS640" s="74"/>
      <c r="GT640" s="74"/>
      <c r="GU640" s="74"/>
      <c r="GV640" s="74"/>
      <c r="GW640" s="74"/>
      <c r="GX640" s="74"/>
      <c r="GY640" s="74"/>
      <c r="GZ640" s="74"/>
      <c r="HA640" s="74"/>
      <c r="HB640" s="74"/>
      <c r="HC640" s="74"/>
      <c r="HD640" s="74"/>
      <c r="HE640" s="74"/>
      <c r="HF640" s="74"/>
      <c r="HG640" s="74"/>
      <c r="HH640" s="74"/>
      <c r="HI640" s="74"/>
      <c r="HJ640" s="74"/>
      <c r="HK640" s="74"/>
      <c r="HL640" s="74"/>
      <c r="HM640" s="74"/>
      <c r="HN640" s="74"/>
      <c r="HO640" s="74"/>
      <c r="HP640" s="74"/>
    </row>
    <row r="641" spans="3:224" s="75" customFormat="1" ht="20.100000000000001" customHeight="1">
      <c r="C641" s="36">
        <v>15801003</v>
      </c>
      <c r="D641" s="71" t="s">
        <v>534</v>
      </c>
      <c r="E641" s="71">
        <v>11200003</v>
      </c>
      <c r="F641" s="71">
        <v>18031</v>
      </c>
      <c r="G641" s="71">
        <v>1</v>
      </c>
      <c r="H641" s="71">
        <v>60</v>
      </c>
      <c r="I641" s="72">
        <v>0.2</v>
      </c>
      <c r="J641" s="73">
        <v>35</v>
      </c>
      <c r="K641" s="71">
        <v>0</v>
      </c>
      <c r="L641" s="71">
        <v>0</v>
      </c>
      <c r="M641" s="71">
        <v>114</v>
      </c>
      <c r="N641" s="71">
        <v>249</v>
      </c>
      <c r="O641" s="71">
        <v>0</v>
      </c>
      <c r="P641" s="71">
        <v>0</v>
      </c>
      <c r="Q641" s="71">
        <v>114</v>
      </c>
      <c r="R641" s="71">
        <v>249</v>
      </c>
      <c r="S641" s="71">
        <v>114</v>
      </c>
      <c r="T641" s="71">
        <v>249</v>
      </c>
      <c r="U641" s="72">
        <v>0</v>
      </c>
      <c r="V641" s="71">
        <v>0</v>
      </c>
      <c r="W641" s="71">
        <v>0</v>
      </c>
      <c r="X641" s="71">
        <v>0</v>
      </c>
      <c r="Y641" s="72">
        <v>0</v>
      </c>
      <c r="Z641" s="72">
        <v>0</v>
      </c>
      <c r="AA641" s="72">
        <v>0</v>
      </c>
      <c r="AB641" s="72">
        <v>200503</v>
      </c>
      <c r="AC641" s="72">
        <v>200</v>
      </c>
      <c r="AD641" s="72">
        <v>1</v>
      </c>
      <c r="AE641" s="72"/>
      <c r="AF641" s="74"/>
      <c r="AG641" s="74"/>
      <c r="AH641" s="74"/>
      <c r="AI641" s="74"/>
      <c r="AJ641" s="74"/>
      <c r="AK641" s="74"/>
      <c r="AL641" s="74"/>
      <c r="AM641" s="74"/>
      <c r="AN641" s="74"/>
      <c r="AO641" s="74"/>
      <c r="AP641" s="74"/>
      <c r="AQ641" s="74"/>
      <c r="AR641" s="74"/>
      <c r="AS641" s="74"/>
      <c r="AT641" s="74"/>
      <c r="AU641" s="74"/>
      <c r="AV641" s="74"/>
      <c r="AW641" s="74"/>
      <c r="AX641" s="74"/>
      <c r="AY641" s="74"/>
      <c r="AZ641" s="74"/>
      <c r="BA641" s="74"/>
      <c r="BB641" s="74"/>
      <c r="BC641" s="74"/>
      <c r="BD641" s="74"/>
      <c r="BE641" s="74"/>
      <c r="BF641" s="74"/>
      <c r="BG641" s="74"/>
      <c r="BH641" s="74"/>
      <c r="BI641" s="74"/>
      <c r="BJ641" s="74"/>
      <c r="BK641" s="74"/>
      <c r="BL641" s="74"/>
      <c r="BM641" s="74"/>
      <c r="BN641" s="74"/>
      <c r="BO641" s="74"/>
      <c r="BP641" s="74"/>
      <c r="BQ641" s="74"/>
      <c r="BR641" s="74"/>
      <c r="BS641" s="74"/>
      <c r="BT641" s="74"/>
      <c r="BU641" s="74"/>
      <c r="BV641" s="74"/>
      <c r="BW641" s="74"/>
      <c r="BX641" s="74"/>
      <c r="BY641" s="74"/>
      <c r="BZ641" s="74"/>
      <c r="CA641" s="74"/>
      <c r="CB641" s="74"/>
      <c r="CC641" s="74"/>
      <c r="CD641" s="74"/>
      <c r="CE641" s="74"/>
      <c r="CF641" s="74"/>
      <c r="CG641" s="74"/>
      <c r="CH641" s="74"/>
      <c r="CI641" s="74"/>
      <c r="CJ641" s="74"/>
      <c r="CK641" s="74"/>
      <c r="CL641" s="74"/>
      <c r="CM641" s="74"/>
      <c r="CN641" s="74"/>
      <c r="CO641" s="74"/>
      <c r="CP641" s="74"/>
      <c r="CQ641" s="74"/>
      <c r="CR641" s="74"/>
      <c r="CS641" s="74"/>
      <c r="CT641" s="74"/>
      <c r="CU641" s="74"/>
      <c r="CV641" s="74"/>
      <c r="CW641" s="74"/>
      <c r="CX641" s="74"/>
      <c r="CY641" s="74"/>
      <c r="CZ641" s="74"/>
      <c r="DA641" s="74"/>
      <c r="DB641" s="74"/>
      <c r="DC641" s="74"/>
      <c r="DD641" s="74"/>
      <c r="DE641" s="74"/>
      <c r="DF641" s="74"/>
      <c r="DG641" s="74"/>
      <c r="DH641" s="74"/>
      <c r="DI641" s="74"/>
      <c r="DJ641" s="74"/>
      <c r="DK641" s="74"/>
      <c r="DL641" s="74"/>
      <c r="DM641" s="74"/>
      <c r="DN641" s="74"/>
      <c r="DO641" s="74"/>
      <c r="DP641" s="74"/>
      <c r="DQ641" s="74"/>
      <c r="DR641" s="74"/>
      <c r="DS641" s="74"/>
      <c r="DT641" s="74"/>
      <c r="DU641" s="74"/>
      <c r="DV641" s="74"/>
      <c r="DW641" s="74"/>
      <c r="DX641" s="74"/>
      <c r="DY641" s="74"/>
      <c r="DZ641" s="74"/>
      <c r="EA641" s="74"/>
      <c r="EB641" s="74"/>
      <c r="EC641" s="74"/>
      <c r="ED641" s="74"/>
      <c r="EE641" s="74"/>
      <c r="EF641" s="74"/>
      <c r="EG641" s="74"/>
      <c r="EH641" s="74"/>
      <c r="EI641" s="74"/>
      <c r="EJ641" s="74"/>
      <c r="EK641" s="74"/>
      <c r="EL641" s="74"/>
      <c r="EM641" s="74"/>
      <c r="EN641" s="74"/>
      <c r="EO641" s="74"/>
      <c r="EP641" s="74"/>
      <c r="EQ641" s="74"/>
      <c r="ER641" s="74"/>
      <c r="ES641" s="74"/>
      <c r="ET641" s="74"/>
      <c r="EU641" s="74"/>
      <c r="EV641" s="74"/>
      <c r="EW641" s="74"/>
      <c r="EX641" s="74"/>
      <c r="EY641" s="74"/>
      <c r="EZ641" s="74"/>
      <c r="FA641" s="74"/>
      <c r="FB641" s="74"/>
      <c r="FC641" s="74"/>
      <c r="FD641" s="74"/>
      <c r="FE641" s="74"/>
      <c r="FF641" s="74"/>
      <c r="FG641" s="74"/>
      <c r="FH641" s="74"/>
      <c r="FI641" s="74"/>
      <c r="FJ641" s="74"/>
      <c r="FK641" s="74"/>
      <c r="FL641" s="74"/>
      <c r="FM641" s="74"/>
      <c r="FN641" s="74"/>
      <c r="FO641" s="74"/>
      <c r="FP641" s="74"/>
      <c r="FQ641" s="74"/>
      <c r="FR641" s="74"/>
      <c r="FS641" s="74"/>
      <c r="FT641" s="74"/>
      <c r="FU641" s="74"/>
      <c r="FV641" s="74"/>
      <c r="FW641" s="74"/>
      <c r="FX641" s="74"/>
      <c r="FY641" s="74"/>
      <c r="FZ641" s="74"/>
      <c r="GA641" s="74"/>
      <c r="GB641" s="74"/>
      <c r="GC641" s="74"/>
      <c r="GD641" s="74"/>
      <c r="GE641" s="74"/>
      <c r="GF641" s="74"/>
      <c r="GG641" s="74"/>
      <c r="GH641" s="74"/>
      <c r="GI641" s="74"/>
      <c r="GJ641" s="74"/>
      <c r="GK641" s="74"/>
      <c r="GL641" s="74"/>
      <c r="GM641" s="74"/>
      <c r="GN641" s="74"/>
      <c r="GO641" s="74"/>
      <c r="GP641" s="74"/>
      <c r="GQ641" s="74"/>
      <c r="GR641" s="74"/>
      <c r="GS641" s="74"/>
      <c r="GT641" s="74"/>
      <c r="GU641" s="74"/>
      <c r="GV641" s="74"/>
      <c r="GW641" s="74"/>
      <c r="GX641" s="74"/>
      <c r="GY641" s="74"/>
      <c r="GZ641" s="74"/>
      <c r="HA641" s="74"/>
      <c r="HB641" s="74"/>
      <c r="HC641" s="74"/>
      <c r="HD641" s="74"/>
      <c r="HE641" s="74"/>
      <c r="HF641" s="74"/>
      <c r="HG641" s="74"/>
      <c r="HH641" s="74"/>
      <c r="HI641" s="74"/>
      <c r="HJ641" s="74"/>
      <c r="HK641" s="74"/>
      <c r="HL641" s="74"/>
      <c r="HM641" s="74"/>
      <c r="HN641" s="74"/>
      <c r="HO641" s="74"/>
      <c r="HP641" s="74"/>
    </row>
    <row r="642" spans="3:224" s="75" customFormat="1" ht="20.100000000000001" customHeight="1">
      <c r="C642" s="36">
        <v>15802001</v>
      </c>
      <c r="D642" s="71" t="s">
        <v>536</v>
      </c>
      <c r="E642" s="71">
        <v>11200003</v>
      </c>
      <c r="F642" s="71">
        <v>18011</v>
      </c>
      <c r="G642" s="71">
        <v>1</v>
      </c>
      <c r="H642" s="71">
        <v>60</v>
      </c>
      <c r="I642" s="72">
        <v>0.2</v>
      </c>
      <c r="J642" s="73">
        <v>35</v>
      </c>
      <c r="K642" s="71">
        <v>0</v>
      </c>
      <c r="L642" s="71">
        <v>0</v>
      </c>
      <c r="M642" s="71">
        <v>204</v>
      </c>
      <c r="N642" s="71">
        <v>429</v>
      </c>
      <c r="O642" s="71">
        <v>0</v>
      </c>
      <c r="P642" s="71">
        <v>0</v>
      </c>
      <c r="Q642" s="71">
        <v>0</v>
      </c>
      <c r="R642" s="71">
        <v>0</v>
      </c>
      <c r="S642" s="71">
        <v>294</v>
      </c>
      <c r="T642" s="71">
        <v>585</v>
      </c>
      <c r="U642" s="72">
        <v>0</v>
      </c>
      <c r="V642" s="71">
        <v>0</v>
      </c>
      <c r="W642" s="71">
        <v>0</v>
      </c>
      <c r="X642" s="71">
        <v>0</v>
      </c>
      <c r="Y642" s="72">
        <v>0</v>
      </c>
      <c r="Z642" s="72">
        <v>0</v>
      </c>
      <c r="AA642" s="72">
        <v>0</v>
      </c>
      <c r="AB642" s="72">
        <v>202303</v>
      </c>
      <c r="AC642" s="72">
        <v>200</v>
      </c>
      <c r="AD642" s="72">
        <v>1</v>
      </c>
      <c r="AE642" s="72"/>
      <c r="AF642" s="74"/>
      <c r="AG642" s="74"/>
      <c r="AH642" s="74"/>
      <c r="AI642" s="74"/>
      <c r="AJ642" s="74"/>
      <c r="AK642" s="74"/>
      <c r="AL642" s="74"/>
      <c r="AM642" s="74"/>
      <c r="AN642" s="74"/>
      <c r="AO642" s="74"/>
      <c r="AP642" s="74"/>
      <c r="AQ642" s="74"/>
      <c r="AR642" s="74"/>
      <c r="AS642" s="74"/>
      <c r="AT642" s="74"/>
      <c r="AU642" s="74"/>
      <c r="AV642" s="74"/>
      <c r="AW642" s="74"/>
      <c r="AX642" s="74"/>
      <c r="AY642" s="74"/>
      <c r="AZ642" s="74"/>
      <c r="BA642" s="74"/>
      <c r="BB642" s="74"/>
      <c r="BC642" s="74"/>
      <c r="BD642" s="74"/>
      <c r="BE642" s="74"/>
      <c r="BF642" s="74"/>
      <c r="BG642" s="74"/>
      <c r="BH642" s="74"/>
      <c r="BI642" s="74"/>
      <c r="BJ642" s="74"/>
      <c r="BK642" s="74"/>
      <c r="BL642" s="74"/>
      <c r="BM642" s="74"/>
      <c r="BN642" s="74"/>
      <c r="BO642" s="74"/>
      <c r="BP642" s="74"/>
      <c r="BQ642" s="74"/>
      <c r="BR642" s="74"/>
      <c r="BS642" s="74"/>
      <c r="BT642" s="74"/>
      <c r="BU642" s="74"/>
      <c r="BV642" s="74"/>
      <c r="BW642" s="74"/>
      <c r="BX642" s="74"/>
      <c r="BY642" s="74"/>
      <c r="BZ642" s="74"/>
      <c r="CA642" s="74"/>
      <c r="CB642" s="74"/>
      <c r="CC642" s="74"/>
      <c r="CD642" s="74"/>
      <c r="CE642" s="74"/>
      <c r="CF642" s="74"/>
      <c r="CG642" s="74"/>
      <c r="CH642" s="74"/>
      <c r="CI642" s="74"/>
      <c r="CJ642" s="74"/>
      <c r="CK642" s="74"/>
      <c r="CL642" s="74"/>
      <c r="CM642" s="74"/>
      <c r="CN642" s="74"/>
      <c r="CO642" s="74"/>
      <c r="CP642" s="74"/>
      <c r="CQ642" s="74"/>
      <c r="CR642" s="74"/>
      <c r="CS642" s="74"/>
      <c r="CT642" s="74"/>
      <c r="CU642" s="74"/>
      <c r="CV642" s="74"/>
      <c r="CW642" s="74"/>
      <c r="CX642" s="74"/>
      <c r="CY642" s="74"/>
      <c r="CZ642" s="74"/>
      <c r="DA642" s="74"/>
      <c r="DB642" s="74"/>
      <c r="DC642" s="74"/>
      <c r="DD642" s="74"/>
      <c r="DE642" s="74"/>
      <c r="DF642" s="74"/>
      <c r="DG642" s="74"/>
      <c r="DH642" s="74"/>
      <c r="DI642" s="74"/>
      <c r="DJ642" s="74"/>
      <c r="DK642" s="74"/>
      <c r="DL642" s="74"/>
      <c r="DM642" s="74"/>
      <c r="DN642" s="74"/>
      <c r="DO642" s="74"/>
      <c r="DP642" s="74"/>
      <c r="DQ642" s="74"/>
      <c r="DR642" s="74"/>
      <c r="DS642" s="74"/>
      <c r="DT642" s="74"/>
      <c r="DU642" s="74"/>
      <c r="DV642" s="74"/>
      <c r="DW642" s="74"/>
      <c r="DX642" s="74"/>
      <c r="DY642" s="74"/>
      <c r="DZ642" s="74"/>
      <c r="EA642" s="74"/>
      <c r="EB642" s="74"/>
      <c r="EC642" s="74"/>
      <c r="ED642" s="74"/>
      <c r="EE642" s="74"/>
      <c r="EF642" s="74"/>
      <c r="EG642" s="74"/>
      <c r="EH642" s="74"/>
      <c r="EI642" s="74"/>
      <c r="EJ642" s="74"/>
      <c r="EK642" s="74"/>
      <c r="EL642" s="74"/>
      <c r="EM642" s="74"/>
      <c r="EN642" s="74"/>
      <c r="EO642" s="74"/>
      <c r="EP642" s="74"/>
      <c r="EQ642" s="74"/>
      <c r="ER642" s="74"/>
      <c r="ES642" s="74"/>
      <c r="ET642" s="74"/>
      <c r="EU642" s="74"/>
      <c r="EV642" s="74"/>
      <c r="EW642" s="74"/>
      <c r="EX642" s="74"/>
      <c r="EY642" s="74"/>
      <c r="EZ642" s="74"/>
      <c r="FA642" s="74"/>
      <c r="FB642" s="74"/>
      <c r="FC642" s="74"/>
      <c r="FD642" s="74"/>
      <c r="FE642" s="74"/>
      <c r="FF642" s="74"/>
      <c r="FG642" s="74"/>
      <c r="FH642" s="74"/>
      <c r="FI642" s="74"/>
      <c r="FJ642" s="74"/>
      <c r="FK642" s="74"/>
      <c r="FL642" s="74"/>
      <c r="FM642" s="74"/>
      <c r="FN642" s="74"/>
      <c r="FO642" s="74"/>
      <c r="FP642" s="74"/>
      <c r="FQ642" s="74"/>
      <c r="FR642" s="74"/>
      <c r="FS642" s="74"/>
      <c r="FT642" s="74"/>
      <c r="FU642" s="74"/>
      <c r="FV642" s="74"/>
      <c r="FW642" s="74"/>
      <c r="FX642" s="74"/>
      <c r="FY642" s="74"/>
      <c r="FZ642" s="74"/>
      <c r="GA642" s="74"/>
      <c r="GB642" s="74"/>
      <c r="GC642" s="74"/>
      <c r="GD642" s="74"/>
      <c r="GE642" s="74"/>
      <c r="GF642" s="74"/>
      <c r="GG642" s="74"/>
      <c r="GH642" s="74"/>
      <c r="GI642" s="74"/>
      <c r="GJ642" s="74"/>
      <c r="GK642" s="74"/>
      <c r="GL642" s="74"/>
      <c r="GM642" s="74"/>
      <c r="GN642" s="74"/>
      <c r="GO642" s="74"/>
      <c r="GP642" s="74"/>
      <c r="GQ642" s="74"/>
      <c r="GR642" s="74"/>
      <c r="GS642" s="74"/>
      <c r="GT642" s="74"/>
      <c r="GU642" s="74"/>
      <c r="GV642" s="74"/>
      <c r="GW642" s="74"/>
      <c r="GX642" s="74"/>
      <c r="GY642" s="74"/>
      <c r="GZ642" s="74"/>
      <c r="HA642" s="74"/>
      <c r="HB642" s="74"/>
      <c r="HC642" s="74"/>
      <c r="HD642" s="74"/>
      <c r="HE642" s="74"/>
      <c r="HF642" s="74"/>
      <c r="HG642" s="74"/>
      <c r="HH642" s="74"/>
      <c r="HI642" s="74"/>
      <c r="HJ642" s="74"/>
      <c r="HK642" s="74"/>
      <c r="HL642" s="74"/>
      <c r="HM642" s="74"/>
      <c r="HN642" s="74"/>
      <c r="HO642" s="74"/>
      <c r="HP642" s="74"/>
    </row>
    <row r="643" spans="3:224" s="75" customFormat="1" ht="20.100000000000001" customHeight="1">
      <c r="C643" s="36">
        <v>15802002</v>
      </c>
      <c r="D643" s="71" t="s">
        <v>538</v>
      </c>
      <c r="E643" s="71">
        <v>11200003</v>
      </c>
      <c r="F643" s="71">
        <v>18021</v>
      </c>
      <c r="G643" s="71">
        <v>1</v>
      </c>
      <c r="H643" s="71">
        <v>60</v>
      </c>
      <c r="I643" s="72">
        <v>0.2</v>
      </c>
      <c r="J643" s="73">
        <v>35</v>
      </c>
      <c r="K643" s="71">
        <v>0</v>
      </c>
      <c r="L643" s="71">
        <v>0</v>
      </c>
      <c r="M643" s="71">
        <v>294</v>
      </c>
      <c r="N643" s="71">
        <v>564</v>
      </c>
      <c r="O643" s="71">
        <v>0</v>
      </c>
      <c r="P643" s="71">
        <v>0</v>
      </c>
      <c r="Q643" s="71">
        <v>0</v>
      </c>
      <c r="R643" s="71">
        <v>0</v>
      </c>
      <c r="S643" s="71">
        <v>225</v>
      </c>
      <c r="T643" s="71">
        <v>429</v>
      </c>
      <c r="U643" s="72">
        <v>0</v>
      </c>
      <c r="V643" s="71">
        <v>0</v>
      </c>
      <c r="W643" s="71">
        <v>0</v>
      </c>
      <c r="X643" s="71">
        <v>0</v>
      </c>
      <c r="Y643" s="72">
        <v>0</v>
      </c>
      <c r="Z643" s="72">
        <v>0</v>
      </c>
      <c r="AA643" s="72">
        <v>0</v>
      </c>
      <c r="AB643" s="72">
        <v>202303</v>
      </c>
      <c r="AC643" s="72">
        <v>200</v>
      </c>
      <c r="AD643" s="72">
        <v>1</v>
      </c>
      <c r="AE643" s="72"/>
      <c r="AF643" s="74"/>
      <c r="AG643" s="74"/>
      <c r="AH643" s="74"/>
      <c r="AI643" s="74"/>
      <c r="AJ643" s="74"/>
      <c r="AK643" s="74"/>
      <c r="AL643" s="74"/>
      <c r="AM643" s="74"/>
      <c r="AN643" s="74"/>
      <c r="AO643" s="74"/>
      <c r="AP643" s="74"/>
      <c r="AQ643" s="74"/>
      <c r="AR643" s="74"/>
      <c r="AS643" s="74"/>
      <c r="AT643" s="74"/>
      <c r="AU643" s="74"/>
      <c r="AV643" s="74"/>
      <c r="AW643" s="74"/>
      <c r="AX643" s="74"/>
      <c r="AY643" s="74"/>
      <c r="AZ643" s="74"/>
      <c r="BA643" s="74"/>
      <c r="BB643" s="74"/>
      <c r="BC643" s="74"/>
      <c r="BD643" s="74"/>
      <c r="BE643" s="74"/>
      <c r="BF643" s="74"/>
      <c r="BG643" s="74"/>
      <c r="BH643" s="74"/>
      <c r="BI643" s="74"/>
      <c r="BJ643" s="74"/>
      <c r="BK643" s="74"/>
      <c r="BL643" s="74"/>
      <c r="BM643" s="74"/>
      <c r="BN643" s="74"/>
      <c r="BO643" s="74"/>
      <c r="BP643" s="74"/>
      <c r="BQ643" s="74"/>
      <c r="BR643" s="74"/>
      <c r="BS643" s="74"/>
      <c r="BT643" s="74"/>
      <c r="BU643" s="74"/>
      <c r="BV643" s="74"/>
      <c r="BW643" s="74"/>
      <c r="BX643" s="74"/>
      <c r="BY643" s="74"/>
      <c r="BZ643" s="74"/>
      <c r="CA643" s="74"/>
      <c r="CB643" s="74"/>
      <c r="CC643" s="74"/>
      <c r="CD643" s="74"/>
      <c r="CE643" s="74"/>
      <c r="CF643" s="74"/>
      <c r="CG643" s="74"/>
      <c r="CH643" s="74"/>
      <c r="CI643" s="74"/>
      <c r="CJ643" s="74"/>
      <c r="CK643" s="74"/>
      <c r="CL643" s="74"/>
      <c r="CM643" s="74"/>
      <c r="CN643" s="74"/>
      <c r="CO643" s="74"/>
      <c r="CP643" s="74"/>
      <c r="CQ643" s="74"/>
      <c r="CR643" s="74"/>
      <c r="CS643" s="74"/>
      <c r="CT643" s="74"/>
      <c r="CU643" s="74"/>
      <c r="CV643" s="74"/>
      <c r="CW643" s="74"/>
      <c r="CX643" s="74"/>
      <c r="CY643" s="74"/>
      <c r="CZ643" s="74"/>
      <c r="DA643" s="74"/>
      <c r="DB643" s="74"/>
      <c r="DC643" s="74"/>
      <c r="DD643" s="74"/>
      <c r="DE643" s="74"/>
      <c r="DF643" s="74"/>
      <c r="DG643" s="74"/>
      <c r="DH643" s="74"/>
      <c r="DI643" s="74"/>
      <c r="DJ643" s="74"/>
      <c r="DK643" s="74"/>
      <c r="DL643" s="74"/>
      <c r="DM643" s="74"/>
      <c r="DN643" s="74"/>
      <c r="DO643" s="74"/>
      <c r="DP643" s="74"/>
      <c r="DQ643" s="74"/>
      <c r="DR643" s="74"/>
      <c r="DS643" s="74"/>
      <c r="DT643" s="74"/>
      <c r="DU643" s="74"/>
      <c r="DV643" s="74"/>
      <c r="DW643" s="74"/>
      <c r="DX643" s="74"/>
      <c r="DY643" s="74"/>
      <c r="DZ643" s="74"/>
      <c r="EA643" s="74"/>
      <c r="EB643" s="74"/>
      <c r="EC643" s="74"/>
      <c r="ED643" s="74"/>
      <c r="EE643" s="74"/>
      <c r="EF643" s="74"/>
      <c r="EG643" s="74"/>
      <c r="EH643" s="74"/>
      <c r="EI643" s="74"/>
      <c r="EJ643" s="74"/>
      <c r="EK643" s="74"/>
      <c r="EL643" s="74"/>
      <c r="EM643" s="74"/>
      <c r="EN643" s="74"/>
      <c r="EO643" s="74"/>
      <c r="EP643" s="74"/>
      <c r="EQ643" s="74"/>
      <c r="ER643" s="74"/>
      <c r="ES643" s="74"/>
      <c r="ET643" s="74"/>
      <c r="EU643" s="74"/>
      <c r="EV643" s="74"/>
      <c r="EW643" s="74"/>
      <c r="EX643" s="74"/>
      <c r="EY643" s="74"/>
      <c r="EZ643" s="74"/>
      <c r="FA643" s="74"/>
      <c r="FB643" s="74"/>
      <c r="FC643" s="74"/>
      <c r="FD643" s="74"/>
      <c r="FE643" s="74"/>
      <c r="FF643" s="74"/>
      <c r="FG643" s="74"/>
      <c r="FH643" s="74"/>
      <c r="FI643" s="74"/>
      <c r="FJ643" s="74"/>
      <c r="FK643" s="74"/>
      <c r="FL643" s="74"/>
      <c r="FM643" s="74"/>
      <c r="FN643" s="74"/>
      <c r="FO643" s="74"/>
      <c r="FP643" s="74"/>
      <c r="FQ643" s="74"/>
      <c r="FR643" s="74"/>
      <c r="FS643" s="74"/>
      <c r="FT643" s="74"/>
      <c r="FU643" s="74"/>
      <c r="FV643" s="74"/>
      <c r="FW643" s="74"/>
      <c r="FX643" s="74"/>
      <c r="FY643" s="74"/>
      <c r="FZ643" s="74"/>
      <c r="GA643" s="74"/>
      <c r="GB643" s="74"/>
      <c r="GC643" s="74"/>
      <c r="GD643" s="74"/>
      <c r="GE643" s="74"/>
      <c r="GF643" s="74"/>
      <c r="GG643" s="74"/>
      <c r="GH643" s="74"/>
      <c r="GI643" s="74"/>
      <c r="GJ643" s="74"/>
      <c r="GK643" s="74"/>
      <c r="GL643" s="74"/>
      <c r="GM643" s="74"/>
      <c r="GN643" s="74"/>
      <c r="GO643" s="74"/>
      <c r="GP643" s="74"/>
      <c r="GQ643" s="74"/>
      <c r="GR643" s="74"/>
      <c r="GS643" s="74"/>
      <c r="GT643" s="74"/>
      <c r="GU643" s="74"/>
      <c r="GV643" s="74"/>
      <c r="GW643" s="74"/>
      <c r="GX643" s="74"/>
      <c r="GY643" s="74"/>
      <c r="GZ643" s="74"/>
      <c r="HA643" s="74"/>
      <c r="HB643" s="74"/>
      <c r="HC643" s="74"/>
      <c r="HD643" s="74"/>
      <c r="HE643" s="74"/>
      <c r="HF643" s="74"/>
      <c r="HG643" s="74"/>
      <c r="HH643" s="74"/>
      <c r="HI643" s="74"/>
      <c r="HJ643" s="74"/>
      <c r="HK643" s="74"/>
      <c r="HL643" s="74"/>
      <c r="HM643" s="74"/>
      <c r="HN643" s="74"/>
      <c r="HO643" s="74"/>
      <c r="HP643" s="74"/>
    </row>
    <row r="644" spans="3:224" s="75" customFormat="1" ht="20.100000000000001" customHeight="1">
      <c r="C644" s="36">
        <v>15802003</v>
      </c>
      <c r="D644" s="71" t="s">
        <v>540</v>
      </c>
      <c r="E644" s="71">
        <v>11200003</v>
      </c>
      <c r="F644" s="71">
        <v>18031</v>
      </c>
      <c r="G644" s="71">
        <v>1</v>
      </c>
      <c r="H644" s="71">
        <v>60</v>
      </c>
      <c r="I644" s="72">
        <v>0.2</v>
      </c>
      <c r="J644" s="73">
        <v>35</v>
      </c>
      <c r="K644" s="71">
        <v>0</v>
      </c>
      <c r="L644" s="71">
        <v>0</v>
      </c>
      <c r="M644" s="71">
        <v>159</v>
      </c>
      <c r="N644" s="71">
        <v>315</v>
      </c>
      <c r="O644" s="71">
        <v>0</v>
      </c>
      <c r="P644" s="71">
        <v>0</v>
      </c>
      <c r="Q644" s="71">
        <v>0</v>
      </c>
      <c r="R644" s="71">
        <v>0</v>
      </c>
      <c r="S644" s="71">
        <v>360</v>
      </c>
      <c r="T644" s="71">
        <v>720</v>
      </c>
      <c r="U644" s="72">
        <v>0</v>
      </c>
      <c r="V644" s="71">
        <v>0</v>
      </c>
      <c r="W644" s="71">
        <v>0</v>
      </c>
      <c r="X644" s="71">
        <v>0</v>
      </c>
      <c r="Y644" s="72">
        <v>0</v>
      </c>
      <c r="Z644" s="72">
        <v>0</v>
      </c>
      <c r="AA644" s="72">
        <v>0</v>
      </c>
      <c r="AB644" s="72">
        <v>202303</v>
      </c>
      <c r="AC644" s="72">
        <v>200</v>
      </c>
      <c r="AD644" s="72">
        <v>1</v>
      </c>
      <c r="AE644" s="72"/>
      <c r="AF644" s="74"/>
      <c r="AG644" s="74"/>
      <c r="AH644" s="74"/>
      <c r="AI644" s="74"/>
      <c r="AJ644" s="74"/>
      <c r="AK644" s="74"/>
      <c r="AL644" s="74"/>
      <c r="AM644" s="74"/>
      <c r="AN644" s="74"/>
      <c r="AO644" s="74"/>
      <c r="AP644" s="74"/>
      <c r="AQ644" s="74"/>
      <c r="AR644" s="74"/>
      <c r="AS644" s="74"/>
      <c r="AT644" s="74"/>
      <c r="AU644" s="74"/>
      <c r="AV644" s="74"/>
      <c r="AW644" s="74"/>
      <c r="AX644" s="74"/>
      <c r="AY644" s="74"/>
      <c r="AZ644" s="74"/>
      <c r="BA644" s="74"/>
      <c r="BB644" s="74"/>
      <c r="BC644" s="74"/>
      <c r="BD644" s="74"/>
      <c r="BE644" s="74"/>
      <c r="BF644" s="74"/>
      <c r="BG644" s="74"/>
      <c r="BH644" s="74"/>
      <c r="BI644" s="74"/>
      <c r="BJ644" s="74"/>
      <c r="BK644" s="74"/>
      <c r="BL644" s="74"/>
      <c r="BM644" s="74"/>
      <c r="BN644" s="74"/>
      <c r="BO644" s="74"/>
      <c r="BP644" s="74"/>
      <c r="BQ644" s="74"/>
      <c r="BR644" s="74"/>
      <c r="BS644" s="74"/>
      <c r="BT644" s="74"/>
      <c r="BU644" s="74"/>
      <c r="BV644" s="74"/>
      <c r="BW644" s="74"/>
      <c r="BX644" s="74"/>
      <c r="BY644" s="74"/>
      <c r="BZ644" s="74"/>
      <c r="CA644" s="74"/>
      <c r="CB644" s="74"/>
      <c r="CC644" s="74"/>
      <c r="CD644" s="74"/>
      <c r="CE644" s="74"/>
      <c r="CF644" s="74"/>
      <c r="CG644" s="74"/>
      <c r="CH644" s="74"/>
      <c r="CI644" s="74"/>
      <c r="CJ644" s="74"/>
      <c r="CK644" s="74"/>
      <c r="CL644" s="74"/>
      <c r="CM644" s="74"/>
      <c r="CN644" s="74"/>
      <c r="CO644" s="74"/>
      <c r="CP644" s="74"/>
      <c r="CQ644" s="74"/>
      <c r="CR644" s="74"/>
      <c r="CS644" s="74"/>
      <c r="CT644" s="74"/>
      <c r="CU644" s="74"/>
      <c r="CV644" s="74"/>
      <c r="CW644" s="74"/>
      <c r="CX644" s="74"/>
      <c r="CY644" s="74"/>
      <c r="CZ644" s="74"/>
      <c r="DA644" s="74"/>
      <c r="DB644" s="74"/>
      <c r="DC644" s="74"/>
      <c r="DD644" s="74"/>
      <c r="DE644" s="74"/>
      <c r="DF644" s="74"/>
      <c r="DG644" s="74"/>
      <c r="DH644" s="74"/>
      <c r="DI644" s="74"/>
      <c r="DJ644" s="74"/>
      <c r="DK644" s="74"/>
      <c r="DL644" s="74"/>
      <c r="DM644" s="74"/>
      <c r="DN644" s="74"/>
      <c r="DO644" s="74"/>
      <c r="DP644" s="74"/>
      <c r="DQ644" s="74"/>
      <c r="DR644" s="74"/>
      <c r="DS644" s="74"/>
      <c r="DT644" s="74"/>
      <c r="DU644" s="74"/>
      <c r="DV644" s="74"/>
      <c r="DW644" s="74"/>
      <c r="DX644" s="74"/>
      <c r="DY644" s="74"/>
      <c r="DZ644" s="74"/>
      <c r="EA644" s="74"/>
      <c r="EB644" s="74"/>
      <c r="EC644" s="74"/>
      <c r="ED644" s="74"/>
      <c r="EE644" s="74"/>
      <c r="EF644" s="74"/>
      <c r="EG644" s="74"/>
      <c r="EH644" s="74"/>
      <c r="EI644" s="74"/>
      <c r="EJ644" s="74"/>
      <c r="EK644" s="74"/>
      <c r="EL644" s="74"/>
      <c r="EM644" s="74"/>
      <c r="EN644" s="74"/>
      <c r="EO644" s="74"/>
      <c r="EP644" s="74"/>
      <c r="EQ644" s="74"/>
      <c r="ER644" s="74"/>
      <c r="ES644" s="74"/>
      <c r="ET644" s="74"/>
      <c r="EU644" s="74"/>
      <c r="EV644" s="74"/>
      <c r="EW644" s="74"/>
      <c r="EX644" s="74"/>
      <c r="EY644" s="74"/>
      <c r="EZ644" s="74"/>
      <c r="FA644" s="74"/>
      <c r="FB644" s="74"/>
      <c r="FC644" s="74"/>
      <c r="FD644" s="74"/>
      <c r="FE644" s="74"/>
      <c r="FF644" s="74"/>
      <c r="FG644" s="74"/>
      <c r="FH644" s="74"/>
      <c r="FI644" s="74"/>
      <c r="FJ644" s="74"/>
      <c r="FK644" s="74"/>
      <c r="FL644" s="74"/>
      <c r="FM644" s="74"/>
      <c r="FN644" s="74"/>
      <c r="FO644" s="74"/>
      <c r="FP644" s="74"/>
      <c r="FQ644" s="74"/>
      <c r="FR644" s="74"/>
      <c r="FS644" s="74"/>
      <c r="FT644" s="74"/>
      <c r="FU644" s="74"/>
      <c r="FV644" s="74"/>
      <c r="FW644" s="74"/>
      <c r="FX644" s="74"/>
      <c r="FY644" s="74"/>
      <c r="FZ644" s="74"/>
      <c r="GA644" s="74"/>
      <c r="GB644" s="74"/>
      <c r="GC644" s="74"/>
      <c r="GD644" s="74"/>
      <c r="GE644" s="74"/>
      <c r="GF644" s="74"/>
      <c r="GG644" s="74"/>
      <c r="GH644" s="74"/>
      <c r="GI644" s="74"/>
      <c r="GJ644" s="74"/>
      <c r="GK644" s="74"/>
      <c r="GL644" s="74"/>
      <c r="GM644" s="74"/>
      <c r="GN644" s="74"/>
      <c r="GO644" s="74"/>
      <c r="GP644" s="74"/>
      <c r="GQ644" s="74"/>
      <c r="GR644" s="74"/>
      <c r="GS644" s="74"/>
      <c r="GT644" s="74"/>
      <c r="GU644" s="74"/>
      <c r="GV644" s="74"/>
      <c r="GW644" s="74"/>
      <c r="GX644" s="74"/>
      <c r="GY644" s="74"/>
      <c r="GZ644" s="74"/>
      <c r="HA644" s="74"/>
      <c r="HB644" s="74"/>
      <c r="HC644" s="74"/>
      <c r="HD644" s="74"/>
      <c r="HE644" s="74"/>
      <c r="HF644" s="74"/>
      <c r="HG644" s="74"/>
      <c r="HH644" s="74"/>
      <c r="HI644" s="74"/>
      <c r="HJ644" s="74"/>
      <c r="HK644" s="74"/>
      <c r="HL644" s="74"/>
      <c r="HM644" s="74"/>
      <c r="HN644" s="74"/>
      <c r="HO644" s="74"/>
      <c r="HP644" s="74"/>
    </row>
    <row r="645" spans="3:224" s="75" customFormat="1" ht="20.100000000000001" customHeight="1">
      <c r="C645" s="36">
        <v>15803001</v>
      </c>
      <c r="D645" s="71" t="s">
        <v>542</v>
      </c>
      <c r="E645" s="71">
        <v>11200003</v>
      </c>
      <c r="F645" s="71">
        <v>18011</v>
      </c>
      <c r="G645" s="71">
        <v>1</v>
      </c>
      <c r="H645" s="71">
        <v>60</v>
      </c>
      <c r="I645" s="72">
        <v>0.2</v>
      </c>
      <c r="J645" s="73">
        <v>35</v>
      </c>
      <c r="K645" s="71">
        <v>0</v>
      </c>
      <c r="L645" s="71">
        <v>6795</v>
      </c>
      <c r="M645" s="71">
        <v>114</v>
      </c>
      <c r="N645" s="71">
        <v>225</v>
      </c>
      <c r="O645" s="71">
        <v>0</v>
      </c>
      <c r="P645" s="71">
        <v>0</v>
      </c>
      <c r="Q645" s="71">
        <v>204</v>
      </c>
      <c r="R645" s="71">
        <v>384</v>
      </c>
      <c r="S645" s="71">
        <v>0</v>
      </c>
      <c r="T645" s="71">
        <v>0</v>
      </c>
      <c r="U645" s="72">
        <v>0</v>
      </c>
      <c r="V645" s="71">
        <v>0</v>
      </c>
      <c r="W645" s="71">
        <v>0</v>
      </c>
      <c r="X645" s="71">
        <v>0</v>
      </c>
      <c r="Y645" s="72">
        <v>0</v>
      </c>
      <c r="Z645" s="72">
        <v>0</v>
      </c>
      <c r="AA645" s="72">
        <v>0</v>
      </c>
      <c r="AB645" s="72">
        <v>200403</v>
      </c>
      <c r="AC645" s="72">
        <v>200</v>
      </c>
      <c r="AD645" s="72">
        <v>1</v>
      </c>
      <c r="AE645" s="72"/>
      <c r="AF645" s="74"/>
      <c r="AG645" s="74"/>
      <c r="AH645" s="74"/>
      <c r="AI645" s="74"/>
      <c r="AJ645" s="74"/>
      <c r="AK645" s="74"/>
      <c r="AL645" s="74"/>
      <c r="AM645" s="74"/>
      <c r="AN645" s="74"/>
      <c r="AO645" s="74"/>
      <c r="AP645" s="74"/>
      <c r="AQ645" s="74"/>
      <c r="AR645" s="74"/>
      <c r="AS645" s="74"/>
      <c r="AT645" s="74"/>
      <c r="AU645" s="74"/>
      <c r="AV645" s="74"/>
      <c r="AW645" s="74"/>
      <c r="AX645" s="74"/>
      <c r="AY645" s="74"/>
      <c r="AZ645" s="74"/>
      <c r="BA645" s="74"/>
      <c r="BB645" s="74"/>
      <c r="BC645" s="74"/>
      <c r="BD645" s="74"/>
      <c r="BE645" s="74"/>
      <c r="BF645" s="74"/>
      <c r="BG645" s="74"/>
      <c r="BH645" s="74"/>
      <c r="BI645" s="74"/>
      <c r="BJ645" s="74"/>
      <c r="BK645" s="74"/>
      <c r="BL645" s="74"/>
      <c r="BM645" s="74"/>
      <c r="BN645" s="74"/>
      <c r="BO645" s="74"/>
      <c r="BP645" s="74"/>
      <c r="BQ645" s="74"/>
      <c r="BR645" s="74"/>
      <c r="BS645" s="74"/>
      <c r="BT645" s="74"/>
      <c r="BU645" s="74"/>
      <c r="BV645" s="74"/>
      <c r="BW645" s="74"/>
      <c r="BX645" s="74"/>
      <c r="BY645" s="74"/>
      <c r="BZ645" s="74"/>
      <c r="CA645" s="74"/>
      <c r="CB645" s="74"/>
      <c r="CC645" s="74"/>
      <c r="CD645" s="74"/>
      <c r="CE645" s="74"/>
      <c r="CF645" s="74"/>
      <c r="CG645" s="74"/>
      <c r="CH645" s="74"/>
      <c r="CI645" s="74"/>
      <c r="CJ645" s="74"/>
      <c r="CK645" s="74"/>
      <c r="CL645" s="74"/>
      <c r="CM645" s="74"/>
      <c r="CN645" s="74"/>
      <c r="CO645" s="74"/>
      <c r="CP645" s="74"/>
      <c r="CQ645" s="74"/>
      <c r="CR645" s="74"/>
      <c r="CS645" s="74"/>
      <c r="CT645" s="74"/>
      <c r="CU645" s="74"/>
      <c r="CV645" s="74"/>
      <c r="CW645" s="74"/>
      <c r="CX645" s="74"/>
      <c r="CY645" s="74"/>
      <c r="CZ645" s="74"/>
      <c r="DA645" s="74"/>
      <c r="DB645" s="74"/>
      <c r="DC645" s="74"/>
      <c r="DD645" s="74"/>
      <c r="DE645" s="74"/>
      <c r="DF645" s="74"/>
      <c r="DG645" s="74"/>
      <c r="DH645" s="74"/>
      <c r="DI645" s="74"/>
      <c r="DJ645" s="74"/>
      <c r="DK645" s="74"/>
      <c r="DL645" s="74"/>
      <c r="DM645" s="74"/>
      <c r="DN645" s="74"/>
      <c r="DO645" s="74"/>
      <c r="DP645" s="74"/>
      <c r="DQ645" s="74"/>
      <c r="DR645" s="74"/>
      <c r="DS645" s="74"/>
      <c r="DT645" s="74"/>
      <c r="DU645" s="74"/>
      <c r="DV645" s="74"/>
      <c r="DW645" s="74"/>
      <c r="DX645" s="74"/>
      <c r="DY645" s="74"/>
      <c r="DZ645" s="74"/>
      <c r="EA645" s="74"/>
      <c r="EB645" s="74"/>
      <c r="EC645" s="74"/>
      <c r="ED645" s="74"/>
      <c r="EE645" s="74"/>
      <c r="EF645" s="74"/>
      <c r="EG645" s="74"/>
      <c r="EH645" s="74"/>
      <c r="EI645" s="74"/>
      <c r="EJ645" s="74"/>
      <c r="EK645" s="74"/>
      <c r="EL645" s="74"/>
      <c r="EM645" s="74"/>
      <c r="EN645" s="74"/>
      <c r="EO645" s="74"/>
      <c r="EP645" s="74"/>
      <c r="EQ645" s="74"/>
      <c r="ER645" s="74"/>
      <c r="ES645" s="74"/>
      <c r="ET645" s="74"/>
      <c r="EU645" s="74"/>
      <c r="EV645" s="74"/>
      <c r="EW645" s="74"/>
      <c r="EX645" s="74"/>
      <c r="EY645" s="74"/>
      <c r="EZ645" s="74"/>
      <c r="FA645" s="74"/>
      <c r="FB645" s="74"/>
      <c r="FC645" s="74"/>
      <c r="FD645" s="74"/>
      <c r="FE645" s="74"/>
      <c r="FF645" s="74"/>
      <c r="FG645" s="74"/>
      <c r="FH645" s="74"/>
      <c r="FI645" s="74"/>
      <c r="FJ645" s="74"/>
      <c r="FK645" s="74"/>
      <c r="FL645" s="74"/>
      <c r="FM645" s="74"/>
      <c r="FN645" s="74"/>
      <c r="FO645" s="74"/>
      <c r="FP645" s="74"/>
      <c r="FQ645" s="74"/>
      <c r="FR645" s="74"/>
      <c r="FS645" s="74"/>
      <c r="FT645" s="74"/>
      <c r="FU645" s="74"/>
      <c r="FV645" s="74"/>
      <c r="FW645" s="74"/>
      <c r="FX645" s="74"/>
      <c r="FY645" s="74"/>
      <c r="FZ645" s="74"/>
      <c r="GA645" s="74"/>
      <c r="GB645" s="74"/>
      <c r="GC645" s="74"/>
      <c r="GD645" s="74"/>
      <c r="GE645" s="74"/>
      <c r="GF645" s="74"/>
      <c r="GG645" s="74"/>
      <c r="GH645" s="74"/>
      <c r="GI645" s="74"/>
      <c r="GJ645" s="74"/>
      <c r="GK645" s="74"/>
      <c r="GL645" s="74"/>
      <c r="GM645" s="74"/>
      <c r="GN645" s="74"/>
      <c r="GO645" s="74"/>
      <c r="GP645" s="74"/>
      <c r="GQ645" s="74"/>
      <c r="GR645" s="74"/>
      <c r="GS645" s="74"/>
      <c r="GT645" s="74"/>
      <c r="GU645" s="74"/>
      <c r="GV645" s="74"/>
      <c r="GW645" s="74"/>
      <c r="GX645" s="74"/>
      <c r="GY645" s="74"/>
      <c r="GZ645" s="74"/>
      <c r="HA645" s="74"/>
      <c r="HB645" s="74"/>
      <c r="HC645" s="74"/>
      <c r="HD645" s="74"/>
      <c r="HE645" s="74"/>
      <c r="HF645" s="74"/>
      <c r="HG645" s="74"/>
      <c r="HH645" s="74"/>
      <c r="HI645" s="74"/>
      <c r="HJ645" s="74"/>
      <c r="HK645" s="74"/>
      <c r="HL645" s="74"/>
      <c r="HM645" s="74"/>
      <c r="HN645" s="74"/>
      <c r="HO645" s="74"/>
      <c r="HP645" s="74"/>
    </row>
    <row r="646" spans="3:224" s="75" customFormat="1" ht="20.100000000000001" customHeight="1">
      <c r="C646" s="36">
        <v>15803002</v>
      </c>
      <c r="D646" s="71" t="s">
        <v>544</v>
      </c>
      <c r="E646" s="71">
        <v>11200003</v>
      </c>
      <c r="F646" s="71">
        <v>18021</v>
      </c>
      <c r="G646" s="71">
        <v>1</v>
      </c>
      <c r="H646" s="71">
        <v>60</v>
      </c>
      <c r="I646" s="72">
        <v>0.2</v>
      </c>
      <c r="J646" s="73">
        <v>35</v>
      </c>
      <c r="K646" s="71">
        <v>0</v>
      </c>
      <c r="L646" s="71">
        <v>3405</v>
      </c>
      <c r="M646" s="71">
        <v>159</v>
      </c>
      <c r="N646" s="71">
        <v>315</v>
      </c>
      <c r="O646" s="71">
        <v>0</v>
      </c>
      <c r="P646" s="71">
        <v>0</v>
      </c>
      <c r="Q646" s="71">
        <v>135</v>
      </c>
      <c r="R646" s="71">
        <v>294</v>
      </c>
      <c r="S646" s="71">
        <v>0</v>
      </c>
      <c r="T646" s="71">
        <v>0</v>
      </c>
      <c r="U646" s="72">
        <v>0</v>
      </c>
      <c r="V646" s="71">
        <v>0</v>
      </c>
      <c r="W646" s="71">
        <v>0</v>
      </c>
      <c r="X646" s="71">
        <v>0</v>
      </c>
      <c r="Y646" s="72">
        <v>0</v>
      </c>
      <c r="Z646" s="72">
        <v>0</v>
      </c>
      <c r="AA646" s="72">
        <v>0</v>
      </c>
      <c r="AB646" s="72">
        <v>200403</v>
      </c>
      <c r="AC646" s="72">
        <v>200</v>
      </c>
      <c r="AD646" s="72">
        <v>1</v>
      </c>
      <c r="AE646" s="72"/>
      <c r="AF646" s="74"/>
      <c r="AG646" s="74"/>
      <c r="AH646" s="74"/>
      <c r="AI646" s="74"/>
      <c r="AJ646" s="74"/>
      <c r="AK646" s="74"/>
      <c r="AL646" s="74"/>
      <c r="AM646" s="74"/>
      <c r="AN646" s="74"/>
      <c r="AO646" s="74"/>
      <c r="AP646" s="74"/>
      <c r="AQ646" s="74"/>
      <c r="AR646" s="74"/>
      <c r="AS646" s="74"/>
      <c r="AT646" s="74"/>
      <c r="AU646" s="74"/>
      <c r="AV646" s="74"/>
      <c r="AW646" s="74"/>
      <c r="AX646" s="74"/>
      <c r="AY646" s="74"/>
      <c r="AZ646" s="74"/>
      <c r="BA646" s="74"/>
      <c r="BB646" s="74"/>
      <c r="BC646" s="74"/>
      <c r="BD646" s="74"/>
      <c r="BE646" s="74"/>
      <c r="BF646" s="74"/>
      <c r="BG646" s="74"/>
      <c r="BH646" s="74"/>
      <c r="BI646" s="74"/>
      <c r="BJ646" s="74"/>
      <c r="BK646" s="74"/>
      <c r="BL646" s="74"/>
      <c r="BM646" s="74"/>
      <c r="BN646" s="74"/>
      <c r="BO646" s="74"/>
      <c r="BP646" s="74"/>
      <c r="BQ646" s="74"/>
      <c r="BR646" s="74"/>
      <c r="BS646" s="74"/>
      <c r="BT646" s="74"/>
      <c r="BU646" s="74"/>
      <c r="BV646" s="74"/>
      <c r="BW646" s="74"/>
      <c r="BX646" s="74"/>
      <c r="BY646" s="74"/>
      <c r="BZ646" s="74"/>
      <c r="CA646" s="74"/>
      <c r="CB646" s="74"/>
      <c r="CC646" s="74"/>
      <c r="CD646" s="74"/>
      <c r="CE646" s="74"/>
      <c r="CF646" s="74"/>
      <c r="CG646" s="74"/>
      <c r="CH646" s="74"/>
      <c r="CI646" s="74"/>
      <c r="CJ646" s="74"/>
      <c r="CK646" s="74"/>
      <c r="CL646" s="74"/>
      <c r="CM646" s="74"/>
      <c r="CN646" s="74"/>
      <c r="CO646" s="74"/>
      <c r="CP646" s="74"/>
      <c r="CQ646" s="74"/>
      <c r="CR646" s="74"/>
      <c r="CS646" s="74"/>
      <c r="CT646" s="74"/>
      <c r="CU646" s="74"/>
      <c r="CV646" s="74"/>
      <c r="CW646" s="74"/>
      <c r="CX646" s="74"/>
      <c r="CY646" s="74"/>
      <c r="CZ646" s="74"/>
      <c r="DA646" s="74"/>
      <c r="DB646" s="74"/>
      <c r="DC646" s="74"/>
      <c r="DD646" s="74"/>
      <c r="DE646" s="74"/>
      <c r="DF646" s="74"/>
      <c r="DG646" s="74"/>
      <c r="DH646" s="74"/>
      <c r="DI646" s="74"/>
      <c r="DJ646" s="74"/>
      <c r="DK646" s="74"/>
      <c r="DL646" s="74"/>
      <c r="DM646" s="74"/>
      <c r="DN646" s="74"/>
      <c r="DO646" s="74"/>
      <c r="DP646" s="74"/>
      <c r="DQ646" s="74"/>
      <c r="DR646" s="74"/>
      <c r="DS646" s="74"/>
      <c r="DT646" s="74"/>
      <c r="DU646" s="74"/>
      <c r="DV646" s="74"/>
      <c r="DW646" s="74"/>
      <c r="DX646" s="74"/>
      <c r="DY646" s="74"/>
      <c r="DZ646" s="74"/>
      <c r="EA646" s="74"/>
      <c r="EB646" s="74"/>
      <c r="EC646" s="74"/>
      <c r="ED646" s="74"/>
      <c r="EE646" s="74"/>
      <c r="EF646" s="74"/>
      <c r="EG646" s="74"/>
      <c r="EH646" s="74"/>
      <c r="EI646" s="74"/>
      <c r="EJ646" s="74"/>
      <c r="EK646" s="74"/>
      <c r="EL646" s="74"/>
      <c r="EM646" s="74"/>
      <c r="EN646" s="74"/>
      <c r="EO646" s="74"/>
      <c r="EP646" s="74"/>
      <c r="EQ646" s="74"/>
      <c r="ER646" s="74"/>
      <c r="ES646" s="74"/>
      <c r="ET646" s="74"/>
      <c r="EU646" s="74"/>
      <c r="EV646" s="74"/>
      <c r="EW646" s="74"/>
      <c r="EX646" s="74"/>
      <c r="EY646" s="74"/>
      <c r="EZ646" s="74"/>
      <c r="FA646" s="74"/>
      <c r="FB646" s="74"/>
      <c r="FC646" s="74"/>
      <c r="FD646" s="74"/>
      <c r="FE646" s="74"/>
      <c r="FF646" s="74"/>
      <c r="FG646" s="74"/>
      <c r="FH646" s="74"/>
      <c r="FI646" s="74"/>
      <c r="FJ646" s="74"/>
      <c r="FK646" s="74"/>
      <c r="FL646" s="74"/>
      <c r="FM646" s="74"/>
      <c r="FN646" s="74"/>
      <c r="FO646" s="74"/>
      <c r="FP646" s="74"/>
      <c r="FQ646" s="74"/>
      <c r="FR646" s="74"/>
      <c r="FS646" s="74"/>
      <c r="FT646" s="74"/>
      <c r="FU646" s="74"/>
      <c r="FV646" s="74"/>
      <c r="FW646" s="74"/>
      <c r="FX646" s="74"/>
      <c r="FY646" s="74"/>
      <c r="FZ646" s="74"/>
      <c r="GA646" s="74"/>
      <c r="GB646" s="74"/>
      <c r="GC646" s="74"/>
      <c r="GD646" s="74"/>
      <c r="GE646" s="74"/>
      <c r="GF646" s="74"/>
      <c r="GG646" s="74"/>
      <c r="GH646" s="74"/>
      <c r="GI646" s="74"/>
      <c r="GJ646" s="74"/>
      <c r="GK646" s="74"/>
      <c r="GL646" s="74"/>
      <c r="GM646" s="74"/>
      <c r="GN646" s="74"/>
      <c r="GO646" s="74"/>
      <c r="GP646" s="74"/>
      <c r="GQ646" s="74"/>
      <c r="GR646" s="74"/>
      <c r="GS646" s="74"/>
      <c r="GT646" s="74"/>
      <c r="GU646" s="74"/>
      <c r="GV646" s="74"/>
      <c r="GW646" s="74"/>
      <c r="GX646" s="74"/>
      <c r="GY646" s="74"/>
      <c r="GZ646" s="74"/>
      <c r="HA646" s="74"/>
      <c r="HB646" s="74"/>
      <c r="HC646" s="74"/>
      <c r="HD646" s="74"/>
      <c r="HE646" s="74"/>
      <c r="HF646" s="74"/>
      <c r="HG646" s="74"/>
      <c r="HH646" s="74"/>
      <c r="HI646" s="74"/>
      <c r="HJ646" s="74"/>
      <c r="HK646" s="74"/>
      <c r="HL646" s="74"/>
      <c r="HM646" s="74"/>
      <c r="HN646" s="74"/>
      <c r="HO646" s="74"/>
      <c r="HP646" s="74"/>
    </row>
    <row r="647" spans="3:224" s="75" customFormat="1" ht="20.100000000000001" customHeight="1">
      <c r="C647" s="36">
        <v>15803003</v>
      </c>
      <c r="D647" s="71" t="s">
        <v>546</v>
      </c>
      <c r="E647" s="71">
        <v>11200003</v>
      </c>
      <c r="F647" s="71">
        <v>18031</v>
      </c>
      <c r="G647" s="71">
        <v>1</v>
      </c>
      <c r="H647" s="71">
        <v>60</v>
      </c>
      <c r="I647" s="72">
        <v>0.2</v>
      </c>
      <c r="J647" s="73">
        <v>35</v>
      </c>
      <c r="K647" s="71">
        <v>0</v>
      </c>
      <c r="L647" s="71">
        <v>10215</v>
      </c>
      <c r="M647" s="71">
        <v>90</v>
      </c>
      <c r="N647" s="71">
        <v>180</v>
      </c>
      <c r="O647" s="71">
        <v>0</v>
      </c>
      <c r="P647" s="71">
        <v>0</v>
      </c>
      <c r="Q647" s="71">
        <v>249</v>
      </c>
      <c r="R647" s="71">
        <v>495</v>
      </c>
      <c r="S647" s="71">
        <v>0</v>
      </c>
      <c r="T647" s="71">
        <v>0</v>
      </c>
      <c r="U647" s="72">
        <v>0</v>
      </c>
      <c r="V647" s="71">
        <v>0</v>
      </c>
      <c r="W647" s="71">
        <v>0</v>
      </c>
      <c r="X647" s="71">
        <v>0</v>
      </c>
      <c r="Y647" s="72">
        <v>0</v>
      </c>
      <c r="Z647" s="72">
        <v>0</v>
      </c>
      <c r="AA647" s="72">
        <v>0</v>
      </c>
      <c r="AB647" s="72">
        <v>200403</v>
      </c>
      <c r="AC647" s="72">
        <v>200</v>
      </c>
      <c r="AD647" s="72">
        <v>1</v>
      </c>
      <c r="AE647" s="72"/>
      <c r="AF647" s="74"/>
      <c r="AG647" s="74"/>
      <c r="AH647" s="74"/>
      <c r="AI647" s="74"/>
      <c r="AJ647" s="74"/>
      <c r="AK647" s="74"/>
      <c r="AL647" s="74"/>
      <c r="AM647" s="74"/>
      <c r="AN647" s="74"/>
      <c r="AO647" s="74"/>
      <c r="AP647" s="74"/>
      <c r="AQ647" s="74"/>
      <c r="AR647" s="74"/>
      <c r="AS647" s="74"/>
      <c r="AT647" s="74"/>
      <c r="AU647" s="74"/>
      <c r="AV647" s="74"/>
      <c r="AW647" s="74"/>
      <c r="AX647" s="74"/>
      <c r="AY647" s="74"/>
      <c r="AZ647" s="74"/>
      <c r="BA647" s="74"/>
      <c r="BB647" s="74"/>
      <c r="BC647" s="74"/>
      <c r="BD647" s="74"/>
      <c r="BE647" s="74"/>
      <c r="BF647" s="74"/>
      <c r="BG647" s="74"/>
      <c r="BH647" s="74"/>
      <c r="BI647" s="74"/>
      <c r="BJ647" s="74"/>
      <c r="BK647" s="74"/>
      <c r="BL647" s="74"/>
      <c r="BM647" s="74"/>
      <c r="BN647" s="74"/>
      <c r="BO647" s="74"/>
      <c r="BP647" s="74"/>
      <c r="BQ647" s="74"/>
      <c r="BR647" s="74"/>
      <c r="BS647" s="74"/>
      <c r="BT647" s="74"/>
      <c r="BU647" s="74"/>
      <c r="BV647" s="74"/>
      <c r="BW647" s="74"/>
      <c r="BX647" s="74"/>
      <c r="BY647" s="74"/>
      <c r="BZ647" s="74"/>
      <c r="CA647" s="74"/>
      <c r="CB647" s="74"/>
      <c r="CC647" s="74"/>
      <c r="CD647" s="74"/>
      <c r="CE647" s="74"/>
      <c r="CF647" s="74"/>
      <c r="CG647" s="74"/>
      <c r="CH647" s="74"/>
      <c r="CI647" s="74"/>
      <c r="CJ647" s="74"/>
      <c r="CK647" s="74"/>
      <c r="CL647" s="74"/>
      <c r="CM647" s="74"/>
      <c r="CN647" s="74"/>
      <c r="CO647" s="74"/>
      <c r="CP647" s="74"/>
      <c r="CQ647" s="74"/>
      <c r="CR647" s="74"/>
      <c r="CS647" s="74"/>
      <c r="CT647" s="74"/>
      <c r="CU647" s="74"/>
      <c r="CV647" s="74"/>
      <c r="CW647" s="74"/>
      <c r="CX647" s="74"/>
      <c r="CY647" s="74"/>
      <c r="CZ647" s="74"/>
      <c r="DA647" s="74"/>
      <c r="DB647" s="74"/>
      <c r="DC647" s="74"/>
      <c r="DD647" s="74"/>
      <c r="DE647" s="74"/>
      <c r="DF647" s="74"/>
      <c r="DG647" s="74"/>
      <c r="DH647" s="74"/>
      <c r="DI647" s="74"/>
      <c r="DJ647" s="74"/>
      <c r="DK647" s="74"/>
      <c r="DL647" s="74"/>
      <c r="DM647" s="74"/>
      <c r="DN647" s="74"/>
      <c r="DO647" s="74"/>
      <c r="DP647" s="74"/>
      <c r="DQ647" s="74"/>
      <c r="DR647" s="74"/>
      <c r="DS647" s="74"/>
      <c r="DT647" s="74"/>
      <c r="DU647" s="74"/>
      <c r="DV647" s="74"/>
      <c r="DW647" s="74"/>
      <c r="DX647" s="74"/>
      <c r="DY647" s="74"/>
      <c r="DZ647" s="74"/>
      <c r="EA647" s="74"/>
      <c r="EB647" s="74"/>
      <c r="EC647" s="74"/>
      <c r="ED647" s="74"/>
      <c r="EE647" s="74"/>
      <c r="EF647" s="74"/>
      <c r="EG647" s="74"/>
      <c r="EH647" s="74"/>
      <c r="EI647" s="74"/>
      <c r="EJ647" s="74"/>
      <c r="EK647" s="74"/>
      <c r="EL647" s="74"/>
      <c r="EM647" s="74"/>
      <c r="EN647" s="74"/>
      <c r="EO647" s="74"/>
      <c r="EP647" s="74"/>
      <c r="EQ647" s="74"/>
      <c r="ER647" s="74"/>
      <c r="ES647" s="74"/>
      <c r="ET647" s="74"/>
      <c r="EU647" s="74"/>
      <c r="EV647" s="74"/>
      <c r="EW647" s="74"/>
      <c r="EX647" s="74"/>
      <c r="EY647" s="74"/>
      <c r="EZ647" s="74"/>
      <c r="FA647" s="74"/>
      <c r="FB647" s="74"/>
      <c r="FC647" s="74"/>
      <c r="FD647" s="74"/>
      <c r="FE647" s="74"/>
      <c r="FF647" s="74"/>
      <c r="FG647" s="74"/>
      <c r="FH647" s="74"/>
      <c r="FI647" s="74"/>
      <c r="FJ647" s="74"/>
      <c r="FK647" s="74"/>
      <c r="FL647" s="74"/>
      <c r="FM647" s="74"/>
      <c r="FN647" s="74"/>
      <c r="FO647" s="74"/>
      <c r="FP647" s="74"/>
      <c r="FQ647" s="74"/>
      <c r="FR647" s="74"/>
      <c r="FS647" s="74"/>
      <c r="FT647" s="74"/>
      <c r="FU647" s="74"/>
      <c r="FV647" s="74"/>
      <c r="FW647" s="74"/>
      <c r="FX647" s="74"/>
      <c r="FY647" s="74"/>
      <c r="FZ647" s="74"/>
      <c r="GA647" s="74"/>
      <c r="GB647" s="74"/>
      <c r="GC647" s="74"/>
      <c r="GD647" s="74"/>
      <c r="GE647" s="74"/>
      <c r="GF647" s="74"/>
      <c r="GG647" s="74"/>
      <c r="GH647" s="74"/>
      <c r="GI647" s="74"/>
      <c r="GJ647" s="74"/>
      <c r="GK647" s="74"/>
      <c r="GL647" s="74"/>
      <c r="GM647" s="74"/>
      <c r="GN647" s="74"/>
      <c r="GO647" s="74"/>
      <c r="GP647" s="74"/>
      <c r="GQ647" s="74"/>
      <c r="GR647" s="74"/>
      <c r="GS647" s="74"/>
      <c r="GT647" s="74"/>
      <c r="GU647" s="74"/>
      <c r="GV647" s="74"/>
      <c r="GW647" s="74"/>
      <c r="GX647" s="74"/>
      <c r="GY647" s="74"/>
      <c r="GZ647" s="74"/>
      <c r="HA647" s="74"/>
      <c r="HB647" s="74"/>
      <c r="HC647" s="74"/>
      <c r="HD647" s="74"/>
      <c r="HE647" s="74"/>
      <c r="HF647" s="74"/>
      <c r="HG647" s="74"/>
      <c r="HH647" s="74"/>
      <c r="HI647" s="74"/>
      <c r="HJ647" s="74"/>
      <c r="HK647" s="74"/>
      <c r="HL647" s="74"/>
      <c r="HM647" s="74"/>
      <c r="HN647" s="74"/>
      <c r="HO647" s="74"/>
      <c r="HP647" s="74"/>
    </row>
    <row r="648" spans="3:224" s="75" customFormat="1" ht="20.100000000000001" customHeight="1">
      <c r="C648" s="36">
        <v>15804001</v>
      </c>
      <c r="D648" s="71" t="s">
        <v>549</v>
      </c>
      <c r="E648" s="71">
        <v>11200003</v>
      </c>
      <c r="F648" s="71">
        <v>18011</v>
      </c>
      <c r="G648" s="71">
        <v>1</v>
      </c>
      <c r="H648" s="71">
        <v>60</v>
      </c>
      <c r="I648" s="72">
        <v>0.2</v>
      </c>
      <c r="J648" s="73">
        <v>35</v>
      </c>
      <c r="K648" s="71">
        <v>0</v>
      </c>
      <c r="L648" s="71">
        <v>0</v>
      </c>
      <c r="M648" s="71">
        <v>180</v>
      </c>
      <c r="N648" s="71">
        <v>360</v>
      </c>
      <c r="O648" s="71">
        <v>0</v>
      </c>
      <c r="P648" s="71">
        <v>0</v>
      </c>
      <c r="Q648" s="71">
        <v>204</v>
      </c>
      <c r="R648" s="71">
        <v>384</v>
      </c>
      <c r="S648" s="71">
        <v>204</v>
      </c>
      <c r="T648" s="71">
        <v>384</v>
      </c>
      <c r="U648" s="72">
        <v>0</v>
      </c>
      <c r="V648" s="71">
        <v>0</v>
      </c>
      <c r="W648" s="71">
        <v>0</v>
      </c>
      <c r="X648" s="71">
        <v>0</v>
      </c>
      <c r="Y648" s="72">
        <v>0</v>
      </c>
      <c r="Z648" s="72">
        <v>0</v>
      </c>
      <c r="AA648" s="72">
        <v>0</v>
      </c>
      <c r="AB648" s="72">
        <v>202203</v>
      </c>
      <c r="AC648" s="72">
        <v>200</v>
      </c>
      <c r="AD648" s="72">
        <v>1</v>
      </c>
      <c r="AE648" s="72"/>
      <c r="AF648" s="74"/>
      <c r="AG648" s="74"/>
      <c r="AH648" s="74"/>
      <c r="AI648" s="74"/>
      <c r="AJ648" s="74"/>
      <c r="AK648" s="74"/>
      <c r="AL648" s="74"/>
      <c r="AM648" s="74"/>
      <c r="AN648" s="74"/>
      <c r="AO648" s="74"/>
      <c r="AP648" s="74"/>
      <c r="AQ648" s="74"/>
      <c r="AR648" s="74"/>
      <c r="AS648" s="74"/>
      <c r="AT648" s="74"/>
      <c r="AU648" s="74"/>
      <c r="AV648" s="74"/>
      <c r="AW648" s="74"/>
      <c r="AX648" s="74"/>
      <c r="AY648" s="74"/>
      <c r="AZ648" s="74"/>
      <c r="BA648" s="74"/>
      <c r="BB648" s="74"/>
      <c r="BC648" s="74"/>
      <c r="BD648" s="74"/>
      <c r="BE648" s="74"/>
      <c r="BF648" s="74"/>
      <c r="BG648" s="74"/>
      <c r="BH648" s="74"/>
      <c r="BI648" s="74"/>
      <c r="BJ648" s="74"/>
      <c r="BK648" s="74"/>
      <c r="BL648" s="74"/>
      <c r="BM648" s="74"/>
      <c r="BN648" s="74"/>
      <c r="BO648" s="74"/>
      <c r="BP648" s="74"/>
      <c r="BQ648" s="74"/>
      <c r="BR648" s="74"/>
      <c r="BS648" s="74"/>
      <c r="BT648" s="74"/>
      <c r="BU648" s="74"/>
      <c r="BV648" s="74"/>
      <c r="BW648" s="74"/>
      <c r="BX648" s="74"/>
      <c r="BY648" s="74"/>
      <c r="BZ648" s="74"/>
      <c r="CA648" s="74"/>
      <c r="CB648" s="74"/>
      <c r="CC648" s="74"/>
      <c r="CD648" s="74"/>
      <c r="CE648" s="74"/>
      <c r="CF648" s="74"/>
      <c r="CG648" s="74"/>
      <c r="CH648" s="74"/>
      <c r="CI648" s="74"/>
      <c r="CJ648" s="74"/>
      <c r="CK648" s="74"/>
      <c r="CL648" s="74"/>
      <c r="CM648" s="74"/>
      <c r="CN648" s="74"/>
      <c r="CO648" s="74"/>
      <c r="CP648" s="74"/>
      <c r="CQ648" s="74"/>
      <c r="CR648" s="74"/>
      <c r="CS648" s="74"/>
      <c r="CT648" s="74"/>
      <c r="CU648" s="74"/>
      <c r="CV648" s="74"/>
      <c r="CW648" s="74"/>
      <c r="CX648" s="74"/>
      <c r="CY648" s="74"/>
      <c r="CZ648" s="74"/>
      <c r="DA648" s="74"/>
      <c r="DB648" s="74"/>
      <c r="DC648" s="74"/>
      <c r="DD648" s="74"/>
      <c r="DE648" s="74"/>
      <c r="DF648" s="74"/>
      <c r="DG648" s="74"/>
      <c r="DH648" s="74"/>
      <c r="DI648" s="74"/>
      <c r="DJ648" s="74"/>
      <c r="DK648" s="74"/>
      <c r="DL648" s="74"/>
      <c r="DM648" s="74"/>
      <c r="DN648" s="74"/>
      <c r="DO648" s="74"/>
      <c r="DP648" s="74"/>
      <c r="DQ648" s="74"/>
      <c r="DR648" s="74"/>
      <c r="DS648" s="74"/>
      <c r="DT648" s="74"/>
      <c r="DU648" s="74"/>
      <c r="DV648" s="74"/>
      <c r="DW648" s="74"/>
      <c r="DX648" s="74"/>
      <c r="DY648" s="74"/>
      <c r="DZ648" s="74"/>
      <c r="EA648" s="74"/>
      <c r="EB648" s="74"/>
      <c r="EC648" s="74"/>
      <c r="ED648" s="74"/>
      <c r="EE648" s="74"/>
      <c r="EF648" s="74"/>
      <c r="EG648" s="74"/>
      <c r="EH648" s="74"/>
      <c r="EI648" s="74"/>
      <c r="EJ648" s="74"/>
      <c r="EK648" s="74"/>
      <c r="EL648" s="74"/>
      <c r="EM648" s="74"/>
      <c r="EN648" s="74"/>
      <c r="EO648" s="74"/>
      <c r="EP648" s="74"/>
      <c r="EQ648" s="74"/>
      <c r="ER648" s="74"/>
      <c r="ES648" s="74"/>
      <c r="ET648" s="74"/>
      <c r="EU648" s="74"/>
      <c r="EV648" s="74"/>
      <c r="EW648" s="74"/>
      <c r="EX648" s="74"/>
      <c r="EY648" s="74"/>
      <c r="EZ648" s="74"/>
      <c r="FA648" s="74"/>
      <c r="FB648" s="74"/>
      <c r="FC648" s="74"/>
      <c r="FD648" s="74"/>
      <c r="FE648" s="74"/>
      <c r="FF648" s="74"/>
      <c r="FG648" s="74"/>
      <c r="FH648" s="74"/>
      <c r="FI648" s="74"/>
      <c r="FJ648" s="74"/>
      <c r="FK648" s="74"/>
      <c r="FL648" s="74"/>
      <c r="FM648" s="74"/>
      <c r="FN648" s="74"/>
      <c r="FO648" s="74"/>
      <c r="FP648" s="74"/>
      <c r="FQ648" s="74"/>
      <c r="FR648" s="74"/>
      <c r="FS648" s="74"/>
      <c r="FT648" s="74"/>
      <c r="FU648" s="74"/>
      <c r="FV648" s="74"/>
      <c r="FW648" s="74"/>
      <c r="FX648" s="74"/>
      <c r="FY648" s="74"/>
      <c r="FZ648" s="74"/>
      <c r="GA648" s="74"/>
      <c r="GB648" s="74"/>
      <c r="GC648" s="74"/>
      <c r="GD648" s="74"/>
      <c r="GE648" s="74"/>
      <c r="GF648" s="74"/>
      <c r="GG648" s="74"/>
      <c r="GH648" s="74"/>
      <c r="GI648" s="74"/>
      <c r="GJ648" s="74"/>
      <c r="GK648" s="74"/>
      <c r="GL648" s="74"/>
      <c r="GM648" s="74"/>
      <c r="GN648" s="74"/>
      <c r="GO648" s="74"/>
      <c r="GP648" s="74"/>
      <c r="GQ648" s="74"/>
      <c r="GR648" s="74"/>
      <c r="GS648" s="74"/>
      <c r="GT648" s="74"/>
      <c r="GU648" s="74"/>
      <c r="GV648" s="74"/>
      <c r="GW648" s="74"/>
      <c r="GX648" s="74"/>
      <c r="GY648" s="74"/>
      <c r="GZ648" s="74"/>
      <c r="HA648" s="74"/>
      <c r="HB648" s="74"/>
      <c r="HC648" s="74"/>
      <c r="HD648" s="74"/>
      <c r="HE648" s="74"/>
      <c r="HF648" s="74"/>
      <c r="HG648" s="74"/>
      <c r="HH648" s="74"/>
      <c r="HI648" s="74"/>
      <c r="HJ648" s="74"/>
      <c r="HK648" s="74"/>
      <c r="HL648" s="74"/>
      <c r="HM648" s="74"/>
      <c r="HN648" s="74"/>
      <c r="HO648" s="74"/>
      <c r="HP648" s="74"/>
    </row>
    <row r="649" spans="3:224" s="75" customFormat="1" ht="20.100000000000001" customHeight="1">
      <c r="C649" s="36">
        <v>15804002</v>
      </c>
      <c r="D649" s="71" t="s">
        <v>551</v>
      </c>
      <c r="E649" s="71">
        <v>11200003</v>
      </c>
      <c r="F649" s="71">
        <v>18021</v>
      </c>
      <c r="G649" s="71">
        <v>1</v>
      </c>
      <c r="H649" s="71">
        <v>60</v>
      </c>
      <c r="I649" s="72">
        <v>0.2</v>
      </c>
      <c r="J649" s="73">
        <v>35</v>
      </c>
      <c r="K649" s="71">
        <v>0</v>
      </c>
      <c r="L649" s="71">
        <v>0</v>
      </c>
      <c r="M649" s="71">
        <v>249</v>
      </c>
      <c r="N649" s="71">
        <v>474</v>
      </c>
      <c r="O649" s="71">
        <v>0</v>
      </c>
      <c r="P649" s="71">
        <v>0</v>
      </c>
      <c r="Q649" s="71">
        <v>135</v>
      </c>
      <c r="R649" s="71">
        <v>294</v>
      </c>
      <c r="S649" s="71">
        <v>135</v>
      </c>
      <c r="T649" s="71">
        <v>294</v>
      </c>
      <c r="U649" s="72">
        <v>0</v>
      </c>
      <c r="V649" s="71">
        <v>0</v>
      </c>
      <c r="W649" s="71">
        <v>0</v>
      </c>
      <c r="X649" s="71">
        <v>0</v>
      </c>
      <c r="Y649" s="72">
        <v>0</v>
      </c>
      <c r="Z649" s="72">
        <v>0</v>
      </c>
      <c r="AA649" s="72">
        <v>0</v>
      </c>
      <c r="AB649" s="72">
        <v>202303</v>
      </c>
      <c r="AC649" s="72">
        <v>200</v>
      </c>
      <c r="AD649" s="72">
        <v>1</v>
      </c>
      <c r="AE649" s="72"/>
      <c r="AF649" s="74"/>
      <c r="AG649" s="74"/>
      <c r="AH649" s="74"/>
      <c r="AI649" s="74"/>
      <c r="AJ649" s="74"/>
      <c r="AK649" s="74"/>
      <c r="AL649" s="74"/>
      <c r="AM649" s="74"/>
      <c r="AN649" s="74"/>
      <c r="AO649" s="74"/>
      <c r="AP649" s="74"/>
      <c r="AQ649" s="74"/>
      <c r="AR649" s="74"/>
      <c r="AS649" s="74"/>
      <c r="AT649" s="74"/>
      <c r="AU649" s="74"/>
      <c r="AV649" s="74"/>
      <c r="AW649" s="74"/>
      <c r="AX649" s="74"/>
      <c r="AY649" s="74"/>
      <c r="AZ649" s="74"/>
      <c r="BA649" s="74"/>
      <c r="BB649" s="74"/>
      <c r="BC649" s="74"/>
      <c r="BD649" s="74"/>
      <c r="BE649" s="74"/>
      <c r="BF649" s="74"/>
      <c r="BG649" s="74"/>
      <c r="BH649" s="74"/>
      <c r="BI649" s="74"/>
      <c r="BJ649" s="74"/>
      <c r="BK649" s="74"/>
      <c r="BL649" s="74"/>
      <c r="BM649" s="74"/>
      <c r="BN649" s="74"/>
      <c r="BO649" s="74"/>
      <c r="BP649" s="74"/>
      <c r="BQ649" s="74"/>
      <c r="BR649" s="74"/>
      <c r="BS649" s="74"/>
      <c r="BT649" s="74"/>
      <c r="BU649" s="74"/>
      <c r="BV649" s="74"/>
      <c r="BW649" s="74"/>
      <c r="BX649" s="74"/>
      <c r="BY649" s="74"/>
      <c r="BZ649" s="74"/>
      <c r="CA649" s="74"/>
      <c r="CB649" s="74"/>
      <c r="CC649" s="74"/>
      <c r="CD649" s="74"/>
      <c r="CE649" s="74"/>
      <c r="CF649" s="74"/>
      <c r="CG649" s="74"/>
      <c r="CH649" s="74"/>
      <c r="CI649" s="74"/>
      <c r="CJ649" s="74"/>
      <c r="CK649" s="74"/>
      <c r="CL649" s="74"/>
      <c r="CM649" s="74"/>
      <c r="CN649" s="74"/>
      <c r="CO649" s="74"/>
      <c r="CP649" s="74"/>
      <c r="CQ649" s="74"/>
      <c r="CR649" s="74"/>
      <c r="CS649" s="74"/>
      <c r="CT649" s="74"/>
      <c r="CU649" s="74"/>
      <c r="CV649" s="74"/>
      <c r="CW649" s="74"/>
      <c r="CX649" s="74"/>
      <c r="CY649" s="74"/>
      <c r="CZ649" s="74"/>
      <c r="DA649" s="74"/>
      <c r="DB649" s="74"/>
      <c r="DC649" s="74"/>
      <c r="DD649" s="74"/>
      <c r="DE649" s="74"/>
      <c r="DF649" s="74"/>
      <c r="DG649" s="74"/>
      <c r="DH649" s="74"/>
      <c r="DI649" s="74"/>
      <c r="DJ649" s="74"/>
      <c r="DK649" s="74"/>
      <c r="DL649" s="74"/>
      <c r="DM649" s="74"/>
      <c r="DN649" s="74"/>
      <c r="DO649" s="74"/>
      <c r="DP649" s="74"/>
      <c r="DQ649" s="74"/>
      <c r="DR649" s="74"/>
      <c r="DS649" s="74"/>
      <c r="DT649" s="74"/>
      <c r="DU649" s="74"/>
      <c r="DV649" s="74"/>
      <c r="DW649" s="74"/>
      <c r="DX649" s="74"/>
      <c r="DY649" s="74"/>
      <c r="DZ649" s="74"/>
      <c r="EA649" s="74"/>
      <c r="EB649" s="74"/>
      <c r="EC649" s="74"/>
      <c r="ED649" s="74"/>
      <c r="EE649" s="74"/>
      <c r="EF649" s="74"/>
      <c r="EG649" s="74"/>
      <c r="EH649" s="74"/>
      <c r="EI649" s="74"/>
      <c r="EJ649" s="74"/>
      <c r="EK649" s="74"/>
      <c r="EL649" s="74"/>
      <c r="EM649" s="74"/>
      <c r="EN649" s="74"/>
      <c r="EO649" s="74"/>
      <c r="EP649" s="74"/>
      <c r="EQ649" s="74"/>
      <c r="ER649" s="74"/>
      <c r="ES649" s="74"/>
      <c r="ET649" s="74"/>
      <c r="EU649" s="74"/>
      <c r="EV649" s="74"/>
      <c r="EW649" s="74"/>
      <c r="EX649" s="74"/>
      <c r="EY649" s="74"/>
      <c r="EZ649" s="74"/>
      <c r="FA649" s="74"/>
      <c r="FB649" s="74"/>
      <c r="FC649" s="74"/>
      <c r="FD649" s="74"/>
      <c r="FE649" s="74"/>
      <c r="FF649" s="74"/>
      <c r="FG649" s="74"/>
      <c r="FH649" s="74"/>
      <c r="FI649" s="74"/>
      <c r="FJ649" s="74"/>
      <c r="FK649" s="74"/>
      <c r="FL649" s="74"/>
      <c r="FM649" s="74"/>
      <c r="FN649" s="74"/>
      <c r="FO649" s="74"/>
      <c r="FP649" s="74"/>
      <c r="FQ649" s="74"/>
      <c r="FR649" s="74"/>
      <c r="FS649" s="74"/>
      <c r="FT649" s="74"/>
      <c r="FU649" s="74"/>
      <c r="FV649" s="74"/>
      <c r="FW649" s="74"/>
      <c r="FX649" s="74"/>
      <c r="FY649" s="74"/>
      <c r="FZ649" s="74"/>
      <c r="GA649" s="74"/>
      <c r="GB649" s="74"/>
      <c r="GC649" s="74"/>
      <c r="GD649" s="74"/>
      <c r="GE649" s="74"/>
      <c r="GF649" s="74"/>
      <c r="GG649" s="74"/>
      <c r="GH649" s="74"/>
      <c r="GI649" s="74"/>
      <c r="GJ649" s="74"/>
      <c r="GK649" s="74"/>
      <c r="GL649" s="74"/>
      <c r="GM649" s="74"/>
      <c r="GN649" s="74"/>
      <c r="GO649" s="74"/>
      <c r="GP649" s="74"/>
      <c r="GQ649" s="74"/>
      <c r="GR649" s="74"/>
      <c r="GS649" s="74"/>
      <c r="GT649" s="74"/>
      <c r="GU649" s="74"/>
      <c r="GV649" s="74"/>
      <c r="GW649" s="74"/>
      <c r="GX649" s="74"/>
      <c r="GY649" s="74"/>
      <c r="GZ649" s="74"/>
      <c r="HA649" s="74"/>
      <c r="HB649" s="74"/>
      <c r="HC649" s="74"/>
      <c r="HD649" s="74"/>
      <c r="HE649" s="74"/>
      <c r="HF649" s="74"/>
      <c r="HG649" s="74"/>
      <c r="HH649" s="74"/>
      <c r="HI649" s="74"/>
      <c r="HJ649" s="74"/>
      <c r="HK649" s="74"/>
      <c r="HL649" s="74"/>
      <c r="HM649" s="74"/>
      <c r="HN649" s="74"/>
      <c r="HO649" s="74"/>
      <c r="HP649" s="74"/>
    </row>
    <row r="650" spans="3:224" s="75" customFormat="1" ht="20.100000000000001" customHeight="1">
      <c r="C650" s="36">
        <v>15804003</v>
      </c>
      <c r="D650" s="71" t="s">
        <v>553</v>
      </c>
      <c r="E650" s="71">
        <v>11200003</v>
      </c>
      <c r="F650" s="71">
        <v>18031</v>
      </c>
      <c r="G650" s="71">
        <v>1</v>
      </c>
      <c r="H650" s="71">
        <v>60</v>
      </c>
      <c r="I650" s="72">
        <v>0.2</v>
      </c>
      <c r="J650" s="73">
        <v>35</v>
      </c>
      <c r="K650" s="71">
        <v>0</v>
      </c>
      <c r="L650" s="71">
        <v>0</v>
      </c>
      <c r="M650" s="71">
        <v>135</v>
      </c>
      <c r="N650" s="71">
        <v>270</v>
      </c>
      <c r="O650" s="71">
        <v>0</v>
      </c>
      <c r="P650" s="71">
        <v>0</v>
      </c>
      <c r="Q650" s="71">
        <v>249</v>
      </c>
      <c r="R650" s="71">
        <v>495</v>
      </c>
      <c r="S650" s="71">
        <v>249</v>
      </c>
      <c r="T650" s="71">
        <v>495</v>
      </c>
      <c r="U650" s="72">
        <v>0</v>
      </c>
      <c r="V650" s="71">
        <v>0</v>
      </c>
      <c r="W650" s="71">
        <v>0</v>
      </c>
      <c r="X650" s="71">
        <v>0</v>
      </c>
      <c r="Y650" s="72">
        <v>0</v>
      </c>
      <c r="Z650" s="72">
        <v>0</v>
      </c>
      <c r="AA650" s="72">
        <v>0</v>
      </c>
      <c r="AB650" s="72">
        <v>202203</v>
      </c>
      <c r="AC650" s="72">
        <v>200</v>
      </c>
      <c r="AD650" s="72">
        <v>1</v>
      </c>
      <c r="AE650" s="72"/>
      <c r="AF650" s="74"/>
      <c r="AG650" s="74"/>
      <c r="AH650" s="74"/>
      <c r="AI650" s="74"/>
      <c r="AJ650" s="74"/>
      <c r="AK650" s="74"/>
      <c r="AL650" s="74"/>
      <c r="AM650" s="74"/>
      <c r="AN650" s="74"/>
      <c r="AO650" s="74"/>
      <c r="AP650" s="74"/>
      <c r="AQ650" s="74"/>
      <c r="AR650" s="74"/>
      <c r="AS650" s="74"/>
      <c r="AT650" s="74"/>
      <c r="AU650" s="74"/>
      <c r="AV650" s="74"/>
      <c r="AW650" s="74"/>
      <c r="AX650" s="74"/>
      <c r="AY650" s="74"/>
      <c r="AZ650" s="74"/>
      <c r="BA650" s="74"/>
      <c r="BB650" s="74"/>
      <c r="BC650" s="74"/>
      <c r="BD650" s="74"/>
      <c r="BE650" s="74"/>
      <c r="BF650" s="74"/>
      <c r="BG650" s="74"/>
      <c r="BH650" s="74"/>
      <c r="BI650" s="74"/>
      <c r="BJ650" s="74"/>
      <c r="BK650" s="74"/>
      <c r="BL650" s="74"/>
      <c r="BM650" s="74"/>
      <c r="BN650" s="74"/>
      <c r="BO650" s="74"/>
      <c r="BP650" s="74"/>
      <c r="BQ650" s="74"/>
      <c r="BR650" s="74"/>
      <c r="BS650" s="74"/>
      <c r="BT650" s="74"/>
      <c r="BU650" s="74"/>
      <c r="BV650" s="74"/>
      <c r="BW650" s="74"/>
      <c r="BX650" s="74"/>
      <c r="BY650" s="74"/>
      <c r="BZ650" s="74"/>
      <c r="CA650" s="74"/>
      <c r="CB650" s="74"/>
      <c r="CC650" s="74"/>
      <c r="CD650" s="74"/>
      <c r="CE650" s="74"/>
      <c r="CF650" s="74"/>
      <c r="CG650" s="74"/>
      <c r="CH650" s="74"/>
      <c r="CI650" s="74"/>
      <c r="CJ650" s="74"/>
      <c r="CK650" s="74"/>
      <c r="CL650" s="74"/>
      <c r="CM650" s="74"/>
      <c r="CN650" s="74"/>
      <c r="CO650" s="74"/>
      <c r="CP650" s="74"/>
      <c r="CQ650" s="74"/>
      <c r="CR650" s="74"/>
      <c r="CS650" s="74"/>
      <c r="CT650" s="74"/>
      <c r="CU650" s="74"/>
      <c r="CV650" s="74"/>
      <c r="CW650" s="74"/>
      <c r="CX650" s="74"/>
      <c r="CY650" s="74"/>
      <c r="CZ650" s="74"/>
      <c r="DA650" s="74"/>
      <c r="DB650" s="74"/>
      <c r="DC650" s="74"/>
      <c r="DD650" s="74"/>
      <c r="DE650" s="74"/>
      <c r="DF650" s="74"/>
      <c r="DG650" s="74"/>
      <c r="DH650" s="74"/>
      <c r="DI650" s="74"/>
      <c r="DJ650" s="74"/>
      <c r="DK650" s="74"/>
      <c r="DL650" s="74"/>
      <c r="DM650" s="74"/>
      <c r="DN650" s="74"/>
      <c r="DO650" s="74"/>
      <c r="DP650" s="74"/>
      <c r="DQ650" s="74"/>
      <c r="DR650" s="74"/>
      <c r="DS650" s="74"/>
      <c r="DT650" s="74"/>
      <c r="DU650" s="74"/>
      <c r="DV650" s="74"/>
      <c r="DW650" s="74"/>
      <c r="DX650" s="74"/>
      <c r="DY650" s="74"/>
      <c r="DZ650" s="74"/>
      <c r="EA650" s="74"/>
      <c r="EB650" s="74"/>
      <c r="EC650" s="74"/>
      <c r="ED650" s="74"/>
      <c r="EE650" s="74"/>
      <c r="EF650" s="74"/>
      <c r="EG650" s="74"/>
      <c r="EH650" s="74"/>
      <c r="EI650" s="74"/>
      <c r="EJ650" s="74"/>
      <c r="EK650" s="74"/>
      <c r="EL650" s="74"/>
      <c r="EM650" s="74"/>
      <c r="EN650" s="74"/>
      <c r="EO650" s="74"/>
      <c r="EP650" s="74"/>
      <c r="EQ650" s="74"/>
      <c r="ER650" s="74"/>
      <c r="ES650" s="74"/>
      <c r="ET650" s="74"/>
      <c r="EU650" s="74"/>
      <c r="EV650" s="74"/>
      <c r="EW650" s="74"/>
      <c r="EX650" s="74"/>
      <c r="EY650" s="74"/>
      <c r="EZ650" s="74"/>
      <c r="FA650" s="74"/>
      <c r="FB650" s="74"/>
      <c r="FC650" s="74"/>
      <c r="FD650" s="74"/>
      <c r="FE650" s="74"/>
      <c r="FF650" s="74"/>
      <c r="FG650" s="74"/>
      <c r="FH650" s="74"/>
      <c r="FI650" s="74"/>
      <c r="FJ650" s="74"/>
      <c r="FK650" s="74"/>
      <c r="FL650" s="74"/>
      <c r="FM650" s="74"/>
      <c r="FN650" s="74"/>
      <c r="FO650" s="74"/>
      <c r="FP650" s="74"/>
      <c r="FQ650" s="74"/>
      <c r="FR650" s="74"/>
      <c r="FS650" s="74"/>
      <c r="FT650" s="74"/>
      <c r="FU650" s="74"/>
      <c r="FV650" s="74"/>
      <c r="FW650" s="74"/>
      <c r="FX650" s="74"/>
      <c r="FY650" s="74"/>
      <c r="FZ650" s="74"/>
      <c r="GA650" s="74"/>
      <c r="GB650" s="74"/>
      <c r="GC650" s="74"/>
      <c r="GD650" s="74"/>
      <c r="GE650" s="74"/>
      <c r="GF650" s="74"/>
      <c r="GG650" s="74"/>
      <c r="GH650" s="74"/>
      <c r="GI650" s="74"/>
      <c r="GJ650" s="74"/>
      <c r="GK650" s="74"/>
      <c r="GL650" s="74"/>
      <c r="GM650" s="74"/>
      <c r="GN650" s="74"/>
      <c r="GO650" s="74"/>
      <c r="GP650" s="74"/>
      <c r="GQ650" s="74"/>
      <c r="GR650" s="74"/>
      <c r="GS650" s="74"/>
      <c r="GT650" s="74"/>
      <c r="GU650" s="74"/>
      <c r="GV650" s="74"/>
      <c r="GW650" s="74"/>
      <c r="GX650" s="74"/>
      <c r="GY650" s="74"/>
      <c r="GZ650" s="74"/>
      <c r="HA650" s="74"/>
      <c r="HB650" s="74"/>
      <c r="HC650" s="74"/>
      <c r="HD650" s="74"/>
      <c r="HE650" s="74"/>
      <c r="HF650" s="74"/>
      <c r="HG650" s="74"/>
      <c r="HH650" s="74"/>
      <c r="HI650" s="74"/>
      <c r="HJ650" s="74"/>
      <c r="HK650" s="74"/>
      <c r="HL650" s="74"/>
      <c r="HM650" s="74"/>
      <c r="HN650" s="74"/>
      <c r="HO650" s="74"/>
      <c r="HP650" s="74"/>
    </row>
    <row r="651" spans="3:224" s="75" customFormat="1" ht="20.100000000000001" customHeight="1">
      <c r="C651" s="36">
        <v>15805001</v>
      </c>
      <c r="D651" s="71" t="s">
        <v>555</v>
      </c>
      <c r="E651" s="71">
        <v>11200003</v>
      </c>
      <c r="F651" s="71">
        <v>18011</v>
      </c>
      <c r="G651" s="71">
        <v>1</v>
      </c>
      <c r="H651" s="71">
        <v>60</v>
      </c>
      <c r="I651" s="72">
        <v>0.2</v>
      </c>
      <c r="J651" s="73">
        <v>35</v>
      </c>
      <c r="K651" s="71">
        <v>0</v>
      </c>
      <c r="L651" s="71">
        <v>17010</v>
      </c>
      <c r="M651" s="71">
        <v>249</v>
      </c>
      <c r="N651" s="71">
        <v>495</v>
      </c>
      <c r="O651" s="71">
        <v>0</v>
      </c>
      <c r="P651" s="71">
        <v>0</v>
      </c>
      <c r="Q651" s="71">
        <v>90</v>
      </c>
      <c r="R651" s="71">
        <v>204</v>
      </c>
      <c r="S651" s="71">
        <v>0</v>
      </c>
      <c r="T651" s="71">
        <v>0</v>
      </c>
      <c r="U651" s="72">
        <v>0</v>
      </c>
      <c r="V651" s="71">
        <v>0</v>
      </c>
      <c r="W651" s="71">
        <v>0</v>
      </c>
      <c r="X651" s="71">
        <v>0</v>
      </c>
      <c r="Y651" s="72">
        <v>0</v>
      </c>
      <c r="Z651" s="72">
        <v>0</v>
      </c>
      <c r="AA651" s="72">
        <v>0</v>
      </c>
      <c r="AB651" s="72">
        <v>200103</v>
      </c>
      <c r="AC651" s="72">
        <v>200</v>
      </c>
      <c r="AD651" s="72">
        <v>1</v>
      </c>
      <c r="AE651" s="72"/>
      <c r="AF651" s="74"/>
      <c r="AG651" s="74"/>
      <c r="AH651" s="74"/>
      <c r="AI651" s="74"/>
      <c r="AJ651" s="74"/>
      <c r="AK651" s="74"/>
      <c r="AL651" s="74"/>
      <c r="AM651" s="74"/>
      <c r="AN651" s="74"/>
      <c r="AO651" s="74"/>
      <c r="AP651" s="74"/>
      <c r="AQ651" s="74"/>
      <c r="AR651" s="74"/>
      <c r="AS651" s="74"/>
      <c r="AT651" s="74"/>
      <c r="AU651" s="74"/>
      <c r="AV651" s="74"/>
      <c r="AW651" s="74"/>
      <c r="AX651" s="74"/>
      <c r="AY651" s="74"/>
      <c r="AZ651" s="74"/>
      <c r="BA651" s="74"/>
      <c r="BB651" s="74"/>
      <c r="BC651" s="74"/>
      <c r="BD651" s="74"/>
      <c r="BE651" s="74"/>
      <c r="BF651" s="74"/>
      <c r="BG651" s="74"/>
      <c r="BH651" s="74"/>
      <c r="BI651" s="74"/>
      <c r="BJ651" s="74"/>
      <c r="BK651" s="74"/>
      <c r="BL651" s="74"/>
      <c r="BM651" s="74"/>
      <c r="BN651" s="74"/>
      <c r="BO651" s="74"/>
      <c r="BP651" s="74"/>
      <c r="BQ651" s="74"/>
      <c r="BR651" s="74"/>
      <c r="BS651" s="74"/>
      <c r="BT651" s="74"/>
      <c r="BU651" s="74"/>
      <c r="BV651" s="74"/>
      <c r="BW651" s="74"/>
      <c r="BX651" s="74"/>
      <c r="BY651" s="74"/>
      <c r="BZ651" s="74"/>
      <c r="CA651" s="74"/>
      <c r="CB651" s="74"/>
      <c r="CC651" s="74"/>
      <c r="CD651" s="74"/>
      <c r="CE651" s="74"/>
      <c r="CF651" s="74"/>
      <c r="CG651" s="74"/>
      <c r="CH651" s="74"/>
      <c r="CI651" s="74"/>
      <c r="CJ651" s="74"/>
      <c r="CK651" s="74"/>
      <c r="CL651" s="74"/>
      <c r="CM651" s="74"/>
      <c r="CN651" s="74"/>
      <c r="CO651" s="74"/>
      <c r="CP651" s="74"/>
      <c r="CQ651" s="74"/>
      <c r="CR651" s="74"/>
      <c r="CS651" s="74"/>
      <c r="CT651" s="74"/>
      <c r="CU651" s="74"/>
      <c r="CV651" s="74"/>
      <c r="CW651" s="74"/>
      <c r="CX651" s="74"/>
      <c r="CY651" s="74"/>
      <c r="CZ651" s="74"/>
      <c r="DA651" s="74"/>
      <c r="DB651" s="74"/>
      <c r="DC651" s="74"/>
      <c r="DD651" s="74"/>
      <c r="DE651" s="74"/>
      <c r="DF651" s="74"/>
      <c r="DG651" s="74"/>
      <c r="DH651" s="74"/>
      <c r="DI651" s="74"/>
      <c r="DJ651" s="74"/>
      <c r="DK651" s="74"/>
      <c r="DL651" s="74"/>
      <c r="DM651" s="74"/>
      <c r="DN651" s="74"/>
      <c r="DO651" s="74"/>
      <c r="DP651" s="74"/>
      <c r="DQ651" s="74"/>
      <c r="DR651" s="74"/>
      <c r="DS651" s="74"/>
      <c r="DT651" s="74"/>
      <c r="DU651" s="74"/>
      <c r="DV651" s="74"/>
      <c r="DW651" s="74"/>
      <c r="DX651" s="74"/>
      <c r="DY651" s="74"/>
      <c r="DZ651" s="74"/>
      <c r="EA651" s="74"/>
      <c r="EB651" s="74"/>
      <c r="EC651" s="74"/>
      <c r="ED651" s="74"/>
      <c r="EE651" s="74"/>
      <c r="EF651" s="74"/>
      <c r="EG651" s="74"/>
      <c r="EH651" s="74"/>
      <c r="EI651" s="74"/>
      <c r="EJ651" s="74"/>
      <c r="EK651" s="74"/>
      <c r="EL651" s="74"/>
      <c r="EM651" s="74"/>
      <c r="EN651" s="74"/>
      <c r="EO651" s="74"/>
      <c r="EP651" s="74"/>
      <c r="EQ651" s="74"/>
      <c r="ER651" s="74"/>
      <c r="ES651" s="74"/>
      <c r="ET651" s="74"/>
      <c r="EU651" s="74"/>
      <c r="EV651" s="74"/>
      <c r="EW651" s="74"/>
      <c r="EX651" s="74"/>
      <c r="EY651" s="74"/>
      <c r="EZ651" s="74"/>
      <c r="FA651" s="74"/>
      <c r="FB651" s="74"/>
      <c r="FC651" s="74"/>
      <c r="FD651" s="74"/>
      <c r="FE651" s="74"/>
      <c r="FF651" s="74"/>
      <c r="FG651" s="74"/>
      <c r="FH651" s="74"/>
      <c r="FI651" s="74"/>
      <c r="FJ651" s="74"/>
      <c r="FK651" s="74"/>
      <c r="FL651" s="74"/>
      <c r="FM651" s="74"/>
      <c r="FN651" s="74"/>
      <c r="FO651" s="74"/>
      <c r="FP651" s="74"/>
      <c r="FQ651" s="74"/>
      <c r="FR651" s="74"/>
      <c r="FS651" s="74"/>
      <c r="FT651" s="74"/>
      <c r="FU651" s="74"/>
      <c r="FV651" s="74"/>
      <c r="FW651" s="74"/>
      <c r="FX651" s="74"/>
      <c r="FY651" s="74"/>
      <c r="FZ651" s="74"/>
      <c r="GA651" s="74"/>
      <c r="GB651" s="74"/>
      <c r="GC651" s="74"/>
      <c r="GD651" s="74"/>
      <c r="GE651" s="74"/>
      <c r="GF651" s="74"/>
      <c r="GG651" s="74"/>
      <c r="GH651" s="74"/>
      <c r="GI651" s="74"/>
      <c r="GJ651" s="74"/>
      <c r="GK651" s="74"/>
      <c r="GL651" s="74"/>
      <c r="GM651" s="74"/>
      <c r="GN651" s="74"/>
      <c r="GO651" s="74"/>
      <c r="GP651" s="74"/>
      <c r="GQ651" s="74"/>
      <c r="GR651" s="74"/>
      <c r="GS651" s="74"/>
      <c r="GT651" s="74"/>
      <c r="GU651" s="74"/>
      <c r="GV651" s="74"/>
      <c r="GW651" s="74"/>
      <c r="GX651" s="74"/>
      <c r="GY651" s="74"/>
      <c r="GZ651" s="74"/>
      <c r="HA651" s="74"/>
      <c r="HB651" s="74"/>
      <c r="HC651" s="74"/>
      <c r="HD651" s="74"/>
      <c r="HE651" s="74"/>
      <c r="HF651" s="74"/>
      <c r="HG651" s="74"/>
      <c r="HH651" s="74"/>
      <c r="HI651" s="74"/>
      <c r="HJ651" s="74"/>
      <c r="HK651" s="74"/>
      <c r="HL651" s="74"/>
      <c r="HM651" s="74"/>
      <c r="HN651" s="74"/>
      <c r="HO651" s="74"/>
      <c r="HP651" s="74"/>
    </row>
    <row r="652" spans="3:224" s="75" customFormat="1" ht="20.100000000000001" customHeight="1">
      <c r="C652" s="36">
        <v>15805002</v>
      </c>
      <c r="D652" s="71" t="s">
        <v>557</v>
      </c>
      <c r="E652" s="71">
        <v>11200003</v>
      </c>
      <c r="F652" s="71">
        <v>18021</v>
      </c>
      <c r="G652" s="71">
        <v>1</v>
      </c>
      <c r="H652" s="71">
        <v>60</v>
      </c>
      <c r="I652" s="72">
        <v>0.2</v>
      </c>
      <c r="J652" s="73">
        <v>35</v>
      </c>
      <c r="K652" s="71">
        <v>0</v>
      </c>
      <c r="L652" s="71">
        <v>8505</v>
      </c>
      <c r="M652" s="71">
        <v>339</v>
      </c>
      <c r="N652" s="71">
        <v>654</v>
      </c>
      <c r="O652" s="71">
        <v>0</v>
      </c>
      <c r="P652" s="71">
        <v>0</v>
      </c>
      <c r="Q652" s="71">
        <v>69</v>
      </c>
      <c r="R652" s="71">
        <v>135</v>
      </c>
      <c r="S652" s="71">
        <v>0</v>
      </c>
      <c r="T652" s="71">
        <v>0</v>
      </c>
      <c r="U652" s="72">
        <v>0</v>
      </c>
      <c r="V652" s="71">
        <v>0</v>
      </c>
      <c r="W652" s="71">
        <v>0</v>
      </c>
      <c r="X652" s="71">
        <v>0</v>
      </c>
      <c r="Y652" s="72">
        <v>0</v>
      </c>
      <c r="Z652" s="72">
        <v>0</v>
      </c>
      <c r="AA652" s="72">
        <v>0</v>
      </c>
      <c r="AB652" s="72">
        <v>200103</v>
      </c>
      <c r="AC652" s="72">
        <v>200</v>
      </c>
      <c r="AD652" s="72">
        <v>1</v>
      </c>
      <c r="AE652" s="72"/>
      <c r="AF652" s="74"/>
      <c r="AG652" s="74"/>
      <c r="AH652" s="74"/>
      <c r="AI652" s="74"/>
      <c r="AJ652" s="74"/>
      <c r="AK652" s="74"/>
      <c r="AL652" s="74"/>
      <c r="AM652" s="74"/>
      <c r="AN652" s="74"/>
      <c r="AO652" s="74"/>
      <c r="AP652" s="74"/>
      <c r="AQ652" s="74"/>
      <c r="AR652" s="74"/>
      <c r="AS652" s="74"/>
      <c r="AT652" s="74"/>
      <c r="AU652" s="74"/>
      <c r="AV652" s="74"/>
      <c r="AW652" s="74"/>
      <c r="AX652" s="74"/>
      <c r="AY652" s="74"/>
      <c r="AZ652" s="74"/>
      <c r="BA652" s="74"/>
      <c r="BB652" s="74"/>
      <c r="BC652" s="74"/>
      <c r="BD652" s="74"/>
      <c r="BE652" s="74"/>
      <c r="BF652" s="74"/>
      <c r="BG652" s="74"/>
      <c r="BH652" s="74"/>
      <c r="BI652" s="74"/>
      <c r="BJ652" s="74"/>
      <c r="BK652" s="74"/>
      <c r="BL652" s="74"/>
      <c r="BM652" s="74"/>
      <c r="BN652" s="74"/>
      <c r="BO652" s="74"/>
      <c r="BP652" s="74"/>
      <c r="BQ652" s="74"/>
      <c r="BR652" s="74"/>
      <c r="BS652" s="74"/>
      <c r="BT652" s="74"/>
      <c r="BU652" s="74"/>
      <c r="BV652" s="74"/>
      <c r="BW652" s="74"/>
      <c r="BX652" s="74"/>
      <c r="BY652" s="74"/>
      <c r="BZ652" s="74"/>
      <c r="CA652" s="74"/>
      <c r="CB652" s="74"/>
      <c r="CC652" s="74"/>
      <c r="CD652" s="74"/>
      <c r="CE652" s="74"/>
      <c r="CF652" s="74"/>
      <c r="CG652" s="74"/>
      <c r="CH652" s="74"/>
      <c r="CI652" s="74"/>
      <c r="CJ652" s="74"/>
      <c r="CK652" s="74"/>
      <c r="CL652" s="74"/>
      <c r="CM652" s="74"/>
      <c r="CN652" s="74"/>
      <c r="CO652" s="74"/>
      <c r="CP652" s="74"/>
      <c r="CQ652" s="74"/>
      <c r="CR652" s="74"/>
      <c r="CS652" s="74"/>
      <c r="CT652" s="74"/>
      <c r="CU652" s="74"/>
      <c r="CV652" s="74"/>
      <c r="CW652" s="74"/>
      <c r="CX652" s="74"/>
      <c r="CY652" s="74"/>
      <c r="CZ652" s="74"/>
      <c r="DA652" s="74"/>
      <c r="DB652" s="74"/>
      <c r="DC652" s="74"/>
      <c r="DD652" s="74"/>
      <c r="DE652" s="74"/>
      <c r="DF652" s="74"/>
      <c r="DG652" s="74"/>
      <c r="DH652" s="74"/>
      <c r="DI652" s="74"/>
      <c r="DJ652" s="74"/>
      <c r="DK652" s="74"/>
      <c r="DL652" s="74"/>
      <c r="DM652" s="74"/>
      <c r="DN652" s="74"/>
      <c r="DO652" s="74"/>
      <c r="DP652" s="74"/>
      <c r="DQ652" s="74"/>
      <c r="DR652" s="74"/>
      <c r="DS652" s="74"/>
      <c r="DT652" s="74"/>
      <c r="DU652" s="74"/>
      <c r="DV652" s="74"/>
      <c r="DW652" s="74"/>
      <c r="DX652" s="74"/>
      <c r="DY652" s="74"/>
      <c r="DZ652" s="74"/>
      <c r="EA652" s="74"/>
      <c r="EB652" s="74"/>
      <c r="EC652" s="74"/>
      <c r="ED652" s="74"/>
      <c r="EE652" s="74"/>
      <c r="EF652" s="74"/>
      <c r="EG652" s="74"/>
      <c r="EH652" s="74"/>
      <c r="EI652" s="74"/>
      <c r="EJ652" s="74"/>
      <c r="EK652" s="74"/>
      <c r="EL652" s="74"/>
      <c r="EM652" s="74"/>
      <c r="EN652" s="74"/>
      <c r="EO652" s="74"/>
      <c r="EP652" s="74"/>
      <c r="EQ652" s="74"/>
      <c r="ER652" s="74"/>
      <c r="ES652" s="74"/>
      <c r="ET652" s="74"/>
      <c r="EU652" s="74"/>
      <c r="EV652" s="74"/>
      <c r="EW652" s="74"/>
      <c r="EX652" s="74"/>
      <c r="EY652" s="74"/>
      <c r="EZ652" s="74"/>
      <c r="FA652" s="74"/>
      <c r="FB652" s="74"/>
      <c r="FC652" s="74"/>
      <c r="FD652" s="74"/>
      <c r="FE652" s="74"/>
      <c r="FF652" s="74"/>
      <c r="FG652" s="74"/>
      <c r="FH652" s="74"/>
      <c r="FI652" s="74"/>
      <c r="FJ652" s="74"/>
      <c r="FK652" s="74"/>
      <c r="FL652" s="74"/>
      <c r="FM652" s="74"/>
      <c r="FN652" s="74"/>
      <c r="FO652" s="74"/>
      <c r="FP652" s="74"/>
      <c r="FQ652" s="74"/>
      <c r="FR652" s="74"/>
      <c r="FS652" s="74"/>
      <c r="FT652" s="74"/>
      <c r="FU652" s="74"/>
      <c r="FV652" s="74"/>
      <c r="FW652" s="74"/>
      <c r="FX652" s="74"/>
      <c r="FY652" s="74"/>
      <c r="FZ652" s="74"/>
      <c r="GA652" s="74"/>
      <c r="GB652" s="74"/>
      <c r="GC652" s="74"/>
      <c r="GD652" s="74"/>
      <c r="GE652" s="74"/>
      <c r="GF652" s="74"/>
      <c r="GG652" s="74"/>
      <c r="GH652" s="74"/>
      <c r="GI652" s="74"/>
      <c r="GJ652" s="74"/>
      <c r="GK652" s="74"/>
      <c r="GL652" s="74"/>
      <c r="GM652" s="74"/>
      <c r="GN652" s="74"/>
      <c r="GO652" s="74"/>
      <c r="GP652" s="74"/>
      <c r="GQ652" s="74"/>
      <c r="GR652" s="74"/>
      <c r="GS652" s="74"/>
      <c r="GT652" s="74"/>
      <c r="GU652" s="74"/>
      <c r="GV652" s="74"/>
      <c r="GW652" s="74"/>
      <c r="GX652" s="74"/>
      <c r="GY652" s="74"/>
      <c r="GZ652" s="74"/>
      <c r="HA652" s="74"/>
      <c r="HB652" s="74"/>
      <c r="HC652" s="74"/>
      <c r="HD652" s="74"/>
      <c r="HE652" s="74"/>
      <c r="HF652" s="74"/>
      <c r="HG652" s="74"/>
      <c r="HH652" s="74"/>
      <c r="HI652" s="74"/>
      <c r="HJ652" s="74"/>
      <c r="HK652" s="74"/>
      <c r="HL652" s="74"/>
      <c r="HM652" s="74"/>
      <c r="HN652" s="74"/>
      <c r="HO652" s="74"/>
      <c r="HP652" s="74"/>
    </row>
    <row r="653" spans="3:224" s="75" customFormat="1" ht="20.100000000000001" customHeight="1">
      <c r="C653" s="36">
        <v>15805003</v>
      </c>
      <c r="D653" s="71" t="s">
        <v>559</v>
      </c>
      <c r="E653" s="71">
        <v>11200003</v>
      </c>
      <c r="F653" s="71">
        <v>18031</v>
      </c>
      <c r="G653" s="71">
        <v>1</v>
      </c>
      <c r="H653" s="71">
        <v>60</v>
      </c>
      <c r="I653" s="72">
        <v>0.2</v>
      </c>
      <c r="J653" s="73">
        <v>35</v>
      </c>
      <c r="K653" s="71">
        <v>0</v>
      </c>
      <c r="L653" s="71">
        <v>25515</v>
      </c>
      <c r="M653" s="71">
        <v>180</v>
      </c>
      <c r="N653" s="71">
        <v>360</v>
      </c>
      <c r="O653" s="71">
        <v>0</v>
      </c>
      <c r="P653" s="71">
        <v>0</v>
      </c>
      <c r="Q653" s="71">
        <v>114</v>
      </c>
      <c r="R653" s="71">
        <v>249</v>
      </c>
      <c r="S653" s="71">
        <v>0</v>
      </c>
      <c r="T653" s="71">
        <v>0</v>
      </c>
      <c r="U653" s="72">
        <v>0</v>
      </c>
      <c r="V653" s="71">
        <v>0</v>
      </c>
      <c r="W653" s="71">
        <v>0</v>
      </c>
      <c r="X653" s="71">
        <v>0</v>
      </c>
      <c r="Y653" s="72">
        <v>0</v>
      </c>
      <c r="Z653" s="72">
        <v>0</v>
      </c>
      <c r="AA653" s="72">
        <v>0</v>
      </c>
      <c r="AB653" s="72">
        <v>200103</v>
      </c>
      <c r="AC653" s="72">
        <v>200</v>
      </c>
      <c r="AD653" s="72">
        <v>1</v>
      </c>
      <c r="AE653" s="72"/>
      <c r="AF653" s="74"/>
      <c r="AG653" s="74"/>
      <c r="AH653" s="74"/>
      <c r="AI653" s="74"/>
      <c r="AJ653" s="74"/>
      <c r="AK653" s="74"/>
      <c r="AL653" s="74"/>
      <c r="AM653" s="74"/>
      <c r="AN653" s="74"/>
      <c r="AO653" s="74"/>
      <c r="AP653" s="74"/>
      <c r="AQ653" s="74"/>
      <c r="AR653" s="74"/>
      <c r="AS653" s="74"/>
      <c r="AT653" s="74"/>
      <c r="AU653" s="74"/>
      <c r="AV653" s="74"/>
      <c r="AW653" s="74"/>
      <c r="AX653" s="74"/>
      <c r="AY653" s="74"/>
      <c r="AZ653" s="74"/>
      <c r="BA653" s="74"/>
      <c r="BB653" s="74"/>
      <c r="BC653" s="74"/>
      <c r="BD653" s="74"/>
      <c r="BE653" s="74"/>
      <c r="BF653" s="74"/>
      <c r="BG653" s="74"/>
      <c r="BH653" s="74"/>
      <c r="BI653" s="74"/>
      <c r="BJ653" s="74"/>
      <c r="BK653" s="74"/>
      <c r="BL653" s="74"/>
      <c r="BM653" s="74"/>
      <c r="BN653" s="74"/>
      <c r="BO653" s="74"/>
      <c r="BP653" s="74"/>
      <c r="BQ653" s="74"/>
      <c r="BR653" s="74"/>
      <c r="BS653" s="74"/>
      <c r="BT653" s="74"/>
      <c r="BU653" s="74"/>
      <c r="BV653" s="74"/>
      <c r="BW653" s="74"/>
      <c r="BX653" s="74"/>
      <c r="BY653" s="74"/>
      <c r="BZ653" s="74"/>
      <c r="CA653" s="74"/>
      <c r="CB653" s="74"/>
      <c r="CC653" s="74"/>
      <c r="CD653" s="74"/>
      <c r="CE653" s="74"/>
      <c r="CF653" s="74"/>
      <c r="CG653" s="74"/>
      <c r="CH653" s="74"/>
      <c r="CI653" s="74"/>
      <c r="CJ653" s="74"/>
      <c r="CK653" s="74"/>
      <c r="CL653" s="74"/>
      <c r="CM653" s="74"/>
      <c r="CN653" s="74"/>
      <c r="CO653" s="74"/>
      <c r="CP653" s="74"/>
      <c r="CQ653" s="74"/>
      <c r="CR653" s="74"/>
      <c r="CS653" s="74"/>
      <c r="CT653" s="74"/>
      <c r="CU653" s="74"/>
      <c r="CV653" s="74"/>
      <c r="CW653" s="74"/>
      <c r="CX653" s="74"/>
      <c r="CY653" s="74"/>
      <c r="CZ653" s="74"/>
      <c r="DA653" s="74"/>
      <c r="DB653" s="74"/>
      <c r="DC653" s="74"/>
      <c r="DD653" s="74"/>
      <c r="DE653" s="74"/>
      <c r="DF653" s="74"/>
      <c r="DG653" s="74"/>
      <c r="DH653" s="74"/>
      <c r="DI653" s="74"/>
      <c r="DJ653" s="74"/>
      <c r="DK653" s="74"/>
      <c r="DL653" s="74"/>
      <c r="DM653" s="74"/>
      <c r="DN653" s="74"/>
      <c r="DO653" s="74"/>
      <c r="DP653" s="74"/>
      <c r="DQ653" s="74"/>
      <c r="DR653" s="74"/>
      <c r="DS653" s="74"/>
      <c r="DT653" s="74"/>
      <c r="DU653" s="74"/>
      <c r="DV653" s="74"/>
      <c r="DW653" s="74"/>
      <c r="DX653" s="74"/>
      <c r="DY653" s="74"/>
      <c r="DZ653" s="74"/>
      <c r="EA653" s="74"/>
      <c r="EB653" s="74"/>
      <c r="EC653" s="74"/>
      <c r="ED653" s="74"/>
      <c r="EE653" s="74"/>
      <c r="EF653" s="74"/>
      <c r="EG653" s="74"/>
      <c r="EH653" s="74"/>
      <c r="EI653" s="74"/>
      <c r="EJ653" s="74"/>
      <c r="EK653" s="74"/>
      <c r="EL653" s="74"/>
      <c r="EM653" s="74"/>
      <c r="EN653" s="74"/>
      <c r="EO653" s="74"/>
      <c r="EP653" s="74"/>
      <c r="EQ653" s="74"/>
      <c r="ER653" s="74"/>
      <c r="ES653" s="74"/>
      <c r="ET653" s="74"/>
      <c r="EU653" s="74"/>
      <c r="EV653" s="74"/>
      <c r="EW653" s="74"/>
      <c r="EX653" s="74"/>
      <c r="EY653" s="74"/>
      <c r="EZ653" s="74"/>
      <c r="FA653" s="74"/>
      <c r="FB653" s="74"/>
      <c r="FC653" s="74"/>
      <c r="FD653" s="74"/>
      <c r="FE653" s="74"/>
      <c r="FF653" s="74"/>
      <c r="FG653" s="74"/>
      <c r="FH653" s="74"/>
      <c r="FI653" s="74"/>
      <c r="FJ653" s="74"/>
      <c r="FK653" s="74"/>
      <c r="FL653" s="74"/>
      <c r="FM653" s="74"/>
      <c r="FN653" s="74"/>
      <c r="FO653" s="74"/>
      <c r="FP653" s="74"/>
      <c r="FQ653" s="74"/>
      <c r="FR653" s="74"/>
      <c r="FS653" s="74"/>
      <c r="FT653" s="74"/>
      <c r="FU653" s="74"/>
      <c r="FV653" s="74"/>
      <c r="FW653" s="74"/>
      <c r="FX653" s="74"/>
      <c r="FY653" s="74"/>
      <c r="FZ653" s="74"/>
      <c r="GA653" s="74"/>
      <c r="GB653" s="74"/>
      <c r="GC653" s="74"/>
      <c r="GD653" s="74"/>
      <c r="GE653" s="74"/>
      <c r="GF653" s="74"/>
      <c r="GG653" s="74"/>
      <c r="GH653" s="74"/>
      <c r="GI653" s="74"/>
      <c r="GJ653" s="74"/>
      <c r="GK653" s="74"/>
      <c r="GL653" s="74"/>
      <c r="GM653" s="74"/>
      <c r="GN653" s="74"/>
      <c r="GO653" s="74"/>
      <c r="GP653" s="74"/>
      <c r="GQ653" s="74"/>
      <c r="GR653" s="74"/>
      <c r="GS653" s="74"/>
      <c r="GT653" s="74"/>
      <c r="GU653" s="74"/>
      <c r="GV653" s="74"/>
      <c r="GW653" s="74"/>
      <c r="GX653" s="74"/>
      <c r="GY653" s="74"/>
      <c r="GZ653" s="74"/>
      <c r="HA653" s="74"/>
      <c r="HB653" s="74"/>
      <c r="HC653" s="74"/>
      <c r="HD653" s="74"/>
      <c r="HE653" s="74"/>
      <c r="HF653" s="74"/>
      <c r="HG653" s="74"/>
      <c r="HH653" s="74"/>
      <c r="HI653" s="74"/>
      <c r="HJ653" s="74"/>
      <c r="HK653" s="74"/>
      <c r="HL653" s="74"/>
      <c r="HM653" s="74"/>
      <c r="HN653" s="74"/>
      <c r="HO653" s="74"/>
      <c r="HP653" s="74"/>
    </row>
    <row r="654" spans="3:224" s="75" customFormat="1" ht="20.100000000000001" customHeight="1">
      <c r="C654" s="36">
        <v>15806001</v>
      </c>
      <c r="D654" s="71" t="s">
        <v>561</v>
      </c>
      <c r="E654" s="71">
        <v>11200002</v>
      </c>
      <c r="F654" s="71">
        <v>18051</v>
      </c>
      <c r="G654" s="71">
        <v>1</v>
      </c>
      <c r="H654" s="71">
        <v>60</v>
      </c>
      <c r="I654" s="72">
        <v>0.2</v>
      </c>
      <c r="J654" s="73">
        <v>35</v>
      </c>
      <c r="K654" s="71">
        <v>0</v>
      </c>
      <c r="L654" s="71">
        <v>0</v>
      </c>
      <c r="M654" s="71">
        <v>495</v>
      </c>
      <c r="N654" s="71">
        <v>969</v>
      </c>
      <c r="O654" s="71">
        <v>0</v>
      </c>
      <c r="P654" s="71">
        <v>0</v>
      </c>
      <c r="Q654" s="71">
        <v>135</v>
      </c>
      <c r="R654" s="71">
        <v>294</v>
      </c>
      <c r="S654" s="71">
        <v>0</v>
      </c>
      <c r="T654" s="71">
        <v>0</v>
      </c>
      <c r="U654" s="72">
        <v>0</v>
      </c>
      <c r="V654" s="71">
        <v>0</v>
      </c>
      <c r="W654" s="71">
        <v>0</v>
      </c>
      <c r="X654" s="71">
        <v>0</v>
      </c>
      <c r="Y654" s="72">
        <v>0</v>
      </c>
      <c r="Z654" s="72">
        <v>0</v>
      </c>
      <c r="AA654" s="72">
        <v>0</v>
      </c>
      <c r="AB654" s="72">
        <v>100402</v>
      </c>
      <c r="AC654" s="72">
        <v>200</v>
      </c>
      <c r="AD654" s="72">
        <v>1</v>
      </c>
      <c r="AE654" s="72"/>
      <c r="AF654" s="74"/>
      <c r="AG654" s="74"/>
      <c r="AH654" s="74"/>
      <c r="AI654" s="74"/>
      <c r="AJ654" s="74"/>
      <c r="AK654" s="74"/>
      <c r="AL654" s="74"/>
      <c r="AM654" s="74"/>
      <c r="AN654" s="74"/>
      <c r="AO654" s="74"/>
      <c r="AP654" s="74"/>
      <c r="AQ654" s="74"/>
      <c r="AR654" s="74"/>
      <c r="AS654" s="74"/>
      <c r="AT654" s="74"/>
      <c r="AU654" s="74"/>
      <c r="AV654" s="74"/>
      <c r="AW654" s="74"/>
      <c r="AX654" s="74"/>
      <c r="AY654" s="74"/>
      <c r="AZ654" s="74"/>
      <c r="BA654" s="74"/>
      <c r="BB654" s="74"/>
      <c r="BC654" s="74"/>
      <c r="BD654" s="74"/>
      <c r="BE654" s="74"/>
      <c r="BF654" s="74"/>
      <c r="BG654" s="74"/>
      <c r="BH654" s="74"/>
      <c r="BI654" s="74"/>
      <c r="BJ654" s="74"/>
      <c r="BK654" s="74"/>
      <c r="BL654" s="74"/>
      <c r="BM654" s="74"/>
      <c r="BN654" s="74"/>
      <c r="BO654" s="74"/>
      <c r="BP654" s="74"/>
      <c r="BQ654" s="74"/>
      <c r="BR654" s="74"/>
      <c r="BS654" s="74"/>
      <c r="BT654" s="74"/>
      <c r="BU654" s="74"/>
      <c r="BV654" s="74"/>
      <c r="BW654" s="74"/>
      <c r="BX654" s="74"/>
      <c r="BY654" s="74"/>
      <c r="BZ654" s="74"/>
      <c r="CA654" s="74"/>
      <c r="CB654" s="74"/>
      <c r="CC654" s="74"/>
      <c r="CD654" s="74"/>
      <c r="CE654" s="74"/>
      <c r="CF654" s="74"/>
      <c r="CG654" s="74"/>
      <c r="CH654" s="74"/>
      <c r="CI654" s="74"/>
      <c r="CJ654" s="74"/>
      <c r="CK654" s="74"/>
      <c r="CL654" s="74"/>
      <c r="CM654" s="74"/>
      <c r="CN654" s="74"/>
      <c r="CO654" s="74"/>
      <c r="CP654" s="74"/>
      <c r="CQ654" s="74"/>
      <c r="CR654" s="74"/>
      <c r="CS654" s="74"/>
      <c r="CT654" s="74"/>
      <c r="CU654" s="74"/>
      <c r="CV654" s="74"/>
      <c r="CW654" s="74"/>
      <c r="CX654" s="74"/>
      <c r="CY654" s="74"/>
      <c r="CZ654" s="74"/>
      <c r="DA654" s="74"/>
      <c r="DB654" s="74"/>
      <c r="DC654" s="74"/>
      <c r="DD654" s="74"/>
      <c r="DE654" s="74"/>
      <c r="DF654" s="74"/>
      <c r="DG654" s="74"/>
      <c r="DH654" s="74"/>
      <c r="DI654" s="74"/>
      <c r="DJ654" s="74"/>
      <c r="DK654" s="74"/>
      <c r="DL654" s="74"/>
      <c r="DM654" s="74"/>
      <c r="DN654" s="74"/>
      <c r="DO654" s="74"/>
      <c r="DP654" s="74"/>
      <c r="DQ654" s="74"/>
      <c r="DR654" s="74"/>
      <c r="DS654" s="74"/>
      <c r="DT654" s="74"/>
      <c r="DU654" s="74"/>
      <c r="DV654" s="74"/>
      <c r="DW654" s="74"/>
      <c r="DX654" s="74"/>
      <c r="DY654" s="74"/>
      <c r="DZ654" s="74"/>
      <c r="EA654" s="74"/>
      <c r="EB654" s="74"/>
      <c r="EC654" s="74"/>
      <c r="ED654" s="74"/>
      <c r="EE654" s="74"/>
      <c r="EF654" s="74"/>
      <c r="EG654" s="74"/>
      <c r="EH654" s="74"/>
      <c r="EI654" s="74"/>
      <c r="EJ654" s="74"/>
      <c r="EK654" s="74"/>
      <c r="EL654" s="74"/>
      <c r="EM654" s="74"/>
      <c r="EN654" s="74"/>
      <c r="EO654" s="74"/>
      <c r="EP654" s="74"/>
      <c r="EQ654" s="74"/>
      <c r="ER654" s="74"/>
      <c r="ES654" s="74"/>
      <c r="ET654" s="74"/>
      <c r="EU654" s="74"/>
      <c r="EV654" s="74"/>
      <c r="EW654" s="74"/>
      <c r="EX654" s="74"/>
      <c r="EY654" s="74"/>
      <c r="EZ654" s="74"/>
      <c r="FA654" s="74"/>
      <c r="FB654" s="74"/>
      <c r="FC654" s="74"/>
      <c r="FD654" s="74"/>
      <c r="FE654" s="74"/>
      <c r="FF654" s="74"/>
      <c r="FG654" s="74"/>
      <c r="FH654" s="74"/>
      <c r="FI654" s="74"/>
      <c r="FJ654" s="74"/>
      <c r="FK654" s="74"/>
      <c r="FL654" s="74"/>
      <c r="FM654" s="74"/>
      <c r="FN654" s="74"/>
      <c r="FO654" s="74"/>
      <c r="FP654" s="74"/>
      <c r="FQ654" s="74"/>
      <c r="FR654" s="74"/>
      <c r="FS654" s="74"/>
      <c r="FT654" s="74"/>
      <c r="FU654" s="74"/>
      <c r="FV654" s="74"/>
      <c r="FW654" s="74"/>
      <c r="FX654" s="74"/>
      <c r="FY654" s="74"/>
      <c r="FZ654" s="74"/>
      <c r="GA654" s="74"/>
      <c r="GB654" s="74"/>
      <c r="GC654" s="74"/>
      <c r="GD654" s="74"/>
      <c r="GE654" s="74"/>
      <c r="GF654" s="74"/>
      <c r="GG654" s="74"/>
      <c r="GH654" s="74"/>
      <c r="GI654" s="74"/>
      <c r="GJ654" s="74"/>
      <c r="GK654" s="74"/>
      <c r="GL654" s="74"/>
      <c r="GM654" s="74"/>
      <c r="GN654" s="74"/>
      <c r="GO654" s="74"/>
      <c r="GP654" s="74"/>
      <c r="GQ654" s="74"/>
      <c r="GR654" s="74"/>
      <c r="GS654" s="74"/>
      <c r="GT654" s="74"/>
      <c r="GU654" s="74"/>
      <c r="GV654" s="74"/>
      <c r="GW654" s="74"/>
      <c r="GX654" s="74"/>
      <c r="GY654" s="74"/>
      <c r="GZ654" s="74"/>
      <c r="HA654" s="74"/>
      <c r="HB654" s="74"/>
      <c r="HC654" s="74"/>
      <c r="HD654" s="74"/>
      <c r="HE654" s="74"/>
      <c r="HF654" s="74"/>
      <c r="HG654" s="74"/>
      <c r="HH654" s="74"/>
      <c r="HI654" s="74"/>
      <c r="HJ654" s="74"/>
      <c r="HK654" s="74"/>
      <c r="HL654" s="74"/>
      <c r="HM654" s="74"/>
      <c r="HN654" s="74"/>
      <c r="HO654" s="74"/>
      <c r="HP654" s="74"/>
    </row>
    <row r="655" spans="3:224" s="75" customFormat="1" ht="20.100000000000001" customHeight="1">
      <c r="C655" s="36">
        <v>15807001</v>
      </c>
      <c r="D655" s="71" t="s">
        <v>564</v>
      </c>
      <c r="E655" s="71">
        <v>11200002</v>
      </c>
      <c r="F655" s="71">
        <v>0</v>
      </c>
      <c r="G655" s="71">
        <v>1</v>
      </c>
      <c r="H655" s="71">
        <v>60</v>
      </c>
      <c r="I655" s="72">
        <v>0.2</v>
      </c>
      <c r="J655" s="73">
        <v>35</v>
      </c>
      <c r="K655" s="71">
        <v>0</v>
      </c>
      <c r="L655" s="71">
        <v>0</v>
      </c>
      <c r="M655" s="71">
        <v>495</v>
      </c>
      <c r="N655" s="71">
        <v>969</v>
      </c>
      <c r="O655" s="71">
        <v>0</v>
      </c>
      <c r="P655" s="71">
        <v>0</v>
      </c>
      <c r="Q655" s="71">
        <v>0</v>
      </c>
      <c r="R655" s="71">
        <v>0</v>
      </c>
      <c r="S655" s="71">
        <v>135</v>
      </c>
      <c r="T655" s="71">
        <v>294</v>
      </c>
      <c r="U655" s="72">
        <v>0</v>
      </c>
      <c r="V655" s="71">
        <v>0</v>
      </c>
      <c r="W655" s="71">
        <v>0</v>
      </c>
      <c r="X655" s="71">
        <v>0</v>
      </c>
      <c r="Y655" s="72">
        <v>0</v>
      </c>
      <c r="Z655" s="72">
        <v>0</v>
      </c>
      <c r="AA655" s="72">
        <v>0</v>
      </c>
      <c r="AB655" s="72">
        <v>200203</v>
      </c>
      <c r="AC655" s="72">
        <v>200</v>
      </c>
      <c r="AD655" s="72">
        <v>1</v>
      </c>
      <c r="AE655" s="72"/>
      <c r="AF655" s="74"/>
      <c r="AG655" s="74"/>
      <c r="AH655" s="74"/>
      <c r="AI655" s="74"/>
      <c r="AJ655" s="74"/>
      <c r="AK655" s="74"/>
      <c r="AL655" s="74"/>
      <c r="AM655" s="74"/>
      <c r="AN655" s="74"/>
      <c r="AO655" s="74"/>
      <c r="AP655" s="74"/>
      <c r="AQ655" s="74"/>
      <c r="AR655" s="74"/>
      <c r="AS655" s="74"/>
      <c r="AT655" s="74"/>
      <c r="AU655" s="74"/>
      <c r="AV655" s="74"/>
      <c r="AW655" s="74"/>
      <c r="AX655" s="74"/>
      <c r="AY655" s="74"/>
      <c r="AZ655" s="74"/>
      <c r="BA655" s="74"/>
      <c r="BB655" s="74"/>
      <c r="BC655" s="74"/>
      <c r="BD655" s="74"/>
      <c r="BE655" s="74"/>
      <c r="BF655" s="74"/>
      <c r="BG655" s="74"/>
      <c r="BH655" s="74"/>
      <c r="BI655" s="74"/>
      <c r="BJ655" s="74"/>
      <c r="BK655" s="74"/>
      <c r="BL655" s="74"/>
      <c r="BM655" s="74"/>
      <c r="BN655" s="74"/>
      <c r="BO655" s="74"/>
      <c r="BP655" s="74"/>
      <c r="BQ655" s="74"/>
      <c r="BR655" s="74"/>
      <c r="BS655" s="74"/>
      <c r="BT655" s="74"/>
      <c r="BU655" s="74"/>
      <c r="BV655" s="74"/>
      <c r="BW655" s="74"/>
      <c r="BX655" s="74"/>
      <c r="BY655" s="74"/>
      <c r="BZ655" s="74"/>
      <c r="CA655" s="74"/>
      <c r="CB655" s="74"/>
      <c r="CC655" s="74"/>
      <c r="CD655" s="74"/>
      <c r="CE655" s="74"/>
      <c r="CF655" s="74"/>
      <c r="CG655" s="74"/>
      <c r="CH655" s="74"/>
      <c r="CI655" s="74"/>
      <c r="CJ655" s="74"/>
      <c r="CK655" s="74"/>
      <c r="CL655" s="74"/>
      <c r="CM655" s="74"/>
      <c r="CN655" s="74"/>
      <c r="CO655" s="74"/>
      <c r="CP655" s="74"/>
      <c r="CQ655" s="74"/>
      <c r="CR655" s="74"/>
      <c r="CS655" s="74"/>
      <c r="CT655" s="74"/>
      <c r="CU655" s="74"/>
      <c r="CV655" s="74"/>
      <c r="CW655" s="74"/>
      <c r="CX655" s="74"/>
      <c r="CY655" s="74"/>
      <c r="CZ655" s="74"/>
      <c r="DA655" s="74"/>
      <c r="DB655" s="74"/>
      <c r="DC655" s="74"/>
      <c r="DD655" s="74"/>
      <c r="DE655" s="74"/>
      <c r="DF655" s="74"/>
      <c r="DG655" s="74"/>
      <c r="DH655" s="74"/>
      <c r="DI655" s="74"/>
      <c r="DJ655" s="74"/>
      <c r="DK655" s="74"/>
      <c r="DL655" s="74"/>
      <c r="DM655" s="74"/>
      <c r="DN655" s="74"/>
      <c r="DO655" s="74"/>
      <c r="DP655" s="74"/>
      <c r="DQ655" s="74"/>
      <c r="DR655" s="74"/>
      <c r="DS655" s="74"/>
      <c r="DT655" s="74"/>
      <c r="DU655" s="74"/>
      <c r="DV655" s="74"/>
      <c r="DW655" s="74"/>
      <c r="DX655" s="74"/>
      <c r="DY655" s="74"/>
      <c r="DZ655" s="74"/>
      <c r="EA655" s="74"/>
      <c r="EB655" s="74"/>
      <c r="EC655" s="74"/>
      <c r="ED655" s="74"/>
      <c r="EE655" s="74"/>
      <c r="EF655" s="74"/>
      <c r="EG655" s="74"/>
      <c r="EH655" s="74"/>
      <c r="EI655" s="74"/>
      <c r="EJ655" s="74"/>
      <c r="EK655" s="74"/>
      <c r="EL655" s="74"/>
      <c r="EM655" s="74"/>
      <c r="EN655" s="74"/>
      <c r="EO655" s="74"/>
      <c r="EP655" s="74"/>
      <c r="EQ655" s="74"/>
      <c r="ER655" s="74"/>
      <c r="ES655" s="74"/>
      <c r="ET655" s="74"/>
      <c r="EU655" s="74"/>
      <c r="EV655" s="74"/>
      <c r="EW655" s="74"/>
      <c r="EX655" s="74"/>
      <c r="EY655" s="74"/>
      <c r="EZ655" s="74"/>
      <c r="FA655" s="74"/>
      <c r="FB655" s="74"/>
      <c r="FC655" s="74"/>
      <c r="FD655" s="74"/>
      <c r="FE655" s="74"/>
      <c r="FF655" s="74"/>
      <c r="FG655" s="74"/>
      <c r="FH655" s="74"/>
      <c r="FI655" s="74"/>
      <c r="FJ655" s="74"/>
      <c r="FK655" s="74"/>
      <c r="FL655" s="74"/>
      <c r="FM655" s="74"/>
      <c r="FN655" s="74"/>
      <c r="FO655" s="74"/>
      <c r="FP655" s="74"/>
      <c r="FQ655" s="74"/>
      <c r="FR655" s="74"/>
      <c r="FS655" s="74"/>
      <c r="FT655" s="74"/>
      <c r="FU655" s="74"/>
      <c r="FV655" s="74"/>
      <c r="FW655" s="74"/>
      <c r="FX655" s="74"/>
      <c r="FY655" s="74"/>
      <c r="FZ655" s="74"/>
      <c r="GA655" s="74"/>
      <c r="GB655" s="74"/>
      <c r="GC655" s="74"/>
      <c r="GD655" s="74"/>
      <c r="GE655" s="74"/>
      <c r="GF655" s="74"/>
      <c r="GG655" s="74"/>
      <c r="GH655" s="74"/>
      <c r="GI655" s="74"/>
      <c r="GJ655" s="74"/>
      <c r="GK655" s="74"/>
      <c r="GL655" s="74"/>
      <c r="GM655" s="74"/>
      <c r="GN655" s="74"/>
      <c r="GO655" s="74"/>
      <c r="GP655" s="74"/>
      <c r="GQ655" s="74"/>
      <c r="GR655" s="74"/>
      <c r="GS655" s="74"/>
      <c r="GT655" s="74"/>
      <c r="GU655" s="74"/>
      <c r="GV655" s="74"/>
      <c r="GW655" s="74"/>
      <c r="GX655" s="74"/>
      <c r="GY655" s="74"/>
      <c r="GZ655" s="74"/>
      <c r="HA655" s="74"/>
      <c r="HB655" s="74"/>
      <c r="HC655" s="74"/>
      <c r="HD655" s="74"/>
      <c r="HE655" s="74"/>
      <c r="HF655" s="74"/>
      <c r="HG655" s="74"/>
      <c r="HH655" s="74"/>
      <c r="HI655" s="74"/>
      <c r="HJ655" s="74"/>
      <c r="HK655" s="74"/>
      <c r="HL655" s="74"/>
      <c r="HM655" s="74"/>
      <c r="HN655" s="74"/>
      <c r="HO655" s="74"/>
      <c r="HP655" s="74"/>
    </row>
    <row r="656" spans="3:224" s="75" customFormat="1" ht="20.100000000000001" customHeight="1">
      <c r="C656" s="36">
        <v>15808001</v>
      </c>
      <c r="D656" s="71" t="s">
        <v>566</v>
      </c>
      <c r="E656" s="71">
        <v>11200002</v>
      </c>
      <c r="F656" s="71">
        <v>0</v>
      </c>
      <c r="G656" s="71">
        <v>1</v>
      </c>
      <c r="H656" s="71">
        <v>60</v>
      </c>
      <c r="I656" s="72">
        <v>0.2</v>
      </c>
      <c r="J656" s="73">
        <v>35</v>
      </c>
      <c r="K656" s="71">
        <v>0</v>
      </c>
      <c r="L656" s="71">
        <v>0</v>
      </c>
      <c r="M656" s="71">
        <v>90</v>
      </c>
      <c r="N656" s="71">
        <v>225</v>
      </c>
      <c r="O656" s="71">
        <v>0</v>
      </c>
      <c r="P656" s="71">
        <v>0</v>
      </c>
      <c r="Q656" s="71">
        <v>0</v>
      </c>
      <c r="R656" s="71">
        <v>0</v>
      </c>
      <c r="S656" s="71">
        <v>0</v>
      </c>
      <c r="T656" s="71">
        <v>0</v>
      </c>
      <c r="U656" s="72">
        <v>0</v>
      </c>
      <c r="V656" s="71">
        <v>0</v>
      </c>
      <c r="W656" s="71">
        <v>0</v>
      </c>
      <c r="X656" s="71">
        <v>0</v>
      </c>
      <c r="Y656" s="72">
        <v>0</v>
      </c>
      <c r="Z656" s="72">
        <v>0</v>
      </c>
      <c r="AA656" s="72">
        <v>0</v>
      </c>
      <c r="AB656" s="72">
        <v>0</v>
      </c>
      <c r="AC656" s="72">
        <v>0</v>
      </c>
      <c r="AD656" s="72">
        <v>0</v>
      </c>
      <c r="AE656" s="72"/>
      <c r="AF656" s="74"/>
      <c r="AG656" s="74"/>
      <c r="AH656" s="74"/>
      <c r="AI656" s="74"/>
      <c r="AJ656" s="74"/>
      <c r="AK656" s="74"/>
      <c r="AL656" s="74"/>
      <c r="AM656" s="74"/>
      <c r="AN656" s="74"/>
      <c r="AO656" s="74"/>
      <c r="AP656" s="74"/>
      <c r="AQ656" s="74"/>
      <c r="AR656" s="74"/>
      <c r="AS656" s="74"/>
      <c r="AT656" s="74"/>
      <c r="AU656" s="74"/>
      <c r="AV656" s="74"/>
      <c r="AW656" s="74"/>
      <c r="AX656" s="74"/>
      <c r="AY656" s="74"/>
      <c r="AZ656" s="74"/>
      <c r="BA656" s="74"/>
      <c r="BB656" s="74"/>
      <c r="BC656" s="74"/>
      <c r="BD656" s="74"/>
      <c r="BE656" s="74"/>
      <c r="BF656" s="74"/>
      <c r="BG656" s="74"/>
      <c r="BH656" s="74"/>
      <c r="BI656" s="74"/>
      <c r="BJ656" s="74"/>
      <c r="BK656" s="74"/>
      <c r="BL656" s="74"/>
      <c r="BM656" s="74"/>
      <c r="BN656" s="74"/>
      <c r="BO656" s="74"/>
      <c r="BP656" s="74"/>
      <c r="BQ656" s="74"/>
      <c r="BR656" s="74"/>
      <c r="BS656" s="74"/>
      <c r="BT656" s="74"/>
      <c r="BU656" s="74"/>
      <c r="BV656" s="74"/>
      <c r="BW656" s="74"/>
      <c r="BX656" s="74"/>
      <c r="BY656" s="74"/>
      <c r="BZ656" s="74"/>
      <c r="CA656" s="74"/>
      <c r="CB656" s="74"/>
      <c r="CC656" s="74"/>
      <c r="CD656" s="74"/>
      <c r="CE656" s="74"/>
      <c r="CF656" s="74"/>
      <c r="CG656" s="74"/>
      <c r="CH656" s="74"/>
      <c r="CI656" s="74"/>
      <c r="CJ656" s="74"/>
      <c r="CK656" s="74"/>
      <c r="CL656" s="74"/>
      <c r="CM656" s="74"/>
      <c r="CN656" s="74"/>
      <c r="CO656" s="74"/>
      <c r="CP656" s="74"/>
      <c r="CQ656" s="74"/>
      <c r="CR656" s="74"/>
      <c r="CS656" s="74"/>
      <c r="CT656" s="74"/>
      <c r="CU656" s="74"/>
      <c r="CV656" s="74"/>
      <c r="CW656" s="74"/>
      <c r="CX656" s="74"/>
      <c r="CY656" s="74"/>
      <c r="CZ656" s="74"/>
      <c r="DA656" s="74"/>
      <c r="DB656" s="74"/>
      <c r="DC656" s="74"/>
      <c r="DD656" s="74"/>
      <c r="DE656" s="74"/>
      <c r="DF656" s="74"/>
      <c r="DG656" s="74"/>
      <c r="DH656" s="74"/>
      <c r="DI656" s="74"/>
      <c r="DJ656" s="74"/>
      <c r="DK656" s="74"/>
      <c r="DL656" s="74"/>
      <c r="DM656" s="74"/>
      <c r="DN656" s="74"/>
      <c r="DO656" s="74"/>
      <c r="DP656" s="74"/>
      <c r="DQ656" s="74"/>
      <c r="DR656" s="74"/>
      <c r="DS656" s="74"/>
      <c r="DT656" s="74"/>
      <c r="DU656" s="74"/>
      <c r="DV656" s="74"/>
      <c r="DW656" s="74"/>
      <c r="DX656" s="74"/>
      <c r="DY656" s="74"/>
      <c r="DZ656" s="74"/>
      <c r="EA656" s="74"/>
      <c r="EB656" s="74"/>
      <c r="EC656" s="74"/>
      <c r="ED656" s="74"/>
      <c r="EE656" s="74"/>
      <c r="EF656" s="74"/>
      <c r="EG656" s="74"/>
      <c r="EH656" s="74"/>
      <c r="EI656" s="74"/>
      <c r="EJ656" s="74"/>
      <c r="EK656" s="74"/>
      <c r="EL656" s="74"/>
      <c r="EM656" s="74"/>
      <c r="EN656" s="74"/>
      <c r="EO656" s="74"/>
      <c r="EP656" s="74"/>
      <c r="EQ656" s="74"/>
      <c r="ER656" s="74"/>
      <c r="ES656" s="74"/>
      <c r="ET656" s="74"/>
      <c r="EU656" s="74"/>
      <c r="EV656" s="74"/>
      <c r="EW656" s="74"/>
      <c r="EX656" s="74"/>
      <c r="EY656" s="74"/>
      <c r="EZ656" s="74"/>
      <c r="FA656" s="74"/>
      <c r="FB656" s="74"/>
      <c r="FC656" s="74"/>
      <c r="FD656" s="74"/>
      <c r="FE656" s="74"/>
      <c r="FF656" s="74"/>
      <c r="FG656" s="74"/>
      <c r="FH656" s="74"/>
      <c r="FI656" s="74"/>
      <c r="FJ656" s="74"/>
      <c r="FK656" s="74"/>
      <c r="FL656" s="74"/>
      <c r="FM656" s="74"/>
      <c r="FN656" s="74"/>
      <c r="FO656" s="74"/>
      <c r="FP656" s="74"/>
      <c r="FQ656" s="74"/>
      <c r="FR656" s="74"/>
      <c r="FS656" s="74"/>
      <c r="FT656" s="74"/>
      <c r="FU656" s="74"/>
      <c r="FV656" s="74"/>
      <c r="FW656" s="74"/>
      <c r="FX656" s="74"/>
      <c r="FY656" s="74"/>
      <c r="FZ656" s="74"/>
      <c r="GA656" s="74"/>
      <c r="GB656" s="74"/>
      <c r="GC656" s="74"/>
      <c r="GD656" s="74"/>
      <c r="GE656" s="74"/>
      <c r="GF656" s="74"/>
      <c r="GG656" s="74"/>
      <c r="GH656" s="74"/>
      <c r="GI656" s="74"/>
      <c r="GJ656" s="74"/>
      <c r="GK656" s="74"/>
      <c r="GL656" s="74"/>
      <c r="GM656" s="74"/>
      <c r="GN656" s="74"/>
      <c r="GO656" s="74"/>
      <c r="GP656" s="74"/>
      <c r="GQ656" s="74"/>
      <c r="GR656" s="74"/>
      <c r="GS656" s="74"/>
      <c r="GT656" s="74"/>
      <c r="GU656" s="74"/>
      <c r="GV656" s="74"/>
      <c r="GW656" s="74"/>
      <c r="GX656" s="74"/>
      <c r="GY656" s="74"/>
      <c r="GZ656" s="74"/>
      <c r="HA656" s="74"/>
      <c r="HB656" s="74"/>
      <c r="HC656" s="74"/>
      <c r="HD656" s="74"/>
      <c r="HE656" s="74"/>
      <c r="HF656" s="74"/>
      <c r="HG656" s="74"/>
      <c r="HH656" s="74"/>
      <c r="HI656" s="74"/>
      <c r="HJ656" s="74"/>
      <c r="HK656" s="74"/>
      <c r="HL656" s="74"/>
      <c r="HM656" s="74"/>
      <c r="HN656" s="74"/>
      <c r="HO656" s="74"/>
      <c r="HP656" s="74"/>
    </row>
    <row r="657" spans="3:224" s="75" customFormat="1" ht="20.100000000000001" customHeight="1">
      <c r="C657" s="36">
        <v>15809001</v>
      </c>
      <c r="D657" s="71" t="s">
        <v>569</v>
      </c>
      <c r="E657" s="71">
        <v>11200001</v>
      </c>
      <c r="F657" s="71">
        <v>0</v>
      </c>
      <c r="G657" s="71">
        <v>1</v>
      </c>
      <c r="H657" s="71">
        <v>60</v>
      </c>
      <c r="I657" s="72">
        <v>0.2</v>
      </c>
      <c r="J657" s="73">
        <v>35</v>
      </c>
      <c r="K657" s="71">
        <v>0</v>
      </c>
      <c r="L657" s="71">
        <v>27225</v>
      </c>
      <c r="M657" s="71">
        <v>0</v>
      </c>
      <c r="N657" s="71">
        <v>0</v>
      </c>
      <c r="O657" s="71">
        <v>0</v>
      </c>
      <c r="P657" s="71">
        <v>0</v>
      </c>
      <c r="Q657" s="71">
        <v>0</v>
      </c>
      <c r="R657" s="71">
        <v>0</v>
      </c>
      <c r="S657" s="71">
        <v>0</v>
      </c>
      <c r="T657" s="71">
        <v>0</v>
      </c>
      <c r="U657" s="72">
        <v>0</v>
      </c>
      <c r="V657" s="71">
        <v>0</v>
      </c>
      <c r="W657" s="71">
        <v>0</v>
      </c>
      <c r="X657" s="71">
        <v>0</v>
      </c>
      <c r="Y657" s="72">
        <v>0</v>
      </c>
      <c r="Z657" s="72">
        <v>0</v>
      </c>
      <c r="AA657" s="72">
        <v>0</v>
      </c>
      <c r="AB657" s="72">
        <v>200303</v>
      </c>
      <c r="AC657" s="72">
        <v>200</v>
      </c>
      <c r="AD657" s="72">
        <v>1</v>
      </c>
      <c r="AE657" s="72"/>
      <c r="AF657" s="74"/>
      <c r="AG657" s="74"/>
      <c r="AH657" s="74"/>
      <c r="AI657" s="74"/>
      <c r="AJ657" s="74"/>
      <c r="AK657" s="74"/>
      <c r="AL657" s="74"/>
      <c r="AM657" s="74"/>
      <c r="AN657" s="74"/>
      <c r="AO657" s="74"/>
      <c r="AP657" s="74"/>
      <c r="AQ657" s="74"/>
      <c r="AR657" s="74"/>
      <c r="AS657" s="74"/>
      <c r="AT657" s="74"/>
      <c r="AU657" s="74"/>
      <c r="AV657" s="74"/>
      <c r="AW657" s="74"/>
      <c r="AX657" s="74"/>
      <c r="AY657" s="74"/>
      <c r="AZ657" s="74"/>
      <c r="BA657" s="74"/>
      <c r="BB657" s="74"/>
      <c r="BC657" s="74"/>
      <c r="BD657" s="74"/>
      <c r="BE657" s="74"/>
      <c r="BF657" s="74"/>
      <c r="BG657" s="74"/>
      <c r="BH657" s="74"/>
      <c r="BI657" s="74"/>
      <c r="BJ657" s="74"/>
      <c r="BK657" s="74"/>
      <c r="BL657" s="74"/>
      <c r="BM657" s="74"/>
      <c r="BN657" s="74"/>
      <c r="BO657" s="74"/>
      <c r="BP657" s="74"/>
      <c r="BQ657" s="74"/>
      <c r="BR657" s="74"/>
      <c r="BS657" s="74"/>
      <c r="BT657" s="74"/>
      <c r="BU657" s="74"/>
      <c r="BV657" s="74"/>
      <c r="BW657" s="74"/>
      <c r="BX657" s="74"/>
      <c r="BY657" s="74"/>
      <c r="BZ657" s="74"/>
      <c r="CA657" s="74"/>
      <c r="CB657" s="74"/>
      <c r="CC657" s="74"/>
      <c r="CD657" s="74"/>
      <c r="CE657" s="74"/>
      <c r="CF657" s="74"/>
      <c r="CG657" s="74"/>
      <c r="CH657" s="74"/>
      <c r="CI657" s="74"/>
      <c r="CJ657" s="74"/>
      <c r="CK657" s="74"/>
      <c r="CL657" s="74"/>
      <c r="CM657" s="74"/>
      <c r="CN657" s="74"/>
      <c r="CO657" s="74"/>
      <c r="CP657" s="74"/>
      <c r="CQ657" s="74"/>
      <c r="CR657" s="74"/>
      <c r="CS657" s="74"/>
      <c r="CT657" s="74"/>
      <c r="CU657" s="74"/>
      <c r="CV657" s="74"/>
      <c r="CW657" s="74"/>
      <c r="CX657" s="74"/>
      <c r="CY657" s="74"/>
      <c r="CZ657" s="74"/>
      <c r="DA657" s="74"/>
      <c r="DB657" s="74"/>
      <c r="DC657" s="74"/>
      <c r="DD657" s="74"/>
      <c r="DE657" s="74"/>
      <c r="DF657" s="74"/>
      <c r="DG657" s="74"/>
      <c r="DH657" s="74"/>
      <c r="DI657" s="74"/>
      <c r="DJ657" s="74"/>
      <c r="DK657" s="74"/>
      <c r="DL657" s="74"/>
      <c r="DM657" s="74"/>
      <c r="DN657" s="74"/>
      <c r="DO657" s="74"/>
      <c r="DP657" s="74"/>
      <c r="DQ657" s="74"/>
      <c r="DR657" s="74"/>
      <c r="DS657" s="74"/>
      <c r="DT657" s="74"/>
      <c r="DU657" s="74"/>
      <c r="DV657" s="74"/>
      <c r="DW657" s="74"/>
      <c r="DX657" s="74"/>
      <c r="DY657" s="74"/>
      <c r="DZ657" s="74"/>
      <c r="EA657" s="74"/>
      <c r="EB657" s="74"/>
      <c r="EC657" s="74"/>
      <c r="ED657" s="74"/>
      <c r="EE657" s="74"/>
      <c r="EF657" s="74"/>
      <c r="EG657" s="74"/>
      <c r="EH657" s="74"/>
      <c r="EI657" s="74"/>
      <c r="EJ657" s="74"/>
      <c r="EK657" s="74"/>
      <c r="EL657" s="74"/>
      <c r="EM657" s="74"/>
      <c r="EN657" s="74"/>
      <c r="EO657" s="74"/>
      <c r="EP657" s="74"/>
      <c r="EQ657" s="74"/>
      <c r="ER657" s="74"/>
      <c r="ES657" s="74"/>
      <c r="ET657" s="74"/>
      <c r="EU657" s="74"/>
      <c r="EV657" s="74"/>
      <c r="EW657" s="74"/>
      <c r="EX657" s="74"/>
      <c r="EY657" s="74"/>
      <c r="EZ657" s="74"/>
      <c r="FA657" s="74"/>
      <c r="FB657" s="74"/>
      <c r="FC657" s="74"/>
      <c r="FD657" s="74"/>
      <c r="FE657" s="74"/>
      <c r="FF657" s="74"/>
      <c r="FG657" s="74"/>
      <c r="FH657" s="74"/>
      <c r="FI657" s="74"/>
      <c r="FJ657" s="74"/>
      <c r="FK657" s="74"/>
      <c r="FL657" s="74"/>
      <c r="FM657" s="74"/>
      <c r="FN657" s="74"/>
      <c r="FO657" s="74"/>
      <c r="FP657" s="74"/>
      <c r="FQ657" s="74"/>
      <c r="FR657" s="74"/>
      <c r="FS657" s="74"/>
      <c r="FT657" s="74"/>
      <c r="FU657" s="74"/>
      <c r="FV657" s="74"/>
      <c r="FW657" s="74"/>
      <c r="FX657" s="74"/>
      <c r="FY657" s="74"/>
      <c r="FZ657" s="74"/>
      <c r="GA657" s="74"/>
      <c r="GB657" s="74"/>
      <c r="GC657" s="74"/>
      <c r="GD657" s="74"/>
      <c r="GE657" s="74"/>
      <c r="GF657" s="74"/>
      <c r="GG657" s="74"/>
      <c r="GH657" s="74"/>
      <c r="GI657" s="74"/>
      <c r="GJ657" s="74"/>
      <c r="GK657" s="74"/>
      <c r="GL657" s="74"/>
      <c r="GM657" s="74"/>
      <c r="GN657" s="74"/>
      <c r="GO657" s="74"/>
      <c r="GP657" s="74"/>
      <c r="GQ657" s="74"/>
      <c r="GR657" s="74"/>
      <c r="GS657" s="74"/>
      <c r="GT657" s="74"/>
      <c r="GU657" s="74"/>
      <c r="GV657" s="74"/>
      <c r="GW657" s="74"/>
      <c r="GX657" s="74"/>
      <c r="GY657" s="74"/>
      <c r="GZ657" s="74"/>
      <c r="HA657" s="74"/>
      <c r="HB657" s="74"/>
      <c r="HC657" s="74"/>
      <c r="HD657" s="74"/>
      <c r="HE657" s="74"/>
      <c r="HF657" s="74"/>
      <c r="HG657" s="74"/>
      <c r="HH657" s="74"/>
      <c r="HI657" s="74"/>
      <c r="HJ657" s="74"/>
      <c r="HK657" s="74"/>
      <c r="HL657" s="74"/>
      <c r="HM657" s="74"/>
      <c r="HN657" s="74"/>
      <c r="HO657" s="74"/>
      <c r="HP657" s="74"/>
    </row>
    <row r="658" spans="3:224" s="75" customFormat="1" ht="20.100000000000001" customHeight="1">
      <c r="C658" s="36">
        <v>15810001</v>
      </c>
      <c r="D658" s="36" t="s">
        <v>572</v>
      </c>
      <c r="E658" s="71">
        <v>11200001</v>
      </c>
      <c r="F658" s="71">
        <v>18051</v>
      </c>
      <c r="G658" s="71">
        <v>1</v>
      </c>
      <c r="H658" s="71">
        <v>60</v>
      </c>
      <c r="I658" s="72">
        <v>0.2</v>
      </c>
      <c r="J658" s="73">
        <v>35</v>
      </c>
      <c r="K658" s="71">
        <v>0</v>
      </c>
      <c r="L658" s="71">
        <v>0</v>
      </c>
      <c r="M658" s="71">
        <v>1350</v>
      </c>
      <c r="N658" s="71">
        <v>2724</v>
      </c>
      <c r="O658" s="71">
        <v>0</v>
      </c>
      <c r="P658" s="71">
        <v>0</v>
      </c>
      <c r="Q658" s="71">
        <v>0</v>
      </c>
      <c r="R658" s="71">
        <v>0</v>
      </c>
      <c r="S658" s="71">
        <v>0</v>
      </c>
      <c r="T658" s="71">
        <v>0</v>
      </c>
      <c r="U658" s="72">
        <v>0</v>
      </c>
      <c r="V658" s="71">
        <v>0</v>
      </c>
      <c r="W658" s="71">
        <v>0</v>
      </c>
      <c r="X658" s="71">
        <v>0</v>
      </c>
      <c r="Y658" s="72">
        <v>0</v>
      </c>
      <c r="Z658" s="72">
        <v>0</v>
      </c>
      <c r="AA658" s="72">
        <v>0</v>
      </c>
      <c r="AB658" s="72">
        <v>200903</v>
      </c>
      <c r="AC658" s="72">
        <v>200</v>
      </c>
      <c r="AD658" s="72">
        <v>1</v>
      </c>
      <c r="AE658" s="72"/>
      <c r="AF658" s="74"/>
      <c r="AG658" s="74"/>
      <c r="AH658" s="74"/>
      <c r="AI658" s="74"/>
      <c r="AJ658" s="74"/>
      <c r="AK658" s="74"/>
      <c r="AL658" s="74"/>
      <c r="AM658" s="74"/>
      <c r="AN658" s="74"/>
      <c r="AO658" s="74"/>
      <c r="AP658" s="74"/>
      <c r="AQ658" s="74"/>
      <c r="AR658" s="74"/>
      <c r="AS658" s="74"/>
      <c r="AT658" s="74"/>
      <c r="AU658" s="74"/>
      <c r="AV658" s="74"/>
      <c r="AW658" s="74"/>
      <c r="AX658" s="74"/>
      <c r="AY658" s="74"/>
      <c r="AZ658" s="74"/>
      <c r="BA658" s="74"/>
      <c r="BB658" s="74"/>
      <c r="BC658" s="74"/>
      <c r="BD658" s="74"/>
      <c r="BE658" s="74"/>
      <c r="BF658" s="74"/>
      <c r="BG658" s="74"/>
      <c r="BH658" s="74"/>
      <c r="BI658" s="74"/>
      <c r="BJ658" s="74"/>
      <c r="BK658" s="74"/>
      <c r="BL658" s="74"/>
      <c r="BM658" s="74"/>
      <c r="BN658" s="74"/>
      <c r="BO658" s="74"/>
      <c r="BP658" s="74"/>
      <c r="BQ658" s="74"/>
      <c r="BR658" s="74"/>
      <c r="BS658" s="74"/>
      <c r="BT658" s="74"/>
      <c r="BU658" s="74"/>
      <c r="BV658" s="74"/>
      <c r="BW658" s="74"/>
      <c r="BX658" s="74"/>
      <c r="BY658" s="74"/>
      <c r="BZ658" s="74"/>
      <c r="CA658" s="74"/>
      <c r="CB658" s="74"/>
      <c r="CC658" s="74"/>
      <c r="CD658" s="74"/>
      <c r="CE658" s="74"/>
      <c r="CF658" s="74"/>
      <c r="CG658" s="74"/>
      <c r="CH658" s="74"/>
      <c r="CI658" s="74"/>
      <c r="CJ658" s="74"/>
      <c r="CK658" s="74"/>
      <c r="CL658" s="74"/>
      <c r="CM658" s="74"/>
      <c r="CN658" s="74"/>
      <c r="CO658" s="74"/>
      <c r="CP658" s="74"/>
      <c r="CQ658" s="74"/>
      <c r="CR658" s="74"/>
      <c r="CS658" s="74"/>
      <c r="CT658" s="74"/>
      <c r="CU658" s="74"/>
      <c r="CV658" s="74"/>
      <c r="CW658" s="74"/>
      <c r="CX658" s="74"/>
      <c r="CY658" s="74"/>
      <c r="CZ658" s="74"/>
      <c r="DA658" s="74"/>
      <c r="DB658" s="74"/>
      <c r="DC658" s="74"/>
      <c r="DD658" s="74"/>
      <c r="DE658" s="74"/>
      <c r="DF658" s="74"/>
      <c r="DG658" s="74"/>
      <c r="DH658" s="74"/>
      <c r="DI658" s="74"/>
      <c r="DJ658" s="74"/>
      <c r="DK658" s="74"/>
      <c r="DL658" s="74"/>
      <c r="DM658" s="74"/>
      <c r="DN658" s="74"/>
      <c r="DO658" s="74"/>
      <c r="DP658" s="74"/>
      <c r="DQ658" s="74"/>
      <c r="DR658" s="74"/>
      <c r="DS658" s="74"/>
      <c r="DT658" s="74"/>
      <c r="DU658" s="74"/>
      <c r="DV658" s="74"/>
      <c r="DW658" s="74"/>
      <c r="DX658" s="74"/>
      <c r="DY658" s="74"/>
      <c r="DZ658" s="74"/>
      <c r="EA658" s="74"/>
      <c r="EB658" s="74"/>
      <c r="EC658" s="74"/>
      <c r="ED658" s="74"/>
      <c r="EE658" s="74"/>
      <c r="EF658" s="74"/>
      <c r="EG658" s="74"/>
      <c r="EH658" s="74"/>
      <c r="EI658" s="74"/>
      <c r="EJ658" s="74"/>
      <c r="EK658" s="74"/>
      <c r="EL658" s="74"/>
      <c r="EM658" s="74"/>
      <c r="EN658" s="74"/>
      <c r="EO658" s="74"/>
      <c r="EP658" s="74"/>
      <c r="EQ658" s="74"/>
      <c r="ER658" s="74"/>
      <c r="ES658" s="74"/>
      <c r="ET658" s="74"/>
      <c r="EU658" s="74"/>
      <c r="EV658" s="74"/>
      <c r="EW658" s="74"/>
      <c r="EX658" s="74"/>
      <c r="EY658" s="74"/>
      <c r="EZ658" s="74"/>
      <c r="FA658" s="74"/>
      <c r="FB658" s="74"/>
      <c r="FC658" s="74"/>
      <c r="FD658" s="74"/>
      <c r="FE658" s="74"/>
      <c r="FF658" s="74"/>
      <c r="FG658" s="74"/>
      <c r="FH658" s="74"/>
      <c r="FI658" s="74"/>
      <c r="FJ658" s="74"/>
      <c r="FK658" s="74"/>
      <c r="FL658" s="74"/>
      <c r="FM658" s="74"/>
      <c r="FN658" s="74"/>
      <c r="FO658" s="74"/>
      <c r="FP658" s="74"/>
      <c r="FQ658" s="74"/>
      <c r="FR658" s="74"/>
      <c r="FS658" s="74"/>
      <c r="FT658" s="74"/>
      <c r="FU658" s="74"/>
      <c r="FV658" s="74"/>
      <c r="FW658" s="74"/>
      <c r="FX658" s="74"/>
      <c r="FY658" s="74"/>
      <c r="FZ658" s="74"/>
      <c r="GA658" s="74"/>
      <c r="GB658" s="74"/>
      <c r="GC658" s="74"/>
      <c r="GD658" s="74"/>
      <c r="GE658" s="74"/>
      <c r="GF658" s="74"/>
      <c r="GG658" s="74"/>
      <c r="GH658" s="74"/>
      <c r="GI658" s="74"/>
      <c r="GJ658" s="74"/>
      <c r="GK658" s="74"/>
      <c r="GL658" s="74"/>
      <c r="GM658" s="74"/>
      <c r="GN658" s="74"/>
      <c r="GO658" s="74"/>
      <c r="GP658" s="74"/>
      <c r="GQ658" s="74"/>
      <c r="GR658" s="74"/>
      <c r="GS658" s="74"/>
      <c r="GT658" s="74"/>
      <c r="GU658" s="74"/>
      <c r="GV658" s="74"/>
      <c r="GW658" s="74"/>
      <c r="GX658" s="74"/>
      <c r="GY658" s="74"/>
      <c r="GZ658" s="74"/>
      <c r="HA658" s="74"/>
      <c r="HB658" s="74"/>
      <c r="HC658" s="74"/>
      <c r="HD658" s="74"/>
      <c r="HE658" s="74"/>
      <c r="HF658" s="74"/>
      <c r="HG658" s="74"/>
      <c r="HH658" s="74"/>
      <c r="HI658" s="74"/>
      <c r="HJ658" s="74"/>
      <c r="HK658" s="74"/>
      <c r="HL658" s="74"/>
      <c r="HM658" s="74"/>
      <c r="HN658" s="74"/>
      <c r="HO658" s="74"/>
      <c r="HP658" s="74"/>
    </row>
    <row r="659" spans="3:224" s="75" customFormat="1" ht="20.100000000000001" customHeight="1">
      <c r="C659" s="36">
        <v>15810002</v>
      </c>
      <c r="D659" s="36" t="s">
        <v>574</v>
      </c>
      <c r="E659" s="71">
        <v>11200001</v>
      </c>
      <c r="F659" s="71">
        <v>18051</v>
      </c>
      <c r="G659" s="71">
        <v>1</v>
      </c>
      <c r="H659" s="71">
        <v>60</v>
      </c>
      <c r="I659" s="72">
        <v>0.2</v>
      </c>
      <c r="J659" s="73">
        <v>35</v>
      </c>
      <c r="K659" s="71">
        <v>0</v>
      </c>
      <c r="L659" s="71">
        <v>0</v>
      </c>
      <c r="M659" s="71">
        <v>1350</v>
      </c>
      <c r="N659" s="71">
        <v>2724</v>
      </c>
      <c r="O659" s="71">
        <v>0</v>
      </c>
      <c r="P659" s="71">
        <v>0</v>
      </c>
      <c r="Q659" s="71">
        <v>0</v>
      </c>
      <c r="R659" s="71">
        <v>0</v>
      </c>
      <c r="S659" s="71">
        <v>0</v>
      </c>
      <c r="T659" s="71">
        <v>0</v>
      </c>
      <c r="U659" s="72">
        <v>0</v>
      </c>
      <c r="V659" s="71">
        <v>0</v>
      </c>
      <c r="W659" s="71">
        <v>0</v>
      </c>
      <c r="X659" s="71">
        <v>0</v>
      </c>
      <c r="Y659" s="72">
        <v>0</v>
      </c>
      <c r="Z659" s="72">
        <v>0</v>
      </c>
      <c r="AA659" s="72">
        <v>0</v>
      </c>
      <c r="AB659" s="72">
        <v>200903</v>
      </c>
      <c r="AC659" s="72">
        <v>200</v>
      </c>
      <c r="AD659" s="72">
        <v>1</v>
      </c>
      <c r="AE659" s="72"/>
      <c r="AF659" s="74"/>
      <c r="AG659" s="74"/>
      <c r="AH659" s="74"/>
      <c r="AI659" s="74"/>
      <c r="AJ659" s="74"/>
      <c r="AK659" s="74"/>
      <c r="AL659" s="74"/>
      <c r="AM659" s="74"/>
      <c r="AN659" s="74"/>
      <c r="AO659" s="74"/>
      <c r="AP659" s="74"/>
      <c r="AQ659" s="74"/>
      <c r="AR659" s="74"/>
      <c r="AS659" s="74"/>
      <c r="AT659" s="74"/>
      <c r="AU659" s="74"/>
      <c r="AV659" s="74"/>
      <c r="AW659" s="74"/>
      <c r="AX659" s="74"/>
      <c r="AY659" s="74"/>
      <c r="AZ659" s="74"/>
      <c r="BA659" s="74"/>
      <c r="BB659" s="74"/>
      <c r="BC659" s="74"/>
      <c r="BD659" s="74"/>
      <c r="BE659" s="74"/>
      <c r="BF659" s="74"/>
      <c r="BG659" s="74"/>
      <c r="BH659" s="74"/>
      <c r="BI659" s="74"/>
      <c r="BJ659" s="74"/>
      <c r="BK659" s="74"/>
      <c r="BL659" s="74"/>
      <c r="BM659" s="74"/>
      <c r="BN659" s="74"/>
      <c r="BO659" s="74"/>
      <c r="BP659" s="74"/>
      <c r="BQ659" s="74"/>
      <c r="BR659" s="74"/>
      <c r="BS659" s="74"/>
      <c r="BT659" s="74"/>
      <c r="BU659" s="74"/>
      <c r="BV659" s="74"/>
      <c r="BW659" s="74"/>
      <c r="BX659" s="74"/>
      <c r="BY659" s="74"/>
      <c r="BZ659" s="74"/>
      <c r="CA659" s="74"/>
      <c r="CB659" s="74"/>
      <c r="CC659" s="74"/>
      <c r="CD659" s="74"/>
      <c r="CE659" s="74"/>
      <c r="CF659" s="74"/>
      <c r="CG659" s="74"/>
      <c r="CH659" s="74"/>
      <c r="CI659" s="74"/>
      <c r="CJ659" s="74"/>
      <c r="CK659" s="74"/>
      <c r="CL659" s="74"/>
      <c r="CM659" s="74"/>
      <c r="CN659" s="74"/>
      <c r="CO659" s="74"/>
      <c r="CP659" s="74"/>
      <c r="CQ659" s="74"/>
      <c r="CR659" s="74"/>
      <c r="CS659" s="74"/>
      <c r="CT659" s="74"/>
      <c r="CU659" s="74"/>
      <c r="CV659" s="74"/>
      <c r="CW659" s="74"/>
      <c r="CX659" s="74"/>
      <c r="CY659" s="74"/>
      <c r="CZ659" s="74"/>
      <c r="DA659" s="74"/>
      <c r="DB659" s="74"/>
      <c r="DC659" s="74"/>
      <c r="DD659" s="74"/>
      <c r="DE659" s="74"/>
      <c r="DF659" s="74"/>
      <c r="DG659" s="74"/>
      <c r="DH659" s="74"/>
      <c r="DI659" s="74"/>
      <c r="DJ659" s="74"/>
      <c r="DK659" s="74"/>
      <c r="DL659" s="74"/>
      <c r="DM659" s="74"/>
      <c r="DN659" s="74"/>
      <c r="DO659" s="74"/>
      <c r="DP659" s="74"/>
      <c r="DQ659" s="74"/>
      <c r="DR659" s="74"/>
      <c r="DS659" s="74"/>
      <c r="DT659" s="74"/>
      <c r="DU659" s="74"/>
      <c r="DV659" s="74"/>
      <c r="DW659" s="74"/>
      <c r="DX659" s="74"/>
      <c r="DY659" s="74"/>
      <c r="DZ659" s="74"/>
      <c r="EA659" s="74"/>
      <c r="EB659" s="74"/>
      <c r="EC659" s="74"/>
      <c r="ED659" s="74"/>
      <c r="EE659" s="74"/>
      <c r="EF659" s="74"/>
      <c r="EG659" s="74"/>
      <c r="EH659" s="74"/>
      <c r="EI659" s="74"/>
      <c r="EJ659" s="74"/>
      <c r="EK659" s="74"/>
      <c r="EL659" s="74"/>
      <c r="EM659" s="74"/>
      <c r="EN659" s="74"/>
      <c r="EO659" s="74"/>
      <c r="EP659" s="74"/>
      <c r="EQ659" s="74"/>
      <c r="ER659" s="74"/>
      <c r="ES659" s="74"/>
      <c r="ET659" s="74"/>
      <c r="EU659" s="74"/>
      <c r="EV659" s="74"/>
      <c r="EW659" s="74"/>
      <c r="EX659" s="74"/>
      <c r="EY659" s="74"/>
      <c r="EZ659" s="74"/>
      <c r="FA659" s="74"/>
      <c r="FB659" s="74"/>
      <c r="FC659" s="74"/>
      <c r="FD659" s="74"/>
      <c r="FE659" s="74"/>
      <c r="FF659" s="74"/>
      <c r="FG659" s="74"/>
      <c r="FH659" s="74"/>
      <c r="FI659" s="74"/>
      <c r="FJ659" s="74"/>
      <c r="FK659" s="74"/>
      <c r="FL659" s="74"/>
      <c r="FM659" s="74"/>
      <c r="FN659" s="74"/>
      <c r="FO659" s="74"/>
      <c r="FP659" s="74"/>
      <c r="FQ659" s="74"/>
      <c r="FR659" s="74"/>
      <c r="FS659" s="74"/>
      <c r="FT659" s="74"/>
      <c r="FU659" s="74"/>
      <c r="FV659" s="74"/>
      <c r="FW659" s="74"/>
      <c r="FX659" s="74"/>
      <c r="FY659" s="74"/>
      <c r="FZ659" s="74"/>
      <c r="GA659" s="74"/>
      <c r="GB659" s="74"/>
      <c r="GC659" s="74"/>
      <c r="GD659" s="74"/>
      <c r="GE659" s="74"/>
      <c r="GF659" s="74"/>
      <c r="GG659" s="74"/>
      <c r="GH659" s="74"/>
      <c r="GI659" s="74"/>
      <c r="GJ659" s="74"/>
      <c r="GK659" s="74"/>
      <c r="GL659" s="74"/>
      <c r="GM659" s="74"/>
      <c r="GN659" s="74"/>
      <c r="GO659" s="74"/>
      <c r="GP659" s="74"/>
      <c r="GQ659" s="74"/>
      <c r="GR659" s="74"/>
      <c r="GS659" s="74"/>
      <c r="GT659" s="74"/>
      <c r="GU659" s="74"/>
      <c r="GV659" s="74"/>
      <c r="GW659" s="74"/>
      <c r="GX659" s="74"/>
      <c r="GY659" s="74"/>
      <c r="GZ659" s="74"/>
      <c r="HA659" s="74"/>
      <c r="HB659" s="74"/>
      <c r="HC659" s="74"/>
      <c r="HD659" s="74"/>
      <c r="HE659" s="74"/>
      <c r="HF659" s="74"/>
      <c r="HG659" s="74"/>
      <c r="HH659" s="74"/>
      <c r="HI659" s="74"/>
      <c r="HJ659" s="74"/>
      <c r="HK659" s="74"/>
      <c r="HL659" s="74"/>
      <c r="HM659" s="74"/>
      <c r="HN659" s="74"/>
      <c r="HO659" s="74"/>
      <c r="HP659" s="74"/>
    </row>
    <row r="660" spans="3:224" s="75" customFormat="1" ht="20.100000000000001" customHeight="1">
      <c r="C660" s="36">
        <v>15810201</v>
      </c>
      <c r="D660" s="36" t="s">
        <v>665</v>
      </c>
      <c r="E660" s="71">
        <v>11200001</v>
      </c>
      <c r="F660" s="71">
        <v>18051</v>
      </c>
      <c r="G660" s="71">
        <v>1</v>
      </c>
      <c r="H660" s="71">
        <v>60</v>
      </c>
      <c r="I660" s="72">
        <v>0.2</v>
      </c>
      <c r="J660" s="73">
        <v>35</v>
      </c>
      <c r="K660" s="71">
        <v>0</v>
      </c>
      <c r="L660" s="71">
        <v>0</v>
      </c>
      <c r="M660" s="71">
        <v>1350</v>
      </c>
      <c r="N660" s="71">
        <v>2724</v>
      </c>
      <c r="O660" s="71">
        <v>0</v>
      </c>
      <c r="P660" s="71">
        <v>0</v>
      </c>
      <c r="Q660" s="71">
        <v>0</v>
      </c>
      <c r="R660" s="71">
        <v>0</v>
      </c>
      <c r="S660" s="71">
        <v>0</v>
      </c>
      <c r="T660" s="71">
        <v>0</v>
      </c>
      <c r="U660" s="72">
        <v>0</v>
      </c>
      <c r="V660" s="71">
        <v>0</v>
      </c>
      <c r="W660" s="71">
        <v>0</v>
      </c>
      <c r="X660" s="71">
        <v>0</v>
      </c>
      <c r="Y660" s="72">
        <v>0</v>
      </c>
      <c r="Z660" s="72">
        <v>0</v>
      </c>
      <c r="AA660" s="72">
        <v>0</v>
      </c>
      <c r="AB660" s="72">
        <v>200903</v>
      </c>
      <c r="AC660" s="72">
        <v>200</v>
      </c>
      <c r="AD660" s="72">
        <v>1</v>
      </c>
      <c r="AE660" s="72"/>
      <c r="AF660" s="74"/>
      <c r="AG660" s="74"/>
      <c r="AH660" s="74"/>
      <c r="AI660" s="74"/>
      <c r="AJ660" s="74"/>
      <c r="AK660" s="74"/>
      <c r="AL660" s="74"/>
      <c r="AM660" s="74"/>
      <c r="AN660" s="74"/>
      <c r="AO660" s="74"/>
      <c r="AP660" s="74"/>
      <c r="AQ660" s="74"/>
      <c r="AR660" s="74"/>
      <c r="AS660" s="74"/>
      <c r="AT660" s="74"/>
      <c r="AU660" s="74"/>
      <c r="AV660" s="74"/>
      <c r="AW660" s="74"/>
      <c r="AX660" s="74"/>
      <c r="AY660" s="74"/>
      <c r="AZ660" s="74"/>
      <c r="BA660" s="74"/>
      <c r="BB660" s="74"/>
      <c r="BC660" s="74"/>
      <c r="BD660" s="74"/>
      <c r="BE660" s="74"/>
      <c r="BF660" s="74"/>
      <c r="BG660" s="74"/>
      <c r="BH660" s="74"/>
      <c r="BI660" s="74"/>
      <c r="BJ660" s="74"/>
      <c r="BK660" s="74"/>
      <c r="BL660" s="74"/>
      <c r="BM660" s="74"/>
      <c r="BN660" s="74"/>
      <c r="BO660" s="74"/>
      <c r="BP660" s="74"/>
      <c r="BQ660" s="74"/>
      <c r="BR660" s="74"/>
      <c r="BS660" s="74"/>
      <c r="BT660" s="74"/>
      <c r="BU660" s="74"/>
      <c r="BV660" s="74"/>
      <c r="BW660" s="74"/>
      <c r="BX660" s="74"/>
      <c r="BY660" s="74"/>
      <c r="BZ660" s="74"/>
      <c r="CA660" s="74"/>
      <c r="CB660" s="74"/>
      <c r="CC660" s="74"/>
      <c r="CD660" s="74"/>
      <c r="CE660" s="74"/>
      <c r="CF660" s="74"/>
      <c r="CG660" s="74"/>
      <c r="CH660" s="74"/>
      <c r="CI660" s="74"/>
      <c r="CJ660" s="74"/>
      <c r="CK660" s="74"/>
      <c r="CL660" s="74"/>
      <c r="CM660" s="74"/>
      <c r="CN660" s="74"/>
      <c r="CO660" s="74"/>
      <c r="CP660" s="74"/>
      <c r="CQ660" s="74"/>
      <c r="CR660" s="74"/>
      <c r="CS660" s="74"/>
      <c r="CT660" s="74"/>
      <c r="CU660" s="74"/>
      <c r="CV660" s="74"/>
      <c r="CW660" s="74"/>
      <c r="CX660" s="74"/>
      <c r="CY660" s="74"/>
      <c r="CZ660" s="74"/>
      <c r="DA660" s="74"/>
      <c r="DB660" s="74"/>
      <c r="DC660" s="74"/>
      <c r="DD660" s="74"/>
      <c r="DE660" s="74"/>
      <c r="DF660" s="74"/>
      <c r="DG660" s="74"/>
      <c r="DH660" s="74"/>
      <c r="DI660" s="74"/>
      <c r="DJ660" s="74"/>
      <c r="DK660" s="74"/>
      <c r="DL660" s="74"/>
      <c r="DM660" s="74"/>
      <c r="DN660" s="74"/>
      <c r="DO660" s="74"/>
      <c r="DP660" s="74"/>
      <c r="DQ660" s="74"/>
      <c r="DR660" s="74"/>
      <c r="DS660" s="74"/>
      <c r="DT660" s="74"/>
      <c r="DU660" s="74"/>
      <c r="DV660" s="74"/>
      <c r="DW660" s="74"/>
      <c r="DX660" s="74"/>
      <c r="DY660" s="74"/>
      <c r="DZ660" s="74"/>
      <c r="EA660" s="74"/>
      <c r="EB660" s="74"/>
      <c r="EC660" s="74"/>
      <c r="ED660" s="74"/>
      <c r="EE660" s="74"/>
      <c r="EF660" s="74"/>
      <c r="EG660" s="74"/>
      <c r="EH660" s="74"/>
      <c r="EI660" s="74"/>
      <c r="EJ660" s="74"/>
      <c r="EK660" s="74"/>
      <c r="EL660" s="74"/>
      <c r="EM660" s="74"/>
      <c r="EN660" s="74"/>
      <c r="EO660" s="74"/>
      <c r="EP660" s="74"/>
      <c r="EQ660" s="74"/>
      <c r="ER660" s="74"/>
      <c r="ES660" s="74"/>
      <c r="ET660" s="74"/>
      <c r="EU660" s="74"/>
      <c r="EV660" s="74"/>
      <c r="EW660" s="74"/>
      <c r="EX660" s="74"/>
      <c r="EY660" s="74"/>
      <c r="EZ660" s="74"/>
      <c r="FA660" s="74"/>
      <c r="FB660" s="74"/>
      <c r="FC660" s="74"/>
      <c r="FD660" s="74"/>
      <c r="FE660" s="74"/>
      <c r="FF660" s="74"/>
      <c r="FG660" s="74"/>
      <c r="FH660" s="74"/>
      <c r="FI660" s="74"/>
      <c r="FJ660" s="74"/>
      <c r="FK660" s="74"/>
      <c r="FL660" s="74"/>
      <c r="FM660" s="74"/>
      <c r="FN660" s="74"/>
      <c r="FO660" s="74"/>
      <c r="FP660" s="74"/>
      <c r="FQ660" s="74"/>
      <c r="FR660" s="74"/>
      <c r="FS660" s="74"/>
      <c r="FT660" s="74"/>
      <c r="FU660" s="74"/>
      <c r="FV660" s="74"/>
      <c r="FW660" s="74"/>
      <c r="FX660" s="74"/>
      <c r="FY660" s="74"/>
      <c r="FZ660" s="74"/>
      <c r="GA660" s="74"/>
      <c r="GB660" s="74"/>
      <c r="GC660" s="74"/>
      <c r="GD660" s="74"/>
      <c r="GE660" s="74"/>
      <c r="GF660" s="74"/>
      <c r="GG660" s="74"/>
      <c r="GH660" s="74"/>
      <c r="GI660" s="74"/>
      <c r="GJ660" s="74"/>
      <c r="GK660" s="74"/>
      <c r="GL660" s="74"/>
      <c r="GM660" s="74"/>
      <c r="GN660" s="74"/>
      <c r="GO660" s="74"/>
      <c r="GP660" s="74"/>
      <c r="GQ660" s="74"/>
      <c r="GR660" s="74"/>
      <c r="GS660" s="74"/>
      <c r="GT660" s="74"/>
      <c r="GU660" s="74"/>
      <c r="GV660" s="74"/>
      <c r="GW660" s="74"/>
      <c r="GX660" s="74"/>
      <c r="GY660" s="74"/>
      <c r="GZ660" s="74"/>
      <c r="HA660" s="74"/>
      <c r="HB660" s="74"/>
      <c r="HC660" s="74"/>
      <c r="HD660" s="74"/>
      <c r="HE660" s="74"/>
      <c r="HF660" s="74"/>
      <c r="HG660" s="74"/>
      <c r="HH660" s="74"/>
      <c r="HI660" s="74"/>
      <c r="HJ660" s="74"/>
      <c r="HK660" s="74"/>
      <c r="HL660" s="74"/>
      <c r="HM660" s="74"/>
      <c r="HN660" s="74"/>
      <c r="HO660" s="74"/>
      <c r="HP660" s="74"/>
    </row>
    <row r="661" spans="3:224" s="75" customFormat="1" ht="20.100000000000001" customHeight="1">
      <c r="C661" s="36">
        <v>15811001</v>
      </c>
      <c r="D661" s="71" t="s">
        <v>580</v>
      </c>
      <c r="E661" s="71">
        <v>11200003</v>
      </c>
      <c r="F661" s="71">
        <v>18011</v>
      </c>
      <c r="G661" s="71">
        <v>1</v>
      </c>
      <c r="H661" s="71">
        <v>60</v>
      </c>
      <c r="I661" s="72">
        <v>0.2</v>
      </c>
      <c r="J661" s="73">
        <v>35</v>
      </c>
      <c r="K661" s="71">
        <v>0</v>
      </c>
      <c r="L661" s="71">
        <v>23340</v>
      </c>
      <c r="M661" s="71">
        <v>0</v>
      </c>
      <c r="N661" s="71">
        <v>0</v>
      </c>
      <c r="O661" s="71">
        <v>0</v>
      </c>
      <c r="P661" s="71">
        <v>0</v>
      </c>
      <c r="Q661" s="71">
        <v>249</v>
      </c>
      <c r="R661" s="71">
        <v>495</v>
      </c>
      <c r="S661" s="71">
        <v>249</v>
      </c>
      <c r="T661" s="71">
        <v>495</v>
      </c>
      <c r="U661" s="72">
        <v>0</v>
      </c>
      <c r="V661" s="71">
        <v>0</v>
      </c>
      <c r="W661" s="71">
        <v>0</v>
      </c>
      <c r="X661" s="71">
        <v>0</v>
      </c>
      <c r="Y661" s="72">
        <v>0</v>
      </c>
      <c r="Z661" s="72">
        <v>0</v>
      </c>
      <c r="AA661" s="72">
        <v>0</v>
      </c>
      <c r="AB661" s="72">
        <v>201003</v>
      </c>
      <c r="AC661" s="72">
        <v>200</v>
      </c>
      <c r="AD661" s="72">
        <v>1</v>
      </c>
      <c r="AE661" s="72"/>
      <c r="AF661" s="74"/>
      <c r="AG661" s="74"/>
      <c r="AH661" s="74"/>
      <c r="AI661" s="74"/>
      <c r="AJ661" s="74"/>
      <c r="AK661" s="74"/>
      <c r="AL661" s="74"/>
      <c r="AM661" s="74"/>
      <c r="AN661" s="74"/>
      <c r="AO661" s="74"/>
      <c r="AP661" s="74"/>
      <c r="AQ661" s="74"/>
      <c r="AR661" s="74"/>
      <c r="AS661" s="74"/>
      <c r="AT661" s="74"/>
      <c r="AU661" s="74"/>
      <c r="AV661" s="74"/>
      <c r="AW661" s="74"/>
      <c r="AX661" s="74"/>
      <c r="AY661" s="74"/>
      <c r="AZ661" s="74"/>
      <c r="BA661" s="74"/>
      <c r="BB661" s="74"/>
      <c r="BC661" s="74"/>
      <c r="BD661" s="74"/>
      <c r="BE661" s="74"/>
      <c r="BF661" s="74"/>
      <c r="BG661" s="74"/>
      <c r="BH661" s="74"/>
      <c r="BI661" s="74"/>
      <c r="BJ661" s="74"/>
      <c r="BK661" s="74"/>
      <c r="BL661" s="74"/>
      <c r="BM661" s="74"/>
      <c r="BN661" s="74"/>
      <c r="BO661" s="74"/>
      <c r="BP661" s="74"/>
      <c r="BQ661" s="74"/>
      <c r="BR661" s="74"/>
      <c r="BS661" s="74"/>
      <c r="BT661" s="74"/>
      <c r="BU661" s="74"/>
      <c r="BV661" s="74"/>
      <c r="BW661" s="74"/>
      <c r="BX661" s="74"/>
      <c r="BY661" s="74"/>
      <c r="BZ661" s="74"/>
      <c r="CA661" s="74"/>
      <c r="CB661" s="74"/>
      <c r="CC661" s="74"/>
      <c r="CD661" s="74"/>
      <c r="CE661" s="74"/>
      <c r="CF661" s="74"/>
      <c r="CG661" s="74"/>
      <c r="CH661" s="74"/>
      <c r="CI661" s="74"/>
      <c r="CJ661" s="74"/>
      <c r="CK661" s="74"/>
      <c r="CL661" s="74"/>
      <c r="CM661" s="74"/>
      <c r="CN661" s="74"/>
      <c r="CO661" s="74"/>
      <c r="CP661" s="74"/>
      <c r="CQ661" s="74"/>
      <c r="CR661" s="74"/>
      <c r="CS661" s="74"/>
      <c r="CT661" s="74"/>
      <c r="CU661" s="74"/>
      <c r="CV661" s="74"/>
      <c r="CW661" s="74"/>
      <c r="CX661" s="74"/>
      <c r="CY661" s="74"/>
      <c r="CZ661" s="74"/>
      <c r="DA661" s="74"/>
      <c r="DB661" s="74"/>
      <c r="DC661" s="74"/>
      <c r="DD661" s="74"/>
      <c r="DE661" s="74"/>
      <c r="DF661" s="74"/>
      <c r="DG661" s="74"/>
      <c r="DH661" s="74"/>
      <c r="DI661" s="74"/>
      <c r="DJ661" s="74"/>
      <c r="DK661" s="74"/>
      <c r="DL661" s="74"/>
      <c r="DM661" s="74"/>
      <c r="DN661" s="74"/>
      <c r="DO661" s="74"/>
      <c r="DP661" s="74"/>
      <c r="DQ661" s="74"/>
      <c r="DR661" s="74"/>
      <c r="DS661" s="74"/>
      <c r="DT661" s="74"/>
      <c r="DU661" s="74"/>
      <c r="DV661" s="74"/>
      <c r="DW661" s="74"/>
      <c r="DX661" s="74"/>
      <c r="DY661" s="74"/>
      <c r="DZ661" s="74"/>
      <c r="EA661" s="74"/>
      <c r="EB661" s="74"/>
      <c r="EC661" s="74"/>
      <c r="ED661" s="74"/>
      <c r="EE661" s="74"/>
      <c r="EF661" s="74"/>
      <c r="EG661" s="74"/>
      <c r="EH661" s="74"/>
      <c r="EI661" s="74"/>
      <c r="EJ661" s="74"/>
      <c r="EK661" s="74"/>
      <c r="EL661" s="74"/>
      <c r="EM661" s="74"/>
      <c r="EN661" s="74"/>
      <c r="EO661" s="74"/>
      <c r="EP661" s="74"/>
      <c r="EQ661" s="74"/>
      <c r="ER661" s="74"/>
      <c r="ES661" s="74"/>
      <c r="ET661" s="74"/>
      <c r="EU661" s="74"/>
      <c r="EV661" s="74"/>
      <c r="EW661" s="74"/>
      <c r="EX661" s="74"/>
      <c r="EY661" s="74"/>
      <c r="EZ661" s="74"/>
      <c r="FA661" s="74"/>
      <c r="FB661" s="74"/>
      <c r="FC661" s="74"/>
      <c r="FD661" s="74"/>
      <c r="FE661" s="74"/>
      <c r="FF661" s="74"/>
      <c r="FG661" s="74"/>
      <c r="FH661" s="74"/>
      <c r="FI661" s="74"/>
      <c r="FJ661" s="74"/>
      <c r="FK661" s="74"/>
      <c r="FL661" s="74"/>
      <c r="FM661" s="74"/>
      <c r="FN661" s="74"/>
      <c r="FO661" s="74"/>
      <c r="FP661" s="74"/>
      <c r="FQ661" s="74"/>
      <c r="FR661" s="74"/>
      <c r="FS661" s="74"/>
      <c r="FT661" s="74"/>
      <c r="FU661" s="74"/>
      <c r="FV661" s="74"/>
      <c r="FW661" s="74"/>
      <c r="FX661" s="74"/>
      <c r="FY661" s="74"/>
      <c r="FZ661" s="74"/>
      <c r="GA661" s="74"/>
      <c r="GB661" s="74"/>
      <c r="GC661" s="74"/>
      <c r="GD661" s="74"/>
      <c r="GE661" s="74"/>
      <c r="GF661" s="74"/>
      <c r="GG661" s="74"/>
      <c r="GH661" s="74"/>
      <c r="GI661" s="74"/>
      <c r="GJ661" s="74"/>
      <c r="GK661" s="74"/>
      <c r="GL661" s="74"/>
      <c r="GM661" s="74"/>
      <c r="GN661" s="74"/>
      <c r="GO661" s="74"/>
      <c r="GP661" s="74"/>
      <c r="GQ661" s="74"/>
      <c r="GR661" s="74"/>
      <c r="GS661" s="74"/>
      <c r="GT661" s="74"/>
      <c r="GU661" s="74"/>
      <c r="GV661" s="74"/>
      <c r="GW661" s="74"/>
      <c r="GX661" s="74"/>
      <c r="GY661" s="74"/>
      <c r="GZ661" s="74"/>
      <c r="HA661" s="74"/>
      <c r="HB661" s="74"/>
      <c r="HC661" s="74"/>
      <c r="HD661" s="74"/>
      <c r="HE661" s="74"/>
      <c r="HF661" s="74"/>
      <c r="HG661" s="74"/>
      <c r="HH661" s="74"/>
      <c r="HI661" s="74"/>
      <c r="HJ661" s="74"/>
      <c r="HK661" s="74"/>
      <c r="HL661" s="74"/>
      <c r="HM661" s="74"/>
      <c r="HN661" s="74"/>
      <c r="HO661" s="74"/>
      <c r="HP661" s="74"/>
    </row>
    <row r="662" spans="3:224" s="75" customFormat="1" ht="20.100000000000001" customHeight="1">
      <c r="C662" s="36">
        <v>15811002</v>
      </c>
      <c r="D662" s="71" t="s">
        <v>582</v>
      </c>
      <c r="E662" s="71">
        <v>11200003</v>
      </c>
      <c r="F662" s="71">
        <v>18021</v>
      </c>
      <c r="G662" s="71">
        <v>1</v>
      </c>
      <c r="H662" s="71">
        <v>60</v>
      </c>
      <c r="I662" s="72">
        <v>0.2</v>
      </c>
      <c r="J662" s="73">
        <v>35</v>
      </c>
      <c r="K662" s="71">
        <v>0</v>
      </c>
      <c r="L662" s="71">
        <v>11655</v>
      </c>
      <c r="M662" s="71">
        <v>0</v>
      </c>
      <c r="N662" s="71">
        <v>0</v>
      </c>
      <c r="O662" s="71">
        <v>0</v>
      </c>
      <c r="P662" s="71">
        <v>0</v>
      </c>
      <c r="Q662" s="71">
        <v>180</v>
      </c>
      <c r="R662" s="71">
        <v>360</v>
      </c>
      <c r="S662" s="71">
        <v>180</v>
      </c>
      <c r="T662" s="71">
        <v>360</v>
      </c>
      <c r="U662" s="72">
        <v>0</v>
      </c>
      <c r="V662" s="71">
        <v>0</v>
      </c>
      <c r="W662" s="71">
        <v>0</v>
      </c>
      <c r="X662" s="71">
        <v>0</v>
      </c>
      <c r="Y662" s="72">
        <v>0</v>
      </c>
      <c r="Z662" s="72">
        <v>0</v>
      </c>
      <c r="AA662" s="72">
        <v>0</v>
      </c>
      <c r="AB662" s="72">
        <v>201003</v>
      </c>
      <c r="AC662" s="72">
        <v>200</v>
      </c>
      <c r="AD662" s="72">
        <v>1</v>
      </c>
      <c r="AE662" s="72"/>
      <c r="AF662" s="74"/>
      <c r="AG662" s="74"/>
      <c r="AH662" s="74"/>
      <c r="AI662" s="74"/>
      <c r="AJ662" s="74"/>
      <c r="AK662" s="74"/>
      <c r="AL662" s="74"/>
      <c r="AM662" s="74"/>
      <c r="AN662" s="74"/>
      <c r="AO662" s="74"/>
      <c r="AP662" s="74"/>
      <c r="AQ662" s="74"/>
      <c r="AR662" s="74"/>
      <c r="AS662" s="74"/>
      <c r="AT662" s="74"/>
      <c r="AU662" s="74"/>
      <c r="AV662" s="74"/>
      <c r="AW662" s="74"/>
      <c r="AX662" s="74"/>
      <c r="AY662" s="74"/>
      <c r="AZ662" s="74"/>
      <c r="BA662" s="74"/>
      <c r="BB662" s="74"/>
      <c r="BC662" s="74"/>
      <c r="BD662" s="74"/>
      <c r="BE662" s="74"/>
      <c r="BF662" s="74"/>
      <c r="BG662" s="74"/>
      <c r="BH662" s="74"/>
      <c r="BI662" s="74"/>
      <c r="BJ662" s="74"/>
      <c r="BK662" s="74"/>
      <c r="BL662" s="74"/>
      <c r="BM662" s="74"/>
      <c r="BN662" s="74"/>
      <c r="BO662" s="74"/>
      <c r="BP662" s="74"/>
      <c r="BQ662" s="74"/>
      <c r="BR662" s="74"/>
      <c r="BS662" s="74"/>
      <c r="BT662" s="74"/>
      <c r="BU662" s="74"/>
      <c r="BV662" s="74"/>
      <c r="BW662" s="74"/>
      <c r="BX662" s="74"/>
      <c r="BY662" s="74"/>
      <c r="BZ662" s="74"/>
      <c r="CA662" s="74"/>
      <c r="CB662" s="74"/>
      <c r="CC662" s="74"/>
      <c r="CD662" s="74"/>
      <c r="CE662" s="74"/>
      <c r="CF662" s="74"/>
      <c r="CG662" s="74"/>
      <c r="CH662" s="74"/>
      <c r="CI662" s="74"/>
      <c r="CJ662" s="74"/>
      <c r="CK662" s="74"/>
      <c r="CL662" s="74"/>
      <c r="CM662" s="74"/>
      <c r="CN662" s="74"/>
      <c r="CO662" s="74"/>
      <c r="CP662" s="74"/>
      <c r="CQ662" s="74"/>
      <c r="CR662" s="74"/>
      <c r="CS662" s="74"/>
      <c r="CT662" s="74"/>
      <c r="CU662" s="74"/>
      <c r="CV662" s="74"/>
      <c r="CW662" s="74"/>
      <c r="CX662" s="74"/>
      <c r="CY662" s="74"/>
      <c r="CZ662" s="74"/>
      <c r="DA662" s="74"/>
      <c r="DB662" s="74"/>
      <c r="DC662" s="74"/>
      <c r="DD662" s="74"/>
      <c r="DE662" s="74"/>
      <c r="DF662" s="74"/>
      <c r="DG662" s="74"/>
      <c r="DH662" s="74"/>
      <c r="DI662" s="74"/>
      <c r="DJ662" s="74"/>
      <c r="DK662" s="74"/>
      <c r="DL662" s="74"/>
      <c r="DM662" s="74"/>
      <c r="DN662" s="74"/>
      <c r="DO662" s="74"/>
      <c r="DP662" s="74"/>
      <c r="DQ662" s="74"/>
      <c r="DR662" s="74"/>
      <c r="DS662" s="74"/>
      <c r="DT662" s="74"/>
      <c r="DU662" s="74"/>
      <c r="DV662" s="74"/>
      <c r="DW662" s="74"/>
      <c r="DX662" s="74"/>
      <c r="DY662" s="74"/>
      <c r="DZ662" s="74"/>
      <c r="EA662" s="74"/>
      <c r="EB662" s="74"/>
      <c r="EC662" s="74"/>
      <c r="ED662" s="74"/>
      <c r="EE662" s="74"/>
      <c r="EF662" s="74"/>
      <c r="EG662" s="74"/>
      <c r="EH662" s="74"/>
      <c r="EI662" s="74"/>
      <c r="EJ662" s="74"/>
      <c r="EK662" s="74"/>
      <c r="EL662" s="74"/>
      <c r="EM662" s="74"/>
      <c r="EN662" s="74"/>
      <c r="EO662" s="74"/>
      <c r="EP662" s="74"/>
      <c r="EQ662" s="74"/>
      <c r="ER662" s="74"/>
      <c r="ES662" s="74"/>
      <c r="ET662" s="74"/>
      <c r="EU662" s="74"/>
      <c r="EV662" s="74"/>
      <c r="EW662" s="74"/>
      <c r="EX662" s="74"/>
      <c r="EY662" s="74"/>
      <c r="EZ662" s="74"/>
      <c r="FA662" s="74"/>
      <c r="FB662" s="74"/>
      <c r="FC662" s="74"/>
      <c r="FD662" s="74"/>
      <c r="FE662" s="74"/>
      <c r="FF662" s="74"/>
      <c r="FG662" s="74"/>
      <c r="FH662" s="74"/>
      <c r="FI662" s="74"/>
      <c r="FJ662" s="74"/>
      <c r="FK662" s="74"/>
      <c r="FL662" s="74"/>
      <c r="FM662" s="74"/>
      <c r="FN662" s="74"/>
      <c r="FO662" s="74"/>
      <c r="FP662" s="74"/>
      <c r="FQ662" s="74"/>
      <c r="FR662" s="74"/>
      <c r="FS662" s="74"/>
      <c r="FT662" s="74"/>
      <c r="FU662" s="74"/>
      <c r="FV662" s="74"/>
      <c r="FW662" s="74"/>
      <c r="FX662" s="74"/>
      <c r="FY662" s="74"/>
      <c r="FZ662" s="74"/>
      <c r="GA662" s="74"/>
      <c r="GB662" s="74"/>
      <c r="GC662" s="74"/>
      <c r="GD662" s="74"/>
      <c r="GE662" s="74"/>
      <c r="GF662" s="74"/>
      <c r="GG662" s="74"/>
      <c r="GH662" s="74"/>
      <c r="GI662" s="74"/>
      <c r="GJ662" s="74"/>
      <c r="GK662" s="74"/>
      <c r="GL662" s="74"/>
      <c r="GM662" s="74"/>
      <c r="GN662" s="74"/>
      <c r="GO662" s="74"/>
      <c r="GP662" s="74"/>
      <c r="GQ662" s="74"/>
      <c r="GR662" s="74"/>
      <c r="GS662" s="74"/>
      <c r="GT662" s="74"/>
      <c r="GU662" s="74"/>
      <c r="GV662" s="74"/>
      <c r="GW662" s="74"/>
      <c r="GX662" s="74"/>
      <c r="GY662" s="74"/>
      <c r="GZ662" s="74"/>
      <c r="HA662" s="74"/>
      <c r="HB662" s="74"/>
      <c r="HC662" s="74"/>
      <c r="HD662" s="74"/>
      <c r="HE662" s="74"/>
      <c r="HF662" s="74"/>
      <c r="HG662" s="74"/>
      <c r="HH662" s="74"/>
      <c r="HI662" s="74"/>
      <c r="HJ662" s="74"/>
      <c r="HK662" s="74"/>
      <c r="HL662" s="74"/>
      <c r="HM662" s="74"/>
      <c r="HN662" s="74"/>
      <c r="HO662" s="74"/>
      <c r="HP662" s="74"/>
    </row>
    <row r="663" spans="3:224" s="75" customFormat="1" ht="20.100000000000001" customHeight="1">
      <c r="C663" s="36">
        <v>15811003</v>
      </c>
      <c r="D663" s="71" t="s">
        <v>584</v>
      </c>
      <c r="E663" s="71">
        <v>11200003</v>
      </c>
      <c r="F663" s="71">
        <v>18031</v>
      </c>
      <c r="G663" s="71">
        <v>1</v>
      </c>
      <c r="H663" s="71">
        <v>60</v>
      </c>
      <c r="I663" s="72">
        <v>0.2</v>
      </c>
      <c r="J663" s="73">
        <v>35</v>
      </c>
      <c r="K663" s="71">
        <v>0</v>
      </c>
      <c r="L663" s="71">
        <v>34995</v>
      </c>
      <c r="M663" s="71">
        <v>0</v>
      </c>
      <c r="N663" s="71">
        <v>0</v>
      </c>
      <c r="O663" s="71">
        <v>0</v>
      </c>
      <c r="P663" s="71">
        <v>0</v>
      </c>
      <c r="Q663" s="71">
        <v>315</v>
      </c>
      <c r="R663" s="71">
        <v>609</v>
      </c>
      <c r="S663" s="71">
        <v>315</v>
      </c>
      <c r="T663" s="71">
        <v>609</v>
      </c>
      <c r="U663" s="72">
        <v>0</v>
      </c>
      <c r="V663" s="71">
        <v>0</v>
      </c>
      <c r="W663" s="71">
        <v>0</v>
      </c>
      <c r="X663" s="71">
        <v>0</v>
      </c>
      <c r="Y663" s="72">
        <v>0</v>
      </c>
      <c r="Z663" s="72">
        <v>0</v>
      </c>
      <c r="AA663" s="72">
        <v>0</v>
      </c>
      <c r="AB663" s="72">
        <v>201003</v>
      </c>
      <c r="AC663" s="72">
        <v>200</v>
      </c>
      <c r="AD663" s="72">
        <v>1</v>
      </c>
      <c r="AE663" s="72"/>
      <c r="AF663" s="74"/>
      <c r="AG663" s="74"/>
      <c r="AH663" s="74"/>
      <c r="AI663" s="74"/>
      <c r="AJ663" s="74"/>
      <c r="AK663" s="74"/>
      <c r="AL663" s="74"/>
      <c r="AM663" s="74"/>
      <c r="AN663" s="74"/>
      <c r="AO663" s="74"/>
      <c r="AP663" s="74"/>
      <c r="AQ663" s="74"/>
      <c r="AR663" s="74"/>
      <c r="AS663" s="74"/>
      <c r="AT663" s="74"/>
      <c r="AU663" s="74"/>
      <c r="AV663" s="74"/>
      <c r="AW663" s="74"/>
      <c r="AX663" s="74"/>
      <c r="AY663" s="74"/>
      <c r="AZ663" s="74"/>
      <c r="BA663" s="74"/>
      <c r="BB663" s="74"/>
      <c r="BC663" s="74"/>
      <c r="BD663" s="74"/>
      <c r="BE663" s="74"/>
      <c r="BF663" s="74"/>
      <c r="BG663" s="74"/>
      <c r="BH663" s="74"/>
      <c r="BI663" s="74"/>
      <c r="BJ663" s="74"/>
      <c r="BK663" s="74"/>
      <c r="BL663" s="74"/>
      <c r="BM663" s="74"/>
      <c r="BN663" s="74"/>
      <c r="BO663" s="74"/>
      <c r="BP663" s="74"/>
      <c r="BQ663" s="74"/>
      <c r="BR663" s="74"/>
      <c r="BS663" s="74"/>
      <c r="BT663" s="74"/>
      <c r="BU663" s="74"/>
      <c r="BV663" s="74"/>
      <c r="BW663" s="74"/>
      <c r="BX663" s="74"/>
      <c r="BY663" s="74"/>
      <c r="BZ663" s="74"/>
      <c r="CA663" s="74"/>
      <c r="CB663" s="74"/>
      <c r="CC663" s="74"/>
      <c r="CD663" s="74"/>
      <c r="CE663" s="74"/>
      <c r="CF663" s="74"/>
      <c r="CG663" s="74"/>
      <c r="CH663" s="74"/>
      <c r="CI663" s="74"/>
      <c r="CJ663" s="74"/>
      <c r="CK663" s="74"/>
      <c r="CL663" s="74"/>
      <c r="CM663" s="74"/>
      <c r="CN663" s="74"/>
      <c r="CO663" s="74"/>
      <c r="CP663" s="74"/>
      <c r="CQ663" s="74"/>
      <c r="CR663" s="74"/>
      <c r="CS663" s="74"/>
      <c r="CT663" s="74"/>
      <c r="CU663" s="74"/>
      <c r="CV663" s="74"/>
      <c r="CW663" s="74"/>
      <c r="CX663" s="74"/>
      <c r="CY663" s="74"/>
      <c r="CZ663" s="74"/>
      <c r="DA663" s="74"/>
      <c r="DB663" s="74"/>
      <c r="DC663" s="74"/>
      <c r="DD663" s="74"/>
      <c r="DE663" s="74"/>
      <c r="DF663" s="74"/>
      <c r="DG663" s="74"/>
      <c r="DH663" s="74"/>
      <c r="DI663" s="74"/>
      <c r="DJ663" s="74"/>
      <c r="DK663" s="74"/>
      <c r="DL663" s="74"/>
      <c r="DM663" s="74"/>
      <c r="DN663" s="74"/>
      <c r="DO663" s="74"/>
      <c r="DP663" s="74"/>
      <c r="DQ663" s="74"/>
      <c r="DR663" s="74"/>
      <c r="DS663" s="74"/>
      <c r="DT663" s="74"/>
      <c r="DU663" s="74"/>
      <c r="DV663" s="74"/>
      <c r="DW663" s="74"/>
      <c r="DX663" s="74"/>
      <c r="DY663" s="74"/>
      <c r="DZ663" s="74"/>
      <c r="EA663" s="74"/>
      <c r="EB663" s="74"/>
      <c r="EC663" s="74"/>
      <c r="ED663" s="74"/>
      <c r="EE663" s="74"/>
      <c r="EF663" s="74"/>
      <c r="EG663" s="74"/>
      <c r="EH663" s="74"/>
      <c r="EI663" s="74"/>
      <c r="EJ663" s="74"/>
      <c r="EK663" s="74"/>
      <c r="EL663" s="74"/>
      <c r="EM663" s="74"/>
      <c r="EN663" s="74"/>
      <c r="EO663" s="74"/>
      <c r="EP663" s="74"/>
      <c r="EQ663" s="74"/>
      <c r="ER663" s="74"/>
      <c r="ES663" s="74"/>
      <c r="ET663" s="74"/>
      <c r="EU663" s="74"/>
      <c r="EV663" s="74"/>
      <c r="EW663" s="74"/>
      <c r="EX663" s="74"/>
      <c r="EY663" s="74"/>
      <c r="EZ663" s="74"/>
      <c r="FA663" s="74"/>
      <c r="FB663" s="74"/>
      <c r="FC663" s="74"/>
      <c r="FD663" s="74"/>
      <c r="FE663" s="74"/>
      <c r="FF663" s="74"/>
      <c r="FG663" s="74"/>
      <c r="FH663" s="74"/>
      <c r="FI663" s="74"/>
      <c r="FJ663" s="74"/>
      <c r="FK663" s="74"/>
      <c r="FL663" s="74"/>
      <c r="FM663" s="74"/>
      <c r="FN663" s="74"/>
      <c r="FO663" s="74"/>
      <c r="FP663" s="74"/>
      <c r="FQ663" s="74"/>
      <c r="FR663" s="74"/>
      <c r="FS663" s="74"/>
      <c r="FT663" s="74"/>
      <c r="FU663" s="74"/>
      <c r="FV663" s="74"/>
      <c r="FW663" s="74"/>
      <c r="FX663" s="74"/>
      <c r="FY663" s="74"/>
      <c r="FZ663" s="74"/>
      <c r="GA663" s="74"/>
      <c r="GB663" s="74"/>
      <c r="GC663" s="74"/>
      <c r="GD663" s="74"/>
      <c r="GE663" s="74"/>
      <c r="GF663" s="74"/>
      <c r="GG663" s="74"/>
      <c r="GH663" s="74"/>
      <c r="GI663" s="74"/>
      <c r="GJ663" s="74"/>
      <c r="GK663" s="74"/>
      <c r="GL663" s="74"/>
      <c r="GM663" s="74"/>
      <c r="GN663" s="74"/>
      <c r="GO663" s="74"/>
      <c r="GP663" s="74"/>
      <c r="GQ663" s="74"/>
      <c r="GR663" s="74"/>
      <c r="GS663" s="74"/>
      <c r="GT663" s="74"/>
      <c r="GU663" s="74"/>
      <c r="GV663" s="74"/>
      <c r="GW663" s="74"/>
      <c r="GX663" s="74"/>
      <c r="GY663" s="74"/>
      <c r="GZ663" s="74"/>
      <c r="HA663" s="74"/>
      <c r="HB663" s="74"/>
      <c r="HC663" s="74"/>
      <c r="HD663" s="74"/>
      <c r="HE663" s="74"/>
      <c r="HF663" s="74"/>
      <c r="HG663" s="74"/>
      <c r="HH663" s="74"/>
      <c r="HI663" s="74"/>
      <c r="HJ663" s="74"/>
      <c r="HK663" s="74"/>
      <c r="HL663" s="74"/>
      <c r="HM663" s="74"/>
      <c r="HN663" s="74"/>
      <c r="HO663" s="74"/>
      <c r="HP663" s="74"/>
    </row>
    <row r="664" spans="3:224" ht="20.100000000000001" customHeight="1">
      <c r="C664" s="48">
        <v>16000101</v>
      </c>
      <c r="D664" s="49" t="s">
        <v>588</v>
      </c>
      <c r="E664" s="25">
        <v>11200003</v>
      </c>
      <c r="F664" s="25">
        <v>30001</v>
      </c>
      <c r="G664" s="25">
        <v>1</v>
      </c>
      <c r="H664" s="25">
        <v>9</v>
      </c>
      <c r="I664" s="29">
        <v>0</v>
      </c>
      <c r="J664" s="30">
        <v>0</v>
      </c>
      <c r="K664" s="25">
        <v>0</v>
      </c>
      <c r="L664" s="25">
        <v>0</v>
      </c>
      <c r="M664" s="25">
        <v>0</v>
      </c>
      <c r="N664" s="25">
        <v>0</v>
      </c>
      <c r="O664" s="25">
        <v>0</v>
      </c>
      <c r="P664" s="25">
        <v>0</v>
      </c>
      <c r="Q664" s="25">
        <v>0</v>
      </c>
      <c r="R664" s="25">
        <v>0</v>
      </c>
      <c r="S664" s="25">
        <v>0</v>
      </c>
      <c r="T664" s="25">
        <v>0</v>
      </c>
      <c r="U664" s="29">
        <v>0</v>
      </c>
      <c r="V664" s="25">
        <v>0</v>
      </c>
      <c r="W664" s="25">
        <v>0</v>
      </c>
      <c r="X664" s="25">
        <v>0</v>
      </c>
      <c r="Y664" s="29">
        <v>0</v>
      </c>
      <c r="Z664" s="29">
        <v>0</v>
      </c>
      <c r="AA664" s="29">
        <v>0</v>
      </c>
      <c r="AB664" s="29">
        <v>105101</v>
      </c>
      <c r="AC664" s="29">
        <v>1</v>
      </c>
      <c r="AD664" s="29">
        <v>0</v>
      </c>
      <c r="AE664" s="29"/>
      <c r="GR664" s="5"/>
      <c r="GS664" s="5"/>
      <c r="GT664" s="5"/>
      <c r="GU664" s="5"/>
      <c r="GV664" s="5"/>
      <c r="GW664" s="5"/>
      <c r="GX664" s="5"/>
      <c r="GY664" s="5"/>
      <c r="GZ664" s="5"/>
      <c r="HA664" s="5"/>
      <c r="HB664" s="5"/>
      <c r="HC664" s="5"/>
      <c r="HD664" s="5"/>
      <c r="HE664" s="5"/>
      <c r="HF664" s="5"/>
      <c r="HG664" s="5"/>
      <c r="HH664" s="5"/>
      <c r="HI664" s="5"/>
      <c r="HJ664" s="5"/>
      <c r="HK664" s="5"/>
      <c r="HL664" s="5"/>
      <c r="HM664" s="5"/>
      <c r="HN664" s="5"/>
      <c r="HO664" s="5"/>
      <c r="HP664" s="5"/>
    </row>
    <row r="665" spans="3:224" ht="20.100000000000001" customHeight="1">
      <c r="C665" s="48">
        <v>16000102</v>
      </c>
      <c r="D665" s="49" t="s">
        <v>589</v>
      </c>
      <c r="E665" s="25">
        <v>11200003</v>
      </c>
      <c r="F665" s="25">
        <v>30001</v>
      </c>
      <c r="G665" s="25">
        <v>1</v>
      </c>
      <c r="H665" s="25">
        <v>9</v>
      </c>
      <c r="I665" s="29">
        <v>0</v>
      </c>
      <c r="J665" s="30">
        <v>0</v>
      </c>
      <c r="K665" s="25">
        <v>0</v>
      </c>
      <c r="L665" s="25">
        <v>0</v>
      </c>
      <c r="M665" s="25">
        <v>0</v>
      </c>
      <c r="N665" s="25">
        <v>0</v>
      </c>
      <c r="O665" s="25">
        <v>0</v>
      </c>
      <c r="P665" s="25">
        <v>0</v>
      </c>
      <c r="Q665" s="25">
        <v>0</v>
      </c>
      <c r="R665" s="25">
        <v>0</v>
      </c>
      <c r="S665" s="25">
        <v>0</v>
      </c>
      <c r="T665" s="25">
        <v>0</v>
      </c>
      <c r="U665" s="29">
        <v>0</v>
      </c>
      <c r="V665" s="25">
        <v>0</v>
      </c>
      <c r="W665" s="25">
        <v>0</v>
      </c>
      <c r="X665" s="25">
        <v>0</v>
      </c>
      <c r="Y665" s="29">
        <v>0</v>
      </c>
      <c r="Z665" s="29">
        <v>0</v>
      </c>
      <c r="AA665" s="29">
        <v>0</v>
      </c>
      <c r="AB665" s="29">
        <v>105501</v>
      </c>
      <c r="AC665" s="29">
        <v>1</v>
      </c>
      <c r="AD665" s="29">
        <v>0</v>
      </c>
      <c r="AE665" s="29"/>
      <c r="GR665" s="5"/>
      <c r="GS665" s="5"/>
      <c r="GT665" s="5"/>
      <c r="GU665" s="5"/>
      <c r="GV665" s="5"/>
      <c r="GW665" s="5"/>
      <c r="GX665" s="5"/>
      <c r="GY665" s="5"/>
      <c r="GZ665" s="5"/>
      <c r="HA665" s="5"/>
      <c r="HB665" s="5"/>
      <c r="HC665" s="5"/>
      <c r="HD665" s="5"/>
      <c r="HE665" s="5"/>
      <c r="HF665" s="5"/>
      <c r="HG665" s="5"/>
      <c r="HH665" s="5"/>
      <c r="HI665" s="5"/>
      <c r="HJ665" s="5"/>
      <c r="HK665" s="5"/>
      <c r="HL665" s="5"/>
      <c r="HM665" s="5"/>
      <c r="HN665" s="5"/>
      <c r="HO665" s="5"/>
      <c r="HP665" s="5"/>
    </row>
    <row r="666" spans="3:224" ht="20.100000000000001" customHeight="1">
      <c r="C666" s="48">
        <v>16000103</v>
      </c>
      <c r="D666" s="49" t="s">
        <v>590</v>
      </c>
      <c r="E666" s="25">
        <v>11200003</v>
      </c>
      <c r="F666" s="25">
        <v>30001</v>
      </c>
      <c r="G666" s="25">
        <v>1</v>
      </c>
      <c r="H666" s="25">
        <v>9</v>
      </c>
      <c r="I666" s="29">
        <v>0</v>
      </c>
      <c r="J666" s="30">
        <v>0</v>
      </c>
      <c r="K666" s="25">
        <v>0</v>
      </c>
      <c r="L666" s="25">
        <v>0</v>
      </c>
      <c r="M666" s="25">
        <v>0</v>
      </c>
      <c r="N666" s="25">
        <v>0</v>
      </c>
      <c r="O666" s="25">
        <v>0</v>
      </c>
      <c r="P666" s="25">
        <v>0</v>
      </c>
      <c r="Q666" s="25">
        <v>0</v>
      </c>
      <c r="R666" s="25">
        <v>0</v>
      </c>
      <c r="S666" s="25">
        <v>0</v>
      </c>
      <c r="T666" s="25">
        <v>0</v>
      </c>
      <c r="U666" s="29">
        <v>0</v>
      </c>
      <c r="V666" s="25">
        <v>0</v>
      </c>
      <c r="W666" s="25">
        <v>0</v>
      </c>
      <c r="X666" s="25">
        <v>0</v>
      </c>
      <c r="Y666" s="29">
        <v>0</v>
      </c>
      <c r="Z666" s="29">
        <v>0</v>
      </c>
      <c r="AA666" s="29">
        <v>0</v>
      </c>
      <c r="AB666" s="29">
        <v>105301</v>
      </c>
      <c r="AC666" s="29">
        <v>1</v>
      </c>
      <c r="AD666" s="29">
        <v>0</v>
      </c>
      <c r="AE666" s="29"/>
      <c r="GR666" s="5"/>
      <c r="GS666" s="5"/>
      <c r="GT666" s="5"/>
      <c r="GU666" s="5"/>
      <c r="GV666" s="5"/>
      <c r="GW666" s="5"/>
      <c r="GX666" s="5"/>
      <c r="GY666" s="5"/>
      <c r="GZ666" s="5"/>
      <c r="HA666" s="5"/>
      <c r="HB666" s="5"/>
      <c r="HC666" s="5"/>
      <c r="HD666" s="5"/>
      <c r="HE666" s="5"/>
      <c r="HF666" s="5"/>
      <c r="HG666" s="5"/>
      <c r="HH666" s="5"/>
      <c r="HI666" s="5"/>
      <c r="HJ666" s="5"/>
      <c r="HK666" s="5"/>
      <c r="HL666" s="5"/>
      <c r="HM666" s="5"/>
      <c r="HN666" s="5"/>
      <c r="HO666" s="5"/>
      <c r="HP666" s="5"/>
    </row>
    <row r="667" spans="3:224" ht="20.100000000000001" customHeight="1">
      <c r="C667" s="48">
        <v>16000104</v>
      </c>
      <c r="D667" s="49" t="s">
        <v>591</v>
      </c>
      <c r="E667" s="25">
        <v>11200003</v>
      </c>
      <c r="F667" s="25">
        <v>30001</v>
      </c>
      <c r="G667" s="25">
        <v>1</v>
      </c>
      <c r="H667" s="25">
        <v>9</v>
      </c>
      <c r="I667" s="29">
        <v>0</v>
      </c>
      <c r="J667" s="30">
        <v>0</v>
      </c>
      <c r="K667" s="25">
        <v>0</v>
      </c>
      <c r="L667" s="25">
        <v>0</v>
      </c>
      <c r="M667" s="25">
        <v>0</v>
      </c>
      <c r="N667" s="25">
        <v>0</v>
      </c>
      <c r="O667" s="25">
        <v>0</v>
      </c>
      <c r="P667" s="25">
        <v>0</v>
      </c>
      <c r="Q667" s="25">
        <v>0</v>
      </c>
      <c r="R667" s="25">
        <v>0</v>
      </c>
      <c r="S667" s="25">
        <v>0</v>
      </c>
      <c r="T667" s="25">
        <v>0</v>
      </c>
      <c r="U667" s="29">
        <v>0</v>
      </c>
      <c r="V667" s="25">
        <v>0</v>
      </c>
      <c r="W667" s="25">
        <v>0</v>
      </c>
      <c r="X667" s="25">
        <v>0</v>
      </c>
      <c r="Y667" s="29">
        <v>0</v>
      </c>
      <c r="Z667" s="29">
        <v>0</v>
      </c>
      <c r="AA667" s="29">
        <v>0</v>
      </c>
      <c r="AB667" s="29">
        <v>105201</v>
      </c>
      <c r="AC667" s="29">
        <v>1</v>
      </c>
      <c r="AD667" s="29">
        <v>0</v>
      </c>
      <c r="AE667" s="29"/>
      <c r="GR667" s="5"/>
      <c r="GS667" s="5"/>
      <c r="GT667" s="5"/>
      <c r="GU667" s="5"/>
      <c r="GV667" s="5"/>
      <c r="GW667" s="5"/>
      <c r="GX667" s="5"/>
      <c r="GY667" s="5"/>
      <c r="GZ667" s="5"/>
      <c r="HA667" s="5"/>
      <c r="HB667" s="5"/>
      <c r="HC667" s="5"/>
      <c r="HD667" s="5"/>
      <c r="HE667" s="5"/>
      <c r="HF667" s="5"/>
      <c r="HG667" s="5"/>
      <c r="HH667" s="5"/>
      <c r="HI667" s="5"/>
      <c r="HJ667" s="5"/>
      <c r="HK667" s="5"/>
      <c r="HL667" s="5"/>
      <c r="HM667" s="5"/>
      <c r="HN667" s="5"/>
      <c r="HO667" s="5"/>
      <c r="HP667" s="5"/>
    </row>
    <row r="668" spans="3:224" ht="20.100000000000001" customHeight="1">
      <c r="C668" s="48">
        <v>16000105</v>
      </c>
      <c r="D668" s="49" t="s">
        <v>592</v>
      </c>
      <c r="E668" s="25">
        <v>11200003</v>
      </c>
      <c r="F668" s="25">
        <v>30002</v>
      </c>
      <c r="G668" s="25">
        <v>1</v>
      </c>
      <c r="H668" s="25">
        <v>9</v>
      </c>
      <c r="I668" s="29">
        <v>0</v>
      </c>
      <c r="J668" s="30">
        <v>0</v>
      </c>
      <c r="K668" s="25">
        <v>0</v>
      </c>
      <c r="L668" s="25">
        <v>0</v>
      </c>
      <c r="M668" s="25">
        <v>0</v>
      </c>
      <c r="N668" s="25">
        <v>0</v>
      </c>
      <c r="O668" s="25">
        <v>0</v>
      </c>
      <c r="P668" s="25">
        <v>0</v>
      </c>
      <c r="Q668" s="25">
        <v>0</v>
      </c>
      <c r="R668" s="25">
        <v>0</v>
      </c>
      <c r="S668" s="25">
        <v>0</v>
      </c>
      <c r="T668" s="25">
        <v>0</v>
      </c>
      <c r="U668" s="29">
        <v>0</v>
      </c>
      <c r="V668" s="25">
        <v>0</v>
      </c>
      <c r="W668" s="25">
        <v>0</v>
      </c>
      <c r="X668" s="25">
        <v>0</v>
      </c>
      <c r="Y668" s="29">
        <v>0</v>
      </c>
      <c r="Z668" s="29">
        <v>0</v>
      </c>
      <c r="AA668" s="29">
        <v>0</v>
      </c>
      <c r="AB668" s="29" t="s">
        <v>593</v>
      </c>
      <c r="AC668" s="29" t="s">
        <v>594</v>
      </c>
      <c r="AD668" s="29" t="s">
        <v>252</v>
      </c>
      <c r="AE668" s="29"/>
      <c r="GR668" s="5"/>
      <c r="GS668" s="5"/>
      <c r="GT668" s="5"/>
      <c r="GU668" s="5"/>
      <c r="GV668" s="5"/>
      <c r="GW668" s="5"/>
      <c r="GX668" s="5"/>
      <c r="GY668" s="5"/>
      <c r="GZ668" s="5"/>
      <c r="HA668" s="5"/>
      <c r="HB668" s="5"/>
      <c r="HC668" s="5"/>
      <c r="HD668" s="5"/>
      <c r="HE668" s="5"/>
      <c r="HF668" s="5"/>
      <c r="HG668" s="5"/>
      <c r="HH668" s="5"/>
      <c r="HI668" s="5"/>
      <c r="HJ668" s="5"/>
      <c r="HK668" s="5"/>
      <c r="HL668" s="5"/>
      <c r="HM668" s="5"/>
      <c r="HN668" s="5"/>
      <c r="HO668" s="5"/>
      <c r="HP668" s="5"/>
    </row>
    <row r="669" spans="3:224" ht="20.100000000000001" customHeight="1">
      <c r="C669" s="48">
        <v>16000106</v>
      </c>
      <c r="D669" s="49" t="s">
        <v>595</v>
      </c>
      <c r="E669" s="25">
        <v>11200003</v>
      </c>
      <c r="F669" s="25">
        <v>30002</v>
      </c>
      <c r="G669" s="25">
        <v>1</v>
      </c>
      <c r="H669" s="25">
        <v>9</v>
      </c>
      <c r="I669" s="29">
        <v>0</v>
      </c>
      <c r="J669" s="30">
        <v>0</v>
      </c>
      <c r="K669" s="25">
        <v>0</v>
      </c>
      <c r="L669" s="25">
        <v>0</v>
      </c>
      <c r="M669" s="25">
        <v>0</v>
      </c>
      <c r="N669" s="25">
        <v>0</v>
      </c>
      <c r="O669" s="25">
        <v>0</v>
      </c>
      <c r="P669" s="25">
        <v>0</v>
      </c>
      <c r="Q669" s="25">
        <v>0</v>
      </c>
      <c r="R669" s="25">
        <v>0</v>
      </c>
      <c r="S669" s="25">
        <v>0</v>
      </c>
      <c r="T669" s="25">
        <v>0</v>
      </c>
      <c r="U669" s="29">
        <v>0</v>
      </c>
      <c r="V669" s="25">
        <v>0</v>
      </c>
      <c r="W669" s="25">
        <v>0</v>
      </c>
      <c r="X669" s="25">
        <v>0</v>
      </c>
      <c r="Y669" s="29">
        <v>0</v>
      </c>
      <c r="Z669" s="29">
        <v>0</v>
      </c>
      <c r="AA669" s="29">
        <v>0</v>
      </c>
      <c r="AB669" s="29" t="s">
        <v>596</v>
      </c>
      <c r="AC669" s="29" t="s">
        <v>594</v>
      </c>
      <c r="AD669" s="29" t="s">
        <v>252</v>
      </c>
      <c r="AE669" s="29"/>
      <c r="GR669" s="5"/>
      <c r="GS669" s="5"/>
      <c r="GT669" s="5"/>
      <c r="GU669" s="5"/>
      <c r="GV669" s="5"/>
      <c r="GW669" s="5"/>
      <c r="GX669" s="5"/>
      <c r="GY669" s="5"/>
      <c r="GZ669" s="5"/>
      <c r="HA669" s="5"/>
      <c r="HB669" s="5"/>
      <c r="HC669" s="5"/>
      <c r="HD669" s="5"/>
      <c r="HE669" s="5"/>
      <c r="HF669" s="5"/>
      <c r="HG669" s="5"/>
      <c r="HH669" s="5"/>
      <c r="HI669" s="5"/>
      <c r="HJ669" s="5"/>
      <c r="HK669" s="5"/>
      <c r="HL669" s="5"/>
      <c r="HM669" s="5"/>
      <c r="HN669" s="5"/>
      <c r="HO669" s="5"/>
      <c r="HP669" s="5"/>
    </row>
    <row r="670" spans="3:224" ht="20.100000000000001" customHeight="1">
      <c r="C670" s="48">
        <v>16000107</v>
      </c>
      <c r="D670" s="49" t="s">
        <v>597</v>
      </c>
      <c r="E670" s="25">
        <v>11200003</v>
      </c>
      <c r="F670" s="25">
        <v>30002</v>
      </c>
      <c r="G670" s="25">
        <v>1</v>
      </c>
      <c r="H670" s="25">
        <v>9</v>
      </c>
      <c r="I670" s="29">
        <v>0</v>
      </c>
      <c r="J670" s="30">
        <v>0</v>
      </c>
      <c r="K670" s="25">
        <v>0</v>
      </c>
      <c r="L670" s="25">
        <v>0</v>
      </c>
      <c r="M670" s="25">
        <v>0</v>
      </c>
      <c r="N670" s="25">
        <v>0</v>
      </c>
      <c r="O670" s="25">
        <v>0</v>
      </c>
      <c r="P670" s="25">
        <v>0</v>
      </c>
      <c r="Q670" s="25">
        <v>0</v>
      </c>
      <c r="R670" s="25">
        <v>0</v>
      </c>
      <c r="S670" s="25">
        <v>0</v>
      </c>
      <c r="T670" s="25">
        <v>0</v>
      </c>
      <c r="U670" s="29">
        <v>0</v>
      </c>
      <c r="V670" s="25">
        <v>0</v>
      </c>
      <c r="W670" s="25">
        <v>0</v>
      </c>
      <c r="X670" s="25">
        <v>0</v>
      </c>
      <c r="Y670" s="29">
        <v>0</v>
      </c>
      <c r="Z670" s="29">
        <v>0</v>
      </c>
      <c r="AA670" s="29">
        <v>0</v>
      </c>
      <c r="AB670" s="29" t="s">
        <v>598</v>
      </c>
      <c r="AC670" s="29" t="s">
        <v>594</v>
      </c>
      <c r="AD670" s="29" t="s">
        <v>252</v>
      </c>
      <c r="AE670" s="29"/>
      <c r="GR670" s="5"/>
      <c r="GS670" s="5"/>
      <c r="GT670" s="5"/>
      <c r="GU670" s="5"/>
      <c r="GV670" s="5"/>
      <c r="GW670" s="5"/>
      <c r="GX670" s="5"/>
      <c r="GY670" s="5"/>
      <c r="GZ670" s="5"/>
      <c r="HA670" s="5"/>
      <c r="HB670" s="5"/>
      <c r="HC670" s="5"/>
      <c r="HD670" s="5"/>
      <c r="HE670" s="5"/>
      <c r="HF670" s="5"/>
      <c r="HG670" s="5"/>
      <c r="HH670" s="5"/>
      <c r="HI670" s="5"/>
      <c r="HJ670" s="5"/>
      <c r="HK670" s="5"/>
      <c r="HL670" s="5"/>
      <c r="HM670" s="5"/>
      <c r="HN670" s="5"/>
      <c r="HO670" s="5"/>
      <c r="HP670" s="5"/>
    </row>
    <row r="671" spans="3:224" ht="20.100000000000001" customHeight="1">
      <c r="C671" s="48">
        <v>16000108</v>
      </c>
      <c r="D671" s="49" t="s">
        <v>599</v>
      </c>
      <c r="E671" s="25">
        <v>11200003</v>
      </c>
      <c r="F671" s="25">
        <v>30002</v>
      </c>
      <c r="G671" s="25">
        <v>1</v>
      </c>
      <c r="H671" s="25">
        <v>9</v>
      </c>
      <c r="I671" s="29">
        <v>0</v>
      </c>
      <c r="J671" s="30">
        <v>0</v>
      </c>
      <c r="K671" s="25">
        <v>0</v>
      </c>
      <c r="L671" s="25">
        <v>0</v>
      </c>
      <c r="M671" s="25">
        <v>0</v>
      </c>
      <c r="N671" s="25">
        <v>0</v>
      </c>
      <c r="O671" s="25">
        <v>0</v>
      </c>
      <c r="P671" s="25">
        <v>0</v>
      </c>
      <c r="Q671" s="25">
        <v>0</v>
      </c>
      <c r="R671" s="25">
        <v>0</v>
      </c>
      <c r="S671" s="25">
        <v>0</v>
      </c>
      <c r="T671" s="25">
        <v>0</v>
      </c>
      <c r="U671" s="29">
        <v>0</v>
      </c>
      <c r="V671" s="25">
        <v>0</v>
      </c>
      <c r="W671" s="25">
        <v>0</v>
      </c>
      <c r="X671" s="25">
        <v>0</v>
      </c>
      <c r="Y671" s="29">
        <v>0</v>
      </c>
      <c r="Z671" s="29">
        <v>0</v>
      </c>
      <c r="AA671" s="29">
        <v>0</v>
      </c>
      <c r="AB671" s="29" t="s">
        <v>600</v>
      </c>
      <c r="AC671" s="29" t="s">
        <v>594</v>
      </c>
      <c r="AD671" s="29" t="s">
        <v>252</v>
      </c>
      <c r="AE671" s="29"/>
      <c r="GR671" s="5"/>
      <c r="GS671" s="5"/>
      <c r="GT671" s="5"/>
      <c r="GU671" s="5"/>
      <c r="GV671" s="5"/>
      <c r="GW671" s="5"/>
      <c r="GX671" s="5"/>
      <c r="GY671" s="5"/>
      <c r="GZ671" s="5"/>
      <c r="HA671" s="5"/>
      <c r="HB671" s="5"/>
      <c r="HC671" s="5"/>
      <c r="HD671" s="5"/>
      <c r="HE671" s="5"/>
      <c r="HF671" s="5"/>
      <c r="HG671" s="5"/>
      <c r="HH671" s="5"/>
      <c r="HI671" s="5"/>
      <c r="HJ671" s="5"/>
      <c r="HK671" s="5"/>
      <c r="HL671" s="5"/>
      <c r="HM671" s="5"/>
      <c r="HN671" s="5"/>
      <c r="HO671" s="5"/>
      <c r="HP671" s="5"/>
    </row>
    <row r="672" spans="3:224" ht="20.100000000000001" customHeight="1">
      <c r="C672" s="48">
        <v>16000109</v>
      </c>
      <c r="D672" s="49" t="s">
        <v>601</v>
      </c>
      <c r="E672" s="25">
        <v>11200003</v>
      </c>
      <c r="F672" s="25">
        <v>30003</v>
      </c>
      <c r="G672" s="25">
        <v>1</v>
      </c>
      <c r="H672" s="25">
        <v>9</v>
      </c>
      <c r="I672" s="29">
        <v>0</v>
      </c>
      <c r="J672" s="30">
        <v>0</v>
      </c>
      <c r="K672" s="25">
        <v>0</v>
      </c>
      <c r="L672" s="25">
        <v>0</v>
      </c>
      <c r="M672" s="25">
        <v>0</v>
      </c>
      <c r="N672" s="25">
        <v>0</v>
      </c>
      <c r="O672" s="25">
        <v>0</v>
      </c>
      <c r="P672" s="25">
        <v>0</v>
      </c>
      <c r="Q672" s="25">
        <v>0</v>
      </c>
      <c r="R672" s="25">
        <v>0</v>
      </c>
      <c r="S672" s="25">
        <v>0</v>
      </c>
      <c r="T672" s="25">
        <v>0</v>
      </c>
      <c r="U672" s="29">
        <v>0</v>
      </c>
      <c r="V672" s="25">
        <v>0</v>
      </c>
      <c r="W672" s="25">
        <v>0</v>
      </c>
      <c r="X672" s="25">
        <v>0</v>
      </c>
      <c r="Y672" s="29">
        <v>0</v>
      </c>
      <c r="Z672" s="29">
        <v>0</v>
      </c>
      <c r="AA672" s="29">
        <v>0</v>
      </c>
      <c r="AB672" s="29">
        <v>105401</v>
      </c>
      <c r="AC672" s="29">
        <v>1</v>
      </c>
      <c r="AD672" s="29">
        <v>0</v>
      </c>
      <c r="AE672" s="29"/>
      <c r="GR672" s="5"/>
      <c r="GS672" s="5"/>
      <c r="GT672" s="5"/>
      <c r="GU672" s="5"/>
      <c r="GV672" s="5"/>
      <c r="GW672" s="5"/>
      <c r="GX672" s="5"/>
      <c r="GY672" s="5"/>
      <c r="GZ672" s="5"/>
      <c r="HA672" s="5"/>
      <c r="HB672" s="5"/>
      <c r="HC672" s="5"/>
      <c r="HD672" s="5"/>
      <c r="HE672" s="5"/>
      <c r="HF672" s="5"/>
      <c r="HG672" s="5"/>
      <c r="HH672" s="5"/>
      <c r="HI672" s="5"/>
      <c r="HJ672" s="5"/>
      <c r="HK672" s="5"/>
      <c r="HL672" s="5"/>
      <c r="HM672" s="5"/>
      <c r="HN672" s="5"/>
      <c r="HO672" s="5"/>
      <c r="HP672" s="5"/>
    </row>
    <row r="673" spans="3:224" ht="20.100000000000001" customHeight="1">
      <c r="C673" s="48">
        <v>16000110</v>
      </c>
      <c r="D673" s="49" t="s">
        <v>602</v>
      </c>
      <c r="E673" s="25">
        <v>11200003</v>
      </c>
      <c r="F673" s="25">
        <v>30003</v>
      </c>
      <c r="G673" s="25">
        <v>1</v>
      </c>
      <c r="H673" s="25">
        <v>9</v>
      </c>
      <c r="I673" s="29">
        <v>0</v>
      </c>
      <c r="J673" s="30">
        <v>0</v>
      </c>
      <c r="K673" s="25">
        <v>0</v>
      </c>
      <c r="L673" s="25">
        <v>0</v>
      </c>
      <c r="M673" s="25">
        <v>0</v>
      </c>
      <c r="N673" s="25">
        <v>0</v>
      </c>
      <c r="O673" s="25">
        <v>0</v>
      </c>
      <c r="P673" s="25">
        <v>0</v>
      </c>
      <c r="Q673" s="25">
        <v>0</v>
      </c>
      <c r="R673" s="25">
        <v>0</v>
      </c>
      <c r="S673" s="25">
        <v>0</v>
      </c>
      <c r="T673" s="25">
        <v>0</v>
      </c>
      <c r="U673" s="29">
        <v>0</v>
      </c>
      <c r="V673" s="25">
        <v>0</v>
      </c>
      <c r="W673" s="25">
        <v>0</v>
      </c>
      <c r="X673" s="25">
        <v>0</v>
      </c>
      <c r="Y673" s="29">
        <v>0</v>
      </c>
      <c r="Z673" s="29">
        <v>0</v>
      </c>
      <c r="AA673" s="29">
        <v>0</v>
      </c>
      <c r="AB673" s="29" t="s">
        <v>603</v>
      </c>
      <c r="AC673" s="29" t="s">
        <v>594</v>
      </c>
      <c r="AD673" s="29" t="s">
        <v>252</v>
      </c>
      <c r="AE673" s="29"/>
      <c r="GR673" s="5"/>
      <c r="GS673" s="5"/>
      <c r="GT673" s="5"/>
      <c r="GU673" s="5"/>
      <c r="GV673" s="5"/>
      <c r="GW673" s="5"/>
      <c r="GX673" s="5"/>
      <c r="GY673" s="5"/>
      <c r="GZ673" s="5"/>
      <c r="HA673" s="5"/>
      <c r="HB673" s="5"/>
      <c r="HC673" s="5"/>
      <c r="HD673" s="5"/>
      <c r="HE673" s="5"/>
      <c r="HF673" s="5"/>
      <c r="HG673" s="5"/>
      <c r="HH673" s="5"/>
      <c r="HI673" s="5"/>
      <c r="HJ673" s="5"/>
      <c r="HK673" s="5"/>
      <c r="HL673" s="5"/>
      <c r="HM673" s="5"/>
      <c r="HN673" s="5"/>
      <c r="HO673" s="5"/>
      <c r="HP673" s="5"/>
    </row>
    <row r="674" spans="3:224" ht="20.100000000000001" customHeight="1">
      <c r="C674" s="48">
        <v>16000111</v>
      </c>
      <c r="D674" s="49" t="s">
        <v>604</v>
      </c>
      <c r="E674" s="25">
        <v>11200003</v>
      </c>
      <c r="F674" s="25">
        <v>30003</v>
      </c>
      <c r="G674" s="25">
        <v>1</v>
      </c>
      <c r="H674" s="25">
        <v>9</v>
      </c>
      <c r="I674" s="29">
        <v>0</v>
      </c>
      <c r="J674" s="30">
        <v>0</v>
      </c>
      <c r="K674" s="25">
        <v>0</v>
      </c>
      <c r="L674" s="25">
        <v>0</v>
      </c>
      <c r="M674" s="25">
        <v>0</v>
      </c>
      <c r="N674" s="25">
        <v>0</v>
      </c>
      <c r="O674" s="25">
        <v>0</v>
      </c>
      <c r="P674" s="25">
        <v>0</v>
      </c>
      <c r="Q674" s="25">
        <v>0</v>
      </c>
      <c r="R674" s="25">
        <v>0</v>
      </c>
      <c r="S674" s="25">
        <v>0</v>
      </c>
      <c r="T674" s="25">
        <v>0</v>
      </c>
      <c r="U674" s="29">
        <v>0</v>
      </c>
      <c r="V674" s="25">
        <v>0</v>
      </c>
      <c r="W674" s="25">
        <v>0</v>
      </c>
      <c r="X674" s="25">
        <v>0</v>
      </c>
      <c r="Y674" s="29">
        <v>0</v>
      </c>
      <c r="Z674" s="29">
        <v>0</v>
      </c>
      <c r="AA674" s="29">
        <v>0</v>
      </c>
      <c r="AB674" s="29" t="s">
        <v>605</v>
      </c>
      <c r="AC674" s="29" t="s">
        <v>594</v>
      </c>
      <c r="AD674" s="29" t="s">
        <v>252</v>
      </c>
      <c r="AE674" s="29"/>
      <c r="GR674" s="5"/>
      <c r="GS674" s="5"/>
      <c r="GT674" s="5"/>
      <c r="GU674" s="5"/>
      <c r="GV674" s="5"/>
      <c r="GW674" s="5"/>
      <c r="GX674" s="5"/>
      <c r="GY674" s="5"/>
      <c r="GZ674" s="5"/>
      <c r="HA674" s="5"/>
      <c r="HB674" s="5"/>
      <c r="HC674" s="5"/>
      <c r="HD674" s="5"/>
      <c r="HE674" s="5"/>
      <c r="HF674" s="5"/>
      <c r="HG674" s="5"/>
      <c r="HH674" s="5"/>
      <c r="HI674" s="5"/>
      <c r="HJ674" s="5"/>
      <c r="HK674" s="5"/>
      <c r="HL674" s="5"/>
      <c r="HM674" s="5"/>
      <c r="HN674" s="5"/>
      <c r="HO674" s="5"/>
      <c r="HP674" s="5"/>
    </row>
    <row r="675" spans="3:224" ht="20.100000000000001" customHeight="1">
      <c r="C675" s="48">
        <v>16000112</v>
      </c>
      <c r="D675" s="49" t="s">
        <v>606</v>
      </c>
      <c r="E675" s="25">
        <v>11200003</v>
      </c>
      <c r="F675" s="25">
        <v>30003</v>
      </c>
      <c r="G675" s="25">
        <v>1</v>
      </c>
      <c r="H675" s="25">
        <v>9</v>
      </c>
      <c r="I675" s="29">
        <v>0</v>
      </c>
      <c r="J675" s="30">
        <v>0</v>
      </c>
      <c r="K675" s="25">
        <v>0</v>
      </c>
      <c r="L675" s="25">
        <v>0</v>
      </c>
      <c r="M675" s="25">
        <v>0</v>
      </c>
      <c r="N675" s="25">
        <v>0</v>
      </c>
      <c r="O675" s="25">
        <v>0</v>
      </c>
      <c r="P675" s="25">
        <v>0</v>
      </c>
      <c r="Q675" s="25">
        <v>0</v>
      </c>
      <c r="R675" s="25">
        <v>0</v>
      </c>
      <c r="S675" s="25">
        <v>0</v>
      </c>
      <c r="T675" s="25">
        <v>0</v>
      </c>
      <c r="U675" s="29">
        <v>0</v>
      </c>
      <c r="V675" s="25">
        <v>0</v>
      </c>
      <c r="W675" s="25">
        <v>0</v>
      </c>
      <c r="X675" s="25">
        <v>0</v>
      </c>
      <c r="Y675" s="29">
        <v>0</v>
      </c>
      <c r="Z675" s="29">
        <v>0</v>
      </c>
      <c r="AA675" s="29">
        <v>0</v>
      </c>
      <c r="AB675" s="29" t="s">
        <v>607</v>
      </c>
      <c r="AC675" s="29" t="s">
        <v>594</v>
      </c>
      <c r="AD675" s="29" t="s">
        <v>252</v>
      </c>
      <c r="AE675" s="29"/>
      <c r="GR675" s="5"/>
      <c r="GS675" s="5"/>
      <c r="GT675" s="5"/>
      <c r="GU675" s="5"/>
      <c r="GV675" s="5"/>
      <c r="GW675" s="5"/>
      <c r="GX675" s="5"/>
      <c r="GY675" s="5"/>
      <c r="GZ675" s="5"/>
      <c r="HA675" s="5"/>
      <c r="HB675" s="5"/>
      <c r="HC675" s="5"/>
      <c r="HD675" s="5"/>
      <c r="HE675" s="5"/>
      <c r="HF675" s="5"/>
      <c r="HG675" s="5"/>
      <c r="HH675" s="5"/>
      <c r="HI675" s="5"/>
      <c r="HJ675" s="5"/>
      <c r="HK675" s="5"/>
      <c r="HL675" s="5"/>
      <c r="HM675" s="5"/>
      <c r="HN675" s="5"/>
      <c r="HO675" s="5"/>
      <c r="HP675" s="5"/>
    </row>
    <row r="676" spans="3:224" ht="20.100000000000001" customHeight="1">
      <c r="C676" s="48">
        <v>16000201</v>
      </c>
      <c r="D676" s="49" t="s">
        <v>608</v>
      </c>
      <c r="E676" s="25">
        <v>11200003</v>
      </c>
      <c r="F676" s="25">
        <v>30011</v>
      </c>
      <c r="G676" s="25">
        <v>1</v>
      </c>
      <c r="H676" s="25">
        <v>10</v>
      </c>
      <c r="I676" s="29">
        <v>0</v>
      </c>
      <c r="J676" s="30">
        <v>0</v>
      </c>
      <c r="K676" s="25">
        <v>0</v>
      </c>
      <c r="L676" s="25">
        <v>0</v>
      </c>
      <c r="M676" s="25">
        <v>0</v>
      </c>
      <c r="N676" s="25">
        <v>0</v>
      </c>
      <c r="O676" s="25">
        <v>0</v>
      </c>
      <c r="P676" s="25">
        <v>0</v>
      </c>
      <c r="Q676" s="25">
        <v>0</v>
      </c>
      <c r="R676" s="25">
        <v>0</v>
      </c>
      <c r="S676" s="25">
        <v>0</v>
      </c>
      <c r="T676" s="25">
        <v>0</v>
      </c>
      <c r="U676" s="29">
        <v>0</v>
      </c>
      <c r="V676" s="25">
        <v>0</v>
      </c>
      <c r="W676" s="25">
        <v>0</v>
      </c>
      <c r="X676" s="25">
        <v>0</v>
      </c>
      <c r="Y676" s="29">
        <v>0</v>
      </c>
      <c r="Z676" s="29">
        <v>0</v>
      </c>
      <c r="AA676" s="29">
        <v>0</v>
      </c>
      <c r="AB676" s="29">
        <v>105101</v>
      </c>
      <c r="AC676" s="29">
        <v>5</v>
      </c>
      <c r="AD676" s="29">
        <v>0</v>
      </c>
      <c r="AE676" s="29"/>
      <c r="GR676" s="5"/>
      <c r="GS676" s="5"/>
      <c r="GT676" s="5"/>
      <c r="GU676" s="5"/>
      <c r="GV676" s="5"/>
      <c r="GW676" s="5"/>
      <c r="GX676" s="5"/>
      <c r="GY676" s="5"/>
      <c r="GZ676" s="5"/>
      <c r="HA676" s="5"/>
      <c r="HB676" s="5"/>
      <c r="HC676" s="5"/>
      <c r="HD676" s="5"/>
      <c r="HE676" s="5"/>
      <c r="HF676" s="5"/>
      <c r="HG676" s="5"/>
      <c r="HH676" s="5"/>
      <c r="HI676" s="5"/>
      <c r="HJ676" s="5"/>
      <c r="HK676" s="5"/>
      <c r="HL676" s="5"/>
      <c r="HM676" s="5"/>
      <c r="HN676" s="5"/>
      <c r="HO676" s="5"/>
      <c r="HP676" s="5"/>
    </row>
    <row r="677" spans="3:224" ht="20.100000000000001" customHeight="1">
      <c r="C677" s="48">
        <v>16000202</v>
      </c>
      <c r="D677" s="49" t="s">
        <v>609</v>
      </c>
      <c r="E677" s="25">
        <v>11200003</v>
      </c>
      <c r="F677" s="25">
        <v>30011</v>
      </c>
      <c r="G677" s="25">
        <v>1</v>
      </c>
      <c r="H677" s="25">
        <v>10</v>
      </c>
      <c r="I677" s="29">
        <v>0</v>
      </c>
      <c r="J677" s="30">
        <v>0</v>
      </c>
      <c r="K677" s="25">
        <v>0</v>
      </c>
      <c r="L677" s="25">
        <v>0</v>
      </c>
      <c r="M677" s="25">
        <v>0</v>
      </c>
      <c r="N677" s="25">
        <v>0</v>
      </c>
      <c r="O677" s="25">
        <v>0</v>
      </c>
      <c r="P677" s="25">
        <v>0</v>
      </c>
      <c r="Q677" s="25">
        <v>0</v>
      </c>
      <c r="R677" s="25">
        <v>0</v>
      </c>
      <c r="S677" s="25">
        <v>0</v>
      </c>
      <c r="T677" s="25">
        <v>0</v>
      </c>
      <c r="U677" s="29">
        <v>0</v>
      </c>
      <c r="V677" s="25">
        <v>0</v>
      </c>
      <c r="W677" s="25">
        <v>0</v>
      </c>
      <c r="X677" s="25">
        <v>0</v>
      </c>
      <c r="Y677" s="29">
        <v>0</v>
      </c>
      <c r="Z677" s="29">
        <v>0</v>
      </c>
      <c r="AA677" s="29">
        <v>0</v>
      </c>
      <c r="AB677" s="29">
        <v>105501</v>
      </c>
      <c r="AC677" s="29">
        <v>5</v>
      </c>
      <c r="AD677" s="29">
        <v>0</v>
      </c>
      <c r="AE677" s="29"/>
      <c r="GR677" s="5"/>
      <c r="GS677" s="5"/>
      <c r="GT677" s="5"/>
      <c r="GU677" s="5"/>
      <c r="GV677" s="5"/>
      <c r="GW677" s="5"/>
      <c r="GX677" s="5"/>
      <c r="GY677" s="5"/>
      <c r="GZ677" s="5"/>
      <c r="HA677" s="5"/>
      <c r="HB677" s="5"/>
      <c r="HC677" s="5"/>
      <c r="HD677" s="5"/>
      <c r="HE677" s="5"/>
      <c r="HF677" s="5"/>
      <c r="HG677" s="5"/>
      <c r="HH677" s="5"/>
      <c r="HI677" s="5"/>
      <c r="HJ677" s="5"/>
      <c r="HK677" s="5"/>
      <c r="HL677" s="5"/>
      <c r="HM677" s="5"/>
      <c r="HN677" s="5"/>
      <c r="HO677" s="5"/>
      <c r="HP677" s="5"/>
    </row>
    <row r="678" spans="3:224" ht="20.100000000000001" customHeight="1">
      <c r="C678" s="48">
        <v>16000203</v>
      </c>
      <c r="D678" s="49" t="s">
        <v>610</v>
      </c>
      <c r="E678" s="25">
        <v>11200003</v>
      </c>
      <c r="F678" s="25">
        <v>30011</v>
      </c>
      <c r="G678" s="25">
        <v>1</v>
      </c>
      <c r="H678" s="25">
        <v>10</v>
      </c>
      <c r="I678" s="29">
        <v>0</v>
      </c>
      <c r="J678" s="30">
        <v>0</v>
      </c>
      <c r="K678" s="25">
        <v>0</v>
      </c>
      <c r="L678" s="25">
        <v>0</v>
      </c>
      <c r="M678" s="25">
        <v>0</v>
      </c>
      <c r="N678" s="25">
        <v>0</v>
      </c>
      <c r="O678" s="25">
        <v>0</v>
      </c>
      <c r="P678" s="25">
        <v>0</v>
      </c>
      <c r="Q678" s="25">
        <v>0</v>
      </c>
      <c r="R678" s="25">
        <v>0</v>
      </c>
      <c r="S678" s="25">
        <v>0</v>
      </c>
      <c r="T678" s="25">
        <v>0</v>
      </c>
      <c r="U678" s="29">
        <v>0</v>
      </c>
      <c r="V678" s="25">
        <v>0</v>
      </c>
      <c r="W678" s="25">
        <v>0</v>
      </c>
      <c r="X678" s="25">
        <v>0</v>
      </c>
      <c r="Y678" s="29">
        <v>0</v>
      </c>
      <c r="Z678" s="29">
        <v>0</v>
      </c>
      <c r="AA678" s="29">
        <v>0</v>
      </c>
      <c r="AB678" s="29">
        <v>105301</v>
      </c>
      <c r="AC678" s="29">
        <v>5</v>
      </c>
      <c r="AD678" s="29">
        <v>0</v>
      </c>
      <c r="AE678" s="29"/>
      <c r="GR678" s="5"/>
      <c r="GS678" s="5"/>
      <c r="GT678" s="5"/>
      <c r="GU678" s="5"/>
      <c r="GV678" s="5"/>
      <c r="GW678" s="5"/>
      <c r="GX678" s="5"/>
      <c r="GY678" s="5"/>
      <c r="GZ678" s="5"/>
      <c r="HA678" s="5"/>
      <c r="HB678" s="5"/>
      <c r="HC678" s="5"/>
      <c r="HD678" s="5"/>
      <c r="HE678" s="5"/>
      <c r="HF678" s="5"/>
      <c r="HG678" s="5"/>
      <c r="HH678" s="5"/>
      <c r="HI678" s="5"/>
      <c r="HJ678" s="5"/>
      <c r="HK678" s="5"/>
      <c r="HL678" s="5"/>
      <c r="HM678" s="5"/>
      <c r="HN678" s="5"/>
      <c r="HO678" s="5"/>
      <c r="HP678" s="5"/>
    </row>
    <row r="679" spans="3:224" ht="20.100000000000001" customHeight="1">
      <c r="C679" s="48">
        <v>16000204</v>
      </c>
      <c r="D679" s="49" t="s">
        <v>611</v>
      </c>
      <c r="E679" s="25">
        <v>11200003</v>
      </c>
      <c r="F679" s="25">
        <v>30011</v>
      </c>
      <c r="G679" s="25">
        <v>1</v>
      </c>
      <c r="H679" s="25">
        <v>10</v>
      </c>
      <c r="I679" s="29">
        <v>0</v>
      </c>
      <c r="J679" s="30">
        <v>0</v>
      </c>
      <c r="K679" s="25">
        <v>0</v>
      </c>
      <c r="L679" s="25">
        <v>0</v>
      </c>
      <c r="M679" s="25">
        <v>0</v>
      </c>
      <c r="N679" s="25">
        <v>0</v>
      </c>
      <c r="O679" s="25">
        <v>0</v>
      </c>
      <c r="P679" s="25">
        <v>0</v>
      </c>
      <c r="Q679" s="25">
        <v>0</v>
      </c>
      <c r="R679" s="25">
        <v>0</v>
      </c>
      <c r="S679" s="25">
        <v>0</v>
      </c>
      <c r="T679" s="25">
        <v>0</v>
      </c>
      <c r="U679" s="29">
        <v>0</v>
      </c>
      <c r="V679" s="25">
        <v>0</v>
      </c>
      <c r="W679" s="25">
        <v>0</v>
      </c>
      <c r="X679" s="25">
        <v>0</v>
      </c>
      <c r="Y679" s="29">
        <v>0</v>
      </c>
      <c r="Z679" s="29">
        <v>0</v>
      </c>
      <c r="AA679" s="29">
        <v>0</v>
      </c>
      <c r="AB679" s="29">
        <v>105201</v>
      </c>
      <c r="AC679" s="29">
        <v>5</v>
      </c>
      <c r="AD679" s="29">
        <v>0</v>
      </c>
      <c r="AE679" s="29"/>
      <c r="GR679" s="5"/>
      <c r="GS679" s="5"/>
      <c r="GT679" s="5"/>
      <c r="GU679" s="5"/>
      <c r="GV679" s="5"/>
      <c r="GW679" s="5"/>
      <c r="GX679" s="5"/>
      <c r="GY679" s="5"/>
      <c r="GZ679" s="5"/>
      <c r="HA679" s="5"/>
      <c r="HB679" s="5"/>
      <c r="HC679" s="5"/>
      <c r="HD679" s="5"/>
      <c r="HE679" s="5"/>
      <c r="HF679" s="5"/>
      <c r="HG679" s="5"/>
      <c r="HH679" s="5"/>
      <c r="HI679" s="5"/>
      <c r="HJ679" s="5"/>
      <c r="HK679" s="5"/>
      <c r="HL679" s="5"/>
      <c r="HM679" s="5"/>
      <c r="HN679" s="5"/>
      <c r="HO679" s="5"/>
      <c r="HP679" s="5"/>
    </row>
    <row r="680" spans="3:224" ht="20.100000000000001" customHeight="1">
      <c r="C680" s="48">
        <v>16000205</v>
      </c>
      <c r="D680" s="49" t="s">
        <v>612</v>
      </c>
      <c r="E680" s="25">
        <v>11200003</v>
      </c>
      <c r="F680" s="25">
        <v>30012</v>
      </c>
      <c r="G680" s="25">
        <v>1</v>
      </c>
      <c r="H680" s="25">
        <v>10</v>
      </c>
      <c r="I680" s="29">
        <v>0</v>
      </c>
      <c r="J680" s="30">
        <v>0</v>
      </c>
      <c r="K680" s="25">
        <v>0</v>
      </c>
      <c r="L680" s="25">
        <v>0</v>
      </c>
      <c r="M680" s="25">
        <v>0</v>
      </c>
      <c r="N680" s="25">
        <v>0</v>
      </c>
      <c r="O680" s="25">
        <v>0</v>
      </c>
      <c r="P680" s="25">
        <v>0</v>
      </c>
      <c r="Q680" s="25">
        <v>0</v>
      </c>
      <c r="R680" s="25">
        <v>0</v>
      </c>
      <c r="S680" s="25">
        <v>0</v>
      </c>
      <c r="T680" s="25">
        <v>0</v>
      </c>
      <c r="U680" s="29">
        <v>0</v>
      </c>
      <c r="V680" s="25">
        <v>0</v>
      </c>
      <c r="W680" s="25">
        <v>0</v>
      </c>
      <c r="X680" s="25">
        <v>0</v>
      </c>
      <c r="Y680" s="29">
        <v>0</v>
      </c>
      <c r="Z680" s="29">
        <v>0</v>
      </c>
      <c r="AA680" s="29">
        <v>0</v>
      </c>
      <c r="AB680" s="29" t="s">
        <v>593</v>
      </c>
      <c r="AC680" s="29" t="s">
        <v>613</v>
      </c>
      <c r="AD680" s="29" t="s">
        <v>252</v>
      </c>
      <c r="AE680" s="29"/>
      <c r="GR680" s="5"/>
      <c r="GS680" s="5"/>
      <c r="GT680" s="5"/>
      <c r="GU680" s="5"/>
      <c r="GV680" s="5"/>
      <c r="GW680" s="5"/>
      <c r="GX680" s="5"/>
      <c r="GY680" s="5"/>
      <c r="GZ680" s="5"/>
      <c r="HA680" s="5"/>
      <c r="HB680" s="5"/>
      <c r="HC680" s="5"/>
      <c r="HD680" s="5"/>
      <c r="HE680" s="5"/>
      <c r="HF680" s="5"/>
      <c r="HG680" s="5"/>
      <c r="HH680" s="5"/>
      <c r="HI680" s="5"/>
      <c r="HJ680" s="5"/>
      <c r="HK680" s="5"/>
      <c r="HL680" s="5"/>
      <c r="HM680" s="5"/>
      <c r="HN680" s="5"/>
      <c r="HO680" s="5"/>
      <c r="HP680" s="5"/>
    </row>
    <row r="681" spans="3:224" ht="20.100000000000001" customHeight="1">
      <c r="C681" s="48">
        <v>16000206</v>
      </c>
      <c r="D681" s="49" t="s">
        <v>614</v>
      </c>
      <c r="E681" s="25">
        <v>11200003</v>
      </c>
      <c r="F681" s="25">
        <v>30012</v>
      </c>
      <c r="G681" s="25">
        <v>1</v>
      </c>
      <c r="H681" s="25">
        <v>10</v>
      </c>
      <c r="I681" s="29">
        <v>0</v>
      </c>
      <c r="J681" s="30">
        <v>0</v>
      </c>
      <c r="K681" s="25">
        <v>0</v>
      </c>
      <c r="L681" s="25">
        <v>0</v>
      </c>
      <c r="M681" s="25">
        <v>0</v>
      </c>
      <c r="N681" s="25">
        <v>0</v>
      </c>
      <c r="O681" s="25">
        <v>0</v>
      </c>
      <c r="P681" s="25">
        <v>0</v>
      </c>
      <c r="Q681" s="25">
        <v>0</v>
      </c>
      <c r="R681" s="25">
        <v>0</v>
      </c>
      <c r="S681" s="25">
        <v>0</v>
      </c>
      <c r="T681" s="25">
        <v>0</v>
      </c>
      <c r="U681" s="29">
        <v>0</v>
      </c>
      <c r="V681" s="25">
        <v>0</v>
      </c>
      <c r="W681" s="25">
        <v>0</v>
      </c>
      <c r="X681" s="25">
        <v>0</v>
      </c>
      <c r="Y681" s="29">
        <v>0</v>
      </c>
      <c r="Z681" s="29">
        <v>0</v>
      </c>
      <c r="AA681" s="29">
        <v>0</v>
      </c>
      <c r="AB681" s="29" t="s">
        <v>596</v>
      </c>
      <c r="AC681" s="29" t="s">
        <v>613</v>
      </c>
      <c r="AD681" s="29" t="s">
        <v>252</v>
      </c>
      <c r="AE681" s="29"/>
      <c r="GR681" s="5"/>
      <c r="GS681" s="5"/>
      <c r="GT681" s="5"/>
      <c r="GU681" s="5"/>
      <c r="GV681" s="5"/>
      <c r="GW681" s="5"/>
      <c r="GX681" s="5"/>
      <c r="GY681" s="5"/>
      <c r="GZ681" s="5"/>
      <c r="HA681" s="5"/>
      <c r="HB681" s="5"/>
      <c r="HC681" s="5"/>
      <c r="HD681" s="5"/>
      <c r="HE681" s="5"/>
      <c r="HF681" s="5"/>
      <c r="HG681" s="5"/>
      <c r="HH681" s="5"/>
      <c r="HI681" s="5"/>
      <c r="HJ681" s="5"/>
      <c r="HK681" s="5"/>
      <c r="HL681" s="5"/>
      <c r="HM681" s="5"/>
      <c r="HN681" s="5"/>
      <c r="HO681" s="5"/>
      <c r="HP681" s="5"/>
    </row>
    <row r="682" spans="3:224" ht="20.100000000000001" customHeight="1">
      <c r="C682" s="48">
        <v>16000207</v>
      </c>
      <c r="D682" s="49" t="s">
        <v>615</v>
      </c>
      <c r="E682" s="25">
        <v>11200003</v>
      </c>
      <c r="F682" s="25">
        <v>30012</v>
      </c>
      <c r="G682" s="25">
        <v>1</v>
      </c>
      <c r="H682" s="25">
        <v>10</v>
      </c>
      <c r="I682" s="29">
        <v>0</v>
      </c>
      <c r="J682" s="30">
        <v>0</v>
      </c>
      <c r="K682" s="25">
        <v>0</v>
      </c>
      <c r="L682" s="25">
        <v>0</v>
      </c>
      <c r="M682" s="25">
        <v>0</v>
      </c>
      <c r="N682" s="25">
        <v>0</v>
      </c>
      <c r="O682" s="25">
        <v>0</v>
      </c>
      <c r="P682" s="25">
        <v>0</v>
      </c>
      <c r="Q682" s="25">
        <v>0</v>
      </c>
      <c r="R682" s="25">
        <v>0</v>
      </c>
      <c r="S682" s="25">
        <v>0</v>
      </c>
      <c r="T682" s="25">
        <v>0</v>
      </c>
      <c r="U682" s="29">
        <v>0</v>
      </c>
      <c r="V682" s="25">
        <v>0</v>
      </c>
      <c r="W682" s="25">
        <v>0</v>
      </c>
      <c r="X682" s="25">
        <v>0</v>
      </c>
      <c r="Y682" s="29">
        <v>0</v>
      </c>
      <c r="Z682" s="29">
        <v>0</v>
      </c>
      <c r="AA682" s="29">
        <v>0</v>
      </c>
      <c r="AB682" s="29" t="s">
        <v>598</v>
      </c>
      <c r="AC682" s="29" t="s">
        <v>613</v>
      </c>
      <c r="AD682" s="29" t="s">
        <v>252</v>
      </c>
      <c r="AE682" s="29"/>
      <c r="GR682" s="5"/>
      <c r="GS682" s="5"/>
      <c r="GT682" s="5"/>
      <c r="GU682" s="5"/>
      <c r="GV682" s="5"/>
      <c r="GW682" s="5"/>
      <c r="GX682" s="5"/>
      <c r="GY682" s="5"/>
      <c r="GZ682" s="5"/>
      <c r="HA682" s="5"/>
      <c r="HB682" s="5"/>
      <c r="HC682" s="5"/>
      <c r="HD682" s="5"/>
      <c r="HE682" s="5"/>
      <c r="HF682" s="5"/>
      <c r="HG682" s="5"/>
      <c r="HH682" s="5"/>
      <c r="HI682" s="5"/>
      <c r="HJ682" s="5"/>
      <c r="HK682" s="5"/>
      <c r="HL682" s="5"/>
      <c r="HM682" s="5"/>
      <c r="HN682" s="5"/>
      <c r="HO682" s="5"/>
      <c r="HP682" s="5"/>
    </row>
    <row r="683" spans="3:224" ht="20.100000000000001" customHeight="1">
      <c r="C683" s="48">
        <v>16000208</v>
      </c>
      <c r="D683" s="49" t="s">
        <v>616</v>
      </c>
      <c r="E683" s="25">
        <v>11200003</v>
      </c>
      <c r="F683" s="25">
        <v>30012</v>
      </c>
      <c r="G683" s="25">
        <v>1</v>
      </c>
      <c r="H683" s="25">
        <v>10</v>
      </c>
      <c r="I683" s="29">
        <v>0</v>
      </c>
      <c r="J683" s="30">
        <v>0</v>
      </c>
      <c r="K683" s="25">
        <v>0</v>
      </c>
      <c r="L683" s="25">
        <v>0</v>
      </c>
      <c r="M683" s="25">
        <v>0</v>
      </c>
      <c r="N683" s="25">
        <v>0</v>
      </c>
      <c r="O683" s="25">
        <v>0</v>
      </c>
      <c r="P683" s="25">
        <v>0</v>
      </c>
      <c r="Q683" s="25">
        <v>0</v>
      </c>
      <c r="R683" s="25">
        <v>0</v>
      </c>
      <c r="S683" s="25">
        <v>0</v>
      </c>
      <c r="T683" s="25">
        <v>0</v>
      </c>
      <c r="U683" s="29">
        <v>0</v>
      </c>
      <c r="V683" s="25">
        <v>0</v>
      </c>
      <c r="W683" s="25">
        <v>0</v>
      </c>
      <c r="X683" s="25">
        <v>0</v>
      </c>
      <c r="Y683" s="29">
        <v>0</v>
      </c>
      <c r="Z683" s="29">
        <v>0</v>
      </c>
      <c r="AA683" s="29">
        <v>0</v>
      </c>
      <c r="AB683" s="29" t="s">
        <v>600</v>
      </c>
      <c r="AC683" s="29" t="s">
        <v>613</v>
      </c>
      <c r="AD683" s="29" t="s">
        <v>252</v>
      </c>
      <c r="AE683" s="29"/>
      <c r="GR683" s="5"/>
      <c r="GS683" s="5"/>
      <c r="GT683" s="5"/>
      <c r="GU683" s="5"/>
      <c r="GV683" s="5"/>
      <c r="GW683" s="5"/>
      <c r="GX683" s="5"/>
      <c r="GY683" s="5"/>
      <c r="GZ683" s="5"/>
      <c r="HA683" s="5"/>
      <c r="HB683" s="5"/>
      <c r="HC683" s="5"/>
      <c r="HD683" s="5"/>
      <c r="HE683" s="5"/>
      <c r="HF683" s="5"/>
      <c r="HG683" s="5"/>
      <c r="HH683" s="5"/>
      <c r="HI683" s="5"/>
      <c r="HJ683" s="5"/>
      <c r="HK683" s="5"/>
      <c r="HL683" s="5"/>
      <c r="HM683" s="5"/>
      <c r="HN683" s="5"/>
      <c r="HO683" s="5"/>
      <c r="HP683" s="5"/>
    </row>
    <row r="684" spans="3:224" ht="20.100000000000001" customHeight="1">
      <c r="C684" s="48">
        <v>16000209</v>
      </c>
      <c r="D684" s="49" t="s">
        <v>617</v>
      </c>
      <c r="E684" s="25">
        <v>11200003</v>
      </c>
      <c r="F684" s="25">
        <v>30013</v>
      </c>
      <c r="G684" s="25">
        <v>1</v>
      </c>
      <c r="H684" s="25">
        <v>10</v>
      </c>
      <c r="I684" s="29">
        <v>0</v>
      </c>
      <c r="J684" s="30">
        <v>0</v>
      </c>
      <c r="K684" s="25">
        <v>0</v>
      </c>
      <c r="L684" s="25">
        <v>0</v>
      </c>
      <c r="M684" s="25">
        <v>0</v>
      </c>
      <c r="N684" s="25">
        <v>0</v>
      </c>
      <c r="O684" s="25">
        <v>0</v>
      </c>
      <c r="P684" s="25">
        <v>0</v>
      </c>
      <c r="Q684" s="25">
        <v>0</v>
      </c>
      <c r="R684" s="25">
        <v>0</v>
      </c>
      <c r="S684" s="25">
        <v>0</v>
      </c>
      <c r="T684" s="25">
        <v>0</v>
      </c>
      <c r="U684" s="29">
        <v>0</v>
      </c>
      <c r="V684" s="25">
        <v>0</v>
      </c>
      <c r="W684" s="25">
        <v>0</v>
      </c>
      <c r="X684" s="25">
        <v>0</v>
      </c>
      <c r="Y684" s="29">
        <v>0</v>
      </c>
      <c r="Z684" s="29">
        <v>0</v>
      </c>
      <c r="AA684" s="29">
        <v>0</v>
      </c>
      <c r="AB684" s="29">
        <v>105401</v>
      </c>
      <c r="AC684" s="29">
        <v>5</v>
      </c>
      <c r="AD684" s="29">
        <v>0</v>
      </c>
      <c r="AE684" s="29"/>
      <c r="GR684" s="5"/>
      <c r="GS684" s="5"/>
      <c r="GT684" s="5"/>
      <c r="GU684" s="5"/>
      <c r="GV684" s="5"/>
      <c r="GW684" s="5"/>
      <c r="GX684" s="5"/>
      <c r="GY684" s="5"/>
      <c r="GZ684" s="5"/>
      <c r="HA684" s="5"/>
      <c r="HB684" s="5"/>
      <c r="HC684" s="5"/>
      <c r="HD684" s="5"/>
      <c r="HE684" s="5"/>
      <c r="HF684" s="5"/>
      <c r="HG684" s="5"/>
      <c r="HH684" s="5"/>
      <c r="HI684" s="5"/>
      <c r="HJ684" s="5"/>
      <c r="HK684" s="5"/>
      <c r="HL684" s="5"/>
      <c r="HM684" s="5"/>
      <c r="HN684" s="5"/>
      <c r="HO684" s="5"/>
      <c r="HP684" s="5"/>
    </row>
    <row r="685" spans="3:224" ht="20.100000000000001" customHeight="1">
      <c r="C685" s="48">
        <v>16000210</v>
      </c>
      <c r="D685" s="49" t="s">
        <v>618</v>
      </c>
      <c r="E685" s="25">
        <v>11200003</v>
      </c>
      <c r="F685" s="25">
        <v>30013</v>
      </c>
      <c r="G685" s="25">
        <v>1</v>
      </c>
      <c r="H685" s="25">
        <v>10</v>
      </c>
      <c r="I685" s="29">
        <v>0</v>
      </c>
      <c r="J685" s="30">
        <v>0</v>
      </c>
      <c r="K685" s="25">
        <v>0</v>
      </c>
      <c r="L685" s="25">
        <v>0</v>
      </c>
      <c r="M685" s="25">
        <v>0</v>
      </c>
      <c r="N685" s="25">
        <v>0</v>
      </c>
      <c r="O685" s="25">
        <v>0</v>
      </c>
      <c r="P685" s="25">
        <v>0</v>
      </c>
      <c r="Q685" s="25">
        <v>0</v>
      </c>
      <c r="R685" s="25">
        <v>0</v>
      </c>
      <c r="S685" s="25">
        <v>0</v>
      </c>
      <c r="T685" s="25">
        <v>0</v>
      </c>
      <c r="U685" s="29">
        <v>0</v>
      </c>
      <c r="V685" s="25">
        <v>0</v>
      </c>
      <c r="W685" s="25">
        <v>0</v>
      </c>
      <c r="X685" s="25">
        <v>0</v>
      </c>
      <c r="Y685" s="29">
        <v>0</v>
      </c>
      <c r="Z685" s="29">
        <v>0</v>
      </c>
      <c r="AA685" s="29">
        <v>0</v>
      </c>
      <c r="AB685" s="29" t="s">
        <v>603</v>
      </c>
      <c r="AC685" s="29" t="s">
        <v>613</v>
      </c>
      <c r="AD685" s="29" t="s">
        <v>252</v>
      </c>
      <c r="AE685" s="29"/>
      <c r="GR685" s="5"/>
      <c r="GS685" s="5"/>
      <c r="GT685" s="5"/>
      <c r="GU685" s="5"/>
      <c r="GV685" s="5"/>
      <c r="GW685" s="5"/>
      <c r="GX685" s="5"/>
      <c r="GY685" s="5"/>
      <c r="GZ685" s="5"/>
      <c r="HA685" s="5"/>
      <c r="HB685" s="5"/>
      <c r="HC685" s="5"/>
      <c r="HD685" s="5"/>
      <c r="HE685" s="5"/>
      <c r="HF685" s="5"/>
      <c r="HG685" s="5"/>
      <c r="HH685" s="5"/>
      <c r="HI685" s="5"/>
      <c r="HJ685" s="5"/>
      <c r="HK685" s="5"/>
      <c r="HL685" s="5"/>
      <c r="HM685" s="5"/>
      <c r="HN685" s="5"/>
      <c r="HO685" s="5"/>
      <c r="HP685" s="5"/>
    </row>
    <row r="686" spans="3:224" ht="20.100000000000001" customHeight="1">
      <c r="C686" s="48">
        <v>16000211</v>
      </c>
      <c r="D686" s="49" t="s">
        <v>619</v>
      </c>
      <c r="E686" s="25">
        <v>11200003</v>
      </c>
      <c r="F686" s="25">
        <v>30013</v>
      </c>
      <c r="G686" s="25">
        <v>1</v>
      </c>
      <c r="H686" s="25">
        <v>10</v>
      </c>
      <c r="I686" s="29">
        <v>0</v>
      </c>
      <c r="J686" s="30">
        <v>0</v>
      </c>
      <c r="K686" s="25">
        <v>0</v>
      </c>
      <c r="L686" s="25">
        <v>0</v>
      </c>
      <c r="M686" s="25">
        <v>0</v>
      </c>
      <c r="N686" s="25">
        <v>0</v>
      </c>
      <c r="O686" s="25">
        <v>0</v>
      </c>
      <c r="P686" s="25">
        <v>0</v>
      </c>
      <c r="Q686" s="25">
        <v>0</v>
      </c>
      <c r="R686" s="25">
        <v>0</v>
      </c>
      <c r="S686" s="25">
        <v>0</v>
      </c>
      <c r="T686" s="25">
        <v>0</v>
      </c>
      <c r="U686" s="29">
        <v>0</v>
      </c>
      <c r="V686" s="25">
        <v>0</v>
      </c>
      <c r="W686" s="25">
        <v>0</v>
      </c>
      <c r="X686" s="25">
        <v>0</v>
      </c>
      <c r="Y686" s="29">
        <v>0</v>
      </c>
      <c r="Z686" s="29">
        <v>0</v>
      </c>
      <c r="AA686" s="29">
        <v>0</v>
      </c>
      <c r="AB686" s="29" t="s">
        <v>605</v>
      </c>
      <c r="AC686" s="29" t="s">
        <v>613</v>
      </c>
      <c r="AD686" s="29" t="s">
        <v>252</v>
      </c>
      <c r="AE686" s="29"/>
      <c r="GR686" s="5"/>
      <c r="GS686" s="5"/>
      <c r="GT686" s="5"/>
      <c r="GU686" s="5"/>
      <c r="GV686" s="5"/>
      <c r="GW686" s="5"/>
      <c r="GX686" s="5"/>
      <c r="GY686" s="5"/>
      <c r="GZ686" s="5"/>
      <c r="HA686" s="5"/>
      <c r="HB686" s="5"/>
      <c r="HC686" s="5"/>
      <c r="HD686" s="5"/>
      <c r="HE686" s="5"/>
      <c r="HF686" s="5"/>
      <c r="HG686" s="5"/>
      <c r="HH686" s="5"/>
      <c r="HI686" s="5"/>
      <c r="HJ686" s="5"/>
      <c r="HK686" s="5"/>
      <c r="HL686" s="5"/>
      <c r="HM686" s="5"/>
      <c r="HN686" s="5"/>
      <c r="HO686" s="5"/>
      <c r="HP686" s="5"/>
    </row>
    <row r="687" spans="3:224" ht="20.100000000000001" customHeight="1">
      <c r="C687" s="48">
        <v>16000212</v>
      </c>
      <c r="D687" s="49" t="s">
        <v>620</v>
      </c>
      <c r="E687" s="25">
        <v>11200003</v>
      </c>
      <c r="F687" s="25">
        <v>30013</v>
      </c>
      <c r="G687" s="25">
        <v>1</v>
      </c>
      <c r="H687" s="25">
        <v>10</v>
      </c>
      <c r="I687" s="29">
        <v>0</v>
      </c>
      <c r="J687" s="30">
        <v>0</v>
      </c>
      <c r="K687" s="25">
        <v>0</v>
      </c>
      <c r="L687" s="25">
        <v>0</v>
      </c>
      <c r="M687" s="25">
        <v>0</v>
      </c>
      <c r="N687" s="25">
        <v>0</v>
      </c>
      <c r="O687" s="25">
        <v>0</v>
      </c>
      <c r="P687" s="25">
        <v>0</v>
      </c>
      <c r="Q687" s="25">
        <v>0</v>
      </c>
      <c r="R687" s="25">
        <v>0</v>
      </c>
      <c r="S687" s="25">
        <v>0</v>
      </c>
      <c r="T687" s="25">
        <v>0</v>
      </c>
      <c r="U687" s="29">
        <v>0</v>
      </c>
      <c r="V687" s="25">
        <v>0</v>
      </c>
      <c r="W687" s="25">
        <v>0</v>
      </c>
      <c r="X687" s="25">
        <v>0</v>
      </c>
      <c r="Y687" s="29">
        <v>0</v>
      </c>
      <c r="Z687" s="29">
        <v>0</v>
      </c>
      <c r="AA687" s="29">
        <v>0</v>
      </c>
      <c r="AB687" s="29" t="s">
        <v>607</v>
      </c>
      <c r="AC687" s="29" t="s">
        <v>613</v>
      </c>
      <c r="AD687" s="29" t="s">
        <v>252</v>
      </c>
      <c r="AE687" s="29"/>
      <c r="GR687" s="5"/>
      <c r="GS687" s="5"/>
      <c r="GT687" s="5"/>
      <c r="GU687" s="5"/>
      <c r="GV687" s="5"/>
      <c r="GW687" s="5"/>
      <c r="GX687" s="5"/>
      <c r="GY687" s="5"/>
      <c r="GZ687" s="5"/>
      <c r="HA687" s="5"/>
      <c r="HB687" s="5"/>
      <c r="HC687" s="5"/>
      <c r="HD687" s="5"/>
      <c r="HE687" s="5"/>
      <c r="HF687" s="5"/>
      <c r="HG687" s="5"/>
      <c r="HH687" s="5"/>
      <c r="HI687" s="5"/>
      <c r="HJ687" s="5"/>
      <c r="HK687" s="5"/>
      <c r="HL687" s="5"/>
      <c r="HM687" s="5"/>
      <c r="HN687" s="5"/>
      <c r="HO687" s="5"/>
      <c r="HP687" s="5"/>
    </row>
    <row r="688" spans="3:224" ht="20.100000000000001" customHeight="1">
      <c r="C688" s="48">
        <v>16000301</v>
      </c>
      <c r="D688" s="49" t="s">
        <v>621</v>
      </c>
      <c r="E688" s="25">
        <v>11200003</v>
      </c>
      <c r="F688" s="25">
        <v>30021</v>
      </c>
      <c r="G688" s="25">
        <v>1</v>
      </c>
      <c r="H688" s="25">
        <v>10</v>
      </c>
      <c r="I688" s="29">
        <v>0</v>
      </c>
      <c r="J688" s="30">
        <v>0</v>
      </c>
      <c r="K688" s="25">
        <v>0</v>
      </c>
      <c r="L688" s="25">
        <v>0</v>
      </c>
      <c r="M688" s="25">
        <v>0</v>
      </c>
      <c r="N688" s="25">
        <v>0</v>
      </c>
      <c r="O688" s="25">
        <v>0</v>
      </c>
      <c r="P688" s="25">
        <v>0</v>
      </c>
      <c r="Q688" s="25">
        <v>0</v>
      </c>
      <c r="R688" s="25">
        <v>0</v>
      </c>
      <c r="S688" s="25">
        <v>0</v>
      </c>
      <c r="T688" s="25">
        <v>0</v>
      </c>
      <c r="U688" s="29">
        <v>0</v>
      </c>
      <c r="V688" s="25">
        <v>0</v>
      </c>
      <c r="W688" s="25">
        <v>0</v>
      </c>
      <c r="X688" s="25">
        <v>0</v>
      </c>
      <c r="Y688" s="29">
        <v>0</v>
      </c>
      <c r="Z688" s="29">
        <v>0</v>
      </c>
      <c r="AA688" s="29">
        <v>0</v>
      </c>
      <c r="AB688" s="29">
        <v>105101</v>
      </c>
      <c r="AC688" s="29">
        <v>10</v>
      </c>
      <c r="AD688" s="29">
        <v>0</v>
      </c>
      <c r="AE688" s="29"/>
      <c r="GR688" s="5"/>
      <c r="GS688" s="5"/>
      <c r="GT688" s="5"/>
      <c r="GU688" s="5"/>
      <c r="GV688" s="5"/>
      <c r="GW688" s="5"/>
      <c r="GX688" s="5"/>
      <c r="GY688" s="5"/>
      <c r="GZ688" s="5"/>
      <c r="HA688" s="5"/>
      <c r="HB688" s="5"/>
      <c r="HC688" s="5"/>
      <c r="HD688" s="5"/>
      <c r="HE688" s="5"/>
      <c r="HF688" s="5"/>
      <c r="HG688" s="5"/>
      <c r="HH688" s="5"/>
      <c r="HI688" s="5"/>
      <c r="HJ688" s="5"/>
      <c r="HK688" s="5"/>
      <c r="HL688" s="5"/>
      <c r="HM688" s="5"/>
      <c r="HN688" s="5"/>
      <c r="HO688" s="5"/>
      <c r="HP688" s="5"/>
    </row>
    <row r="689" spans="3:224" ht="20.100000000000001" customHeight="1">
      <c r="C689" s="48">
        <v>16000302</v>
      </c>
      <c r="D689" s="49" t="s">
        <v>622</v>
      </c>
      <c r="E689" s="25">
        <v>11200003</v>
      </c>
      <c r="F689" s="25">
        <v>30021</v>
      </c>
      <c r="G689" s="25">
        <v>1</v>
      </c>
      <c r="H689" s="25">
        <v>10</v>
      </c>
      <c r="I689" s="29">
        <v>0</v>
      </c>
      <c r="J689" s="30">
        <v>0</v>
      </c>
      <c r="K689" s="25">
        <v>0</v>
      </c>
      <c r="L689" s="25">
        <v>0</v>
      </c>
      <c r="M689" s="25">
        <v>0</v>
      </c>
      <c r="N689" s="25">
        <v>0</v>
      </c>
      <c r="O689" s="25">
        <v>0</v>
      </c>
      <c r="P689" s="25">
        <v>0</v>
      </c>
      <c r="Q689" s="25">
        <v>0</v>
      </c>
      <c r="R689" s="25">
        <v>0</v>
      </c>
      <c r="S689" s="25">
        <v>0</v>
      </c>
      <c r="T689" s="25">
        <v>0</v>
      </c>
      <c r="U689" s="29">
        <v>0</v>
      </c>
      <c r="V689" s="25">
        <v>0</v>
      </c>
      <c r="W689" s="25">
        <v>0</v>
      </c>
      <c r="X689" s="25">
        <v>0</v>
      </c>
      <c r="Y689" s="29">
        <v>0</v>
      </c>
      <c r="Z689" s="29">
        <v>0</v>
      </c>
      <c r="AA689" s="29">
        <v>0</v>
      </c>
      <c r="AB689" s="29">
        <v>105501</v>
      </c>
      <c r="AC689" s="29">
        <v>10</v>
      </c>
      <c r="AD689" s="29">
        <v>0</v>
      </c>
      <c r="AE689" s="29"/>
      <c r="GR689" s="5"/>
      <c r="GS689" s="5"/>
      <c r="GT689" s="5"/>
      <c r="GU689" s="5"/>
      <c r="GV689" s="5"/>
      <c r="GW689" s="5"/>
      <c r="GX689" s="5"/>
      <c r="GY689" s="5"/>
      <c r="GZ689" s="5"/>
      <c r="HA689" s="5"/>
      <c r="HB689" s="5"/>
      <c r="HC689" s="5"/>
      <c r="HD689" s="5"/>
      <c r="HE689" s="5"/>
      <c r="HF689" s="5"/>
      <c r="HG689" s="5"/>
      <c r="HH689" s="5"/>
      <c r="HI689" s="5"/>
      <c r="HJ689" s="5"/>
      <c r="HK689" s="5"/>
      <c r="HL689" s="5"/>
      <c r="HM689" s="5"/>
      <c r="HN689" s="5"/>
      <c r="HO689" s="5"/>
      <c r="HP689" s="5"/>
    </row>
    <row r="690" spans="3:224" ht="20.100000000000001" customHeight="1">
      <c r="C690" s="48">
        <v>16000303</v>
      </c>
      <c r="D690" s="49" t="s">
        <v>623</v>
      </c>
      <c r="E690" s="25">
        <v>11200003</v>
      </c>
      <c r="F690" s="25">
        <v>30021</v>
      </c>
      <c r="G690" s="25">
        <v>1</v>
      </c>
      <c r="H690" s="25">
        <v>10</v>
      </c>
      <c r="I690" s="29">
        <v>0</v>
      </c>
      <c r="J690" s="30">
        <v>0</v>
      </c>
      <c r="K690" s="25">
        <v>0</v>
      </c>
      <c r="L690" s="25">
        <v>0</v>
      </c>
      <c r="M690" s="25">
        <v>0</v>
      </c>
      <c r="N690" s="25">
        <v>0</v>
      </c>
      <c r="O690" s="25">
        <v>0</v>
      </c>
      <c r="P690" s="25">
        <v>0</v>
      </c>
      <c r="Q690" s="25">
        <v>0</v>
      </c>
      <c r="R690" s="25">
        <v>0</v>
      </c>
      <c r="S690" s="25">
        <v>0</v>
      </c>
      <c r="T690" s="25">
        <v>0</v>
      </c>
      <c r="U690" s="29">
        <v>0</v>
      </c>
      <c r="V690" s="25">
        <v>0</v>
      </c>
      <c r="W690" s="25">
        <v>0</v>
      </c>
      <c r="X690" s="25">
        <v>0</v>
      </c>
      <c r="Y690" s="29">
        <v>0</v>
      </c>
      <c r="Z690" s="29">
        <v>0</v>
      </c>
      <c r="AA690" s="29">
        <v>0</v>
      </c>
      <c r="AB690" s="29">
        <v>105301</v>
      </c>
      <c r="AC690" s="29">
        <v>10</v>
      </c>
      <c r="AD690" s="29">
        <v>0</v>
      </c>
      <c r="AE690" s="29"/>
      <c r="GR690" s="5"/>
      <c r="GS690" s="5"/>
      <c r="GT690" s="5"/>
      <c r="GU690" s="5"/>
      <c r="GV690" s="5"/>
      <c r="GW690" s="5"/>
      <c r="GX690" s="5"/>
      <c r="GY690" s="5"/>
      <c r="GZ690" s="5"/>
      <c r="HA690" s="5"/>
      <c r="HB690" s="5"/>
      <c r="HC690" s="5"/>
      <c r="HD690" s="5"/>
      <c r="HE690" s="5"/>
      <c r="HF690" s="5"/>
      <c r="HG690" s="5"/>
      <c r="HH690" s="5"/>
      <c r="HI690" s="5"/>
      <c r="HJ690" s="5"/>
      <c r="HK690" s="5"/>
      <c r="HL690" s="5"/>
      <c r="HM690" s="5"/>
      <c r="HN690" s="5"/>
      <c r="HO690" s="5"/>
      <c r="HP690" s="5"/>
    </row>
    <row r="691" spans="3:224" ht="20.100000000000001" customHeight="1">
      <c r="C691" s="48">
        <v>16000304</v>
      </c>
      <c r="D691" s="49" t="s">
        <v>624</v>
      </c>
      <c r="E691" s="25">
        <v>11200003</v>
      </c>
      <c r="F691" s="25">
        <v>30021</v>
      </c>
      <c r="G691" s="25">
        <v>1</v>
      </c>
      <c r="H691" s="25">
        <v>10</v>
      </c>
      <c r="I691" s="29">
        <v>0</v>
      </c>
      <c r="J691" s="30">
        <v>0</v>
      </c>
      <c r="K691" s="25">
        <v>0</v>
      </c>
      <c r="L691" s="25">
        <v>0</v>
      </c>
      <c r="M691" s="25">
        <v>0</v>
      </c>
      <c r="N691" s="25">
        <v>0</v>
      </c>
      <c r="O691" s="25">
        <v>0</v>
      </c>
      <c r="P691" s="25">
        <v>0</v>
      </c>
      <c r="Q691" s="25">
        <v>0</v>
      </c>
      <c r="R691" s="25">
        <v>0</v>
      </c>
      <c r="S691" s="25">
        <v>0</v>
      </c>
      <c r="T691" s="25">
        <v>0</v>
      </c>
      <c r="U691" s="29">
        <v>0</v>
      </c>
      <c r="V691" s="25">
        <v>0</v>
      </c>
      <c r="W691" s="25">
        <v>0</v>
      </c>
      <c r="X691" s="25">
        <v>0</v>
      </c>
      <c r="Y691" s="29">
        <v>0</v>
      </c>
      <c r="Z691" s="29">
        <v>0</v>
      </c>
      <c r="AA691" s="29">
        <v>0</v>
      </c>
      <c r="AB691" s="29">
        <v>105201</v>
      </c>
      <c r="AC691" s="29">
        <v>10</v>
      </c>
      <c r="AD691" s="29">
        <v>0</v>
      </c>
      <c r="AE691" s="29"/>
      <c r="GR691" s="5"/>
      <c r="GS691" s="5"/>
      <c r="GT691" s="5"/>
      <c r="GU691" s="5"/>
      <c r="GV691" s="5"/>
      <c r="GW691" s="5"/>
      <c r="GX691" s="5"/>
      <c r="GY691" s="5"/>
      <c r="GZ691" s="5"/>
      <c r="HA691" s="5"/>
      <c r="HB691" s="5"/>
      <c r="HC691" s="5"/>
      <c r="HD691" s="5"/>
      <c r="HE691" s="5"/>
      <c r="HF691" s="5"/>
      <c r="HG691" s="5"/>
      <c r="HH691" s="5"/>
      <c r="HI691" s="5"/>
      <c r="HJ691" s="5"/>
      <c r="HK691" s="5"/>
      <c r="HL691" s="5"/>
      <c r="HM691" s="5"/>
      <c r="HN691" s="5"/>
      <c r="HO691" s="5"/>
      <c r="HP691" s="5"/>
    </row>
    <row r="692" spans="3:224" ht="20.100000000000001" customHeight="1">
      <c r="C692" s="48">
        <v>16000305</v>
      </c>
      <c r="D692" s="49" t="s">
        <v>625</v>
      </c>
      <c r="E692" s="25">
        <v>11200003</v>
      </c>
      <c r="F692" s="25">
        <v>30022</v>
      </c>
      <c r="G692" s="25">
        <v>1</v>
      </c>
      <c r="H692" s="25">
        <v>10</v>
      </c>
      <c r="I692" s="29">
        <v>0</v>
      </c>
      <c r="J692" s="30">
        <v>0</v>
      </c>
      <c r="K692" s="25">
        <v>0</v>
      </c>
      <c r="L692" s="25">
        <v>0</v>
      </c>
      <c r="M692" s="25">
        <v>0</v>
      </c>
      <c r="N692" s="25">
        <v>0</v>
      </c>
      <c r="O692" s="25">
        <v>0</v>
      </c>
      <c r="P692" s="25">
        <v>0</v>
      </c>
      <c r="Q692" s="25">
        <v>0</v>
      </c>
      <c r="R692" s="25">
        <v>0</v>
      </c>
      <c r="S692" s="25">
        <v>0</v>
      </c>
      <c r="T692" s="25">
        <v>0</v>
      </c>
      <c r="U692" s="29">
        <v>0</v>
      </c>
      <c r="V692" s="25">
        <v>0</v>
      </c>
      <c r="W692" s="25">
        <v>0</v>
      </c>
      <c r="X692" s="25">
        <v>0</v>
      </c>
      <c r="Y692" s="29">
        <v>0</v>
      </c>
      <c r="Z692" s="29">
        <v>0</v>
      </c>
      <c r="AA692" s="29">
        <v>0</v>
      </c>
      <c r="AB692" s="29" t="s">
        <v>593</v>
      </c>
      <c r="AC692" s="29" t="s">
        <v>626</v>
      </c>
      <c r="AD692" s="29" t="s">
        <v>252</v>
      </c>
      <c r="AE692" s="29"/>
      <c r="GR692" s="5"/>
      <c r="GS692" s="5"/>
      <c r="GT692" s="5"/>
      <c r="GU692" s="5"/>
      <c r="GV692" s="5"/>
      <c r="GW692" s="5"/>
      <c r="GX692" s="5"/>
      <c r="GY692" s="5"/>
      <c r="GZ692" s="5"/>
      <c r="HA692" s="5"/>
      <c r="HB692" s="5"/>
      <c r="HC692" s="5"/>
      <c r="HD692" s="5"/>
      <c r="HE692" s="5"/>
      <c r="HF692" s="5"/>
      <c r="HG692" s="5"/>
      <c r="HH692" s="5"/>
      <c r="HI692" s="5"/>
      <c r="HJ692" s="5"/>
      <c r="HK692" s="5"/>
      <c r="HL692" s="5"/>
      <c r="HM692" s="5"/>
      <c r="HN692" s="5"/>
      <c r="HO692" s="5"/>
      <c r="HP692" s="5"/>
    </row>
    <row r="693" spans="3:224" ht="20.100000000000001" customHeight="1">
      <c r="C693" s="48">
        <v>16000306</v>
      </c>
      <c r="D693" s="49" t="s">
        <v>627</v>
      </c>
      <c r="E693" s="25">
        <v>11200003</v>
      </c>
      <c r="F693" s="25">
        <v>30022</v>
      </c>
      <c r="G693" s="25">
        <v>1</v>
      </c>
      <c r="H693" s="25">
        <v>10</v>
      </c>
      <c r="I693" s="29">
        <v>0</v>
      </c>
      <c r="J693" s="30">
        <v>0</v>
      </c>
      <c r="K693" s="25">
        <v>0</v>
      </c>
      <c r="L693" s="25">
        <v>0</v>
      </c>
      <c r="M693" s="25">
        <v>0</v>
      </c>
      <c r="N693" s="25">
        <v>0</v>
      </c>
      <c r="O693" s="25">
        <v>0</v>
      </c>
      <c r="P693" s="25">
        <v>0</v>
      </c>
      <c r="Q693" s="25">
        <v>0</v>
      </c>
      <c r="R693" s="25">
        <v>0</v>
      </c>
      <c r="S693" s="25">
        <v>0</v>
      </c>
      <c r="T693" s="25">
        <v>0</v>
      </c>
      <c r="U693" s="29">
        <v>0</v>
      </c>
      <c r="V693" s="25">
        <v>0</v>
      </c>
      <c r="W693" s="25">
        <v>0</v>
      </c>
      <c r="X693" s="25">
        <v>0</v>
      </c>
      <c r="Y693" s="29">
        <v>0</v>
      </c>
      <c r="Z693" s="29">
        <v>0</v>
      </c>
      <c r="AA693" s="29">
        <v>0</v>
      </c>
      <c r="AB693" s="29" t="s">
        <v>596</v>
      </c>
      <c r="AC693" s="29" t="s">
        <v>626</v>
      </c>
      <c r="AD693" s="29" t="s">
        <v>252</v>
      </c>
      <c r="AE693" s="29"/>
      <c r="GR693" s="5"/>
      <c r="GS693" s="5"/>
      <c r="GT693" s="5"/>
      <c r="GU693" s="5"/>
      <c r="GV693" s="5"/>
      <c r="GW693" s="5"/>
      <c r="GX693" s="5"/>
      <c r="GY693" s="5"/>
      <c r="GZ693" s="5"/>
      <c r="HA693" s="5"/>
      <c r="HB693" s="5"/>
      <c r="HC693" s="5"/>
      <c r="HD693" s="5"/>
      <c r="HE693" s="5"/>
      <c r="HF693" s="5"/>
      <c r="HG693" s="5"/>
      <c r="HH693" s="5"/>
      <c r="HI693" s="5"/>
      <c r="HJ693" s="5"/>
      <c r="HK693" s="5"/>
      <c r="HL693" s="5"/>
      <c r="HM693" s="5"/>
      <c r="HN693" s="5"/>
      <c r="HO693" s="5"/>
      <c r="HP693" s="5"/>
    </row>
    <row r="694" spans="3:224" ht="20.100000000000001" customHeight="1">
      <c r="C694" s="48">
        <v>16000307</v>
      </c>
      <c r="D694" s="49" t="s">
        <v>628</v>
      </c>
      <c r="E694" s="25">
        <v>11200003</v>
      </c>
      <c r="F694" s="25">
        <v>30022</v>
      </c>
      <c r="G694" s="25">
        <v>1</v>
      </c>
      <c r="H694" s="25">
        <v>10</v>
      </c>
      <c r="I694" s="29">
        <v>0</v>
      </c>
      <c r="J694" s="30">
        <v>0</v>
      </c>
      <c r="K694" s="25">
        <v>0</v>
      </c>
      <c r="L694" s="25">
        <v>0</v>
      </c>
      <c r="M694" s="25">
        <v>0</v>
      </c>
      <c r="N694" s="25">
        <v>0</v>
      </c>
      <c r="O694" s="25">
        <v>0</v>
      </c>
      <c r="P694" s="25">
        <v>0</v>
      </c>
      <c r="Q694" s="25">
        <v>0</v>
      </c>
      <c r="R694" s="25">
        <v>0</v>
      </c>
      <c r="S694" s="25">
        <v>0</v>
      </c>
      <c r="T694" s="25">
        <v>0</v>
      </c>
      <c r="U694" s="29">
        <v>0</v>
      </c>
      <c r="V694" s="25">
        <v>0</v>
      </c>
      <c r="W694" s="25">
        <v>0</v>
      </c>
      <c r="X694" s="25">
        <v>0</v>
      </c>
      <c r="Y694" s="29">
        <v>0</v>
      </c>
      <c r="Z694" s="29">
        <v>0</v>
      </c>
      <c r="AA694" s="29">
        <v>0</v>
      </c>
      <c r="AB694" s="29" t="s">
        <v>598</v>
      </c>
      <c r="AC694" s="29" t="s">
        <v>626</v>
      </c>
      <c r="AD694" s="29" t="s">
        <v>252</v>
      </c>
      <c r="AE694" s="29"/>
      <c r="GR694" s="5"/>
      <c r="GS694" s="5"/>
      <c r="GT694" s="5"/>
      <c r="GU694" s="5"/>
      <c r="GV694" s="5"/>
      <c r="GW694" s="5"/>
      <c r="GX694" s="5"/>
      <c r="GY694" s="5"/>
      <c r="GZ694" s="5"/>
      <c r="HA694" s="5"/>
      <c r="HB694" s="5"/>
      <c r="HC694" s="5"/>
      <c r="HD694" s="5"/>
      <c r="HE694" s="5"/>
      <c r="HF694" s="5"/>
      <c r="HG694" s="5"/>
      <c r="HH694" s="5"/>
      <c r="HI694" s="5"/>
      <c r="HJ694" s="5"/>
      <c r="HK694" s="5"/>
      <c r="HL694" s="5"/>
      <c r="HM694" s="5"/>
      <c r="HN694" s="5"/>
      <c r="HO694" s="5"/>
      <c r="HP694" s="5"/>
    </row>
    <row r="695" spans="3:224" ht="20.100000000000001" customHeight="1">
      <c r="C695" s="48">
        <v>16000308</v>
      </c>
      <c r="D695" s="49" t="s">
        <v>629</v>
      </c>
      <c r="E695" s="25">
        <v>11200003</v>
      </c>
      <c r="F695" s="25">
        <v>30022</v>
      </c>
      <c r="G695" s="25">
        <v>1</v>
      </c>
      <c r="H695" s="25">
        <v>10</v>
      </c>
      <c r="I695" s="29">
        <v>0</v>
      </c>
      <c r="J695" s="30">
        <v>0</v>
      </c>
      <c r="K695" s="25">
        <v>0</v>
      </c>
      <c r="L695" s="25">
        <v>0</v>
      </c>
      <c r="M695" s="25">
        <v>0</v>
      </c>
      <c r="N695" s="25">
        <v>0</v>
      </c>
      <c r="O695" s="25">
        <v>0</v>
      </c>
      <c r="P695" s="25">
        <v>0</v>
      </c>
      <c r="Q695" s="25">
        <v>0</v>
      </c>
      <c r="R695" s="25">
        <v>0</v>
      </c>
      <c r="S695" s="25">
        <v>0</v>
      </c>
      <c r="T695" s="25">
        <v>0</v>
      </c>
      <c r="U695" s="29">
        <v>0</v>
      </c>
      <c r="V695" s="25">
        <v>0</v>
      </c>
      <c r="W695" s="25">
        <v>0</v>
      </c>
      <c r="X695" s="25">
        <v>0</v>
      </c>
      <c r="Y695" s="29">
        <v>0</v>
      </c>
      <c r="Z695" s="29">
        <v>0</v>
      </c>
      <c r="AA695" s="29">
        <v>0</v>
      </c>
      <c r="AB695" s="29" t="s">
        <v>600</v>
      </c>
      <c r="AC695" s="29" t="s">
        <v>626</v>
      </c>
      <c r="AD695" s="29" t="s">
        <v>252</v>
      </c>
      <c r="AE695" s="29"/>
      <c r="GR695" s="5"/>
      <c r="GS695" s="5"/>
      <c r="GT695" s="5"/>
      <c r="GU695" s="5"/>
      <c r="GV695" s="5"/>
      <c r="GW695" s="5"/>
      <c r="GX695" s="5"/>
      <c r="GY695" s="5"/>
      <c r="GZ695" s="5"/>
      <c r="HA695" s="5"/>
      <c r="HB695" s="5"/>
      <c r="HC695" s="5"/>
      <c r="HD695" s="5"/>
      <c r="HE695" s="5"/>
      <c r="HF695" s="5"/>
      <c r="HG695" s="5"/>
      <c r="HH695" s="5"/>
      <c r="HI695" s="5"/>
      <c r="HJ695" s="5"/>
      <c r="HK695" s="5"/>
      <c r="HL695" s="5"/>
      <c r="HM695" s="5"/>
      <c r="HN695" s="5"/>
      <c r="HO695" s="5"/>
      <c r="HP695" s="5"/>
    </row>
    <row r="696" spans="3:224" ht="20.100000000000001" customHeight="1">
      <c r="C696" s="48">
        <v>16000309</v>
      </c>
      <c r="D696" s="49" t="s">
        <v>630</v>
      </c>
      <c r="E696" s="25">
        <v>11200003</v>
      </c>
      <c r="F696" s="25">
        <v>30023</v>
      </c>
      <c r="G696" s="25">
        <v>1</v>
      </c>
      <c r="H696" s="25">
        <v>10</v>
      </c>
      <c r="I696" s="29">
        <v>0</v>
      </c>
      <c r="J696" s="30">
        <v>0</v>
      </c>
      <c r="K696" s="25">
        <v>0</v>
      </c>
      <c r="L696" s="25">
        <v>0</v>
      </c>
      <c r="M696" s="25">
        <v>0</v>
      </c>
      <c r="N696" s="25">
        <v>0</v>
      </c>
      <c r="O696" s="25">
        <v>0</v>
      </c>
      <c r="P696" s="25">
        <v>0</v>
      </c>
      <c r="Q696" s="25">
        <v>0</v>
      </c>
      <c r="R696" s="25">
        <v>0</v>
      </c>
      <c r="S696" s="25">
        <v>0</v>
      </c>
      <c r="T696" s="25">
        <v>0</v>
      </c>
      <c r="U696" s="29">
        <v>0</v>
      </c>
      <c r="V696" s="25">
        <v>0</v>
      </c>
      <c r="W696" s="25">
        <v>0</v>
      </c>
      <c r="X696" s="25">
        <v>0</v>
      </c>
      <c r="Y696" s="29">
        <v>0</v>
      </c>
      <c r="Z696" s="29">
        <v>0</v>
      </c>
      <c r="AA696" s="29">
        <v>0</v>
      </c>
      <c r="AB696" s="29">
        <v>105401</v>
      </c>
      <c r="AC696" s="29">
        <v>10</v>
      </c>
      <c r="AD696" s="29">
        <v>0</v>
      </c>
      <c r="AE696" s="29"/>
      <c r="GR696" s="5"/>
      <c r="GS696" s="5"/>
      <c r="GT696" s="5"/>
      <c r="GU696" s="5"/>
      <c r="GV696" s="5"/>
      <c r="GW696" s="5"/>
      <c r="GX696" s="5"/>
      <c r="GY696" s="5"/>
      <c r="GZ696" s="5"/>
      <c r="HA696" s="5"/>
      <c r="HB696" s="5"/>
      <c r="HC696" s="5"/>
      <c r="HD696" s="5"/>
      <c r="HE696" s="5"/>
      <c r="HF696" s="5"/>
      <c r="HG696" s="5"/>
      <c r="HH696" s="5"/>
      <c r="HI696" s="5"/>
      <c r="HJ696" s="5"/>
      <c r="HK696" s="5"/>
      <c r="HL696" s="5"/>
      <c r="HM696" s="5"/>
      <c r="HN696" s="5"/>
      <c r="HO696" s="5"/>
      <c r="HP696" s="5"/>
    </row>
    <row r="697" spans="3:224" ht="20.100000000000001" customHeight="1">
      <c r="C697" s="48">
        <v>16000310</v>
      </c>
      <c r="D697" s="49" t="s">
        <v>631</v>
      </c>
      <c r="E697" s="25">
        <v>11200003</v>
      </c>
      <c r="F697" s="25">
        <v>30023</v>
      </c>
      <c r="G697" s="25">
        <v>1</v>
      </c>
      <c r="H697" s="25">
        <v>10</v>
      </c>
      <c r="I697" s="29">
        <v>0</v>
      </c>
      <c r="J697" s="30">
        <v>0</v>
      </c>
      <c r="K697" s="25">
        <v>0</v>
      </c>
      <c r="L697" s="25">
        <v>0</v>
      </c>
      <c r="M697" s="25">
        <v>0</v>
      </c>
      <c r="N697" s="25">
        <v>0</v>
      </c>
      <c r="O697" s="25">
        <v>0</v>
      </c>
      <c r="P697" s="25">
        <v>0</v>
      </c>
      <c r="Q697" s="25">
        <v>0</v>
      </c>
      <c r="R697" s="25">
        <v>0</v>
      </c>
      <c r="S697" s="25">
        <v>0</v>
      </c>
      <c r="T697" s="25">
        <v>0</v>
      </c>
      <c r="U697" s="29">
        <v>0</v>
      </c>
      <c r="V697" s="25">
        <v>0</v>
      </c>
      <c r="W697" s="25">
        <v>0</v>
      </c>
      <c r="X697" s="25">
        <v>0</v>
      </c>
      <c r="Y697" s="29">
        <v>0</v>
      </c>
      <c r="Z697" s="29">
        <v>0</v>
      </c>
      <c r="AA697" s="29">
        <v>0</v>
      </c>
      <c r="AB697" s="29" t="s">
        <v>603</v>
      </c>
      <c r="AC697" s="29" t="s">
        <v>626</v>
      </c>
      <c r="AD697" s="29" t="s">
        <v>252</v>
      </c>
      <c r="AE697" s="29"/>
      <c r="GR697" s="5"/>
      <c r="GS697" s="5"/>
      <c r="GT697" s="5"/>
      <c r="GU697" s="5"/>
      <c r="GV697" s="5"/>
      <c r="GW697" s="5"/>
      <c r="GX697" s="5"/>
      <c r="GY697" s="5"/>
      <c r="GZ697" s="5"/>
      <c r="HA697" s="5"/>
      <c r="HB697" s="5"/>
      <c r="HC697" s="5"/>
      <c r="HD697" s="5"/>
      <c r="HE697" s="5"/>
      <c r="HF697" s="5"/>
      <c r="HG697" s="5"/>
      <c r="HH697" s="5"/>
      <c r="HI697" s="5"/>
      <c r="HJ697" s="5"/>
      <c r="HK697" s="5"/>
      <c r="HL697" s="5"/>
      <c r="HM697" s="5"/>
      <c r="HN697" s="5"/>
      <c r="HO697" s="5"/>
      <c r="HP697" s="5"/>
    </row>
    <row r="698" spans="3:224" ht="20.100000000000001" customHeight="1">
      <c r="C698" s="48">
        <v>16000311</v>
      </c>
      <c r="D698" s="49" t="s">
        <v>632</v>
      </c>
      <c r="E698" s="25">
        <v>11200003</v>
      </c>
      <c r="F698" s="25">
        <v>30023</v>
      </c>
      <c r="G698" s="25">
        <v>1</v>
      </c>
      <c r="H698" s="25">
        <v>10</v>
      </c>
      <c r="I698" s="29">
        <v>0</v>
      </c>
      <c r="J698" s="30">
        <v>0</v>
      </c>
      <c r="K698" s="25">
        <v>0</v>
      </c>
      <c r="L698" s="25">
        <v>0</v>
      </c>
      <c r="M698" s="25">
        <v>0</v>
      </c>
      <c r="N698" s="25">
        <v>0</v>
      </c>
      <c r="O698" s="25">
        <v>0</v>
      </c>
      <c r="P698" s="25">
        <v>0</v>
      </c>
      <c r="Q698" s="25">
        <v>0</v>
      </c>
      <c r="R698" s="25">
        <v>0</v>
      </c>
      <c r="S698" s="25">
        <v>0</v>
      </c>
      <c r="T698" s="25">
        <v>0</v>
      </c>
      <c r="U698" s="29">
        <v>0</v>
      </c>
      <c r="V698" s="25">
        <v>0</v>
      </c>
      <c r="W698" s="25">
        <v>0</v>
      </c>
      <c r="X698" s="25">
        <v>0</v>
      </c>
      <c r="Y698" s="29">
        <v>0</v>
      </c>
      <c r="Z698" s="29">
        <v>0</v>
      </c>
      <c r="AA698" s="29">
        <v>0</v>
      </c>
      <c r="AB698" s="29" t="s">
        <v>605</v>
      </c>
      <c r="AC698" s="29" t="s">
        <v>626</v>
      </c>
      <c r="AD698" s="29" t="s">
        <v>252</v>
      </c>
      <c r="AE698" s="29"/>
      <c r="GR698" s="5"/>
      <c r="GS698" s="5"/>
      <c r="GT698" s="5"/>
      <c r="GU698" s="5"/>
      <c r="GV698" s="5"/>
      <c r="GW698" s="5"/>
      <c r="GX698" s="5"/>
      <c r="GY698" s="5"/>
      <c r="GZ698" s="5"/>
      <c r="HA698" s="5"/>
      <c r="HB698" s="5"/>
      <c r="HC698" s="5"/>
      <c r="HD698" s="5"/>
      <c r="HE698" s="5"/>
      <c r="HF698" s="5"/>
      <c r="HG698" s="5"/>
      <c r="HH698" s="5"/>
      <c r="HI698" s="5"/>
      <c r="HJ698" s="5"/>
      <c r="HK698" s="5"/>
      <c r="HL698" s="5"/>
      <c r="HM698" s="5"/>
      <c r="HN698" s="5"/>
      <c r="HO698" s="5"/>
      <c r="HP698" s="5"/>
    </row>
    <row r="699" spans="3:224" ht="20.100000000000001" customHeight="1">
      <c r="C699" s="48">
        <v>16000312</v>
      </c>
      <c r="D699" s="49" t="s">
        <v>633</v>
      </c>
      <c r="E699" s="25">
        <v>11200003</v>
      </c>
      <c r="F699" s="25">
        <v>30023</v>
      </c>
      <c r="G699" s="25">
        <v>1</v>
      </c>
      <c r="H699" s="25">
        <v>10</v>
      </c>
      <c r="I699" s="29">
        <v>0</v>
      </c>
      <c r="J699" s="30">
        <v>0</v>
      </c>
      <c r="K699" s="25">
        <v>0</v>
      </c>
      <c r="L699" s="25">
        <v>0</v>
      </c>
      <c r="M699" s="25">
        <v>0</v>
      </c>
      <c r="N699" s="25">
        <v>0</v>
      </c>
      <c r="O699" s="25">
        <v>0</v>
      </c>
      <c r="P699" s="25">
        <v>0</v>
      </c>
      <c r="Q699" s="25">
        <v>0</v>
      </c>
      <c r="R699" s="25">
        <v>0</v>
      </c>
      <c r="S699" s="25">
        <v>0</v>
      </c>
      <c r="T699" s="25">
        <v>0</v>
      </c>
      <c r="U699" s="29">
        <v>0</v>
      </c>
      <c r="V699" s="25">
        <v>0</v>
      </c>
      <c r="W699" s="25">
        <v>0</v>
      </c>
      <c r="X699" s="25">
        <v>0</v>
      </c>
      <c r="Y699" s="29">
        <v>0</v>
      </c>
      <c r="Z699" s="29">
        <v>0</v>
      </c>
      <c r="AA699" s="29">
        <v>0</v>
      </c>
      <c r="AB699" s="29" t="s">
        <v>607</v>
      </c>
      <c r="AC699" s="29" t="s">
        <v>626</v>
      </c>
      <c r="AD699" s="29" t="s">
        <v>252</v>
      </c>
      <c r="AE699" s="29"/>
      <c r="GR699" s="5"/>
      <c r="GS699" s="5"/>
      <c r="GT699" s="5"/>
      <c r="GU699" s="5"/>
      <c r="GV699" s="5"/>
      <c r="GW699" s="5"/>
      <c r="GX699" s="5"/>
      <c r="GY699" s="5"/>
      <c r="GZ699" s="5"/>
      <c r="HA699" s="5"/>
      <c r="HB699" s="5"/>
      <c r="HC699" s="5"/>
      <c r="HD699" s="5"/>
      <c r="HE699" s="5"/>
      <c r="HF699" s="5"/>
      <c r="HG699" s="5"/>
      <c r="HH699" s="5"/>
      <c r="HI699" s="5"/>
      <c r="HJ699" s="5"/>
      <c r="HK699" s="5"/>
      <c r="HL699" s="5"/>
      <c r="HM699" s="5"/>
      <c r="HN699" s="5"/>
      <c r="HO699" s="5"/>
      <c r="HP699" s="5"/>
    </row>
    <row r="700" spans="3:224" ht="20.100000000000001" customHeight="1">
      <c r="C700" s="48">
        <v>16000401</v>
      </c>
      <c r="D700" s="49" t="s">
        <v>636</v>
      </c>
      <c r="E700" s="59">
        <v>11200010</v>
      </c>
      <c r="F700" s="25">
        <v>30031</v>
      </c>
      <c r="G700" s="25">
        <v>1</v>
      </c>
      <c r="H700" s="25">
        <v>12</v>
      </c>
      <c r="I700" s="29">
        <v>0</v>
      </c>
      <c r="J700" s="30">
        <v>0</v>
      </c>
      <c r="K700" s="25">
        <v>0</v>
      </c>
      <c r="L700" s="25">
        <v>0</v>
      </c>
      <c r="M700" s="25">
        <v>0</v>
      </c>
      <c r="N700" s="25">
        <v>0</v>
      </c>
      <c r="O700" s="25">
        <v>0</v>
      </c>
      <c r="P700" s="25">
        <v>0</v>
      </c>
      <c r="Q700" s="25">
        <v>0</v>
      </c>
      <c r="R700" s="25">
        <v>0</v>
      </c>
      <c r="S700" s="25">
        <v>0</v>
      </c>
      <c r="T700" s="25">
        <v>0</v>
      </c>
      <c r="U700" s="29">
        <v>0</v>
      </c>
      <c r="V700" s="25">
        <v>0</v>
      </c>
      <c r="W700" s="25">
        <v>0</v>
      </c>
      <c r="X700" s="25">
        <v>0</v>
      </c>
      <c r="Y700" s="29">
        <v>0</v>
      </c>
      <c r="Z700" s="29">
        <v>0</v>
      </c>
      <c r="AA700" s="29">
        <v>0</v>
      </c>
      <c r="AB700" s="29">
        <v>105101</v>
      </c>
      <c r="AC700" s="29">
        <v>13</v>
      </c>
      <c r="AD700" s="29">
        <v>0</v>
      </c>
      <c r="AE700" s="29"/>
      <c r="GR700" s="5"/>
      <c r="GS700" s="5"/>
      <c r="GT700" s="5"/>
      <c r="GU700" s="5"/>
      <c r="GV700" s="5"/>
      <c r="GW700" s="5"/>
      <c r="GX700" s="5"/>
      <c r="GY700" s="5"/>
      <c r="GZ700" s="5"/>
      <c r="HA700" s="5"/>
      <c r="HB700" s="5"/>
      <c r="HC700" s="5"/>
      <c r="HD700" s="5"/>
      <c r="HE700" s="5"/>
      <c r="HF700" s="5"/>
      <c r="HG700" s="5"/>
      <c r="HH700" s="5"/>
      <c r="HI700" s="5"/>
      <c r="HJ700" s="5"/>
      <c r="HK700" s="5"/>
      <c r="HL700" s="5"/>
      <c r="HM700" s="5"/>
      <c r="HN700" s="5"/>
      <c r="HO700" s="5"/>
      <c r="HP700" s="5"/>
    </row>
    <row r="701" spans="3:224" ht="20.100000000000001" customHeight="1">
      <c r="C701" s="48">
        <v>16000402</v>
      </c>
      <c r="D701" s="49" t="s">
        <v>637</v>
      </c>
      <c r="E701" s="59">
        <v>11200010</v>
      </c>
      <c r="F701" s="25">
        <v>30031</v>
      </c>
      <c r="G701" s="25">
        <v>1</v>
      </c>
      <c r="H701" s="25">
        <v>12</v>
      </c>
      <c r="I701" s="29">
        <v>0</v>
      </c>
      <c r="J701" s="30">
        <v>0</v>
      </c>
      <c r="K701" s="25">
        <v>0</v>
      </c>
      <c r="L701" s="25">
        <v>0</v>
      </c>
      <c r="M701" s="25">
        <v>0</v>
      </c>
      <c r="N701" s="25">
        <v>0</v>
      </c>
      <c r="O701" s="25">
        <v>0</v>
      </c>
      <c r="P701" s="25">
        <v>0</v>
      </c>
      <c r="Q701" s="25">
        <v>0</v>
      </c>
      <c r="R701" s="25">
        <v>0</v>
      </c>
      <c r="S701" s="25">
        <v>0</v>
      </c>
      <c r="T701" s="25">
        <v>0</v>
      </c>
      <c r="U701" s="29">
        <v>0</v>
      </c>
      <c r="V701" s="25">
        <v>0</v>
      </c>
      <c r="W701" s="25">
        <v>0</v>
      </c>
      <c r="X701" s="25">
        <v>0</v>
      </c>
      <c r="Y701" s="29">
        <v>0</v>
      </c>
      <c r="Z701" s="29">
        <v>0</v>
      </c>
      <c r="AA701" s="29">
        <v>0</v>
      </c>
      <c r="AB701" s="29">
        <v>105501</v>
      </c>
      <c r="AC701" s="29">
        <v>13</v>
      </c>
      <c r="AD701" s="29">
        <v>0</v>
      </c>
      <c r="AE701" s="29"/>
      <c r="GR701" s="5"/>
      <c r="GS701" s="5"/>
      <c r="GT701" s="5"/>
      <c r="GU701" s="5"/>
      <c r="GV701" s="5"/>
      <c r="GW701" s="5"/>
      <c r="GX701" s="5"/>
      <c r="GY701" s="5"/>
      <c r="GZ701" s="5"/>
      <c r="HA701" s="5"/>
      <c r="HB701" s="5"/>
      <c r="HC701" s="5"/>
      <c r="HD701" s="5"/>
      <c r="HE701" s="5"/>
      <c r="HF701" s="5"/>
      <c r="HG701" s="5"/>
      <c r="HH701" s="5"/>
      <c r="HI701" s="5"/>
      <c r="HJ701" s="5"/>
      <c r="HK701" s="5"/>
      <c r="HL701" s="5"/>
      <c r="HM701" s="5"/>
      <c r="HN701" s="5"/>
      <c r="HO701" s="5"/>
      <c r="HP701" s="5"/>
    </row>
    <row r="702" spans="3:224" ht="20.100000000000001" customHeight="1">
      <c r="C702" s="48">
        <v>16000403</v>
      </c>
      <c r="D702" s="49" t="s">
        <v>638</v>
      </c>
      <c r="E702" s="59">
        <v>11200010</v>
      </c>
      <c r="F702" s="25">
        <v>30031</v>
      </c>
      <c r="G702" s="25">
        <v>1</v>
      </c>
      <c r="H702" s="25">
        <v>12</v>
      </c>
      <c r="I702" s="29">
        <v>0</v>
      </c>
      <c r="J702" s="30">
        <v>0</v>
      </c>
      <c r="K702" s="25">
        <v>0</v>
      </c>
      <c r="L702" s="25">
        <v>0</v>
      </c>
      <c r="M702" s="25">
        <v>0</v>
      </c>
      <c r="N702" s="25">
        <v>0</v>
      </c>
      <c r="O702" s="25">
        <v>0</v>
      </c>
      <c r="P702" s="25">
        <v>0</v>
      </c>
      <c r="Q702" s="25">
        <v>0</v>
      </c>
      <c r="R702" s="25">
        <v>0</v>
      </c>
      <c r="S702" s="25">
        <v>0</v>
      </c>
      <c r="T702" s="25">
        <v>0</v>
      </c>
      <c r="U702" s="29">
        <v>0</v>
      </c>
      <c r="V702" s="25">
        <v>0</v>
      </c>
      <c r="W702" s="25">
        <v>0</v>
      </c>
      <c r="X702" s="25">
        <v>0</v>
      </c>
      <c r="Y702" s="29">
        <v>0</v>
      </c>
      <c r="Z702" s="29">
        <v>0</v>
      </c>
      <c r="AA702" s="29">
        <v>0</v>
      </c>
      <c r="AB702" s="29">
        <v>105301</v>
      </c>
      <c r="AC702" s="29">
        <v>13</v>
      </c>
      <c r="AD702" s="29">
        <v>0</v>
      </c>
      <c r="AE702" s="29"/>
      <c r="GR702" s="5"/>
      <c r="GS702" s="5"/>
      <c r="GT702" s="5"/>
      <c r="GU702" s="5"/>
      <c r="GV702" s="5"/>
      <c r="GW702" s="5"/>
      <c r="GX702" s="5"/>
      <c r="GY702" s="5"/>
      <c r="GZ702" s="5"/>
      <c r="HA702" s="5"/>
      <c r="HB702" s="5"/>
      <c r="HC702" s="5"/>
      <c r="HD702" s="5"/>
      <c r="HE702" s="5"/>
      <c r="HF702" s="5"/>
      <c r="HG702" s="5"/>
      <c r="HH702" s="5"/>
      <c r="HI702" s="5"/>
      <c r="HJ702" s="5"/>
      <c r="HK702" s="5"/>
      <c r="HL702" s="5"/>
      <c r="HM702" s="5"/>
      <c r="HN702" s="5"/>
      <c r="HO702" s="5"/>
      <c r="HP702" s="5"/>
    </row>
    <row r="703" spans="3:224" ht="20.100000000000001" customHeight="1">
      <c r="C703" s="48">
        <v>16000404</v>
      </c>
      <c r="D703" s="49" t="s">
        <v>639</v>
      </c>
      <c r="E703" s="59">
        <v>11200010</v>
      </c>
      <c r="F703" s="25">
        <v>30031</v>
      </c>
      <c r="G703" s="25">
        <v>1</v>
      </c>
      <c r="H703" s="25">
        <v>12</v>
      </c>
      <c r="I703" s="29">
        <v>0</v>
      </c>
      <c r="J703" s="30">
        <v>0</v>
      </c>
      <c r="K703" s="25">
        <v>0</v>
      </c>
      <c r="L703" s="25">
        <v>0</v>
      </c>
      <c r="M703" s="25">
        <v>0</v>
      </c>
      <c r="N703" s="25">
        <v>0</v>
      </c>
      <c r="O703" s="25">
        <v>0</v>
      </c>
      <c r="P703" s="25">
        <v>0</v>
      </c>
      <c r="Q703" s="25">
        <v>0</v>
      </c>
      <c r="R703" s="25">
        <v>0</v>
      </c>
      <c r="S703" s="25">
        <v>0</v>
      </c>
      <c r="T703" s="25">
        <v>0</v>
      </c>
      <c r="U703" s="29">
        <v>0</v>
      </c>
      <c r="V703" s="25">
        <v>0</v>
      </c>
      <c r="W703" s="25">
        <v>0</v>
      </c>
      <c r="X703" s="25">
        <v>0</v>
      </c>
      <c r="Y703" s="29">
        <v>0</v>
      </c>
      <c r="Z703" s="29">
        <v>0</v>
      </c>
      <c r="AA703" s="29">
        <v>0</v>
      </c>
      <c r="AB703" s="29">
        <v>105201</v>
      </c>
      <c r="AC703" s="29">
        <v>13</v>
      </c>
      <c r="AD703" s="29">
        <v>0</v>
      </c>
      <c r="AE703" s="29"/>
      <c r="GR703" s="5"/>
      <c r="GS703" s="5"/>
      <c r="GT703" s="5"/>
      <c r="GU703" s="5"/>
      <c r="GV703" s="5"/>
      <c r="GW703" s="5"/>
      <c r="GX703" s="5"/>
      <c r="GY703" s="5"/>
      <c r="GZ703" s="5"/>
      <c r="HA703" s="5"/>
      <c r="HB703" s="5"/>
      <c r="HC703" s="5"/>
      <c r="HD703" s="5"/>
      <c r="HE703" s="5"/>
      <c r="HF703" s="5"/>
      <c r="HG703" s="5"/>
      <c r="HH703" s="5"/>
      <c r="HI703" s="5"/>
      <c r="HJ703" s="5"/>
      <c r="HK703" s="5"/>
      <c r="HL703" s="5"/>
      <c r="HM703" s="5"/>
      <c r="HN703" s="5"/>
      <c r="HO703" s="5"/>
      <c r="HP703" s="5"/>
    </row>
    <row r="704" spans="3:224" ht="20.100000000000001" customHeight="1">
      <c r="C704" s="48">
        <v>16000405</v>
      </c>
      <c r="D704" s="49" t="s">
        <v>640</v>
      </c>
      <c r="E704" s="59">
        <v>11200010</v>
      </c>
      <c r="F704" s="25">
        <v>30032</v>
      </c>
      <c r="G704" s="25">
        <v>1</v>
      </c>
      <c r="H704" s="25">
        <v>12</v>
      </c>
      <c r="I704" s="29">
        <v>0</v>
      </c>
      <c r="J704" s="30">
        <v>0</v>
      </c>
      <c r="K704" s="25">
        <v>0</v>
      </c>
      <c r="L704" s="25">
        <v>0</v>
      </c>
      <c r="M704" s="25">
        <v>0</v>
      </c>
      <c r="N704" s="25">
        <v>0</v>
      </c>
      <c r="O704" s="25">
        <v>0</v>
      </c>
      <c r="P704" s="25">
        <v>0</v>
      </c>
      <c r="Q704" s="25">
        <v>0</v>
      </c>
      <c r="R704" s="25">
        <v>0</v>
      </c>
      <c r="S704" s="25">
        <v>0</v>
      </c>
      <c r="T704" s="25">
        <v>0</v>
      </c>
      <c r="U704" s="29">
        <v>0</v>
      </c>
      <c r="V704" s="25">
        <v>0</v>
      </c>
      <c r="W704" s="25">
        <v>0</v>
      </c>
      <c r="X704" s="25">
        <v>0</v>
      </c>
      <c r="Y704" s="29">
        <v>0</v>
      </c>
      <c r="Z704" s="29">
        <v>0</v>
      </c>
      <c r="AA704" s="29">
        <v>0</v>
      </c>
      <c r="AB704" s="29" t="s">
        <v>593</v>
      </c>
      <c r="AC704" s="29" t="s">
        <v>648</v>
      </c>
      <c r="AD704" s="29" t="s">
        <v>252</v>
      </c>
      <c r="AE704" s="29"/>
      <c r="GR704" s="5"/>
      <c r="GS704" s="5"/>
      <c r="GT704" s="5"/>
      <c r="GU704" s="5"/>
      <c r="GV704" s="5"/>
      <c r="GW704" s="5"/>
      <c r="GX704" s="5"/>
      <c r="GY704" s="5"/>
      <c r="GZ704" s="5"/>
      <c r="HA704" s="5"/>
      <c r="HB704" s="5"/>
      <c r="HC704" s="5"/>
      <c r="HD704" s="5"/>
      <c r="HE704" s="5"/>
      <c r="HF704" s="5"/>
      <c r="HG704" s="5"/>
      <c r="HH704" s="5"/>
      <c r="HI704" s="5"/>
      <c r="HJ704" s="5"/>
      <c r="HK704" s="5"/>
      <c r="HL704" s="5"/>
      <c r="HM704" s="5"/>
      <c r="HN704" s="5"/>
      <c r="HO704" s="5"/>
      <c r="HP704" s="5"/>
    </row>
    <row r="705" spans="3:224" ht="20.100000000000001" customHeight="1">
      <c r="C705" s="48">
        <v>16000406</v>
      </c>
      <c r="D705" s="49" t="s">
        <v>641</v>
      </c>
      <c r="E705" s="59">
        <v>11200010</v>
      </c>
      <c r="F705" s="25">
        <v>30032</v>
      </c>
      <c r="G705" s="25">
        <v>1</v>
      </c>
      <c r="H705" s="25">
        <v>12</v>
      </c>
      <c r="I705" s="29">
        <v>0</v>
      </c>
      <c r="J705" s="30">
        <v>0</v>
      </c>
      <c r="K705" s="25">
        <v>0</v>
      </c>
      <c r="L705" s="25">
        <v>0</v>
      </c>
      <c r="M705" s="25">
        <v>0</v>
      </c>
      <c r="N705" s="25">
        <v>0</v>
      </c>
      <c r="O705" s="25">
        <v>0</v>
      </c>
      <c r="P705" s="25">
        <v>0</v>
      </c>
      <c r="Q705" s="25">
        <v>0</v>
      </c>
      <c r="R705" s="25">
        <v>0</v>
      </c>
      <c r="S705" s="25">
        <v>0</v>
      </c>
      <c r="T705" s="25">
        <v>0</v>
      </c>
      <c r="U705" s="29">
        <v>0</v>
      </c>
      <c r="V705" s="25">
        <v>0</v>
      </c>
      <c r="W705" s="25">
        <v>0</v>
      </c>
      <c r="X705" s="25">
        <v>0</v>
      </c>
      <c r="Y705" s="29">
        <v>0</v>
      </c>
      <c r="Z705" s="29">
        <v>0</v>
      </c>
      <c r="AA705" s="29">
        <v>0</v>
      </c>
      <c r="AB705" s="29" t="s">
        <v>596</v>
      </c>
      <c r="AC705" s="29" t="s">
        <v>648</v>
      </c>
      <c r="AD705" s="29" t="s">
        <v>252</v>
      </c>
      <c r="AE705" s="29"/>
      <c r="GR705" s="5"/>
      <c r="GS705" s="5"/>
      <c r="GT705" s="5"/>
      <c r="GU705" s="5"/>
      <c r="GV705" s="5"/>
      <c r="GW705" s="5"/>
      <c r="GX705" s="5"/>
      <c r="GY705" s="5"/>
      <c r="GZ705" s="5"/>
      <c r="HA705" s="5"/>
      <c r="HB705" s="5"/>
      <c r="HC705" s="5"/>
      <c r="HD705" s="5"/>
      <c r="HE705" s="5"/>
      <c r="HF705" s="5"/>
      <c r="HG705" s="5"/>
      <c r="HH705" s="5"/>
      <c r="HI705" s="5"/>
      <c r="HJ705" s="5"/>
      <c r="HK705" s="5"/>
      <c r="HL705" s="5"/>
      <c r="HM705" s="5"/>
      <c r="HN705" s="5"/>
      <c r="HO705" s="5"/>
      <c r="HP705" s="5"/>
    </row>
    <row r="706" spans="3:224" ht="20.100000000000001" customHeight="1">
      <c r="C706" s="48">
        <v>16000407</v>
      </c>
      <c r="D706" s="49" t="s">
        <v>642</v>
      </c>
      <c r="E706" s="59">
        <v>11200010</v>
      </c>
      <c r="F706" s="25">
        <v>30032</v>
      </c>
      <c r="G706" s="25">
        <v>1</v>
      </c>
      <c r="H706" s="25">
        <v>12</v>
      </c>
      <c r="I706" s="29">
        <v>0</v>
      </c>
      <c r="J706" s="30">
        <v>0</v>
      </c>
      <c r="K706" s="25">
        <v>0</v>
      </c>
      <c r="L706" s="25">
        <v>0</v>
      </c>
      <c r="M706" s="25">
        <v>0</v>
      </c>
      <c r="N706" s="25">
        <v>0</v>
      </c>
      <c r="O706" s="25">
        <v>0</v>
      </c>
      <c r="P706" s="25">
        <v>0</v>
      </c>
      <c r="Q706" s="25">
        <v>0</v>
      </c>
      <c r="R706" s="25">
        <v>0</v>
      </c>
      <c r="S706" s="25">
        <v>0</v>
      </c>
      <c r="T706" s="25">
        <v>0</v>
      </c>
      <c r="U706" s="29">
        <v>0</v>
      </c>
      <c r="V706" s="25">
        <v>0</v>
      </c>
      <c r="W706" s="25">
        <v>0</v>
      </c>
      <c r="X706" s="25">
        <v>0</v>
      </c>
      <c r="Y706" s="29">
        <v>0</v>
      </c>
      <c r="Z706" s="29">
        <v>0</v>
      </c>
      <c r="AA706" s="29">
        <v>0</v>
      </c>
      <c r="AB706" s="29" t="s">
        <v>598</v>
      </c>
      <c r="AC706" s="29" t="s">
        <v>648</v>
      </c>
      <c r="AD706" s="29" t="s">
        <v>252</v>
      </c>
      <c r="AE706" s="29"/>
      <c r="GR706" s="5"/>
      <c r="GS706" s="5"/>
      <c r="GT706" s="5"/>
      <c r="GU706" s="5"/>
      <c r="GV706" s="5"/>
      <c r="GW706" s="5"/>
      <c r="GX706" s="5"/>
      <c r="GY706" s="5"/>
      <c r="GZ706" s="5"/>
      <c r="HA706" s="5"/>
      <c r="HB706" s="5"/>
      <c r="HC706" s="5"/>
      <c r="HD706" s="5"/>
      <c r="HE706" s="5"/>
      <c r="HF706" s="5"/>
      <c r="HG706" s="5"/>
      <c r="HH706" s="5"/>
      <c r="HI706" s="5"/>
      <c r="HJ706" s="5"/>
      <c r="HK706" s="5"/>
      <c r="HL706" s="5"/>
      <c r="HM706" s="5"/>
      <c r="HN706" s="5"/>
      <c r="HO706" s="5"/>
      <c r="HP706" s="5"/>
    </row>
    <row r="707" spans="3:224" ht="20.100000000000001" customHeight="1">
      <c r="C707" s="48">
        <v>16000408</v>
      </c>
      <c r="D707" s="49" t="s">
        <v>643</v>
      </c>
      <c r="E707" s="59">
        <v>11200010</v>
      </c>
      <c r="F707" s="25">
        <v>30032</v>
      </c>
      <c r="G707" s="25">
        <v>1</v>
      </c>
      <c r="H707" s="25">
        <v>12</v>
      </c>
      <c r="I707" s="29">
        <v>0</v>
      </c>
      <c r="J707" s="30">
        <v>0</v>
      </c>
      <c r="K707" s="25">
        <v>0</v>
      </c>
      <c r="L707" s="25">
        <v>0</v>
      </c>
      <c r="M707" s="25">
        <v>0</v>
      </c>
      <c r="N707" s="25">
        <v>0</v>
      </c>
      <c r="O707" s="25">
        <v>0</v>
      </c>
      <c r="P707" s="25">
        <v>0</v>
      </c>
      <c r="Q707" s="25">
        <v>0</v>
      </c>
      <c r="R707" s="25">
        <v>0</v>
      </c>
      <c r="S707" s="25">
        <v>0</v>
      </c>
      <c r="T707" s="25">
        <v>0</v>
      </c>
      <c r="U707" s="29">
        <v>0</v>
      </c>
      <c r="V707" s="25">
        <v>0</v>
      </c>
      <c r="W707" s="25">
        <v>0</v>
      </c>
      <c r="X707" s="25">
        <v>0</v>
      </c>
      <c r="Y707" s="29">
        <v>0</v>
      </c>
      <c r="Z707" s="29">
        <v>0</v>
      </c>
      <c r="AA707" s="29">
        <v>0</v>
      </c>
      <c r="AB707" s="29" t="s">
        <v>600</v>
      </c>
      <c r="AC707" s="29" t="s">
        <v>648</v>
      </c>
      <c r="AD707" s="29" t="s">
        <v>252</v>
      </c>
      <c r="AE707" s="29"/>
      <c r="GR707" s="5"/>
      <c r="GS707" s="5"/>
      <c r="GT707" s="5"/>
      <c r="GU707" s="5"/>
      <c r="GV707" s="5"/>
      <c r="GW707" s="5"/>
      <c r="GX707" s="5"/>
      <c r="GY707" s="5"/>
      <c r="GZ707" s="5"/>
      <c r="HA707" s="5"/>
      <c r="HB707" s="5"/>
      <c r="HC707" s="5"/>
      <c r="HD707" s="5"/>
      <c r="HE707" s="5"/>
      <c r="HF707" s="5"/>
      <c r="HG707" s="5"/>
      <c r="HH707" s="5"/>
      <c r="HI707" s="5"/>
      <c r="HJ707" s="5"/>
      <c r="HK707" s="5"/>
      <c r="HL707" s="5"/>
      <c r="HM707" s="5"/>
      <c r="HN707" s="5"/>
      <c r="HO707" s="5"/>
      <c r="HP707" s="5"/>
    </row>
    <row r="708" spans="3:224" ht="20.100000000000001" customHeight="1">
      <c r="C708" s="48">
        <v>16000409</v>
      </c>
      <c r="D708" s="49" t="s">
        <v>644</v>
      </c>
      <c r="E708" s="59">
        <v>11200010</v>
      </c>
      <c r="F708" s="25">
        <v>30033</v>
      </c>
      <c r="G708" s="25">
        <v>1</v>
      </c>
      <c r="H708" s="25">
        <v>12</v>
      </c>
      <c r="I708" s="29">
        <v>0</v>
      </c>
      <c r="J708" s="30">
        <v>0</v>
      </c>
      <c r="K708" s="25">
        <v>0</v>
      </c>
      <c r="L708" s="25">
        <v>0</v>
      </c>
      <c r="M708" s="25">
        <v>0</v>
      </c>
      <c r="N708" s="25">
        <v>0</v>
      </c>
      <c r="O708" s="25">
        <v>0</v>
      </c>
      <c r="P708" s="25">
        <v>0</v>
      </c>
      <c r="Q708" s="25">
        <v>0</v>
      </c>
      <c r="R708" s="25">
        <v>0</v>
      </c>
      <c r="S708" s="25">
        <v>0</v>
      </c>
      <c r="T708" s="25">
        <v>0</v>
      </c>
      <c r="U708" s="29">
        <v>0</v>
      </c>
      <c r="V708" s="25">
        <v>0</v>
      </c>
      <c r="W708" s="25">
        <v>0</v>
      </c>
      <c r="X708" s="25">
        <v>0</v>
      </c>
      <c r="Y708" s="29">
        <v>0</v>
      </c>
      <c r="Z708" s="29">
        <v>0</v>
      </c>
      <c r="AA708" s="29">
        <v>0</v>
      </c>
      <c r="AB708" s="29">
        <v>105401</v>
      </c>
      <c r="AC708" s="29">
        <v>13</v>
      </c>
      <c r="AD708" s="29">
        <v>0</v>
      </c>
      <c r="AE708" s="29"/>
      <c r="GR708" s="5"/>
      <c r="GS708" s="5"/>
      <c r="GT708" s="5"/>
      <c r="GU708" s="5"/>
      <c r="GV708" s="5"/>
      <c r="GW708" s="5"/>
      <c r="GX708" s="5"/>
      <c r="GY708" s="5"/>
      <c r="GZ708" s="5"/>
      <c r="HA708" s="5"/>
      <c r="HB708" s="5"/>
      <c r="HC708" s="5"/>
      <c r="HD708" s="5"/>
      <c r="HE708" s="5"/>
      <c r="HF708" s="5"/>
      <c r="HG708" s="5"/>
      <c r="HH708" s="5"/>
      <c r="HI708" s="5"/>
      <c r="HJ708" s="5"/>
      <c r="HK708" s="5"/>
      <c r="HL708" s="5"/>
      <c r="HM708" s="5"/>
      <c r="HN708" s="5"/>
      <c r="HO708" s="5"/>
      <c r="HP708" s="5"/>
    </row>
    <row r="709" spans="3:224" ht="20.100000000000001" customHeight="1">
      <c r="C709" s="48">
        <v>16000410</v>
      </c>
      <c r="D709" s="49" t="s">
        <v>645</v>
      </c>
      <c r="E709" s="59">
        <v>11200010</v>
      </c>
      <c r="F709" s="25">
        <v>30033</v>
      </c>
      <c r="G709" s="25">
        <v>1</v>
      </c>
      <c r="H709" s="25">
        <v>12</v>
      </c>
      <c r="I709" s="29">
        <v>0</v>
      </c>
      <c r="J709" s="30">
        <v>0</v>
      </c>
      <c r="K709" s="25">
        <v>0</v>
      </c>
      <c r="L709" s="25">
        <v>0</v>
      </c>
      <c r="M709" s="25">
        <v>0</v>
      </c>
      <c r="N709" s="25">
        <v>0</v>
      </c>
      <c r="O709" s="25">
        <v>0</v>
      </c>
      <c r="P709" s="25">
        <v>0</v>
      </c>
      <c r="Q709" s="25">
        <v>0</v>
      </c>
      <c r="R709" s="25">
        <v>0</v>
      </c>
      <c r="S709" s="25">
        <v>0</v>
      </c>
      <c r="T709" s="25">
        <v>0</v>
      </c>
      <c r="U709" s="29">
        <v>0</v>
      </c>
      <c r="V709" s="25">
        <v>0</v>
      </c>
      <c r="W709" s="25">
        <v>0</v>
      </c>
      <c r="X709" s="25">
        <v>0</v>
      </c>
      <c r="Y709" s="29">
        <v>0</v>
      </c>
      <c r="Z709" s="29">
        <v>0</v>
      </c>
      <c r="AA709" s="29">
        <v>0</v>
      </c>
      <c r="AB709" s="29" t="s">
        <v>603</v>
      </c>
      <c r="AC709" s="29" t="s">
        <v>648</v>
      </c>
      <c r="AD709" s="29" t="s">
        <v>252</v>
      </c>
      <c r="AE709" s="29"/>
      <c r="GR709" s="5"/>
      <c r="GS709" s="5"/>
      <c r="GT709" s="5"/>
      <c r="GU709" s="5"/>
      <c r="GV709" s="5"/>
      <c r="GW709" s="5"/>
      <c r="GX709" s="5"/>
      <c r="GY709" s="5"/>
      <c r="GZ709" s="5"/>
      <c r="HA709" s="5"/>
      <c r="HB709" s="5"/>
      <c r="HC709" s="5"/>
      <c r="HD709" s="5"/>
      <c r="HE709" s="5"/>
      <c r="HF709" s="5"/>
      <c r="HG709" s="5"/>
      <c r="HH709" s="5"/>
      <c r="HI709" s="5"/>
      <c r="HJ709" s="5"/>
      <c r="HK709" s="5"/>
      <c r="HL709" s="5"/>
      <c r="HM709" s="5"/>
      <c r="HN709" s="5"/>
      <c r="HO709" s="5"/>
      <c r="HP709" s="5"/>
    </row>
    <row r="710" spans="3:224" ht="20.100000000000001" customHeight="1">
      <c r="C710" s="48">
        <v>16000411</v>
      </c>
      <c r="D710" s="49" t="s">
        <v>646</v>
      </c>
      <c r="E710" s="59">
        <v>11200010</v>
      </c>
      <c r="F710" s="25">
        <v>30033</v>
      </c>
      <c r="G710" s="25">
        <v>1</v>
      </c>
      <c r="H710" s="25">
        <v>12</v>
      </c>
      <c r="I710" s="29">
        <v>0</v>
      </c>
      <c r="J710" s="30">
        <v>0</v>
      </c>
      <c r="K710" s="25">
        <v>0</v>
      </c>
      <c r="L710" s="25">
        <v>0</v>
      </c>
      <c r="M710" s="25">
        <v>0</v>
      </c>
      <c r="N710" s="25">
        <v>0</v>
      </c>
      <c r="O710" s="25">
        <v>0</v>
      </c>
      <c r="P710" s="25">
        <v>0</v>
      </c>
      <c r="Q710" s="25">
        <v>0</v>
      </c>
      <c r="R710" s="25">
        <v>0</v>
      </c>
      <c r="S710" s="25">
        <v>0</v>
      </c>
      <c r="T710" s="25">
        <v>0</v>
      </c>
      <c r="U710" s="29">
        <v>0</v>
      </c>
      <c r="V710" s="25">
        <v>0</v>
      </c>
      <c r="W710" s="25">
        <v>0</v>
      </c>
      <c r="X710" s="25">
        <v>0</v>
      </c>
      <c r="Y710" s="29">
        <v>0</v>
      </c>
      <c r="Z710" s="29">
        <v>0</v>
      </c>
      <c r="AA710" s="29">
        <v>0</v>
      </c>
      <c r="AB710" s="29" t="s">
        <v>605</v>
      </c>
      <c r="AC710" s="29" t="s">
        <v>648</v>
      </c>
      <c r="AD710" s="29" t="s">
        <v>252</v>
      </c>
      <c r="AE710" s="29"/>
      <c r="GR710" s="5"/>
      <c r="GS710" s="5"/>
      <c r="GT710" s="5"/>
      <c r="GU710" s="5"/>
      <c r="GV710" s="5"/>
      <c r="GW710" s="5"/>
      <c r="GX710" s="5"/>
      <c r="GY710" s="5"/>
      <c r="GZ710" s="5"/>
      <c r="HA710" s="5"/>
      <c r="HB710" s="5"/>
      <c r="HC710" s="5"/>
      <c r="HD710" s="5"/>
      <c r="HE710" s="5"/>
      <c r="HF710" s="5"/>
      <c r="HG710" s="5"/>
      <c r="HH710" s="5"/>
      <c r="HI710" s="5"/>
      <c r="HJ710" s="5"/>
      <c r="HK710" s="5"/>
      <c r="HL710" s="5"/>
      <c r="HM710" s="5"/>
      <c r="HN710" s="5"/>
      <c r="HO710" s="5"/>
      <c r="HP710" s="5"/>
    </row>
    <row r="711" spans="3:224" ht="20.100000000000001" customHeight="1">
      <c r="C711" s="48">
        <v>16000412</v>
      </c>
      <c r="D711" s="49" t="s">
        <v>647</v>
      </c>
      <c r="E711" s="59">
        <v>11200010</v>
      </c>
      <c r="F711" s="25">
        <v>30033</v>
      </c>
      <c r="G711" s="25">
        <v>1</v>
      </c>
      <c r="H711" s="25">
        <v>12</v>
      </c>
      <c r="I711" s="29">
        <v>0</v>
      </c>
      <c r="J711" s="30">
        <v>0</v>
      </c>
      <c r="K711" s="25">
        <v>0</v>
      </c>
      <c r="L711" s="25">
        <v>0</v>
      </c>
      <c r="M711" s="25">
        <v>0</v>
      </c>
      <c r="N711" s="25">
        <v>0</v>
      </c>
      <c r="O711" s="25">
        <v>0</v>
      </c>
      <c r="P711" s="25">
        <v>0</v>
      </c>
      <c r="Q711" s="25">
        <v>0</v>
      </c>
      <c r="R711" s="25">
        <v>0</v>
      </c>
      <c r="S711" s="25">
        <v>0</v>
      </c>
      <c r="T711" s="25">
        <v>0</v>
      </c>
      <c r="U711" s="29">
        <v>0</v>
      </c>
      <c r="V711" s="25">
        <v>0</v>
      </c>
      <c r="W711" s="25">
        <v>0</v>
      </c>
      <c r="X711" s="25">
        <v>0</v>
      </c>
      <c r="Y711" s="29">
        <v>0</v>
      </c>
      <c r="Z711" s="29">
        <v>0</v>
      </c>
      <c r="AA711" s="29">
        <v>0</v>
      </c>
      <c r="AB711" s="29" t="s">
        <v>607</v>
      </c>
      <c r="AC711" s="29" t="s">
        <v>648</v>
      </c>
      <c r="AD711" s="29" t="s">
        <v>252</v>
      </c>
      <c r="AE711" s="29"/>
      <c r="GR711" s="5"/>
      <c r="GS711" s="5"/>
      <c r="GT711" s="5"/>
      <c r="GU711" s="5"/>
      <c r="GV711" s="5"/>
      <c r="GW711" s="5"/>
      <c r="GX711" s="5"/>
      <c r="GY711" s="5"/>
      <c r="GZ711" s="5"/>
      <c r="HA711" s="5"/>
      <c r="HB711" s="5"/>
      <c r="HC711" s="5"/>
      <c r="HD711" s="5"/>
      <c r="HE711" s="5"/>
      <c r="HF711" s="5"/>
      <c r="HG711" s="5"/>
      <c r="HH711" s="5"/>
      <c r="HI711" s="5"/>
      <c r="HJ711" s="5"/>
      <c r="HK711" s="5"/>
      <c r="HL711" s="5"/>
      <c r="HM711" s="5"/>
      <c r="HN711" s="5"/>
      <c r="HO711" s="5"/>
      <c r="HP711" s="5"/>
    </row>
    <row r="712" spans="3:224" ht="20.100000000000001" customHeight="1">
      <c r="C712" s="48">
        <v>16000413</v>
      </c>
      <c r="D712" s="49" t="s">
        <v>671</v>
      </c>
      <c r="E712" s="59">
        <v>0</v>
      </c>
      <c r="F712" s="25">
        <v>0</v>
      </c>
      <c r="G712" s="25">
        <v>0</v>
      </c>
      <c r="H712" s="25">
        <v>0</v>
      </c>
      <c r="I712" s="29">
        <v>0</v>
      </c>
      <c r="J712" s="30">
        <v>0</v>
      </c>
      <c r="K712" s="25">
        <v>0</v>
      </c>
      <c r="L712" s="25">
        <v>0</v>
      </c>
      <c r="M712" s="25">
        <v>0</v>
      </c>
      <c r="N712" s="25">
        <v>0</v>
      </c>
      <c r="O712" s="25">
        <v>0</v>
      </c>
      <c r="P712" s="25">
        <v>0</v>
      </c>
      <c r="Q712" s="25">
        <v>0</v>
      </c>
      <c r="R712" s="25">
        <v>0</v>
      </c>
      <c r="S712" s="25">
        <v>0</v>
      </c>
      <c r="T712" s="25">
        <v>0</v>
      </c>
      <c r="U712" s="29">
        <v>0</v>
      </c>
      <c r="V712" s="25">
        <v>0</v>
      </c>
      <c r="W712" s="25">
        <v>0</v>
      </c>
      <c r="X712" s="25">
        <v>0</v>
      </c>
      <c r="Y712" s="29">
        <v>0</v>
      </c>
      <c r="Z712" s="29">
        <v>0</v>
      </c>
      <c r="AA712" s="29">
        <v>0</v>
      </c>
      <c r="AB712" s="29">
        <v>0</v>
      </c>
      <c r="AC712" s="29">
        <v>0</v>
      </c>
      <c r="AD712" s="29">
        <v>0</v>
      </c>
      <c r="AE712" s="29"/>
      <c r="GR712" s="5"/>
      <c r="GS712" s="5"/>
      <c r="GT712" s="5"/>
      <c r="GU712" s="5"/>
      <c r="GV712" s="5"/>
      <c r="GW712" s="5"/>
      <c r="GX712" s="5"/>
      <c r="GY712" s="5"/>
      <c r="GZ712" s="5"/>
      <c r="HA712" s="5"/>
      <c r="HB712" s="5"/>
      <c r="HC712" s="5"/>
      <c r="HD712" s="5"/>
      <c r="HE712" s="5"/>
      <c r="HF712" s="5"/>
      <c r="HG712" s="5"/>
      <c r="HH712" s="5"/>
      <c r="HI712" s="5"/>
      <c r="HJ712" s="5"/>
      <c r="HK712" s="5"/>
      <c r="HL712" s="5"/>
      <c r="HM712" s="5"/>
      <c r="HN712" s="5"/>
      <c r="HO712" s="5"/>
      <c r="HP712" s="5"/>
    </row>
  </sheetData>
  <phoneticPr fontId="23" type="noConversion"/>
  <pageMargins left="0.69930555555555596" right="0.69930555555555596" top="0.75" bottom="0.75" header="0.3" footer="0.3"/>
  <pageSetup orientation="portrait"/>
  <headerFooter>
    <oddFooter>&amp;C&amp;"Helvetica Neue,Regular"&amp;12&amp;K000000&amp;P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2019-09-30T00:29:00Z</dcterms:created>
  <dcterms:modified xsi:type="dcterms:W3CDTF">2025-05-08T11:24:39Z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