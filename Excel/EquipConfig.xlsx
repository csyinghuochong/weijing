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42781699-6CA4-4E9F-A192-2B44B6B986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quipProto" sheetId="1" r:id="rId1"/>
  </sheets>
  <calcPr calcId="191029"/>
</workbook>
</file>

<file path=xl/calcChain.xml><?xml version="1.0" encoding="utf-8"?>
<calcChain xmlns="http://schemas.openxmlformats.org/spreadsheetml/2006/main">
  <c r="S20" i="1" l="1"/>
  <c r="Q20" i="1"/>
  <c r="S19" i="1"/>
  <c r="Q19" i="1"/>
  <c r="S18" i="1"/>
  <c r="Q18" i="1"/>
  <c r="S17" i="1"/>
  <c r="Q17" i="1"/>
  <c r="S16" i="1"/>
  <c r="Q16" i="1"/>
  <c r="S15" i="1"/>
  <c r="Q15" i="1"/>
  <c r="S14" i="1"/>
  <c r="Q14" i="1"/>
  <c r="S13" i="1"/>
  <c r="Q13" i="1"/>
  <c r="S12" i="1"/>
  <c r="Q12" i="1"/>
  <c r="S11" i="1"/>
  <c r="Q11" i="1"/>
  <c r="S10" i="1"/>
  <c r="Q10" i="1"/>
  <c r="S9" i="1"/>
  <c r="Q9" i="1"/>
  <c r="S8" i="1"/>
  <c r="Q8" i="1"/>
  <c r="S7" i="1"/>
  <c r="Q7" i="1"/>
  <c r="S6" i="1"/>
  <c r="Q6" i="1"/>
  <c r="S318" i="1"/>
  <c r="Q318" i="1"/>
  <c r="S295" i="1"/>
  <c r="Q295" i="1"/>
  <c r="S227" i="1"/>
  <c r="Q227" i="1"/>
  <c r="S226" i="1"/>
  <c r="Q226" i="1"/>
  <c r="S225" i="1"/>
  <c r="Q225" i="1"/>
  <c r="S224" i="1"/>
  <c r="Q224" i="1"/>
  <c r="S223" i="1"/>
  <c r="Q223" i="1"/>
  <c r="S579" i="1"/>
  <c r="Q579" i="1"/>
  <c r="S578" i="1"/>
  <c r="Q578" i="1"/>
  <c r="M578" i="1"/>
  <c r="S577" i="1"/>
  <c r="Q577" i="1"/>
  <c r="M577" i="1"/>
  <c r="S516" i="1"/>
  <c r="Q516" i="1"/>
  <c r="M516" i="1"/>
  <c r="S515" i="1"/>
  <c r="Q515" i="1"/>
  <c r="M515" i="1"/>
  <c r="S514" i="1"/>
  <c r="Q514" i="1"/>
  <c r="M514" i="1"/>
  <c r="S454" i="1"/>
  <c r="Q454" i="1"/>
  <c r="M454" i="1"/>
  <c r="S453" i="1"/>
  <c r="Q453" i="1"/>
  <c r="M453" i="1"/>
  <c r="S452" i="1"/>
  <c r="Q452" i="1"/>
  <c r="M452" i="1"/>
  <c r="S392" i="1"/>
  <c r="Q392" i="1"/>
  <c r="M392" i="1"/>
  <c r="S391" i="1"/>
  <c r="Q391" i="1"/>
  <c r="M391" i="1"/>
  <c r="S390" i="1"/>
  <c r="Q390" i="1"/>
  <c r="M390" i="1"/>
  <c r="S323" i="1"/>
  <c r="Q323" i="1"/>
  <c r="S322" i="1"/>
  <c r="Q322" i="1"/>
  <c r="M322" i="1"/>
  <c r="S321" i="1"/>
  <c r="Q321" i="1"/>
  <c r="M321" i="1"/>
  <c r="S320" i="1"/>
  <c r="Q320" i="1"/>
  <c r="M320" i="1"/>
  <c r="S319" i="1"/>
  <c r="Q319" i="1"/>
  <c r="M319" i="1"/>
  <c r="L588" i="1"/>
  <c r="S585" i="1"/>
  <c r="Q585" i="1"/>
  <c r="M585" i="1"/>
  <c r="L585" i="1"/>
  <c r="S584" i="1"/>
  <c r="Q584" i="1"/>
  <c r="M584" i="1"/>
  <c r="L584" i="1"/>
  <c r="S583" i="1"/>
  <c r="Q583" i="1"/>
  <c r="M583" i="1"/>
  <c r="S582" i="1"/>
  <c r="Q582" i="1"/>
  <c r="M582" i="1"/>
  <c r="S581" i="1"/>
  <c r="Q581" i="1"/>
  <c r="M581" i="1"/>
  <c r="S580" i="1"/>
  <c r="Q580" i="1"/>
  <c r="M580" i="1"/>
  <c r="S576" i="1"/>
  <c r="Q576" i="1"/>
  <c r="S575" i="1"/>
  <c r="Q575" i="1"/>
  <c r="S574" i="1"/>
  <c r="Q574" i="1"/>
  <c r="S573" i="1"/>
  <c r="Q573" i="1"/>
  <c r="S572" i="1"/>
  <c r="Q572" i="1"/>
  <c r="M572" i="1"/>
  <c r="S571" i="1"/>
  <c r="Q571" i="1"/>
  <c r="M571" i="1"/>
  <c r="S570" i="1"/>
  <c r="Q570" i="1"/>
  <c r="M570" i="1"/>
  <c r="S569" i="1"/>
  <c r="Q569" i="1"/>
  <c r="M569" i="1"/>
  <c r="S568" i="1"/>
  <c r="Q568" i="1"/>
  <c r="M568" i="1"/>
  <c r="S567" i="1"/>
  <c r="Q567" i="1"/>
  <c r="M567" i="1"/>
  <c r="S566" i="1"/>
  <c r="Q566" i="1"/>
  <c r="M566" i="1"/>
  <c r="S565" i="1"/>
  <c r="Q565" i="1"/>
  <c r="S564" i="1"/>
  <c r="Q564" i="1"/>
  <c r="S563" i="1"/>
  <c r="Q563" i="1"/>
  <c r="M563" i="1"/>
  <c r="S562" i="1"/>
  <c r="Q562" i="1"/>
  <c r="M562" i="1"/>
  <c r="S561" i="1"/>
  <c r="Q561" i="1"/>
  <c r="M561" i="1"/>
  <c r="S560" i="1"/>
  <c r="Q560" i="1"/>
  <c r="M560" i="1"/>
  <c r="S559" i="1"/>
  <c r="S558" i="1"/>
  <c r="Q558" i="1"/>
  <c r="M558" i="1"/>
  <c r="S557" i="1"/>
  <c r="Q557" i="1"/>
  <c r="M557" i="1"/>
  <c r="S556" i="1"/>
  <c r="Q556" i="1"/>
  <c r="M556" i="1"/>
  <c r="S555" i="1"/>
  <c r="Q555" i="1"/>
  <c r="M555" i="1"/>
  <c r="S554" i="1"/>
  <c r="Q554" i="1"/>
  <c r="M554" i="1"/>
  <c r="S553" i="1"/>
  <c r="Q553" i="1"/>
  <c r="M553" i="1"/>
  <c r="S552" i="1"/>
  <c r="Q552" i="1"/>
  <c r="M552" i="1"/>
  <c r="S551" i="1"/>
  <c r="Q551" i="1"/>
  <c r="M551" i="1"/>
  <c r="S550" i="1"/>
  <c r="Q550" i="1"/>
  <c r="M550" i="1"/>
  <c r="S549" i="1"/>
  <c r="Q549" i="1"/>
  <c r="M549" i="1"/>
  <c r="S548" i="1"/>
  <c r="Q548" i="1"/>
  <c r="M548" i="1"/>
  <c r="S547" i="1"/>
  <c r="Q547" i="1"/>
  <c r="M547" i="1"/>
  <c r="S546" i="1"/>
  <c r="Q546" i="1"/>
  <c r="M546" i="1"/>
  <c r="S545" i="1"/>
  <c r="Q545" i="1"/>
  <c r="M545" i="1"/>
  <c r="S544" i="1"/>
  <c r="Q544" i="1"/>
  <c r="S543" i="1"/>
  <c r="Q543" i="1"/>
  <c r="M543" i="1"/>
  <c r="S542" i="1"/>
  <c r="Q542" i="1"/>
  <c r="M542" i="1"/>
  <c r="S541" i="1"/>
  <c r="Q541" i="1"/>
  <c r="M541" i="1"/>
  <c r="S540" i="1"/>
  <c r="Q540" i="1"/>
  <c r="M540" i="1"/>
  <c r="S539" i="1"/>
  <c r="Q539" i="1"/>
  <c r="M539" i="1"/>
  <c r="S538" i="1"/>
  <c r="Q538" i="1"/>
  <c r="M538" i="1"/>
  <c r="S537" i="1"/>
  <c r="Q537" i="1"/>
  <c r="M537" i="1"/>
  <c r="S536" i="1"/>
  <c r="Q536" i="1"/>
  <c r="M536" i="1"/>
  <c r="S535" i="1"/>
  <c r="Q535" i="1"/>
  <c r="M535" i="1"/>
  <c r="S534" i="1"/>
  <c r="Q534" i="1"/>
  <c r="M534" i="1"/>
  <c r="S533" i="1"/>
  <c r="Q533" i="1"/>
  <c r="M533" i="1"/>
  <c r="S532" i="1"/>
  <c r="Q532" i="1"/>
  <c r="M532" i="1"/>
  <c r="S531" i="1"/>
  <c r="Q531" i="1"/>
  <c r="M531" i="1"/>
  <c r="S530" i="1"/>
  <c r="Q530" i="1"/>
  <c r="M530" i="1"/>
  <c r="S529" i="1"/>
  <c r="Q529" i="1"/>
  <c r="M529" i="1"/>
  <c r="S528" i="1"/>
  <c r="Q528" i="1"/>
  <c r="M528" i="1"/>
  <c r="S527" i="1"/>
  <c r="Q527" i="1"/>
  <c r="M527" i="1"/>
  <c r="S526" i="1"/>
  <c r="Q526" i="1"/>
  <c r="M526" i="1"/>
  <c r="T525" i="1"/>
  <c r="R525" i="1"/>
  <c r="M525" i="1"/>
  <c r="T524" i="1"/>
  <c r="R524" i="1"/>
  <c r="M524" i="1"/>
  <c r="T523" i="1"/>
  <c r="R523" i="1"/>
  <c r="M523" i="1"/>
  <c r="S522" i="1"/>
  <c r="S525" i="1" s="1"/>
  <c r="Q522" i="1"/>
  <c r="Q525" i="1" s="1"/>
  <c r="M522" i="1"/>
  <c r="S521" i="1"/>
  <c r="Q521" i="1"/>
  <c r="M521" i="1"/>
  <c r="S520" i="1"/>
  <c r="S524" i="1" s="1"/>
  <c r="Q520" i="1"/>
  <c r="Q524" i="1" s="1"/>
  <c r="M520" i="1"/>
  <c r="S519" i="1"/>
  <c r="Q519" i="1"/>
  <c r="M519" i="1"/>
  <c r="S518" i="1"/>
  <c r="S523" i="1" s="1"/>
  <c r="Q518" i="1"/>
  <c r="Q523" i="1" s="1"/>
  <c r="M518" i="1"/>
  <c r="S517" i="1"/>
  <c r="Q517" i="1"/>
  <c r="M517" i="1"/>
  <c r="S513" i="1"/>
  <c r="Q513" i="1"/>
  <c r="M513" i="1"/>
  <c r="S512" i="1"/>
  <c r="Q512" i="1"/>
  <c r="M512" i="1"/>
  <c r="S511" i="1"/>
  <c r="Q511" i="1"/>
  <c r="M511" i="1"/>
  <c r="S510" i="1"/>
  <c r="Q510" i="1"/>
  <c r="M510" i="1"/>
  <c r="S509" i="1"/>
  <c r="Q509" i="1"/>
  <c r="M509" i="1"/>
  <c r="S508" i="1"/>
  <c r="Q508" i="1"/>
  <c r="M508" i="1"/>
  <c r="S507" i="1"/>
  <c r="Q507" i="1"/>
  <c r="M507" i="1"/>
  <c r="S506" i="1"/>
  <c r="Q506" i="1"/>
  <c r="M506" i="1"/>
  <c r="S505" i="1"/>
  <c r="Q505" i="1"/>
  <c r="M505" i="1"/>
  <c r="S504" i="1"/>
  <c r="Q504" i="1"/>
  <c r="M504" i="1"/>
  <c r="S503" i="1"/>
  <c r="Q503" i="1"/>
  <c r="S502" i="1"/>
  <c r="Q502" i="1"/>
  <c r="S501" i="1"/>
  <c r="Q501" i="1"/>
  <c r="S500" i="1"/>
  <c r="Q500" i="1"/>
  <c r="M500" i="1"/>
  <c r="S499" i="1"/>
  <c r="Q499" i="1"/>
  <c r="M499" i="1"/>
  <c r="S498" i="1"/>
  <c r="Q498" i="1"/>
  <c r="M498" i="1"/>
  <c r="S497" i="1"/>
  <c r="Q497" i="1"/>
  <c r="M497" i="1"/>
  <c r="S496" i="1"/>
  <c r="Q496" i="1"/>
  <c r="M496" i="1"/>
  <c r="S495" i="1"/>
  <c r="Q495" i="1"/>
  <c r="M495" i="1"/>
  <c r="S494" i="1"/>
  <c r="Q494" i="1"/>
  <c r="M494" i="1"/>
  <c r="S493" i="1"/>
  <c r="Q493" i="1"/>
  <c r="M493" i="1"/>
  <c r="S492" i="1"/>
  <c r="Q492" i="1"/>
  <c r="M492" i="1"/>
  <c r="S491" i="1"/>
  <c r="Q491" i="1"/>
  <c r="M491" i="1"/>
  <c r="S490" i="1"/>
  <c r="Q490" i="1"/>
  <c r="M490" i="1"/>
  <c r="S489" i="1"/>
  <c r="Q489" i="1"/>
  <c r="M489" i="1"/>
  <c r="S488" i="1"/>
  <c r="Q488" i="1"/>
  <c r="M488" i="1"/>
  <c r="S487" i="1"/>
  <c r="Q487" i="1"/>
  <c r="M487" i="1"/>
  <c r="S486" i="1"/>
  <c r="Q486" i="1"/>
  <c r="M486" i="1"/>
  <c r="S485" i="1"/>
  <c r="Q485" i="1"/>
  <c r="M485" i="1"/>
  <c r="S484" i="1"/>
  <c r="Q484" i="1"/>
  <c r="M484" i="1"/>
  <c r="S483" i="1"/>
  <c r="Q483" i="1"/>
  <c r="M483" i="1"/>
  <c r="S482" i="1"/>
  <c r="Q482" i="1"/>
  <c r="M482" i="1"/>
  <c r="S481" i="1"/>
  <c r="Q481" i="1"/>
  <c r="M481" i="1"/>
  <c r="S480" i="1"/>
  <c r="Q480" i="1"/>
  <c r="M480" i="1"/>
  <c r="S479" i="1"/>
  <c r="Q479" i="1"/>
  <c r="M479" i="1"/>
  <c r="S478" i="1"/>
  <c r="Q478" i="1"/>
  <c r="M478" i="1"/>
  <c r="S477" i="1"/>
  <c r="Q477" i="1"/>
  <c r="M477" i="1"/>
  <c r="S476" i="1"/>
  <c r="Q476" i="1"/>
  <c r="M476" i="1"/>
  <c r="S475" i="1"/>
  <c r="Q475" i="1"/>
  <c r="M475" i="1"/>
  <c r="S474" i="1"/>
  <c r="Q474" i="1"/>
  <c r="M474" i="1"/>
  <c r="S473" i="1"/>
  <c r="Q473" i="1"/>
  <c r="M473" i="1"/>
  <c r="S472" i="1"/>
  <c r="Q472" i="1"/>
  <c r="M472" i="1"/>
  <c r="S471" i="1"/>
  <c r="Q471" i="1"/>
  <c r="M471" i="1"/>
  <c r="S470" i="1"/>
  <c r="Q470" i="1"/>
  <c r="M470" i="1"/>
  <c r="S469" i="1"/>
  <c r="Q469" i="1"/>
  <c r="M469" i="1"/>
  <c r="S468" i="1"/>
  <c r="Q468" i="1"/>
  <c r="M468" i="1"/>
  <c r="S467" i="1"/>
  <c r="Q467" i="1"/>
  <c r="M467" i="1"/>
  <c r="S466" i="1"/>
  <c r="Q466" i="1"/>
  <c r="M466" i="1"/>
  <c r="S465" i="1"/>
  <c r="Q465" i="1"/>
  <c r="M465" i="1"/>
  <c r="S464" i="1"/>
  <c r="Q464" i="1"/>
  <c r="M464" i="1"/>
  <c r="M463" i="1"/>
  <c r="M462" i="1"/>
  <c r="M461" i="1"/>
  <c r="S460" i="1"/>
  <c r="Q460" i="1"/>
  <c r="M460" i="1"/>
  <c r="S459" i="1"/>
  <c r="Q459" i="1"/>
  <c r="M459" i="1"/>
  <c r="S458" i="1"/>
  <c r="Q458" i="1"/>
  <c r="M458" i="1"/>
  <c r="S457" i="1"/>
  <c r="Q457" i="1"/>
  <c r="M457" i="1"/>
  <c r="S456" i="1"/>
  <c r="Q456" i="1"/>
  <c r="M456" i="1"/>
  <c r="S455" i="1"/>
  <c r="Q455" i="1"/>
  <c r="M455" i="1"/>
  <c r="S451" i="1"/>
  <c r="Q451" i="1"/>
  <c r="M451" i="1"/>
  <c r="S450" i="1"/>
  <c r="Q450" i="1"/>
  <c r="M450" i="1"/>
  <c r="S449" i="1"/>
  <c r="Q449" i="1"/>
  <c r="M449" i="1"/>
  <c r="S448" i="1"/>
  <c r="Q448" i="1"/>
  <c r="M448" i="1"/>
  <c r="S447" i="1"/>
  <c r="Q447" i="1"/>
  <c r="M447" i="1"/>
  <c r="S446" i="1"/>
  <c r="Q446" i="1"/>
  <c r="M446" i="1"/>
  <c r="S445" i="1"/>
  <c r="Q445" i="1"/>
  <c r="M445" i="1"/>
  <c r="S444" i="1"/>
  <c r="Q444" i="1"/>
  <c r="M444" i="1"/>
  <c r="S443" i="1"/>
  <c r="Q443" i="1"/>
  <c r="M443" i="1"/>
  <c r="S442" i="1"/>
  <c r="Q442" i="1"/>
  <c r="M442" i="1"/>
  <c r="S441" i="1"/>
  <c r="Q441" i="1"/>
  <c r="S440" i="1"/>
  <c r="Q440" i="1"/>
  <c r="S439" i="1"/>
  <c r="Q439" i="1"/>
  <c r="S438" i="1"/>
  <c r="Q438" i="1"/>
  <c r="S437" i="1"/>
  <c r="Q437" i="1"/>
  <c r="M437" i="1"/>
  <c r="S436" i="1"/>
  <c r="Q436" i="1"/>
  <c r="M436" i="1"/>
  <c r="S435" i="1"/>
  <c r="Q435" i="1"/>
  <c r="M435" i="1"/>
  <c r="S434" i="1"/>
  <c r="Q434" i="1"/>
  <c r="M434" i="1"/>
  <c r="S433" i="1"/>
  <c r="Q433" i="1"/>
  <c r="M433" i="1"/>
  <c r="S432" i="1"/>
  <c r="Q432" i="1"/>
  <c r="M432" i="1"/>
  <c r="S431" i="1"/>
  <c r="Q431" i="1"/>
  <c r="M431" i="1"/>
  <c r="S430" i="1"/>
  <c r="Q430" i="1"/>
  <c r="M430" i="1"/>
  <c r="S429" i="1"/>
  <c r="Q429" i="1"/>
  <c r="M429" i="1"/>
  <c r="S428" i="1"/>
  <c r="Q428" i="1"/>
  <c r="M428" i="1"/>
  <c r="S427" i="1"/>
  <c r="Q427" i="1"/>
  <c r="M427" i="1"/>
  <c r="S426" i="1"/>
  <c r="Q426" i="1"/>
  <c r="M426" i="1"/>
  <c r="S425" i="1"/>
  <c r="Q425" i="1"/>
  <c r="M425" i="1"/>
  <c r="S424" i="1"/>
  <c r="Q424" i="1"/>
  <c r="M424" i="1"/>
  <c r="S423" i="1"/>
  <c r="Q423" i="1"/>
  <c r="M423" i="1"/>
  <c r="S422" i="1"/>
  <c r="Q422" i="1"/>
  <c r="M422" i="1"/>
  <c r="S421" i="1"/>
  <c r="Q421" i="1"/>
  <c r="M421" i="1"/>
  <c r="S420" i="1"/>
  <c r="Q420" i="1"/>
  <c r="M420" i="1"/>
  <c r="S419" i="1"/>
  <c r="Q419" i="1"/>
  <c r="M419" i="1"/>
  <c r="S418" i="1"/>
  <c r="Q418" i="1"/>
  <c r="M418" i="1"/>
  <c r="S417" i="1"/>
  <c r="Q417" i="1"/>
  <c r="M417" i="1"/>
  <c r="S416" i="1"/>
  <c r="Q416" i="1"/>
  <c r="M416" i="1"/>
  <c r="S415" i="1"/>
  <c r="Q415" i="1"/>
  <c r="M415" i="1"/>
  <c r="S414" i="1"/>
  <c r="Q414" i="1"/>
  <c r="M414" i="1"/>
  <c r="S413" i="1"/>
  <c r="Q413" i="1"/>
  <c r="M413" i="1"/>
  <c r="S412" i="1"/>
  <c r="Q412" i="1"/>
  <c r="M412" i="1"/>
  <c r="S411" i="1"/>
  <c r="Q411" i="1"/>
  <c r="M411" i="1"/>
  <c r="S410" i="1"/>
  <c r="Q410" i="1"/>
  <c r="M410" i="1"/>
  <c r="S409" i="1"/>
  <c r="Q409" i="1"/>
  <c r="M409" i="1"/>
  <c r="S408" i="1"/>
  <c r="Q408" i="1"/>
  <c r="M408" i="1"/>
  <c r="S407" i="1"/>
  <c r="Q407" i="1"/>
  <c r="M407" i="1"/>
  <c r="S406" i="1"/>
  <c r="Q406" i="1"/>
  <c r="M406" i="1"/>
  <c r="S405" i="1"/>
  <c r="Q405" i="1"/>
  <c r="M405" i="1"/>
  <c r="S404" i="1"/>
  <c r="Q404" i="1"/>
  <c r="M404" i="1"/>
  <c r="S403" i="1"/>
  <c r="Q403" i="1"/>
  <c r="M403" i="1"/>
  <c r="S402" i="1"/>
  <c r="Q402" i="1"/>
  <c r="M402" i="1"/>
  <c r="M401" i="1"/>
  <c r="M400" i="1"/>
  <c r="M399" i="1"/>
  <c r="S398" i="1"/>
  <c r="Q398" i="1"/>
  <c r="M398" i="1"/>
  <c r="S397" i="1"/>
  <c r="Q397" i="1"/>
  <c r="M397" i="1"/>
  <c r="S396" i="1"/>
  <c r="Q396" i="1"/>
  <c r="M396" i="1"/>
  <c r="S395" i="1"/>
  <c r="Q395" i="1"/>
  <c r="M395" i="1"/>
  <c r="S394" i="1"/>
  <c r="Q394" i="1"/>
  <c r="M394" i="1"/>
  <c r="S393" i="1"/>
  <c r="Q393" i="1"/>
  <c r="M393" i="1"/>
  <c r="S389" i="1"/>
  <c r="Q389" i="1"/>
  <c r="M389" i="1"/>
  <c r="S388" i="1"/>
  <c r="Q388" i="1"/>
  <c r="M388" i="1"/>
  <c r="S387" i="1"/>
  <c r="Q387" i="1"/>
  <c r="M387" i="1"/>
  <c r="S386" i="1"/>
  <c r="Q386" i="1"/>
  <c r="M386" i="1"/>
  <c r="S385" i="1"/>
  <c r="Q385" i="1"/>
  <c r="M385" i="1"/>
  <c r="S384" i="1"/>
  <c r="Q384" i="1"/>
  <c r="M384" i="1"/>
  <c r="S383" i="1"/>
  <c r="Q383" i="1"/>
  <c r="M383" i="1"/>
  <c r="S382" i="1"/>
  <c r="Q382" i="1"/>
  <c r="M382" i="1"/>
  <c r="S381" i="1"/>
  <c r="Q381" i="1"/>
  <c r="M381" i="1"/>
  <c r="S380" i="1"/>
  <c r="Q380" i="1"/>
  <c r="M380" i="1"/>
  <c r="S379" i="1"/>
  <c r="Q379" i="1"/>
  <c r="M379" i="1"/>
  <c r="S378" i="1"/>
  <c r="Q378" i="1"/>
  <c r="M378" i="1"/>
  <c r="S377" i="1"/>
  <c r="Q377" i="1"/>
  <c r="M377" i="1"/>
  <c r="S376" i="1"/>
  <c r="Q376" i="1"/>
  <c r="M376" i="1"/>
  <c r="S375" i="1"/>
  <c r="Q375" i="1"/>
  <c r="M375" i="1"/>
  <c r="S374" i="1"/>
  <c r="Q374" i="1"/>
  <c r="M374" i="1"/>
  <c r="S373" i="1"/>
  <c r="Q373" i="1"/>
  <c r="M373" i="1"/>
  <c r="S372" i="1"/>
  <c r="Q372" i="1"/>
  <c r="M372" i="1"/>
  <c r="S371" i="1"/>
  <c r="Q371" i="1"/>
  <c r="M371" i="1"/>
  <c r="S370" i="1"/>
  <c r="Q370" i="1"/>
  <c r="M370" i="1"/>
  <c r="S369" i="1"/>
  <c r="Q369" i="1"/>
  <c r="M369" i="1"/>
  <c r="S368" i="1"/>
  <c r="Q368" i="1"/>
  <c r="M368" i="1"/>
  <c r="S367" i="1"/>
  <c r="Q367" i="1"/>
  <c r="M367" i="1"/>
  <c r="L367" i="1"/>
  <c r="S366" i="1"/>
  <c r="Q366" i="1"/>
  <c r="M366" i="1"/>
  <c r="S365" i="1"/>
  <c r="Q365" i="1"/>
  <c r="M365" i="1"/>
  <c r="S364" i="1"/>
  <c r="Q364" i="1"/>
  <c r="M364" i="1"/>
  <c r="S363" i="1"/>
  <c r="Q363" i="1"/>
  <c r="M363" i="1"/>
  <c r="S362" i="1"/>
  <c r="Q362" i="1"/>
  <c r="M362" i="1"/>
  <c r="S361" i="1"/>
  <c r="Q361" i="1"/>
  <c r="M361" i="1"/>
  <c r="S360" i="1"/>
  <c r="Q360" i="1"/>
  <c r="M360" i="1"/>
  <c r="S359" i="1"/>
  <c r="Q359" i="1"/>
  <c r="M359" i="1"/>
  <c r="S358" i="1"/>
  <c r="Q358" i="1"/>
  <c r="M358" i="1"/>
  <c r="S357" i="1"/>
  <c r="Q357" i="1"/>
  <c r="M357" i="1"/>
  <c r="S356" i="1"/>
  <c r="Q356" i="1"/>
  <c r="M356" i="1"/>
  <c r="S355" i="1"/>
  <c r="Q355" i="1"/>
  <c r="M355" i="1"/>
  <c r="S354" i="1"/>
  <c r="Q354" i="1"/>
  <c r="M354" i="1"/>
  <c r="S353" i="1"/>
  <c r="Q353" i="1"/>
  <c r="M353" i="1"/>
  <c r="S352" i="1"/>
  <c r="Q352" i="1"/>
  <c r="M352" i="1"/>
  <c r="S351" i="1"/>
  <c r="Q351" i="1"/>
  <c r="M351" i="1"/>
  <c r="S350" i="1"/>
  <c r="Q350" i="1"/>
  <c r="M350" i="1"/>
  <c r="S349" i="1"/>
  <c r="Q349" i="1"/>
  <c r="M349" i="1"/>
  <c r="S348" i="1"/>
  <c r="Q348" i="1"/>
  <c r="M348" i="1"/>
  <c r="S347" i="1"/>
  <c r="Q347" i="1"/>
  <c r="M347" i="1"/>
  <c r="S346" i="1"/>
  <c r="Q346" i="1"/>
  <c r="M346" i="1"/>
  <c r="S345" i="1"/>
  <c r="Q345" i="1"/>
  <c r="M345" i="1"/>
  <c r="S344" i="1"/>
  <c r="Q344" i="1"/>
  <c r="M344" i="1"/>
  <c r="S343" i="1"/>
  <c r="Q343" i="1"/>
  <c r="M343" i="1"/>
  <c r="S342" i="1"/>
  <c r="Q342" i="1"/>
  <c r="M342" i="1"/>
  <c r="S341" i="1"/>
  <c r="Q341" i="1"/>
  <c r="M341" i="1"/>
  <c r="S340" i="1"/>
  <c r="Q340" i="1"/>
  <c r="M340" i="1"/>
  <c r="S339" i="1"/>
  <c r="Q339" i="1"/>
  <c r="M339" i="1"/>
  <c r="M338" i="1"/>
  <c r="M337" i="1"/>
  <c r="M336" i="1"/>
  <c r="S335" i="1"/>
  <c r="Q335" i="1"/>
  <c r="M335" i="1"/>
  <c r="S334" i="1"/>
  <c r="Q334" i="1"/>
  <c r="M334" i="1"/>
  <c r="S333" i="1"/>
  <c r="Q333" i="1"/>
  <c r="M333" i="1"/>
  <c r="S332" i="1"/>
  <c r="Q332" i="1"/>
  <c r="M332" i="1"/>
  <c r="S331" i="1"/>
  <c r="Q331" i="1"/>
  <c r="M331" i="1"/>
  <c r="S330" i="1"/>
  <c r="Q330" i="1"/>
  <c r="M330" i="1"/>
  <c r="S329" i="1"/>
  <c r="Q329" i="1"/>
  <c r="M329" i="1"/>
  <c r="S328" i="1"/>
  <c r="Q328" i="1"/>
  <c r="M328" i="1"/>
  <c r="S327" i="1"/>
  <c r="Q327" i="1"/>
  <c r="M327" i="1"/>
  <c r="S326" i="1"/>
  <c r="Q326" i="1"/>
  <c r="M326" i="1"/>
  <c r="S325" i="1"/>
  <c r="Q325" i="1"/>
  <c r="M325" i="1"/>
  <c r="S324" i="1"/>
  <c r="Q324" i="1"/>
  <c r="M324" i="1"/>
  <c r="S317" i="1"/>
  <c r="Q317" i="1"/>
  <c r="S316" i="1"/>
  <c r="Q316" i="1"/>
  <c r="S315" i="1"/>
  <c r="Q315" i="1"/>
  <c r="M315" i="1"/>
  <c r="S314" i="1"/>
  <c r="Q314" i="1"/>
  <c r="M314" i="1"/>
  <c r="S313" i="1"/>
  <c r="Q313" i="1"/>
  <c r="M313" i="1"/>
  <c r="S312" i="1"/>
  <c r="Q312" i="1"/>
  <c r="M312" i="1"/>
  <c r="S311" i="1"/>
  <c r="Q311" i="1"/>
  <c r="M311" i="1"/>
  <c r="S310" i="1"/>
  <c r="Q310" i="1"/>
  <c r="M310" i="1"/>
  <c r="S309" i="1"/>
  <c r="Q309" i="1"/>
  <c r="M309" i="1"/>
  <c r="S308" i="1"/>
  <c r="Q308" i="1"/>
  <c r="M308" i="1"/>
  <c r="S307" i="1"/>
  <c r="Q307" i="1"/>
  <c r="M307" i="1"/>
  <c r="S306" i="1"/>
  <c r="Q306" i="1"/>
  <c r="M306" i="1"/>
  <c r="S305" i="1"/>
  <c r="Q305" i="1"/>
  <c r="M305" i="1"/>
  <c r="S304" i="1"/>
  <c r="Q304" i="1"/>
  <c r="M304" i="1"/>
  <c r="S303" i="1"/>
  <c r="Q303" i="1"/>
  <c r="M303" i="1"/>
  <c r="S302" i="1"/>
  <c r="Q302" i="1"/>
  <c r="M302" i="1"/>
  <c r="S301" i="1"/>
  <c r="Q301" i="1"/>
  <c r="M301" i="1"/>
  <c r="S300" i="1"/>
  <c r="Q300" i="1"/>
  <c r="M300" i="1"/>
  <c r="S299" i="1"/>
  <c r="Q299" i="1"/>
  <c r="M299" i="1"/>
  <c r="S298" i="1"/>
  <c r="Q298" i="1"/>
  <c r="M298" i="1"/>
  <c r="S297" i="1"/>
  <c r="Q297" i="1"/>
  <c r="M297" i="1"/>
  <c r="S296" i="1"/>
  <c r="Q296" i="1"/>
  <c r="M296" i="1"/>
  <c r="S294" i="1"/>
  <c r="S293" i="1"/>
  <c r="Q293" i="1"/>
  <c r="M293" i="1"/>
  <c r="S292" i="1"/>
  <c r="Q292" i="1"/>
  <c r="M292" i="1"/>
  <c r="S291" i="1"/>
  <c r="Q291" i="1"/>
  <c r="M291" i="1"/>
  <c r="S290" i="1"/>
  <c r="Q290" i="1"/>
  <c r="M290" i="1"/>
  <c r="S289" i="1"/>
  <c r="Q289" i="1"/>
  <c r="M289" i="1"/>
  <c r="S288" i="1"/>
  <c r="Q288" i="1"/>
  <c r="M288" i="1"/>
  <c r="S287" i="1"/>
  <c r="Q287" i="1"/>
  <c r="M287" i="1"/>
  <c r="S286" i="1"/>
  <c r="Q286" i="1"/>
  <c r="M286" i="1"/>
  <c r="S285" i="1"/>
  <c r="Q285" i="1"/>
  <c r="M285" i="1"/>
  <c r="S284" i="1"/>
  <c r="Q284" i="1"/>
  <c r="M284" i="1"/>
  <c r="S283" i="1"/>
  <c r="Q283" i="1"/>
  <c r="M283" i="1"/>
  <c r="S282" i="1"/>
  <c r="Q282" i="1"/>
  <c r="M282" i="1"/>
  <c r="S281" i="1"/>
  <c r="Q281" i="1"/>
  <c r="M281" i="1"/>
  <c r="S280" i="1"/>
  <c r="Q280" i="1"/>
  <c r="M280" i="1"/>
  <c r="S279" i="1"/>
  <c r="Q279" i="1"/>
  <c r="M279" i="1"/>
  <c r="S278" i="1"/>
  <c r="Q278" i="1"/>
  <c r="M278" i="1"/>
  <c r="S277" i="1"/>
  <c r="Q277" i="1"/>
  <c r="M277" i="1"/>
  <c r="S276" i="1"/>
  <c r="Q276" i="1"/>
  <c r="M276" i="1"/>
  <c r="S275" i="1"/>
  <c r="Q275" i="1"/>
  <c r="M275" i="1"/>
  <c r="S274" i="1"/>
  <c r="Q274" i="1"/>
  <c r="M274" i="1"/>
  <c r="S273" i="1"/>
  <c r="Q273" i="1"/>
  <c r="M273" i="1"/>
  <c r="S272" i="1"/>
  <c r="Q272" i="1"/>
  <c r="M272" i="1"/>
  <c r="S271" i="1"/>
  <c r="Q271" i="1"/>
  <c r="M271" i="1"/>
  <c r="S270" i="1"/>
  <c r="Q270" i="1"/>
  <c r="M270" i="1"/>
  <c r="S269" i="1"/>
  <c r="Q269" i="1"/>
  <c r="M269" i="1"/>
  <c r="S268" i="1"/>
  <c r="Q268" i="1"/>
  <c r="M268" i="1"/>
  <c r="S267" i="1"/>
  <c r="Q267" i="1"/>
  <c r="M267" i="1"/>
  <c r="S266" i="1"/>
  <c r="Q266" i="1"/>
  <c r="M266" i="1"/>
  <c r="S265" i="1"/>
  <c r="Q265" i="1"/>
  <c r="M265" i="1"/>
  <c r="S264" i="1"/>
  <c r="Q264" i="1"/>
  <c r="M264" i="1"/>
  <c r="S263" i="1"/>
  <c r="Q263" i="1"/>
  <c r="M263" i="1"/>
  <c r="S262" i="1"/>
  <c r="Q262" i="1"/>
  <c r="M262" i="1"/>
  <c r="S261" i="1"/>
  <c r="Q261" i="1"/>
  <c r="M261" i="1"/>
  <c r="S260" i="1"/>
  <c r="Q260" i="1"/>
  <c r="M260" i="1"/>
  <c r="S259" i="1"/>
  <c r="Q259" i="1"/>
  <c r="M259" i="1"/>
  <c r="S258" i="1"/>
  <c r="Q258" i="1"/>
  <c r="M258" i="1"/>
  <c r="S257" i="1"/>
  <c r="Q257" i="1"/>
  <c r="M257" i="1"/>
  <c r="S256" i="1"/>
  <c r="Q256" i="1"/>
  <c r="M256" i="1"/>
  <c r="S255" i="1"/>
  <c r="Q255" i="1"/>
  <c r="M255" i="1"/>
  <c r="S254" i="1"/>
  <c r="Q254" i="1"/>
  <c r="M254" i="1"/>
  <c r="S253" i="1"/>
  <c r="Q253" i="1"/>
  <c r="M253" i="1"/>
  <c r="S252" i="1"/>
  <c r="Q252" i="1"/>
  <c r="M252" i="1"/>
  <c r="S251" i="1"/>
  <c r="Q251" i="1"/>
  <c r="M251" i="1"/>
  <c r="S250" i="1"/>
  <c r="Q250" i="1"/>
  <c r="M250" i="1"/>
  <c r="S249" i="1"/>
  <c r="Q249" i="1"/>
  <c r="M249" i="1"/>
  <c r="S248" i="1"/>
  <c r="Q248" i="1"/>
  <c r="M248" i="1"/>
  <c r="S247" i="1"/>
  <c r="Q247" i="1"/>
  <c r="M247" i="1"/>
  <c r="S246" i="1"/>
  <c r="Q246" i="1"/>
  <c r="M246" i="1"/>
  <c r="S245" i="1"/>
  <c r="Q245" i="1"/>
  <c r="M245" i="1"/>
  <c r="S244" i="1"/>
  <c r="Q244" i="1"/>
  <c r="M244" i="1"/>
  <c r="S243" i="1"/>
  <c r="Q243" i="1"/>
  <c r="M243" i="1"/>
  <c r="S242" i="1"/>
  <c r="Q242" i="1"/>
  <c r="M242" i="1"/>
  <c r="S241" i="1"/>
  <c r="Q241" i="1"/>
  <c r="M241" i="1"/>
  <c r="S240" i="1"/>
  <c r="Q240" i="1"/>
  <c r="M240" i="1"/>
  <c r="S239" i="1"/>
  <c r="Q239" i="1"/>
  <c r="M239" i="1"/>
  <c r="S238" i="1"/>
  <c r="Q238" i="1"/>
  <c r="M238" i="1"/>
  <c r="S237" i="1"/>
  <c r="Q237" i="1"/>
  <c r="M237" i="1"/>
  <c r="S236" i="1"/>
  <c r="Q236" i="1"/>
  <c r="M236" i="1"/>
  <c r="S235" i="1"/>
  <c r="Q235" i="1"/>
  <c r="M235" i="1"/>
  <c r="S234" i="1"/>
  <c r="Q234" i="1"/>
  <c r="M234" i="1"/>
  <c r="S233" i="1"/>
  <c r="Q233" i="1"/>
  <c r="M233" i="1"/>
  <c r="S232" i="1"/>
  <c r="Q232" i="1"/>
  <c r="M232" i="1"/>
  <c r="S231" i="1"/>
  <c r="Q231" i="1"/>
  <c r="M231" i="1"/>
  <c r="S230" i="1"/>
  <c r="Q230" i="1"/>
  <c r="M230" i="1"/>
  <c r="S229" i="1"/>
  <c r="Q229" i="1"/>
  <c r="M229" i="1"/>
  <c r="S228" i="1"/>
  <c r="Q228" i="1"/>
  <c r="M2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Administrator</author>
  </authors>
  <commentList>
    <comment ref="G3" authorId="0" shapeId="0" xr:uid="{00000000-0006-0000-0000-000001000000}">
      <text>
        <r>
          <rPr>
            <sz val="11"/>
            <color indexed="8"/>
            <rFont val="宋体"/>
            <family val="3"/>
            <charset val="134"/>
          </rPr>
          <t>作者</t>
        </r>
        <r>
          <rPr>
            <sz val="11"/>
            <color indexed="8"/>
            <rFont val="Helvetica Neue"/>
            <family val="2"/>
          </rPr>
          <t xml:space="preserve">:
</t>
        </r>
        <r>
          <rPr>
            <sz val="11"/>
            <color indexed="8"/>
            <rFont val="宋体"/>
            <family val="3"/>
            <charset val="134"/>
          </rPr>
          <t>作者</t>
        </r>
        <r>
          <rPr>
            <sz val="11"/>
            <color indexed="8"/>
            <rFont val="Helvetica Neue"/>
            <family val="2"/>
          </rPr>
          <t xml:space="preserve">:
</t>
        </r>
        <r>
          <rPr>
            <sz val="11"/>
            <color indexed="8"/>
            <rFont val="Helvetica Neue"/>
            <family val="2"/>
          </rPr>
          <t>0</t>
        </r>
        <r>
          <rPr>
            <sz val="11"/>
            <color indexed="8"/>
            <rFont val="宋体"/>
            <family val="3"/>
            <charset val="134"/>
          </rPr>
          <t xml:space="preserve">：不会出现任何随机属性
</t>
        </r>
        <r>
          <rPr>
            <sz val="11"/>
            <color indexed="8"/>
            <rFont val="Helvetica Neue"/>
            <family val="2"/>
          </rPr>
          <t>1</t>
        </r>
        <r>
          <rPr>
            <sz val="11"/>
            <color indexed="8"/>
            <rFont val="宋体"/>
            <family val="3"/>
            <charset val="134"/>
          </rPr>
          <t xml:space="preserve">：可出现随机属性
</t>
        </r>
        <r>
          <rPr>
            <sz val="11"/>
            <color indexed="8"/>
            <rFont val="Helvetica Neue"/>
            <family val="2"/>
          </rPr>
          <t xml:space="preserve">     </t>
        </r>
        <r>
          <rPr>
            <sz val="11"/>
            <color indexed="8"/>
            <rFont val="宋体"/>
            <family val="3"/>
            <charset val="134"/>
          </rPr>
          <t>攻击</t>
        </r>
        <r>
          <rPr>
            <sz val="11"/>
            <color indexed="8"/>
            <rFont val="Helvetica Neue"/>
            <family val="2"/>
          </rPr>
          <t xml:space="preserve">  </t>
        </r>
        <r>
          <rPr>
            <sz val="11"/>
            <color indexed="8"/>
            <rFont val="宋体"/>
            <family val="3"/>
            <charset val="134"/>
          </rPr>
          <t>物防</t>
        </r>
        <r>
          <rPr>
            <sz val="11"/>
            <color indexed="8"/>
            <rFont val="Helvetica Neue"/>
            <family val="2"/>
          </rPr>
          <t xml:space="preserve"> </t>
        </r>
        <r>
          <rPr>
            <sz val="11"/>
            <color indexed="8"/>
            <rFont val="宋体"/>
            <family val="3"/>
            <charset val="134"/>
          </rPr>
          <t xml:space="preserve">魔防
</t>
        </r>
        <r>
          <rPr>
            <sz val="11"/>
            <color indexed="8"/>
            <rFont val="Helvetica Neue"/>
            <family val="2"/>
          </rPr>
          <t>2</t>
        </r>
        <r>
          <rPr>
            <sz val="11"/>
            <color indexed="8"/>
            <rFont val="宋体"/>
            <family val="3"/>
            <charset val="134"/>
          </rPr>
          <t xml:space="preserve">：可出现随机属性
</t>
        </r>
        <r>
          <rPr>
            <sz val="11"/>
            <color indexed="8"/>
            <rFont val="Helvetica Neue"/>
            <family val="2"/>
          </rPr>
          <t xml:space="preserve">     </t>
        </r>
        <r>
          <rPr>
            <sz val="11"/>
            <color indexed="8"/>
            <rFont val="宋体"/>
            <family val="3"/>
            <charset val="134"/>
          </rPr>
          <t>生命</t>
        </r>
        <r>
          <rPr>
            <sz val="11"/>
            <color indexed="8"/>
            <rFont val="Helvetica Neue"/>
            <family val="2"/>
          </rPr>
          <t xml:space="preserve">  </t>
        </r>
        <r>
          <rPr>
            <sz val="11"/>
            <color indexed="8"/>
            <rFont val="宋体"/>
            <family val="3"/>
            <charset val="134"/>
          </rPr>
          <t>物防</t>
        </r>
        <r>
          <rPr>
            <sz val="11"/>
            <color indexed="8"/>
            <rFont val="Helvetica Neue"/>
            <family val="2"/>
          </rPr>
          <t xml:space="preserve"> </t>
        </r>
        <r>
          <rPr>
            <sz val="11"/>
            <color indexed="8"/>
            <rFont val="宋体"/>
            <family val="3"/>
            <charset val="134"/>
          </rPr>
          <t>魔防</t>
        </r>
        <r>
          <rPr>
            <sz val="11"/>
            <color indexed="8"/>
            <rFont val="Helvetica Neue"/>
            <family val="2"/>
          </rPr>
          <t xml:space="preserve">  </t>
        </r>
        <r>
          <rPr>
            <sz val="11"/>
            <color indexed="8"/>
            <rFont val="宋体"/>
            <family val="3"/>
            <charset val="134"/>
          </rPr>
          <t xml:space="preserve">攻击
</t>
        </r>
        <r>
          <rPr>
            <sz val="11"/>
            <color indexed="8"/>
            <rFont val="Helvetica Neue"/>
            <family val="2"/>
          </rPr>
          <t>3</t>
        </r>
        <r>
          <rPr>
            <sz val="11"/>
            <color indexed="8"/>
            <rFont val="宋体"/>
            <family val="3"/>
            <charset val="134"/>
          </rPr>
          <t xml:space="preserve">：可出现随机
</t>
        </r>
        <r>
          <rPr>
            <sz val="11"/>
            <color indexed="8"/>
            <rFont val="Helvetica Neue"/>
            <family val="2"/>
          </rPr>
          <t xml:space="preserve">     </t>
        </r>
        <r>
          <rPr>
            <sz val="11"/>
            <color indexed="8"/>
            <rFont val="宋体"/>
            <family val="3"/>
            <charset val="134"/>
          </rPr>
          <t xml:space="preserve">生命
</t>
        </r>
        <r>
          <rPr>
            <sz val="11"/>
            <color indexed="8"/>
            <rFont val="Helvetica Neue"/>
            <family val="2"/>
          </rPr>
          <t xml:space="preserve"> </t>
        </r>
      </text>
    </comment>
    <comment ref="H3" authorId="0" shapeId="0" xr:uid="{00000000-0006-0000-0000-000002000000}">
      <text>
        <r>
          <rPr>
            <sz val="11"/>
            <color indexed="8"/>
            <rFont val="Helvetica Neue"/>
            <family val="2"/>
          </rPr>
          <t xml:space="preserve">作者:
</t>
        </r>
        <r>
          <rPr>
            <sz val="11"/>
            <color indexed="8"/>
            <rFont val="Helvetica Neue"/>
            <family val="2"/>
          </rPr>
          <t>隐藏属性最大值,表示出现隐藏属性的最大值</t>
        </r>
      </text>
    </comment>
    <comment ref="AD3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>0 显示  1不显示</t>
        </r>
      </text>
    </comment>
    <comment ref="AE3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 xml:space="preserve">RolePropertyAdd  增加角色属性
</t>
        </r>
        <r>
          <rPr>
            <b/>
            <sz val="9"/>
            <rFont val="宋体"/>
            <family val="3"/>
            <charset val="134"/>
          </rPr>
          <t xml:space="preserve">SkillPropertyAdd   增加技能属性
</t>
        </r>
        <r>
          <rPr>
            <b/>
            <sz val="9"/>
            <rFont val="宋体"/>
            <family val="3"/>
            <charset val="134"/>
          </rPr>
          <t xml:space="preserve">    //1.增加范围
</t>
        </r>
        <r>
          <rPr>
            <b/>
            <sz val="9"/>
            <rFont val="宋体"/>
            <family val="3"/>
            <charset val="134"/>
          </rPr>
          <t xml:space="preserve">    //2.技能伤害来源的攻击值系数,为1时表示造成100%攻击力的伤害
</t>
        </r>
        <r>
          <rPr>
            <b/>
            <sz val="9"/>
            <rFont val="宋体"/>
            <family val="3"/>
            <charset val="134"/>
          </rPr>
          <t xml:space="preserve">    //3.技能附加固定伤害值
</t>
        </r>
        <r>
          <rPr>
            <b/>
            <sz val="9"/>
            <rFont val="宋体"/>
            <family val="3"/>
            <charset val="134"/>
          </rPr>
          <t xml:space="preserve">    //4.减少冷却CD
</t>
        </r>
        <r>
          <rPr>
            <b/>
            <sz val="9"/>
            <rFont val="宋体"/>
            <family val="3"/>
            <charset val="134"/>
          </rPr>
          <t xml:space="preserve">    //5.技能持续时间
</t>
        </r>
        <r>
          <rPr>
            <b/>
            <sz val="9"/>
            <rFont val="宋体"/>
            <family val="3"/>
            <charset val="134"/>
          </rPr>
          <t xml:space="preserve">    //6.技能附加额外buff
</t>
        </r>
        <r>
          <rPr>
            <b/>
            <sz val="9"/>
            <rFont val="宋体"/>
            <family val="3"/>
            <charset val="134"/>
          </rPr>
          <t xml:space="preserve">BuffIdAdd   添加Buff属性
</t>
        </r>
        <r>
          <rPr>
            <b/>
            <sz val="9"/>
            <rFont val="宋体"/>
            <family val="3"/>
            <charset val="134"/>
          </rPr>
          <t xml:space="preserve">ReplaceSkillId  替换技能
</t>
        </r>
        <r>
          <rPr>
            <b/>
            <sz val="9"/>
            <rFont val="宋体"/>
            <family val="3"/>
            <charset val="134"/>
          </rPr>
          <t xml:space="preserve">SkillIdAdd 增加技能
</t>
        </r>
        <r>
          <rPr>
            <b/>
            <sz val="9"/>
            <rFont val="宋体"/>
            <family val="3"/>
            <charset val="134"/>
          </rPr>
          <t xml:space="preserve">BuffPropertyAdd 增加buff效果
</t>
        </r>
        <r>
          <rPr>
            <b/>
            <sz val="9"/>
            <rFont val="宋体"/>
            <family val="3"/>
            <charset val="134"/>
          </rPr>
          <t xml:space="preserve">1 buff属性值
</t>
        </r>
        <r>
          <rPr>
            <b/>
            <sz val="9"/>
            <rFont val="宋体"/>
            <family val="3"/>
            <charset val="134"/>
          </rPr>
          <t xml:space="preserve">2 buff持续时间
</t>
        </r>
      </text>
    </comment>
  </commentList>
</comments>
</file>

<file path=xl/sharedStrings.xml><?xml version="1.0" encoding="utf-8"?>
<sst xmlns="http://schemas.openxmlformats.org/spreadsheetml/2006/main" count="1000" uniqueCount="715">
  <si>
    <t>#</t>
  </si>
  <si>
    <t>Id</t>
  </si>
  <si>
    <t>装备名称</t>
  </si>
  <si>
    <t>鉴定道具消耗</t>
  </si>
  <si>
    <t>套装ID</t>
  </si>
  <si>
    <t>隐藏属性类型</t>
  </si>
  <si>
    <t>隐藏属性最大值</t>
  </si>
  <si>
    <t>单条隐藏属性出现概率</t>
  </si>
  <si>
    <t>一级属性随机值</t>
  </si>
  <si>
    <t>初始宝石孔位</t>
  </si>
  <si>
    <t>血量</t>
  </si>
  <si>
    <t>最低攻击</t>
  </si>
  <si>
    <t>最高攻击</t>
  </si>
  <si>
    <t>最低防御</t>
  </si>
  <si>
    <t>最高防御</t>
  </si>
  <si>
    <t>暴击</t>
  </si>
  <si>
    <t>命中</t>
  </si>
  <si>
    <t>闪避</t>
  </si>
  <si>
    <t>伤害加成</t>
  </si>
  <si>
    <t>伤害减免</t>
  </si>
  <si>
    <t>速度</t>
  </si>
  <si>
    <t>幸运值</t>
  </si>
  <si>
    <t>附加属性类型</t>
  </si>
  <si>
    <t>附加属性值</t>
  </si>
  <si>
    <t>是否显示属性</t>
  </si>
  <si>
    <r>
      <rPr>
        <sz val="10"/>
        <color theme="0"/>
        <rFont val="Helvetica Neue"/>
        <family val="2"/>
      </rPr>
      <t>附加</t>
    </r>
  </si>
  <si>
    <t>ItemName</t>
  </si>
  <si>
    <t>AppraisalItem</t>
  </si>
  <si>
    <t>EquipSuitID</t>
  </si>
  <si>
    <t>HideType</t>
  </si>
  <si>
    <t>HideMax</t>
  </si>
  <si>
    <t>HideShowPro</t>
  </si>
  <si>
    <t>OneProRandomValue</t>
  </si>
  <si>
    <t>GemHole</t>
  </si>
  <si>
    <t>Equip_Hp</t>
  </si>
  <si>
    <t>Equip_MinAct</t>
  </si>
  <si>
    <t>Equip_MaxAct</t>
  </si>
  <si>
    <t>Equip_MinMagAct</t>
  </si>
  <si>
    <t>Equip_MaxMagAct</t>
  </si>
  <si>
    <t>Equip_MinDef</t>
  </si>
  <si>
    <t>Equip_MaxDef</t>
  </si>
  <si>
    <t>Equip_MinAdf</t>
  </si>
  <si>
    <t>Equip_MaxAdf</t>
  </si>
  <si>
    <t>Equip_Cri</t>
  </si>
  <si>
    <t>Equip_Hit</t>
  </si>
  <si>
    <t>Equip_Dodge</t>
  </si>
  <si>
    <t>Equip_DamgeAdd</t>
  </si>
  <si>
    <t>Equip_DamgeSub</t>
  </si>
  <si>
    <t>Equip_Speed</t>
  </si>
  <si>
    <t>Equip_Lucky</t>
  </si>
  <si>
    <t>AddPropreListType</t>
  </si>
  <si>
    <t>AddPropreListValue</t>
  </si>
  <si>
    <t>AddPropreListIfShow</t>
  </si>
  <si>
    <t>TianFuId</t>
  </si>
  <si>
    <t>int</t>
  </si>
  <si>
    <t>string</t>
  </si>
  <si>
    <t>double</t>
  </si>
  <si>
    <t>int[]</t>
  </si>
  <si>
    <t>long[]</t>
  </si>
  <si>
    <t>木剑</t>
  </si>
  <si>
    <t>头布</t>
  </si>
  <si>
    <t>铁盔</t>
  </si>
  <si>
    <t>小手套</t>
  </si>
  <si>
    <t>粗手套</t>
  </si>
  <si>
    <t>铁手套</t>
  </si>
  <si>
    <t>布带</t>
  </si>
  <si>
    <t>钢腰带</t>
  </si>
  <si>
    <t>小布鞋</t>
  </si>
  <si>
    <t>麻布裤</t>
  </si>
  <si>
    <t>银项链</t>
  </si>
  <si>
    <t>古铜戒指</t>
  </si>
  <si>
    <t>匕首</t>
  </si>
  <si>
    <t>布衣</t>
  </si>
  <si>
    <t>青铜头盔</t>
  </si>
  <si>
    <t>玄铁头盔</t>
  </si>
  <si>
    <t>骷髅头盔</t>
  </si>
  <si>
    <t>纯银手套</t>
  </si>
  <si>
    <t>魔力手套</t>
  </si>
  <si>
    <t>纯金手套</t>
  </si>
  <si>
    <t>白纹手套</t>
  </si>
  <si>
    <t>布纹腰带</t>
  </si>
  <si>
    <t>骷髅腰带</t>
  </si>
  <si>
    <t>布纹布靴</t>
  </si>
  <si>
    <t>布纹长裤</t>
  </si>
  <si>
    <t>纯银项链</t>
  </si>
  <si>
    <t>白骨项链</t>
  </si>
  <si>
    <t>红宝石项链</t>
  </si>
  <si>
    <t>魅力戒指</t>
  </si>
  <si>
    <t>红宝石戒指</t>
  </si>
  <si>
    <t>神兵护符</t>
  </si>
  <si>
    <t>短刀</t>
  </si>
  <si>
    <t>玄铁刀</t>
  </si>
  <si>
    <t>凌风剑</t>
  </si>
  <si>
    <t>轻型盔甲</t>
  </si>
  <si>
    <t>凌风盔甲</t>
  </si>
  <si>
    <t>狼王的项链</t>
  </si>
  <si>
    <t>僵尸护符</t>
  </si>
  <si>
    <t>骷髅王的桂冠</t>
  </si>
  <si>
    <t>蜘蛛护腿</t>
  </si>
  <si>
    <t>蜘蛛护胸</t>
  </si>
  <si>
    <t>古墓手套</t>
  </si>
  <si>
    <t>古墓腰带</t>
  </si>
  <si>
    <t>古墓鞋子</t>
  </si>
  <si>
    <t>黑暗之剑</t>
  </si>
  <si>
    <t>古旧的法术书</t>
  </si>
  <si>
    <t>闪闪发亮的宝石</t>
  </si>
  <si>
    <t>疾跑护符</t>
  </si>
  <si>
    <t>新手武器</t>
  </si>
  <si>
    <t>血域头盔</t>
  </si>
  <si>
    <t>灵巧头巾</t>
  </si>
  <si>
    <t>血域手镯</t>
  </si>
  <si>
    <t>精铁手镯</t>
  </si>
  <si>
    <t>血域腰带</t>
  </si>
  <si>
    <t>战斗腰带</t>
  </si>
  <si>
    <t>血域战靴</t>
  </si>
  <si>
    <t>战斗靴子</t>
  </si>
  <si>
    <t>血域长裤</t>
  </si>
  <si>
    <t>血色长裤</t>
  </si>
  <si>
    <t>血域战链</t>
  </si>
  <si>
    <t>骷髅项链</t>
  </si>
  <si>
    <t>血域戒指</t>
  </si>
  <si>
    <t>黑金戒指</t>
  </si>
  <si>
    <t>血域宝石</t>
  </si>
  <si>
    <t>血域护符</t>
  </si>
  <si>
    <t>血域战刃</t>
  </si>
  <si>
    <t>利刃长剑</t>
  </si>
  <si>
    <t>血色之刃</t>
  </si>
  <si>
    <t>血域战甲</t>
  </si>
  <si>
    <t>刀锋战衣</t>
  </si>
  <si>
    <t>力量戒指</t>
  </si>
  <si>
    <t>幽冥项链</t>
  </si>
  <si>
    <t>荒漠头盔</t>
  </si>
  <si>
    <t>荒漠手套</t>
  </si>
  <si>
    <t>荒漠腰带</t>
  </si>
  <si>
    <t>荒漠靴子</t>
  </si>
  <si>
    <t>生命护符</t>
  </si>
  <si>
    <t>生命饰品</t>
  </si>
  <si>
    <t>防护宝石</t>
  </si>
  <si>
    <t>骷髅灵饰</t>
  </si>
  <si>
    <t>痛苦女王的吊坠</t>
  </si>
  <si>
    <t>地狱领主的法术书</t>
  </si>
  <si>
    <t>不败的意志</t>
  </si>
  <si>
    <t>地狱领主的盔甲</t>
  </si>
  <si>
    <t>冰封头盔</t>
  </si>
  <si>
    <t>精钢头盔</t>
  </si>
  <si>
    <t>冰封手镯</t>
  </si>
  <si>
    <t>精钢手镯</t>
  </si>
  <si>
    <t>冰封腰带</t>
  </si>
  <si>
    <t>意志腰带</t>
  </si>
  <si>
    <t>冰封战靴</t>
  </si>
  <si>
    <t>雪域靴子</t>
  </si>
  <si>
    <t>冰封长裤</t>
  </si>
  <si>
    <t>魔鬼长裤</t>
  </si>
  <si>
    <t>冰封战链</t>
  </si>
  <si>
    <t>冰灵项链</t>
  </si>
  <si>
    <t>冰封戒指</t>
  </si>
  <si>
    <t>鬼灵指环</t>
  </si>
  <si>
    <t>冰封饰品</t>
  </si>
  <si>
    <t>冰封护符</t>
  </si>
  <si>
    <t>血护符</t>
  </si>
  <si>
    <t>冰封战刃</t>
  </si>
  <si>
    <t>血泣</t>
  </si>
  <si>
    <t>冰封战甲</t>
  </si>
  <si>
    <t>战斗钢甲</t>
  </si>
  <si>
    <t>破灵腰带</t>
  </si>
  <si>
    <t>破灵靴子</t>
  </si>
  <si>
    <t>冰河战甲</t>
  </si>
  <si>
    <t>冰河战盔</t>
  </si>
  <si>
    <t>冰河长裤</t>
  </si>
  <si>
    <t>勇气长剑</t>
  </si>
  <si>
    <t>破灵护符</t>
  </si>
  <si>
    <t>治愈灵石</t>
  </si>
  <si>
    <t>超强防护宝石</t>
  </si>
  <si>
    <t>冰封守护之心</t>
  </si>
  <si>
    <t>阿兹里斯的骨头</t>
  </si>
  <si>
    <t>帝陨</t>
  </si>
  <si>
    <t>阿兹里斯的项链</t>
  </si>
  <si>
    <t>永恒头盔</t>
  </si>
  <si>
    <t>战意头盔</t>
  </si>
  <si>
    <t>永恒手镯</t>
  </si>
  <si>
    <t>绿色手镯</t>
  </si>
  <si>
    <t>永恒腰带</t>
  </si>
  <si>
    <t>永恒战靴</t>
  </si>
  <si>
    <t>旋风靴</t>
  </si>
  <si>
    <t>永恒长裤</t>
  </si>
  <si>
    <t>烈焰长裤</t>
  </si>
  <si>
    <t>永恒战链</t>
  </si>
  <si>
    <t>梦境项链</t>
  </si>
  <si>
    <t>永恒戒指</t>
  </si>
  <si>
    <t>鬼魅指环</t>
  </si>
  <si>
    <t>永恒饰品</t>
  </si>
  <si>
    <t>永恒护符</t>
  </si>
  <si>
    <t>永恒战刃</t>
  </si>
  <si>
    <t>永恒战甲</t>
  </si>
  <si>
    <t>精灵项链</t>
  </si>
  <si>
    <t>精灵指环</t>
  </si>
  <si>
    <t>暮色战甲</t>
  </si>
  <si>
    <t>暮色战盔</t>
  </si>
  <si>
    <t>暮色长裤</t>
  </si>
  <si>
    <t>暮色手套</t>
  </si>
  <si>
    <t>暮色腰带</t>
  </si>
  <si>
    <t>暮色靴子</t>
  </si>
  <si>
    <t>暮色饰品</t>
  </si>
  <si>
    <t>狂暴魔法书</t>
  </si>
  <si>
    <t>高级治愈灵石</t>
  </si>
  <si>
    <t>暮色士兵的遗产</t>
  </si>
  <si>
    <t>艾力克斯的头颅</t>
  </si>
  <si>
    <t>毁灭</t>
  </si>
  <si>
    <t>艾力克斯的护符</t>
  </si>
  <si>
    <t>圣光头盔</t>
  </si>
  <si>
    <t>邪灵头盔</t>
  </si>
  <si>
    <t>圣光手镯</t>
  </si>
  <si>
    <t>除魔手镯</t>
  </si>
  <si>
    <t>圣光腰带</t>
  </si>
  <si>
    <t>斩灵腰带</t>
  </si>
  <si>
    <t>圣光战靴</t>
  </si>
  <si>
    <t>战意靴子</t>
  </si>
  <si>
    <t>圣光长裤</t>
  </si>
  <si>
    <t>骨灵长裤</t>
  </si>
  <si>
    <t>圣光战链</t>
  </si>
  <si>
    <t>心爱之链</t>
  </si>
  <si>
    <t>圣光戒指</t>
  </si>
  <si>
    <t>灵魂指环</t>
  </si>
  <si>
    <t>圣光饰品</t>
  </si>
  <si>
    <t>圣光护符</t>
  </si>
  <si>
    <t>灵光护符</t>
  </si>
  <si>
    <t>圣光战刃</t>
  </si>
  <si>
    <t>降魔之刃</t>
  </si>
  <si>
    <t>圣光战甲</t>
  </si>
  <si>
    <t>降魔甲</t>
  </si>
  <si>
    <t>熔岩项链</t>
  </si>
  <si>
    <t>熔岩指环</t>
  </si>
  <si>
    <t>炙热战甲</t>
  </si>
  <si>
    <t>炙热战盔</t>
  </si>
  <si>
    <t>炙热长裤</t>
  </si>
  <si>
    <t>炙热手套</t>
  </si>
  <si>
    <t>炙热腰带</t>
  </si>
  <si>
    <t>炙热靴子</t>
  </si>
  <si>
    <t>传说:圣光头盔</t>
  </si>
  <si>
    <t>传说:圣光手镯</t>
  </si>
  <si>
    <t>传说:圣光腰带</t>
  </si>
  <si>
    <t>传说:圣光战靴</t>
  </si>
  <si>
    <t>传说:圣光长裤</t>
  </si>
  <si>
    <t>传说:圣光战链</t>
  </si>
  <si>
    <t>传说:圣光戒指</t>
  </si>
  <si>
    <t>传说:圣光饰品</t>
  </si>
  <si>
    <t>传说:圣光护符</t>
  </si>
  <si>
    <t>传说:圣光战刃</t>
  </si>
  <si>
    <r>
      <rPr>
        <sz val="10"/>
        <color theme="0" tint="-0.34998626667073579"/>
        <rFont val="Helvetica Neue"/>
        <family val="2"/>
      </rPr>
      <t>传说</t>
    </r>
    <r>
      <rPr>
        <sz val="10"/>
        <color theme="0" tint="-0.34998626667073579"/>
        <rFont val="Helvetica Neue"/>
        <family val="2"/>
      </rPr>
      <t>:</t>
    </r>
    <r>
      <rPr>
        <sz val="10"/>
        <color theme="0" tint="-0.34998626667073579"/>
        <rFont val="Helvetica Neue"/>
        <family val="2"/>
      </rPr>
      <t>圣光战甲</t>
    </r>
  </si>
  <si>
    <t>智力之石</t>
  </si>
  <si>
    <t>105301,120701</t>
  </si>
  <si>
    <t>20,30</t>
  </si>
  <si>
    <t>0,0</t>
  </si>
  <si>
    <t>力量之石</t>
  </si>
  <si>
    <t>105101,120601</t>
  </si>
  <si>
    <t>灵魂之石</t>
  </si>
  <si>
    <t>30,50</t>
  </si>
  <si>
    <t>试炼之石</t>
  </si>
  <si>
    <t>光灵之石</t>
  </si>
  <si>
    <t>50,80</t>
  </si>
  <si>
    <t>勇猛之石</t>
  </si>
  <si>
    <t>小木盔</t>
  </si>
  <si>
    <t>玄木头盔</t>
  </si>
  <si>
    <t>迅影头盔</t>
  </si>
  <si>
    <t>勇气之盔</t>
  </si>
  <si>
    <t>布巾</t>
  </si>
  <si>
    <t>暗影头盔</t>
  </si>
  <si>
    <t>灵纹头盔</t>
  </si>
  <si>
    <t>暴灵之盔</t>
  </si>
  <si>
    <t>战灵头盔</t>
  </si>
  <si>
    <t>英勇之盔</t>
  </si>
  <si>
    <t>皮质手套</t>
  </si>
  <si>
    <t>轻灵手套</t>
  </si>
  <si>
    <t>迅影手套</t>
  </si>
  <si>
    <t>勇气之手</t>
  </si>
  <si>
    <t>布料手套</t>
  </si>
  <si>
    <t>长者手套</t>
  </si>
  <si>
    <t>灵纹手套</t>
  </si>
  <si>
    <t>暴灵之手</t>
  </si>
  <si>
    <t>玄铁手套</t>
  </si>
  <si>
    <t>战灵手套</t>
  </si>
  <si>
    <t>英勇之手</t>
  </si>
  <si>
    <t>幸运者之手</t>
  </si>
  <si>
    <t>皮质腰带</t>
  </si>
  <si>
    <r>
      <rPr>
        <sz val="10"/>
        <color rgb="FF0070C0"/>
        <rFont val="宋体"/>
        <family val="3"/>
        <charset val="134"/>
      </rPr>
      <t>大地</t>
    </r>
    <r>
      <rPr>
        <sz val="10"/>
        <color rgb="FF0070C0"/>
        <rFont val="Helvetica Neue"/>
        <family val="2"/>
      </rPr>
      <t>腰带</t>
    </r>
  </si>
  <si>
    <t>迅影腰带</t>
  </si>
  <si>
    <t>勇气之带</t>
  </si>
  <si>
    <t>布腰带</t>
  </si>
  <si>
    <r>
      <rPr>
        <sz val="10"/>
        <color rgb="FF0070C0"/>
        <rFont val="宋体"/>
        <family val="3"/>
        <charset val="134"/>
      </rPr>
      <t>生命</t>
    </r>
    <r>
      <rPr>
        <sz val="10"/>
        <color rgb="FF0070C0"/>
        <rFont val="Helvetica Neue"/>
        <family val="2"/>
      </rPr>
      <t>腰带</t>
    </r>
  </si>
  <si>
    <t>灵纹腰带</t>
  </si>
  <si>
    <t>暴灵之带</t>
  </si>
  <si>
    <t>铜腰带</t>
  </si>
  <si>
    <r>
      <rPr>
        <sz val="10"/>
        <color rgb="FF0070C0"/>
        <rFont val="宋体"/>
        <family val="3"/>
        <charset val="134"/>
      </rPr>
      <t>钢铁</t>
    </r>
    <r>
      <rPr>
        <sz val="10"/>
        <color rgb="FF0070C0"/>
        <rFont val="Helvetica Neue"/>
        <family val="2"/>
      </rPr>
      <t>腰带</t>
    </r>
  </si>
  <si>
    <t>战灵腰带</t>
  </si>
  <si>
    <t>英勇之带</t>
  </si>
  <si>
    <t>消逝者的腰带</t>
  </si>
  <si>
    <t>皮质靴子</t>
  </si>
  <si>
    <t>银光靴</t>
  </si>
  <si>
    <t>迅影靴子</t>
  </si>
  <si>
    <t>勇气之靴</t>
  </si>
  <si>
    <t>布靴</t>
  </si>
  <si>
    <t>宝石靴子</t>
  </si>
  <si>
    <t>灵纹靴子</t>
  </si>
  <si>
    <t>暴灵之靴</t>
  </si>
  <si>
    <t>岩石靴子</t>
  </si>
  <si>
    <t>力量战靴</t>
  </si>
  <si>
    <t>战灵靴子</t>
  </si>
  <si>
    <t>英勇之靴</t>
  </si>
  <si>
    <t>皮质护腿</t>
  </si>
  <si>
    <t>暴风长裤</t>
  </si>
  <si>
    <t>迅影护腿</t>
  </si>
  <si>
    <t>勇气之腿</t>
  </si>
  <si>
    <t>麻布护腿</t>
  </si>
  <si>
    <t>火焰长裤</t>
  </si>
  <si>
    <t>灵纹护腿</t>
  </si>
  <si>
    <t>暴灵之腿</t>
  </si>
  <si>
    <t>矿工护腿</t>
  </si>
  <si>
    <t>力量长裤</t>
  </si>
  <si>
    <t>战灵护腿</t>
  </si>
  <si>
    <t>英勇之腿</t>
  </si>
  <si>
    <t>魔灵铃铛</t>
  </si>
  <si>
    <t>精灵之链</t>
  </si>
  <si>
    <t>疾风之链</t>
  </si>
  <si>
    <t>传承:新月神链</t>
  </si>
  <si>
    <t>银戒指</t>
  </si>
  <si>
    <t>精金戒指</t>
  </si>
  <si>
    <r>
      <rPr>
        <sz val="10"/>
        <color rgb="FF0070C0"/>
        <rFont val="宋体"/>
        <family val="3"/>
        <charset val="134"/>
      </rPr>
      <t>树王</t>
    </r>
    <r>
      <rPr>
        <sz val="10"/>
        <color rgb="FF0070C0"/>
        <rFont val="Helvetica Neue"/>
        <family val="2"/>
      </rPr>
      <t>戒指</t>
    </r>
  </si>
  <si>
    <t>疾风之戒</t>
  </si>
  <si>
    <t>治愈之秋</t>
  </si>
  <si>
    <t>森之精灵</t>
  </si>
  <si>
    <t>疾风之灵</t>
  </si>
  <si>
    <t>魔法冲击之石</t>
  </si>
  <si>
    <t>耐力护符</t>
  </si>
  <si>
    <t>森林护符</t>
  </si>
  <si>
    <t>疾风之符</t>
  </si>
  <si>
    <t>咏歌者护符</t>
  </si>
  <si>
    <t>短木剑</t>
  </si>
  <si>
    <t>精金剑</t>
  </si>
  <si>
    <t>战灵战刃</t>
  </si>
  <si>
    <t>疾风之剑</t>
  </si>
  <si>
    <t>钢刀</t>
  </si>
  <si>
    <t>精钢刀</t>
  </si>
  <si>
    <t>战灵之刃</t>
  </si>
  <si>
    <t>疾风之刀</t>
  </si>
  <si>
    <r>
      <rPr>
        <sz val="10"/>
        <color theme="1"/>
        <rFont val="Helvetica Neue"/>
        <family val="2"/>
      </rPr>
      <t>传承</t>
    </r>
    <r>
      <rPr>
        <sz val="10"/>
        <color theme="1"/>
        <rFont val="Helvetica Neue"/>
        <family val="2"/>
      </rPr>
      <t>:</t>
    </r>
    <r>
      <rPr>
        <sz val="10"/>
        <color theme="1"/>
        <rFont val="Helvetica Neue"/>
        <family val="2"/>
      </rPr>
      <t>勇者的无畏</t>
    </r>
  </si>
  <si>
    <t>传承:勇者的意志</t>
  </si>
  <si>
    <t>小皮衣</t>
  </si>
  <si>
    <t>妖灵护甲</t>
  </si>
  <si>
    <t>迅影护甲</t>
  </si>
  <si>
    <t>勇气之甲</t>
  </si>
  <si>
    <t>麻布衣</t>
  </si>
  <si>
    <t>符文护甲</t>
  </si>
  <si>
    <t>灵纹护甲</t>
  </si>
  <si>
    <t>暴灵之甲</t>
  </si>
  <si>
    <t>重盔甲</t>
  </si>
  <si>
    <t>玄铁战甲</t>
  </si>
  <si>
    <t>战灵护甲</t>
  </si>
  <si>
    <t>英勇之甲</t>
  </si>
  <si>
    <t>传承:疾风者的疯狂</t>
  </si>
  <si>
    <t>传承:圣域的记忆</t>
  </si>
  <si>
    <t>传承:米希尔之力</t>
  </si>
  <si>
    <t>轻风头盔</t>
  </si>
  <si>
    <t>命运之盔</t>
  </si>
  <si>
    <t>魔法头盔</t>
  </si>
  <si>
    <t>魔光之盔</t>
  </si>
  <si>
    <t>重力头盔</t>
  </si>
  <si>
    <t>熔铸之盔</t>
  </si>
  <si>
    <t>轻风手套</t>
  </si>
  <si>
    <t>命运之手</t>
  </si>
  <si>
    <t>魔法手套</t>
  </si>
  <si>
    <t>魔光之手</t>
  </si>
  <si>
    <t>重力手套</t>
  </si>
  <si>
    <t>熔铸之手</t>
  </si>
  <si>
    <t>轻风腰带</t>
  </si>
  <si>
    <t>命运之带</t>
  </si>
  <si>
    <t>魔法腰带</t>
  </si>
  <si>
    <t>魔光之带</t>
  </si>
  <si>
    <t>重力腰带</t>
  </si>
  <si>
    <t>熔铸之带</t>
  </si>
  <si>
    <t>轻风靴子</t>
  </si>
  <si>
    <t>命运之靴</t>
  </si>
  <si>
    <t>魔法靴子</t>
  </si>
  <si>
    <t>魔光之靴</t>
  </si>
  <si>
    <t>重力靴子</t>
  </si>
  <si>
    <t>熔铸之靴</t>
  </si>
  <si>
    <t>轻风护腿</t>
  </si>
  <si>
    <t>命运之腿</t>
  </si>
  <si>
    <t>魔法护腿</t>
  </si>
  <si>
    <t>魔光之腿</t>
  </si>
  <si>
    <t>重力护腿</t>
  </si>
  <si>
    <t>熔铸之腿</t>
  </si>
  <si>
    <t>破军冲锋护腿</t>
  </si>
  <si>
    <t>暗光项链</t>
  </si>
  <si>
    <t>幽光之链</t>
  </si>
  <si>
    <t>传承:恒心使徒的魔链</t>
  </si>
  <si>
    <t>守护之戒</t>
  </si>
  <si>
    <t>幽光之戒</t>
  </si>
  <si>
    <t>追光狩猎之戒</t>
  </si>
  <si>
    <t>幽光之灵</t>
  </si>
  <si>
    <t>燃烧之火</t>
  </si>
  <si>
    <t>星之护符</t>
  </si>
  <si>
    <t>幽光之符</t>
  </si>
  <si>
    <t>闪电灵巧护符</t>
  </si>
  <si>
    <t>轻风剑</t>
  </si>
  <si>
    <t>幽光之剑</t>
  </si>
  <si>
    <t>云清刃</t>
  </si>
  <si>
    <t>幽光战刃</t>
  </si>
  <si>
    <t>传承:碧蓝之歌</t>
  </si>
  <si>
    <t>传承:有坚不摧之力</t>
  </si>
  <si>
    <t>轻风护甲</t>
  </si>
  <si>
    <t>命运之甲</t>
  </si>
  <si>
    <t>魔法护甲</t>
  </si>
  <si>
    <t>魔光之甲</t>
  </si>
  <si>
    <t>重力护甲</t>
  </si>
  <si>
    <t>熔铸之甲</t>
  </si>
  <si>
    <t>传承:光之怒</t>
  </si>
  <si>
    <t>传承:神灵启示者</t>
  </si>
  <si>
    <t>传承:降魔护卫者</t>
  </si>
  <si>
    <t>赤影头盔</t>
  </si>
  <si>
    <t>怒风之盔</t>
  </si>
  <si>
    <t>闪电头盔</t>
  </si>
  <si>
    <t>信念之盔</t>
  </si>
  <si>
    <t>巨兵头盔</t>
  </si>
  <si>
    <t>雷霆之盔</t>
  </si>
  <si>
    <t>赤影手套</t>
  </si>
  <si>
    <t>怒风之手</t>
  </si>
  <si>
    <t>闪电手套</t>
  </si>
  <si>
    <t>信念之手</t>
  </si>
  <si>
    <t>巨兵手套</t>
  </si>
  <si>
    <t>雷霆之手</t>
  </si>
  <si>
    <t>速之灵手套</t>
  </si>
  <si>
    <t>赤影腰带</t>
  </si>
  <si>
    <t>怒风之带</t>
  </si>
  <si>
    <t>闪电腰带</t>
  </si>
  <si>
    <t>信念之带</t>
  </si>
  <si>
    <t>巨兵腰带</t>
  </si>
  <si>
    <t>雷霆之带</t>
  </si>
  <si>
    <t>赤影靴子</t>
  </si>
  <si>
    <t>怒风之靴</t>
  </si>
  <si>
    <t>闪电靴子</t>
  </si>
  <si>
    <t>信念之靴</t>
  </si>
  <si>
    <t>巨兵靴子</t>
  </si>
  <si>
    <t>雷霆之靴</t>
  </si>
  <si>
    <t>赤影护腿</t>
  </si>
  <si>
    <t>怒风之腿</t>
  </si>
  <si>
    <t>闪电护腿</t>
  </si>
  <si>
    <t>信念之腿</t>
  </si>
  <si>
    <t>巨兵护腿</t>
  </si>
  <si>
    <t>雷霆之腿</t>
  </si>
  <si>
    <t>灰烬之链</t>
  </si>
  <si>
    <t>传承:末日的启示者</t>
  </si>
  <si>
    <t>树王戒指</t>
  </si>
  <si>
    <t>灰烬之戒</t>
  </si>
  <si>
    <t>灰烬之灵</t>
  </si>
  <si>
    <t>守护者的准则</t>
  </si>
  <si>
    <t>禁术召唤</t>
  </si>
  <si>
    <t>灰烬之符</t>
  </si>
  <si>
    <t>赤影剑</t>
  </si>
  <si>
    <t>灰烬之剑</t>
  </si>
  <si>
    <t>影刀</t>
  </si>
  <si>
    <t>灰烬战刃</t>
  </si>
  <si>
    <t>传承:寒冰使者的佩剑</t>
  </si>
  <si>
    <t>传承:黎明的护卫者</t>
  </si>
  <si>
    <t>赤影护甲</t>
  </si>
  <si>
    <t>怒风之甲</t>
  </si>
  <si>
    <t>闪电护甲</t>
  </si>
  <si>
    <t>信念之甲</t>
  </si>
  <si>
    <t>巨兵护甲</t>
  </si>
  <si>
    <t>雷霆之甲</t>
  </si>
  <si>
    <t>传承:正义的呼唤</t>
  </si>
  <si>
    <t>传承:暴灵的守护</t>
  </si>
  <si>
    <t>传承:神官的黄昏</t>
  </si>
  <si>
    <t>先锋头盔</t>
  </si>
  <si>
    <t>苍穹之盔</t>
  </si>
  <si>
    <t>寂静头盔</t>
  </si>
  <si>
    <t>神谕之盔</t>
  </si>
  <si>
    <t>守护头盔</t>
  </si>
  <si>
    <t>龙脊之盔</t>
  </si>
  <si>
    <t>战斗爆裂头盔</t>
  </si>
  <si>
    <t>先锋手套</t>
  </si>
  <si>
    <t>苍穹之手</t>
  </si>
  <si>
    <t>寂静手套</t>
  </si>
  <si>
    <t>神谕之手</t>
  </si>
  <si>
    <t>守护手套</t>
  </si>
  <si>
    <t>龙脊之手</t>
  </si>
  <si>
    <t>先锋腰带</t>
  </si>
  <si>
    <t>苍穹之带</t>
  </si>
  <si>
    <t>寂静腰带</t>
  </si>
  <si>
    <t>神谕之带</t>
  </si>
  <si>
    <t>守护腰带</t>
  </si>
  <si>
    <t>龙脊之带</t>
  </si>
  <si>
    <t>先锋靴子</t>
  </si>
  <si>
    <t>苍穹之靴</t>
  </si>
  <si>
    <t>寂静靴子</t>
  </si>
  <si>
    <t>神谕之靴</t>
  </si>
  <si>
    <t>守护靴子</t>
  </si>
  <si>
    <t>龙脊之靴</t>
  </si>
  <si>
    <t>先锋护腿</t>
  </si>
  <si>
    <t>苍穹之腿</t>
  </si>
  <si>
    <t>寂静护腿</t>
  </si>
  <si>
    <t>神谕之腿</t>
  </si>
  <si>
    <t>守护护腿</t>
  </si>
  <si>
    <t>龙脊之腿</t>
  </si>
  <si>
    <t>星云项链</t>
  </si>
  <si>
    <t>幻影之链</t>
  </si>
  <si>
    <t>传承:女王项链</t>
  </si>
  <si>
    <t>启航之戒</t>
  </si>
  <si>
    <t>幻影之戒</t>
  </si>
  <si>
    <t>无尽时光戒指</t>
  </si>
  <si>
    <t>幻影之灵</t>
  </si>
  <si>
    <t>神圣战斗之锚</t>
  </si>
  <si>
    <t>星云护符</t>
  </si>
  <si>
    <t>幻影之符</t>
  </si>
  <si>
    <t>先锋剑</t>
  </si>
  <si>
    <t>幻影之剑</t>
  </si>
  <si>
    <t>坚壁刀</t>
  </si>
  <si>
    <t>传承:黑暗毁灭者</t>
  </si>
  <si>
    <t>传承:末日的决战</t>
  </si>
  <si>
    <t>传承:堕落的使者</t>
  </si>
  <si>
    <t>传承:上层精灵的魔法</t>
  </si>
  <si>
    <t>先锋护甲</t>
  </si>
  <si>
    <t>苍穹之甲</t>
  </si>
  <si>
    <t>寂静护甲</t>
  </si>
  <si>
    <t>神谕之甲</t>
  </si>
  <si>
    <t>守护护甲</t>
  </si>
  <si>
    <t>龙脊之甲</t>
  </si>
  <si>
    <t>传承:尽头之声</t>
  </si>
  <si>
    <t>传承:天籁长袍</t>
  </si>
  <si>
    <t>传承:不败的意志</t>
  </si>
  <si>
    <t>雷鸣头盔</t>
  </si>
  <si>
    <t>灵犀之盔</t>
  </si>
  <si>
    <t>元素头盔</t>
  </si>
  <si>
    <t>黑月之盔</t>
  </si>
  <si>
    <t>赤心头盔</t>
  </si>
  <si>
    <t>神官之盔</t>
  </si>
  <si>
    <t>雷鸣手套</t>
  </si>
  <si>
    <t>灵犀之手</t>
  </si>
  <si>
    <t>元素手套</t>
  </si>
  <si>
    <t>黑月之手</t>
  </si>
  <si>
    <t>赤心手套</t>
  </si>
  <si>
    <t>神官之手</t>
  </si>
  <si>
    <t>雷鸣腰带</t>
  </si>
  <si>
    <t>灵犀之带</t>
  </si>
  <si>
    <t>元素腰带</t>
  </si>
  <si>
    <t>黑月之带</t>
  </si>
  <si>
    <t>赤心腰带</t>
  </si>
  <si>
    <t>神官之带</t>
  </si>
  <si>
    <t>重力灵犀腰带</t>
  </si>
  <si>
    <t>雷鸣靴子</t>
  </si>
  <si>
    <t>灵犀之靴</t>
  </si>
  <si>
    <t>元素靴子</t>
  </si>
  <si>
    <t>黑月之靴</t>
  </si>
  <si>
    <t>赤心靴子</t>
  </si>
  <si>
    <t>神官之靴</t>
  </si>
  <si>
    <t>雷鸣护腿</t>
  </si>
  <si>
    <t>灵犀之腿</t>
  </si>
  <si>
    <t>元素护腿</t>
  </si>
  <si>
    <t>黑月之腿</t>
  </si>
  <si>
    <t>赤心护腿</t>
  </si>
  <si>
    <t>神官之腿</t>
  </si>
  <si>
    <t>红炎之链</t>
  </si>
  <si>
    <t>圣灵之链</t>
  </si>
  <si>
    <t>传承:力量的召唤</t>
  </si>
  <si>
    <t>领域戒指</t>
  </si>
  <si>
    <t>圣灵之戒</t>
  </si>
  <si>
    <t>雷鸣攻击之戒</t>
  </si>
  <si>
    <t>圣灵之灵</t>
  </si>
  <si>
    <t>图腾之灵</t>
  </si>
  <si>
    <t>迷之护符</t>
  </si>
  <si>
    <t>圣灵之符</t>
  </si>
  <si>
    <t>生命永恒之符</t>
  </si>
  <si>
    <t>雷鸣剑</t>
  </si>
  <si>
    <t>圣灵之剑</t>
  </si>
  <si>
    <t>闪电刀</t>
  </si>
  <si>
    <t>圣灵战刃</t>
  </si>
  <si>
    <t>传承:圣焰之剑</t>
  </si>
  <si>
    <t>传承:远古王者之刃</t>
  </si>
  <si>
    <t>传承:天堂的权杖</t>
  </si>
  <si>
    <t>传承:时光能量魔法</t>
  </si>
  <si>
    <t>雷鸣护甲</t>
  </si>
  <si>
    <t>灵犀之甲</t>
  </si>
  <si>
    <t>元素护甲</t>
  </si>
  <si>
    <t>黑月之甲</t>
  </si>
  <si>
    <t>赤心护甲</t>
  </si>
  <si>
    <t xml:space="preserve"> 神官之甲</t>
  </si>
  <si>
    <t>传承:噩梦裁决者</t>
  </si>
  <si>
    <t>传承:祝福者外衣</t>
  </si>
  <si>
    <t>传承:怒之烈焰</t>
  </si>
  <si>
    <t>子·鼠</t>
  </si>
  <si>
    <t>丑·牛</t>
  </si>
  <si>
    <t>寅·虎</t>
  </si>
  <si>
    <t>卯·兔</t>
  </si>
  <si>
    <t>辰·龙</t>
  </si>
  <si>
    <t>105501,105401</t>
  </si>
  <si>
    <t>1,1</t>
  </si>
  <si>
    <t>巳·蛇</t>
  </si>
  <si>
    <t>105301,105201</t>
  </si>
  <si>
    <t>午·马</t>
  </si>
  <si>
    <t>105101,105401</t>
  </si>
  <si>
    <t>未·羊</t>
  </si>
  <si>
    <t>105501,105201</t>
  </si>
  <si>
    <t>申·猴</t>
  </si>
  <si>
    <t>酉·鸡</t>
  </si>
  <si>
    <t>105101,105201</t>
  </si>
  <si>
    <t>戌·狗</t>
  </si>
  <si>
    <t>105501,105301</t>
  </si>
  <si>
    <t>亥·猪</t>
  </si>
  <si>
    <t>105301,105401</t>
  </si>
  <si>
    <t>子鼠·破晓</t>
  </si>
  <si>
    <t>丑牛·破风</t>
  </si>
  <si>
    <t>寅虎·破军</t>
  </si>
  <si>
    <t>卯兔·洪流</t>
  </si>
  <si>
    <t>辰龙·挽歌</t>
  </si>
  <si>
    <t>5,5</t>
  </si>
  <si>
    <t>巳蛇·逐风</t>
  </si>
  <si>
    <t>午马·利刃</t>
  </si>
  <si>
    <t>未羊·战魂</t>
  </si>
  <si>
    <t>申猴·清风</t>
  </si>
  <si>
    <t>酉鸡·天刺</t>
  </si>
  <si>
    <t>戌狗·惊鸿</t>
  </si>
  <si>
    <t>亥猪·寒裂</t>
  </si>
  <si>
    <t>子鼠·天启</t>
  </si>
  <si>
    <t>丑牛·天正</t>
  </si>
  <si>
    <t>寅虎·天罡</t>
  </si>
  <si>
    <t>卯兔·白鸿</t>
  </si>
  <si>
    <t>辰龙·紫金</t>
  </si>
  <si>
    <t>10,10</t>
  </si>
  <si>
    <t>巳蛇·修罗</t>
  </si>
  <si>
    <t>午马·金甲</t>
  </si>
  <si>
    <t>未羊·苍穹</t>
  </si>
  <si>
    <t>申猴·龙牙</t>
  </si>
  <si>
    <t>酉鸡·漠灵</t>
  </si>
  <si>
    <t>戌狗·无尽</t>
  </si>
  <si>
    <t>亥猪·焚天</t>
  </si>
  <si>
    <t>测试专用武器1</t>
    <phoneticPr fontId="23" type="noConversion"/>
  </si>
  <si>
    <t>测试专用武器2</t>
    <phoneticPr fontId="23" type="noConversion"/>
  </si>
  <si>
    <t>子鼠·破晓天启</t>
  </si>
  <si>
    <t>丑牛·破风天正</t>
  </si>
  <si>
    <t>寅虎·破军天罡</t>
  </si>
  <si>
    <t>卯兔·洪流白鸿</t>
  </si>
  <si>
    <t>辰龙·挽歌紫金</t>
  </si>
  <si>
    <t>巳蛇·逐风修罗</t>
  </si>
  <si>
    <t>午马·利刃金甲</t>
  </si>
  <si>
    <t>未羊·战魂苍穹</t>
  </si>
  <si>
    <t>申猴·清风龙牙</t>
  </si>
  <si>
    <t>酉鸡·天刺漠灵</t>
  </si>
  <si>
    <t>戌狗·惊鸿无尽</t>
  </si>
  <si>
    <t>亥猪·寒裂焚天</t>
  </si>
  <si>
    <t>13,13</t>
  </si>
  <si>
    <t>劣质木弓</t>
  </si>
  <si>
    <t>精制弓</t>
  </si>
  <si>
    <t>风灵之弓</t>
  </si>
  <si>
    <t>森灵之弓</t>
  </si>
  <si>
    <t>传承:鱼骨神弓</t>
  </si>
  <si>
    <t>弯月弓</t>
  </si>
  <si>
    <t>流光之弓</t>
  </si>
  <si>
    <t>传承:漠灵之弓</t>
  </si>
  <si>
    <t>精钢弓</t>
  </si>
  <si>
    <t>冰封之弓</t>
  </si>
  <si>
    <t>传承:雪人的呼唤</t>
  </si>
  <si>
    <t>灵力弓</t>
  </si>
  <si>
    <t>炙热之弓</t>
  </si>
  <si>
    <t>传承:魔焰神弓</t>
  </si>
  <si>
    <t>黑月之甲</t>
    <phoneticPr fontId="23" type="noConversion"/>
  </si>
  <si>
    <t>史诗:炙热之弓</t>
    <phoneticPr fontId="23" type="noConversion"/>
  </si>
  <si>
    <t>传承史诗:支配之弓</t>
  </si>
  <si>
    <t>圣焰之剑</t>
    <phoneticPr fontId="23" type="noConversion"/>
  </si>
  <si>
    <t>远古王者之刃</t>
    <phoneticPr fontId="23" type="noConversion"/>
  </si>
  <si>
    <t>天堂的权杖</t>
    <phoneticPr fontId="23" type="noConversion"/>
  </si>
  <si>
    <t>时光能量魔法</t>
    <phoneticPr fontId="23" type="noConversion"/>
  </si>
  <si>
    <t>魔焰神弓</t>
    <phoneticPr fontId="23" type="noConversion"/>
  </si>
  <si>
    <t>赛季晶核1</t>
    <phoneticPr fontId="23" type="noConversion"/>
  </si>
  <si>
    <t>呼唤狼王之链</t>
    <phoneticPr fontId="28" type="noConversion"/>
  </si>
  <si>
    <t>宠物:白银头饰</t>
    <phoneticPr fontId="28" type="noConversion"/>
  </si>
  <si>
    <t>宠物:白银项圈</t>
    <phoneticPr fontId="28" type="noConversion"/>
  </si>
  <si>
    <t>宠物:白银护腕</t>
    <phoneticPr fontId="28" type="noConversion"/>
  </si>
  <si>
    <t>宠物:黄金头饰</t>
    <phoneticPr fontId="28" type="noConversion"/>
  </si>
  <si>
    <t>宠物:黄金项圈</t>
    <phoneticPr fontId="28" type="noConversion"/>
  </si>
  <si>
    <t>宠物:黄金护腕</t>
    <phoneticPr fontId="28" type="noConversion"/>
  </si>
  <si>
    <t>宠物:精灵头饰</t>
  </si>
  <si>
    <t>宠物:精灵项圈</t>
  </si>
  <si>
    <t>宠物:精灵护腕</t>
  </si>
  <si>
    <t>宠物:无畏头饰</t>
    <phoneticPr fontId="28" type="noConversion"/>
  </si>
  <si>
    <t>宠物:无畏项圈</t>
    <phoneticPr fontId="28" type="noConversion"/>
  </si>
  <si>
    <t>宠物:无畏护腕</t>
    <phoneticPr fontId="28" type="noConversion"/>
  </si>
  <si>
    <t>宠物:传说头饰</t>
    <phoneticPr fontId="28" type="noConversion"/>
  </si>
  <si>
    <t>宠物:传说项圈</t>
    <phoneticPr fontId="28" type="noConversion"/>
  </si>
  <si>
    <t>宠物:传说护腕</t>
    <phoneticPr fontId="28" type="noConversion"/>
  </si>
  <si>
    <t>105503,105103</t>
  </si>
  <si>
    <t>105503,105303</t>
  </si>
  <si>
    <t>105503,105403</t>
  </si>
  <si>
    <t>8,30</t>
  </si>
  <si>
    <t>16,30</t>
  </si>
  <si>
    <t>12,45</t>
  </si>
  <si>
    <t>24,45</t>
  </si>
  <si>
    <t>16,60</t>
  </si>
  <si>
    <t>32,60</t>
  </si>
  <si>
    <t>20,75</t>
  </si>
  <si>
    <t>40,75</t>
  </si>
  <si>
    <t>25,90</t>
  </si>
  <si>
    <t>50,90</t>
  </si>
  <si>
    <t>0,0</t>
    <phoneticPr fontId="23" type="noConversion"/>
  </si>
  <si>
    <t>传承子鼠·破晓天启</t>
  </si>
  <si>
    <t>传承丑牛·破风天正</t>
  </si>
  <si>
    <t>传承寅虎·破军天罡</t>
  </si>
  <si>
    <t>传承卯兔·洪流白鸿</t>
  </si>
  <si>
    <t>传承辰龙·挽歌紫金</t>
  </si>
  <si>
    <t>传承巳蛇·逐风修罗</t>
  </si>
  <si>
    <t>传承午马·利刃金甲</t>
  </si>
  <si>
    <t>传承未羊·战魂苍穹</t>
  </si>
  <si>
    <t>传承申猴·清风龙牙</t>
  </si>
  <si>
    <t>传承酉鸡·天刺漠灵</t>
  </si>
  <si>
    <t>传承戌狗·惊鸿无尽</t>
  </si>
  <si>
    <t>传承亥猪·寒裂焚天</t>
  </si>
  <si>
    <t>15,15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</si>
</sst>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>
    <font>
      <sz val="11"/>
      <color indexed="8"/>
      <name val="宋体"/>
      <charset val="134"/>
    </font>
    <font>
      <sz val="9"/>
      <color theme="1"/>
      <name val="微软雅黑"/>
      <family val="2"/>
      <charset val="134"/>
    </font>
    <font>
      <sz val="11"/>
      <color theme="0" tint="-0.34998626667073579"/>
      <name val="宋体"/>
      <family val="3"/>
      <charset val="134"/>
    </font>
    <font>
      <b/>
      <sz val="9"/>
      <color theme="1"/>
      <name val="微软雅黑"/>
      <family val="2"/>
      <charset val="134"/>
    </font>
    <font>
      <sz val="10"/>
      <color indexed="9"/>
      <name val="宋体"/>
      <family val="3"/>
      <charset val="134"/>
    </font>
    <font>
      <sz val="10"/>
      <color theme="0" tint="-0.34998626667073579"/>
      <name val="Helvetica Neue"/>
      <family val="2"/>
      <scheme val="minor"/>
    </font>
    <font>
      <sz val="10"/>
      <color theme="0"/>
      <name val="Helvetica Neue"/>
      <family val="2"/>
      <scheme val="minor"/>
    </font>
    <font>
      <sz val="10"/>
      <color theme="1"/>
      <name val="Helvetica Neue"/>
      <family val="2"/>
      <scheme val="minor"/>
    </font>
    <font>
      <sz val="10"/>
      <color theme="1"/>
      <name val="微软雅黑"/>
      <family val="2"/>
      <charset val="134"/>
    </font>
    <font>
      <sz val="10"/>
      <color indexed="8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rgb="FFFF0000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indexed="8"/>
      <name val="宋体"/>
      <family val="3"/>
      <charset val="134"/>
    </font>
    <font>
      <sz val="11"/>
      <color indexed="8"/>
      <name val="Helvetica Neue"/>
      <family val="2"/>
      <scheme val="minor"/>
    </font>
    <font>
      <sz val="11"/>
      <color theme="1"/>
      <name val="Tahoma"/>
      <family val="2"/>
    </font>
    <font>
      <sz val="10"/>
      <color theme="0"/>
      <name val="Helvetica Neue"/>
      <family val="2"/>
    </font>
    <font>
      <sz val="10"/>
      <color theme="0" tint="-0.34998626667073579"/>
      <name val="Helvetica Neue"/>
      <family val="2"/>
    </font>
    <font>
      <sz val="10"/>
      <color rgb="FF0070C0"/>
      <name val="宋体"/>
      <family val="3"/>
      <charset val="134"/>
    </font>
    <font>
      <sz val="10"/>
      <color rgb="FF0070C0"/>
      <name val="Helvetica Neue"/>
      <family val="2"/>
    </font>
    <font>
      <sz val="10"/>
      <color theme="1"/>
      <name val="Helvetica Neue"/>
      <family val="2"/>
    </font>
    <font>
      <sz val="11"/>
      <color indexed="8"/>
      <name val="Helvetica Neue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Helvetica Neue"/>
      <family val="2"/>
      <scheme val="minor"/>
    </font>
    <font>
      <sz val="11"/>
      <name val="宋体"/>
      <family val="3"/>
      <charset val="134"/>
    </font>
    <font>
      <sz val="10"/>
      <name val="微软雅黑"/>
      <family val="2"/>
      <charset val="134"/>
    </font>
    <font>
      <sz val="10"/>
      <color theme="1"/>
      <name val="Helvetica Neue"/>
      <family val="3"/>
      <charset val="134"/>
      <scheme val="minor"/>
    </font>
    <font>
      <sz val="9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51017792291024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0" tint="-0.1488998077333902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88082522049623"/>
        <bgColor indexed="64"/>
      </patternFill>
    </fill>
    <fill>
      <patternFill patternType="solid">
        <fgColor theme="0" tint="-0.14862514114810632"/>
        <bgColor indexed="64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82299264503923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6">
    <xf numFmtId="0" fontId="0" fillId="0" borderId="0" applyNumberFormat="0" applyFill="0" applyBorder="0" applyProtection="0"/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2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2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2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4" fillId="15" borderId="13" applyNumberFormat="0" applyFont="0" applyAlignment="0" applyProtection="0">
      <alignment vertical="center"/>
    </xf>
    <xf numFmtId="0" fontId="12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2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15" borderId="13" applyNumberFormat="0" applyFont="0" applyAlignment="0" applyProtection="0">
      <alignment vertical="center"/>
    </xf>
    <xf numFmtId="0" fontId="12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4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2" fillId="0" borderId="0">
      <alignment vertical="center"/>
    </xf>
    <xf numFmtId="0" fontId="12" fillId="24" borderId="0" applyNumberFormat="0" applyBorder="0" applyAlignment="0" applyProtection="0">
      <alignment vertical="center"/>
    </xf>
    <xf numFmtId="0" fontId="14" fillId="15" borderId="13" applyNumberFormat="0" applyFont="0" applyAlignment="0" applyProtection="0">
      <alignment vertical="center"/>
    </xf>
    <xf numFmtId="0" fontId="12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0" borderId="0"/>
    <xf numFmtId="0" fontId="12" fillId="27" borderId="0" applyNumberFormat="0" applyBorder="0" applyAlignment="0" applyProtection="0">
      <alignment vertical="center"/>
    </xf>
    <xf numFmtId="0" fontId="12" fillId="0" borderId="0"/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15" borderId="13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0" borderId="0"/>
    <xf numFmtId="0" fontId="12" fillId="2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0" borderId="0"/>
    <xf numFmtId="0" fontId="12" fillId="29" borderId="0" applyNumberFormat="0" applyBorder="0" applyAlignment="0" applyProtection="0">
      <alignment vertical="center"/>
    </xf>
    <xf numFmtId="0" fontId="15" fillId="0" borderId="0"/>
    <xf numFmtId="0" fontId="12" fillId="2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0" borderId="0"/>
    <xf numFmtId="0" fontId="12" fillId="2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0" borderId="0"/>
    <xf numFmtId="0" fontId="12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29" borderId="0" applyNumberFormat="0" applyBorder="0" applyAlignment="0" applyProtection="0">
      <alignment vertical="center"/>
    </xf>
    <xf numFmtId="0" fontId="12" fillId="0" borderId="0"/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Protection="0"/>
    <xf numFmtId="0" fontId="12" fillId="0" borderId="0"/>
    <xf numFmtId="0" fontId="12" fillId="2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0" borderId="0" applyNumberFormat="0" applyFill="0" applyBorder="0" applyProtection="0"/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0" borderId="0"/>
    <xf numFmtId="0" fontId="12" fillId="2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2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15" borderId="13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4" fillId="15" borderId="13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5" borderId="13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15" borderId="13" applyNumberFormat="0" applyFont="0" applyAlignment="0" applyProtection="0">
      <alignment vertical="center"/>
    </xf>
    <xf numFmtId="0" fontId="12" fillId="0" borderId="0"/>
    <xf numFmtId="0" fontId="12" fillId="0" borderId="0"/>
    <xf numFmtId="0" fontId="13" fillId="0" borderId="0" applyNumberFormat="0" applyFill="0" applyBorder="0" applyProtection="0"/>
    <xf numFmtId="0" fontId="12" fillId="0" borderId="0"/>
    <xf numFmtId="0" fontId="12" fillId="15" borderId="13" applyNumberFormat="0" applyFont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4" fillId="15" borderId="13" applyNumberFormat="0" applyFont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4" fillId="15" borderId="13" applyNumberFormat="0" applyFont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2" fillId="15" borderId="13" applyNumberFormat="0" applyFont="0" applyAlignment="0" applyProtection="0">
      <alignment vertical="center"/>
    </xf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NumberFormat="1"/>
    <xf numFmtId="0" fontId="3" fillId="3" borderId="0" xfId="0" applyFont="1" applyFill="1"/>
    <xf numFmtId="49" fontId="4" fillId="4" borderId="1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5" fillId="5" borderId="4" xfId="0" applyNumberFormat="1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6" xfId="0" applyNumberFormat="1" applyFont="1" applyFill="1" applyBorder="1" applyAlignment="1">
      <alignment horizontal="center" vertical="center"/>
    </xf>
    <xf numFmtId="0" fontId="5" fillId="5" borderId="0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49" fontId="4" fillId="4" borderId="10" xfId="0" applyNumberFormat="1" applyFont="1" applyFill="1" applyBorder="1" applyAlignment="1">
      <alignment horizontal="center" vertical="center"/>
    </xf>
    <xf numFmtId="0" fontId="2" fillId="0" borderId="0" xfId="0" applyNumberFormat="1" applyFont="1"/>
    <xf numFmtId="49" fontId="5" fillId="5" borderId="7" xfId="0" applyNumberFormat="1" applyFont="1" applyFill="1" applyBorder="1" applyAlignment="1">
      <alignment horizontal="center" vertical="center"/>
    </xf>
    <xf numFmtId="0" fontId="7" fillId="7" borderId="7" xfId="11" applyFont="1" applyFill="1" applyBorder="1" applyAlignment="1">
      <alignment horizontal="center" vertical="center"/>
    </xf>
    <xf numFmtId="0" fontId="7" fillId="5" borderId="4" xfId="365" applyFont="1" applyFill="1" applyBorder="1" applyAlignment="1">
      <alignment horizontal="center" vertical="center"/>
    </xf>
    <xf numFmtId="0" fontId="7" fillId="2" borderId="7" xfId="11" applyFont="1" applyFill="1" applyBorder="1" applyAlignment="1">
      <alignment horizontal="center" vertical="center"/>
    </xf>
    <xf numFmtId="0" fontId="8" fillId="2" borderId="7" xfId="11" applyFont="1" applyFill="1" applyBorder="1" applyAlignment="1">
      <alignment horizontal="center" vertical="center"/>
    </xf>
    <xf numFmtId="0" fontId="7" fillId="2" borderId="4" xfId="365" applyFont="1" applyFill="1" applyBorder="1" applyAlignment="1">
      <alignment horizontal="center" vertical="center"/>
    </xf>
    <xf numFmtId="0" fontId="9" fillId="8" borderId="11" xfId="0" applyNumberFormat="1" applyFont="1" applyFill="1" applyBorder="1" applyAlignment="1">
      <alignment horizontal="center" vertical="center"/>
    </xf>
    <xf numFmtId="0" fontId="10" fillId="7" borderId="7" xfId="11" applyFont="1" applyFill="1" applyBorder="1" applyAlignment="1">
      <alignment horizontal="center" vertical="center"/>
    </xf>
    <xf numFmtId="0" fontId="9" fillId="2" borderId="11" xfId="0" applyNumberFormat="1" applyFont="1" applyFill="1" applyBorder="1" applyAlignment="1">
      <alignment horizontal="center" vertical="center"/>
    </xf>
    <xf numFmtId="0" fontId="10" fillId="2" borderId="7" xfId="11" applyFont="1" applyFill="1" applyBorder="1" applyAlignment="1">
      <alignment horizontal="center" vertical="center"/>
    </xf>
    <xf numFmtId="0" fontId="0" fillId="2" borderId="0" xfId="0" applyNumberFormat="1" applyFill="1"/>
    <xf numFmtId="0" fontId="7" fillId="3" borderId="7" xfId="11" applyFont="1" applyFill="1" applyBorder="1" applyAlignment="1">
      <alignment horizontal="center" vertical="center"/>
    </xf>
    <xf numFmtId="0" fontId="7" fillId="3" borderId="4" xfId="365" applyFont="1" applyFill="1" applyBorder="1" applyAlignment="1">
      <alignment horizontal="center" vertical="center"/>
    </xf>
    <xf numFmtId="0" fontId="7" fillId="9" borderId="7" xfId="11" applyFont="1" applyFill="1" applyBorder="1" applyAlignment="1">
      <alignment horizontal="center" vertical="center"/>
    </xf>
    <xf numFmtId="0" fontId="9" fillId="3" borderId="11" xfId="0" applyNumberFormat="1" applyFont="1" applyFill="1" applyBorder="1" applyAlignment="1">
      <alignment horizontal="center" vertical="center"/>
    </xf>
    <xf numFmtId="0" fontId="10" fillId="3" borderId="7" xfId="11" applyFont="1" applyFill="1" applyBorder="1" applyAlignment="1">
      <alignment horizontal="center" vertical="center"/>
    </xf>
    <xf numFmtId="0" fontId="0" fillId="3" borderId="0" xfId="0" applyNumberFormat="1" applyFill="1"/>
    <xf numFmtId="0" fontId="8" fillId="2" borderId="4" xfId="365" applyFont="1" applyFill="1" applyBorder="1" applyAlignment="1">
      <alignment horizontal="center" vertical="center"/>
    </xf>
    <xf numFmtId="0" fontId="8" fillId="5" borderId="4" xfId="365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8" borderId="11" xfId="0" applyNumberFormat="1" applyFont="1" applyFill="1" applyBorder="1" applyAlignment="1">
      <alignment horizontal="left" vertical="center"/>
    </xf>
    <xf numFmtId="0" fontId="9" fillId="3" borderId="11" xfId="0" applyNumberFormat="1" applyFont="1" applyFill="1" applyBorder="1" applyAlignment="1">
      <alignment horizontal="left" vertical="center"/>
    </xf>
    <xf numFmtId="0" fontId="9" fillId="2" borderId="11" xfId="0" applyNumberFormat="1" applyFont="1" applyFill="1" applyBorder="1" applyAlignment="1">
      <alignment horizontal="left" vertical="center"/>
    </xf>
    <xf numFmtId="0" fontId="11" fillId="2" borderId="7" xfId="11" applyFont="1" applyFill="1" applyBorder="1" applyAlignment="1">
      <alignment horizontal="center" vertical="center"/>
    </xf>
    <xf numFmtId="0" fontId="9" fillId="8" borderId="12" xfId="0" applyNumberFormat="1" applyFont="1" applyFill="1" applyBorder="1" applyAlignment="1">
      <alignment horizontal="left" vertical="center"/>
    </xf>
    <xf numFmtId="0" fontId="7" fillId="10" borderId="0" xfId="11" applyFont="1" applyFill="1" applyAlignment="1">
      <alignment horizontal="center" vertical="center"/>
    </xf>
    <xf numFmtId="0" fontId="7" fillId="10" borderId="7" xfId="11" applyFont="1" applyFill="1" applyBorder="1" applyAlignment="1">
      <alignment horizontal="center" vertical="center"/>
    </xf>
    <xf numFmtId="0" fontId="9" fillId="8" borderId="11" xfId="0" quotePrefix="1" applyNumberFormat="1" applyFont="1" applyFill="1" applyBorder="1" applyAlignment="1">
      <alignment horizontal="center" vertical="center"/>
    </xf>
    <xf numFmtId="0" fontId="24" fillId="5" borderId="4" xfId="0" applyNumberFormat="1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4" fillId="5" borderId="6" xfId="0" applyNumberFormat="1" applyFont="1" applyFill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4" fillId="5" borderId="0" xfId="0" applyNumberFormat="1" applyFont="1" applyFill="1" applyBorder="1" applyAlignment="1">
      <alignment horizontal="center" vertical="center"/>
    </xf>
    <xf numFmtId="0" fontId="25" fillId="0" borderId="0" xfId="0" applyNumberFormat="1" applyFont="1"/>
    <xf numFmtId="0" fontId="25" fillId="0" borderId="0" xfId="0" applyFont="1"/>
    <xf numFmtId="49" fontId="26" fillId="5" borderId="5" xfId="0" applyNumberFormat="1" applyFont="1" applyFill="1" applyBorder="1" applyAlignment="1">
      <alignment horizontal="center" vertical="center"/>
    </xf>
    <xf numFmtId="0" fontId="27" fillId="30" borderId="0" xfId="11" applyFont="1" applyFill="1" applyAlignment="1">
      <alignment horizontal="center" vertical="center"/>
    </xf>
    <xf numFmtId="0" fontId="8" fillId="7" borderId="7" xfId="11" applyFont="1" applyFill="1" applyBorder="1" applyAlignment="1">
      <alignment horizontal="center" vertical="center"/>
    </xf>
    <xf numFmtId="0" fontId="7" fillId="31" borderId="7" xfId="11" applyFont="1" applyFill="1" applyBorder="1" applyAlignment="1">
      <alignment horizontal="center" vertical="center"/>
    </xf>
    <xf numFmtId="0" fontId="7" fillId="31" borderId="4" xfId="365" applyFont="1" applyFill="1" applyBorder="1" applyAlignment="1">
      <alignment horizontal="center" vertical="center"/>
    </xf>
    <xf numFmtId="0" fontId="9" fillId="31" borderId="11" xfId="0" applyNumberFormat="1" applyFont="1" applyFill="1" applyBorder="1" applyAlignment="1">
      <alignment horizontal="center" vertical="center"/>
    </xf>
    <xf numFmtId="0" fontId="10" fillId="31" borderId="7" xfId="11" applyFont="1" applyFill="1" applyBorder="1" applyAlignment="1">
      <alignment horizontal="center" vertical="center"/>
    </xf>
    <xf numFmtId="0" fontId="9" fillId="31" borderId="12" xfId="0" applyNumberFormat="1" applyFont="1" applyFill="1" applyBorder="1" applyAlignment="1">
      <alignment horizontal="left" vertical="center"/>
    </xf>
    <xf numFmtId="0" fontId="0" fillId="31" borderId="0" xfId="0" applyNumberFormat="1" applyFill="1"/>
    <xf numFmtId="0" fontId="0" fillId="31" borderId="0" xfId="0" applyFill="1"/>
    <xf numFmtId="0" fontId="9" fillId="31" borderId="11" xfId="0" applyNumberFormat="1" applyFont="1" applyFill="1" applyBorder="1" applyAlignment="1">
      <alignment horizontal="left" vertical="center"/>
    </xf>
    <xf numFmtId="0" fontId="8" fillId="31" borderId="7" xfId="11" applyFont="1" applyFill="1" applyBorder="1" applyAlignment="1">
      <alignment horizontal="center" vertical="center"/>
    </xf>
    <xf numFmtId="0" fontId="27" fillId="32" borderId="7" xfId="11" applyFont="1" applyFill="1" applyBorder="1" applyAlignment="1">
      <alignment horizontal="center" vertical="center"/>
    </xf>
    <xf numFmtId="0" fontId="7" fillId="9" borderId="4" xfId="365" applyFont="1" applyFill="1" applyBorder="1" applyAlignment="1">
      <alignment horizontal="center" vertical="center"/>
    </xf>
    <xf numFmtId="0" fontId="9" fillId="9" borderId="11" xfId="0" applyNumberFormat="1" applyFont="1" applyFill="1" applyBorder="1" applyAlignment="1">
      <alignment horizontal="center" vertical="center"/>
    </xf>
    <xf numFmtId="0" fontId="10" fillId="9" borderId="7" xfId="11" applyFont="1" applyFill="1" applyBorder="1" applyAlignment="1">
      <alignment horizontal="center" vertical="center"/>
    </xf>
    <xf numFmtId="0" fontId="0" fillId="9" borderId="0" xfId="0" applyNumberFormat="1" applyFill="1"/>
    <xf numFmtId="0" fontId="0" fillId="9" borderId="0" xfId="0" applyFill="1"/>
    <xf numFmtId="0" fontId="7" fillId="33" borderId="0" xfId="11" applyFont="1" applyFill="1" applyAlignment="1">
      <alignment horizontal="center" vertical="center"/>
    </xf>
    <xf numFmtId="0" fontId="27" fillId="33" borderId="7" xfId="11" applyFont="1" applyFill="1" applyBorder="1" applyAlignment="1">
      <alignment horizontal="center" vertical="center"/>
    </xf>
  </cellXfs>
  <cellStyles count="426">
    <cellStyle name="20% - 强调文字颜色 1 2" xfId="2" xr:uid="{00000000-0005-0000-0000-000003000000}"/>
    <cellStyle name="20% - 强调文字颜色 1 2 2" xfId="63" xr:uid="{00000000-0005-0000-0000-00006F000000}"/>
    <cellStyle name="20% - 强调文字颜色 1 2 2 2" xfId="9" xr:uid="{00000000-0005-0000-0000-000011000000}"/>
    <cellStyle name="20% - 强调文字颜色 1 2 2 2 2" xfId="65" xr:uid="{00000000-0005-0000-0000-000071000000}"/>
    <cellStyle name="20% - 强调文字颜色 1 2 2 2 3" xfId="67" xr:uid="{00000000-0005-0000-0000-000073000000}"/>
    <cellStyle name="20% - 强调文字颜色 1 2 2 3" xfId="24" xr:uid="{00000000-0005-0000-0000-00002E000000}"/>
    <cellStyle name="20% - 强调文字颜色 1 2 2 4" xfId="52" xr:uid="{00000000-0005-0000-0000-000060000000}"/>
    <cellStyle name="20% - 强调文字颜色 1 2 2 5" xfId="61" xr:uid="{00000000-0005-0000-0000-00006C000000}"/>
    <cellStyle name="20% - 强调文字颜色 1 2 3" xfId="39" xr:uid="{00000000-0005-0000-0000-000046000000}"/>
    <cellStyle name="20% - 强调文字颜色 1 2 3 2" xfId="57" xr:uid="{00000000-0005-0000-0000-000067000000}"/>
    <cellStyle name="20% - 强调文字颜色 1 2 3 3" xfId="70" xr:uid="{00000000-0005-0000-0000-000076000000}"/>
    <cellStyle name="20% - 强调文字颜色 1 2 4" xfId="73" xr:uid="{00000000-0005-0000-0000-000079000000}"/>
    <cellStyle name="20% - 强调文字颜色 1 2 5" xfId="76" xr:uid="{00000000-0005-0000-0000-00007C000000}"/>
    <cellStyle name="20% - 强调文字颜色 1 2 6" xfId="78" xr:uid="{00000000-0005-0000-0000-00007E000000}"/>
    <cellStyle name="20% - 强调文字颜色 1 3" xfId="48" xr:uid="{00000000-0005-0000-0000-000058000000}"/>
    <cellStyle name="20% - 强调文字颜色 1 3 2" xfId="80" xr:uid="{00000000-0005-0000-0000-000080000000}"/>
    <cellStyle name="20% - 强调文字颜色 1 3 2 2" xfId="83" xr:uid="{00000000-0005-0000-0000-000083000000}"/>
    <cellStyle name="20% - 强调文字颜色 1 3 2 3" xfId="86" xr:uid="{00000000-0005-0000-0000-000086000000}"/>
    <cellStyle name="20% - 强调文字颜色 1 3 3" xfId="89" xr:uid="{00000000-0005-0000-0000-000089000000}"/>
    <cellStyle name="20% - 强调文字颜色 1 3 4" xfId="92" xr:uid="{00000000-0005-0000-0000-00008C000000}"/>
    <cellStyle name="20% - 强调文字颜色 1 3 5" xfId="95" xr:uid="{00000000-0005-0000-0000-00008F000000}"/>
    <cellStyle name="20% - 强调文字颜色 1 4" xfId="96" xr:uid="{00000000-0005-0000-0000-000090000000}"/>
    <cellStyle name="20% - 强调文字颜色 1 4 2" xfId="98" xr:uid="{00000000-0005-0000-0000-000092000000}"/>
    <cellStyle name="20% - 强调文字颜色 1 4 3" xfId="31" xr:uid="{00000000-0005-0000-0000-000038000000}"/>
    <cellStyle name="20% - 强调文字颜色 2 2" xfId="99" xr:uid="{00000000-0005-0000-0000-000093000000}"/>
    <cellStyle name="20% - 强调文字颜色 2 2 2" xfId="101" xr:uid="{00000000-0005-0000-0000-000095000000}"/>
    <cellStyle name="20% - 强调文字颜色 2 2 2 2" xfId="102" xr:uid="{00000000-0005-0000-0000-000096000000}"/>
    <cellStyle name="20% - 强调文字颜色 2 2 2 2 2" xfId="103" xr:uid="{00000000-0005-0000-0000-000097000000}"/>
    <cellStyle name="20% - 强调文字颜色 2 2 2 2 3" xfId="104" xr:uid="{00000000-0005-0000-0000-000098000000}"/>
    <cellStyle name="20% - 强调文字颜色 2 2 2 3" xfId="105" xr:uid="{00000000-0005-0000-0000-000099000000}"/>
    <cellStyle name="20% - 强调文字颜色 2 2 2 4" xfId="106" xr:uid="{00000000-0005-0000-0000-00009A000000}"/>
    <cellStyle name="20% - 强调文字颜色 2 2 2 5" xfId="107" xr:uid="{00000000-0005-0000-0000-00009B000000}"/>
    <cellStyle name="20% - 强调文字颜色 2 2 3" xfId="108" xr:uid="{00000000-0005-0000-0000-00009C000000}"/>
    <cellStyle name="20% - 强调文字颜色 2 2 3 2" xfId="109" xr:uid="{00000000-0005-0000-0000-00009D000000}"/>
    <cellStyle name="20% - 强调文字颜色 2 2 3 3" xfId="110" xr:uid="{00000000-0005-0000-0000-00009E000000}"/>
    <cellStyle name="20% - 强调文字颜色 2 2 4" xfId="111" xr:uid="{00000000-0005-0000-0000-00009F000000}"/>
    <cellStyle name="20% - 强调文字颜色 2 2 5" xfId="112" xr:uid="{00000000-0005-0000-0000-0000A0000000}"/>
    <cellStyle name="20% - 强调文字颜色 2 2 6" xfId="114" xr:uid="{00000000-0005-0000-0000-0000A2000000}"/>
    <cellStyle name="20% - 强调文字颜色 2 3" xfId="115" xr:uid="{00000000-0005-0000-0000-0000A3000000}"/>
    <cellStyle name="20% - 强调文字颜色 2 3 2" xfId="116" xr:uid="{00000000-0005-0000-0000-0000A4000000}"/>
    <cellStyle name="20% - 强调文字颜色 2 3 2 2" xfId="117" xr:uid="{00000000-0005-0000-0000-0000A5000000}"/>
    <cellStyle name="20% - 强调文字颜色 2 3 2 3" xfId="118" xr:uid="{00000000-0005-0000-0000-0000A6000000}"/>
    <cellStyle name="20% - 强调文字颜色 2 3 3" xfId="119" xr:uid="{00000000-0005-0000-0000-0000A7000000}"/>
    <cellStyle name="20% - 强调文字颜色 2 3 4" xfId="121" xr:uid="{00000000-0005-0000-0000-0000A9000000}"/>
    <cellStyle name="20% - 强调文字颜色 2 3 5" xfId="123" xr:uid="{00000000-0005-0000-0000-0000AB000000}"/>
    <cellStyle name="20% - 强调文字颜色 2 4" xfId="124" xr:uid="{00000000-0005-0000-0000-0000AC000000}"/>
    <cellStyle name="20% - 强调文字颜色 2 4 2" xfId="25" xr:uid="{00000000-0005-0000-0000-000030000000}"/>
    <cellStyle name="20% - 强调文字颜色 2 4 3" xfId="125" xr:uid="{00000000-0005-0000-0000-0000AD000000}"/>
    <cellStyle name="20% - 强调文字颜色 3 2" xfId="127" xr:uid="{00000000-0005-0000-0000-0000AF000000}"/>
    <cellStyle name="20% - 强调文字颜色 3 2 2" xfId="128" xr:uid="{00000000-0005-0000-0000-0000B0000000}"/>
    <cellStyle name="20% - 强调文字颜色 3 2 2 2" xfId="129" xr:uid="{00000000-0005-0000-0000-0000B1000000}"/>
    <cellStyle name="20% - 强调文字颜色 3 2 2 2 2" xfId="131" xr:uid="{00000000-0005-0000-0000-0000B3000000}"/>
    <cellStyle name="20% - 强调文字颜色 3 2 2 2 3" xfId="132" xr:uid="{00000000-0005-0000-0000-0000B4000000}"/>
    <cellStyle name="20% - 强调文字颜色 3 2 2 3" xfId="133" xr:uid="{00000000-0005-0000-0000-0000B5000000}"/>
    <cellStyle name="20% - 强调文字颜色 3 2 2 4" xfId="135" xr:uid="{00000000-0005-0000-0000-0000B7000000}"/>
    <cellStyle name="20% - 强调文字颜色 3 2 2 5" xfId="137" xr:uid="{00000000-0005-0000-0000-0000B9000000}"/>
    <cellStyle name="20% - 强调文字颜色 3 2 3" xfId="138" xr:uid="{00000000-0005-0000-0000-0000BA000000}"/>
    <cellStyle name="20% - 强调文字颜色 3 2 3 2" xfId="139" xr:uid="{00000000-0005-0000-0000-0000BB000000}"/>
    <cellStyle name="20% - 强调文字颜色 3 2 3 3" xfId="4" xr:uid="{00000000-0005-0000-0000-000006000000}"/>
    <cellStyle name="20% - 强调文字颜色 3 2 4" xfId="140" xr:uid="{00000000-0005-0000-0000-0000BC000000}"/>
    <cellStyle name="20% - 强调文字颜色 3 2 5" xfId="141" xr:uid="{00000000-0005-0000-0000-0000BD000000}"/>
    <cellStyle name="20% - 强调文字颜色 3 2 6" xfId="142" xr:uid="{00000000-0005-0000-0000-0000BE000000}"/>
    <cellStyle name="20% - 强调文字颜色 3 3" xfId="40" xr:uid="{00000000-0005-0000-0000-000047000000}"/>
    <cellStyle name="20% - 强调文字颜色 3 3 2" xfId="58" xr:uid="{00000000-0005-0000-0000-000068000000}"/>
    <cellStyle name="20% - 强调文字颜色 3 3 2 2" xfId="144" xr:uid="{00000000-0005-0000-0000-0000C0000000}"/>
    <cellStyle name="20% - 强调文字颜色 3 3 2 3" xfId="146" xr:uid="{00000000-0005-0000-0000-0000C2000000}"/>
    <cellStyle name="20% - 强调文字颜色 3 3 3" xfId="147" xr:uid="{00000000-0005-0000-0000-0000C3000000}"/>
    <cellStyle name="20% - 强调文字颜色 3 3 4" xfId="150" xr:uid="{00000000-0005-0000-0000-0000C6000000}"/>
    <cellStyle name="20% - 强调文字颜色 3 3 5" xfId="152" xr:uid="{00000000-0005-0000-0000-0000C8000000}"/>
    <cellStyle name="20% - 强调文字颜色 3 4" xfId="153" xr:uid="{00000000-0005-0000-0000-0000C9000000}"/>
    <cellStyle name="20% - 强调文字颜色 3 4 2" xfId="154" xr:uid="{00000000-0005-0000-0000-0000CA000000}"/>
    <cellStyle name="20% - 强调文字颜色 3 4 3" xfId="155" xr:uid="{00000000-0005-0000-0000-0000CB000000}"/>
    <cellStyle name="20% - 强调文字颜色 4 2" xfId="157" xr:uid="{00000000-0005-0000-0000-0000CD000000}"/>
    <cellStyle name="20% - 强调文字颜色 4 2 2" xfId="159" xr:uid="{00000000-0005-0000-0000-0000CF000000}"/>
    <cellStyle name="20% - 强调文字颜色 4 2 2 2" xfId="149" xr:uid="{00000000-0005-0000-0000-0000C5000000}"/>
    <cellStyle name="20% - 强调文字颜色 4 2 2 2 2" xfId="160" xr:uid="{00000000-0005-0000-0000-0000D0000000}"/>
    <cellStyle name="20% - 强调文字颜色 4 2 2 2 3" xfId="161" xr:uid="{00000000-0005-0000-0000-0000D1000000}"/>
    <cellStyle name="20% - 强调文字颜色 4 2 2 3" xfId="151" xr:uid="{00000000-0005-0000-0000-0000C7000000}"/>
    <cellStyle name="20% - 强调文字颜色 4 2 2 4" xfId="162" xr:uid="{00000000-0005-0000-0000-0000D2000000}"/>
    <cellStyle name="20% - 强调文字颜色 4 2 2 5" xfId="126" xr:uid="{00000000-0005-0000-0000-0000AE000000}"/>
    <cellStyle name="20% - 强调文字颜色 4 2 3" xfId="164" xr:uid="{00000000-0005-0000-0000-0000D4000000}"/>
    <cellStyle name="20% - 强调文字颜色 4 2 3 2" xfId="165" xr:uid="{00000000-0005-0000-0000-0000D5000000}"/>
    <cellStyle name="20% - 强调文字颜色 4 2 3 3" xfId="166" xr:uid="{00000000-0005-0000-0000-0000D6000000}"/>
    <cellStyle name="20% - 强调文字颜色 4 2 4" xfId="168" xr:uid="{00000000-0005-0000-0000-0000D8000000}"/>
    <cellStyle name="20% - 强调文字颜色 4 2 5" xfId="169" xr:uid="{00000000-0005-0000-0000-0000D9000000}"/>
    <cellStyle name="20% - 强调文字颜色 4 2 6" xfId="170" xr:uid="{00000000-0005-0000-0000-0000DA000000}"/>
    <cellStyle name="20% - 强调文字颜色 4 3" xfId="173" xr:uid="{00000000-0005-0000-0000-0000DD000000}"/>
    <cellStyle name="20% - 强调文字颜色 4 3 2" xfId="175" xr:uid="{00000000-0005-0000-0000-0000DF000000}"/>
    <cellStyle name="20% - 强调文字颜色 4 3 2 2" xfId="179" xr:uid="{00000000-0005-0000-0000-0000E3000000}"/>
    <cellStyle name="20% - 强调文字颜色 4 3 2 3" xfId="182" xr:uid="{00000000-0005-0000-0000-0000E6000000}"/>
    <cellStyle name="20% - 强调文字颜色 4 3 3" xfId="184" xr:uid="{00000000-0005-0000-0000-0000E8000000}"/>
    <cellStyle name="20% - 强调文字颜色 4 3 4" xfId="178" xr:uid="{00000000-0005-0000-0000-0000E2000000}"/>
    <cellStyle name="20% - 强调文字颜色 4 3 5" xfId="181" xr:uid="{00000000-0005-0000-0000-0000E5000000}"/>
    <cellStyle name="20% - 强调文字颜色 4 4" xfId="187" xr:uid="{00000000-0005-0000-0000-0000EB000000}"/>
    <cellStyle name="20% - 强调文字颜色 4 4 2" xfId="14" xr:uid="{00000000-0005-0000-0000-00001E000000}"/>
    <cellStyle name="20% - 强调文字颜色 4 4 3" xfId="189" xr:uid="{00000000-0005-0000-0000-0000ED000000}"/>
    <cellStyle name="20% - 强调文字颜色 5 2" xfId="190" xr:uid="{00000000-0005-0000-0000-0000EE000000}"/>
    <cellStyle name="20% - 强调文字颜色 5 2 2" xfId="191" xr:uid="{00000000-0005-0000-0000-0000EF000000}"/>
    <cellStyle name="20% - 强调文字颜色 5 2 2 2" xfId="192" xr:uid="{00000000-0005-0000-0000-0000F0000000}"/>
    <cellStyle name="20% - 强调文字颜色 5 2 2 2 2" xfId="194" xr:uid="{00000000-0005-0000-0000-0000F2000000}"/>
    <cellStyle name="20% - 强调文字颜色 5 2 2 2 3" xfId="195" xr:uid="{00000000-0005-0000-0000-0000F3000000}"/>
    <cellStyle name="20% - 强调文字颜色 5 2 2 3" xfId="196" xr:uid="{00000000-0005-0000-0000-0000F4000000}"/>
    <cellStyle name="20% - 强调文字颜色 5 2 2 4" xfId="197" xr:uid="{00000000-0005-0000-0000-0000F5000000}"/>
    <cellStyle name="20% - 强调文字颜色 5 2 2 5" xfId="198" xr:uid="{00000000-0005-0000-0000-0000F6000000}"/>
    <cellStyle name="20% - 强调文字颜色 5 2 3" xfId="199" xr:uid="{00000000-0005-0000-0000-0000F7000000}"/>
    <cellStyle name="20% - 强调文字颜色 5 2 3 2" xfId="200" xr:uid="{00000000-0005-0000-0000-0000F8000000}"/>
    <cellStyle name="20% - 强调文字颜色 5 2 3 3" xfId="19" xr:uid="{00000000-0005-0000-0000-000027000000}"/>
    <cellStyle name="20% - 强调文字颜色 5 2 4" xfId="201" xr:uid="{00000000-0005-0000-0000-0000F9000000}"/>
    <cellStyle name="20% - 强调文字颜色 5 2 5" xfId="202" xr:uid="{00000000-0005-0000-0000-0000FA000000}"/>
    <cellStyle name="20% - 强调文字颜色 5 2 6" xfId="203" xr:uid="{00000000-0005-0000-0000-0000FB000000}"/>
    <cellStyle name="20% - 强调文字颜色 5 3" xfId="204" xr:uid="{00000000-0005-0000-0000-0000FC000000}"/>
    <cellStyle name="20% - 强调文字颜色 5 3 2" xfId="205" xr:uid="{00000000-0005-0000-0000-0000FD000000}"/>
    <cellStyle name="20% - 强调文字颜色 5 3 2 2" xfId="206" xr:uid="{00000000-0005-0000-0000-0000FE000000}"/>
    <cellStyle name="20% - 强调文字颜色 5 3 2 3" xfId="193" xr:uid="{00000000-0005-0000-0000-0000F1000000}"/>
    <cellStyle name="20% - 强调文字颜色 5 3 3" xfId="16" xr:uid="{00000000-0005-0000-0000-000022000000}"/>
    <cellStyle name="20% - 强调文字颜色 5 3 4" xfId="18" xr:uid="{00000000-0005-0000-0000-000025000000}"/>
    <cellStyle name="20% - 强调文字颜色 5 3 5" xfId="21" xr:uid="{00000000-0005-0000-0000-00002A000000}"/>
    <cellStyle name="20% - 强调文字颜色 5 4" xfId="207" xr:uid="{00000000-0005-0000-0000-0000FF000000}"/>
    <cellStyle name="20% - 强调文字颜色 5 4 2" xfId="134" xr:uid="{00000000-0005-0000-0000-0000B6000000}"/>
    <cellStyle name="20% - 强调文字颜色 5 4 3" xfId="136" xr:uid="{00000000-0005-0000-0000-0000B8000000}"/>
    <cellStyle name="20% - 强调文字颜色 6 2" xfId="208" xr:uid="{00000000-0005-0000-0000-000000010000}"/>
    <cellStyle name="20% - 强调文字颜色 6 2 2" xfId="210" xr:uid="{00000000-0005-0000-0000-000002010000}"/>
    <cellStyle name="20% - 强调文字颜色 6 2 2 2" xfId="212" xr:uid="{00000000-0005-0000-0000-000004010000}"/>
    <cellStyle name="20% - 强调文字颜色 6 2 2 2 2" xfId="213" xr:uid="{00000000-0005-0000-0000-000005010000}"/>
    <cellStyle name="20% - 强调文字颜色 6 2 2 2 3" xfId="214" xr:uid="{00000000-0005-0000-0000-000006010000}"/>
    <cellStyle name="20% - 强调文字颜色 6 2 2 3" xfId="216" xr:uid="{00000000-0005-0000-0000-000008010000}"/>
    <cellStyle name="20% - 强调文字颜色 6 2 2 4" xfId="217" xr:uid="{00000000-0005-0000-0000-000009010000}"/>
    <cellStyle name="20% - 强调文字颜色 6 2 2 5" xfId="218" xr:uid="{00000000-0005-0000-0000-00000A010000}"/>
    <cellStyle name="20% - 强调文字颜色 6 2 3" xfId="219" xr:uid="{00000000-0005-0000-0000-00000B010000}"/>
    <cellStyle name="20% - 强调文字颜色 6 2 3 2" xfId="220" xr:uid="{00000000-0005-0000-0000-00000C010000}"/>
    <cellStyle name="20% - 强调文字颜色 6 2 3 3" xfId="221" xr:uid="{00000000-0005-0000-0000-00000D010000}"/>
    <cellStyle name="20% - 强调文字颜色 6 2 4" xfId="222" xr:uid="{00000000-0005-0000-0000-00000E010000}"/>
    <cellStyle name="20% - 强调文字颜色 6 2 5" xfId="223" xr:uid="{00000000-0005-0000-0000-00000F010000}"/>
    <cellStyle name="20% - 强调文字颜色 6 2 6" xfId="224" xr:uid="{00000000-0005-0000-0000-000010010000}"/>
    <cellStyle name="20% - 强调文字颜色 6 3" xfId="225" xr:uid="{00000000-0005-0000-0000-000011010000}"/>
    <cellStyle name="20% - 强调文字颜色 6 3 2" xfId="227" xr:uid="{00000000-0005-0000-0000-000013010000}"/>
    <cellStyle name="20% - 强调文字颜色 6 3 2 2" xfId="229" xr:uid="{00000000-0005-0000-0000-000015010000}"/>
    <cellStyle name="20% - 强调文字颜色 6 3 2 3" xfId="231" xr:uid="{00000000-0005-0000-0000-000017010000}"/>
    <cellStyle name="20% - 强调文字颜色 6 3 3" xfId="232" xr:uid="{00000000-0005-0000-0000-000018010000}"/>
    <cellStyle name="20% - 强调文字颜色 6 3 4" xfId="234" xr:uid="{00000000-0005-0000-0000-00001A010000}"/>
    <cellStyle name="20% - 强调文字颜色 6 3 5" xfId="34" xr:uid="{00000000-0005-0000-0000-00003E000000}"/>
    <cellStyle name="20% - 强调文字颜色 6 4" xfId="235" xr:uid="{00000000-0005-0000-0000-00001B010000}"/>
    <cellStyle name="20% - 强调文字颜色 6 4 2" xfId="237" xr:uid="{00000000-0005-0000-0000-00001D010000}"/>
    <cellStyle name="20% - 强调文字颜色 6 4 3" xfId="35" xr:uid="{00000000-0005-0000-0000-000040000000}"/>
    <cellStyle name="40% - 强调文字颜色 1 2" xfId="239" xr:uid="{00000000-0005-0000-0000-00001F010000}"/>
    <cellStyle name="40% - 强调文字颜色 1 2 2" xfId="242" xr:uid="{00000000-0005-0000-0000-000022010000}"/>
    <cellStyle name="40% - 强调文字颜色 1 2 2 2" xfId="243" xr:uid="{00000000-0005-0000-0000-000023010000}"/>
    <cellStyle name="40% - 强调文字颜色 1 2 2 2 2" xfId="245" xr:uid="{00000000-0005-0000-0000-000025010000}"/>
    <cellStyle name="40% - 强调文字颜色 1 2 2 2 3" xfId="248" xr:uid="{00000000-0005-0000-0000-000028010000}"/>
    <cellStyle name="40% - 强调文字颜色 1 2 2 3" xfId="250" xr:uid="{00000000-0005-0000-0000-00002A010000}"/>
    <cellStyle name="40% - 强调文字颜色 1 2 2 4" xfId="252" xr:uid="{00000000-0005-0000-0000-00002C010000}"/>
    <cellStyle name="40% - 强调文字颜色 1 2 2 5" xfId="253" xr:uid="{00000000-0005-0000-0000-00002D010000}"/>
    <cellStyle name="40% - 强调文字颜色 1 2 3" xfId="255" xr:uid="{00000000-0005-0000-0000-00002F010000}"/>
    <cellStyle name="40% - 强调文字颜色 1 2 3 2" xfId="113" xr:uid="{00000000-0005-0000-0000-0000A1000000}"/>
    <cellStyle name="40% - 强调文字颜色 1 2 3 3" xfId="256" xr:uid="{00000000-0005-0000-0000-000030010000}"/>
    <cellStyle name="40% - 强调文字颜色 1 2 4" xfId="259" xr:uid="{00000000-0005-0000-0000-000033010000}"/>
    <cellStyle name="40% - 强调文字颜色 1 2 5" xfId="261" xr:uid="{00000000-0005-0000-0000-000035010000}"/>
    <cellStyle name="40% - 强调文字颜色 1 2 6" xfId="262" xr:uid="{00000000-0005-0000-0000-000036010000}"/>
    <cellStyle name="40% - 强调文字颜色 1 3" xfId="264" xr:uid="{00000000-0005-0000-0000-000038010000}"/>
    <cellStyle name="40% - 强调文字颜色 1 3 2" xfId="266" xr:uid="{00000000-0005-0000-0000-00003A010000}"/>
    <cellStyle name="40% - 强调文字颜色 1 3 2 2" xfId="267" xr:uid="{00000000-0005-0000-0000-00003B010000}"/>
    <cellStyle name="40% - 强调文字颜色 1 3 2 3" xfId="1" xr:uid="{00000000-0005-0000-0000-000002000000}"/>
    <cellStyle name="40% - 强调文字颜色 1 3 3" xfId="268" xr:uid="{00000000-0005-0000-0000-00003C010000}"/>
    <cellStyle name="40% - 强调文字颜色 1 3 4" xfId="269" xr:uid="{00000000-0005-0000-0000-00003D010000}"/>
    <cellStyle name="40% - 强调文字颜色 1 3 5" xfId="5" xr:uid="{00000000-0005-0000-0000-000009000000}"/>
    <cellStyle name="40% - 强调文字颜色 1 4" xfId="270" xr:uid="{00000000-0005-0000-0000-00003E010000}"/>
    <cellStyle name="40% - 强调文字颜色 1 4 2" xfId="271" xr:uid="{00000000-0005-0000-0000-00003F010000}"/>
    <cellStyle name="40% - 强调文字颜色 1 4 3" xfId="272" xr:uid="{00000000-0005-0000-0000-000040010000}"/>
    <cellStyle name="40% - 强调文字颜色 2 2" xfId="38" xr:uid="{00000000-0005-0000-0000-000045000000}"/>
    <cellStyle name="40% - 强调文字颜色 2 2 2" xfId="56" xr:uid="{00000000-0005-0000-0000-000066000000}"/>
    <cellStyle name="40% - 强调文字颜色 2 2 2 2" xfId="273" xr:uid="{00000000-0005-0000-0000-000041010000}"/>
    <cellStyle name="40% - 强调文字颜色 2 2 2 2 2" xfId="274" xr:uid="{00000000-0005-0000-0000-000042010000}"/>
    <cellStyle name="40% - 强调文字颜色 2 2 2 2 3" xfId="275" xr:uid="{00000000-0005-0000-0000-000043010000}"/>
    <cellStyle name="40% - 强调文字颜色 2 2 2 3" xfId="276" xr:uid="{00000000-0005-0000-0000-000044010000}"/>
    <cellStyle name="40% - 强调文字颜色 2 2 2 4" xfId="278" xr:uid="{00000000-0005-0000-0000-000046010000}"/>
    <cellStyle name="40% - 强调文字颜色 2 2 2 5" xfId="280" xr:uid="{00000000-0005-0000-0000-000048010000}"/>
    <cellStyle name="40% - 强调文字颜色 2 2 3" xfId="69" xr:uid="{00000000-0005-0000-0000-000075000000}"/>
    <cellStyle name="40% - 强调文字颜色 2 2 3 2" xfId="281" xr:uid="{00000000-0005-0000-0000-000049010000}"/>
    <cellStyle name="40% - 强调文字颜色 2 2 3 3" xfId="282" xr:uid="{00000000-0005-0000-0000-00004A010000}"/>
    <cellStyle name="40% - 强调文字颜色 2 2 4" xfId="283" xr:uid="{00000000-0005-0000-0000-00004B010000}"/>
    <cellStyle name="40% - 强调文字颜色 2 2 5" xfId="284" xr:uid="{00000000-0005-0000-0000-00004C010000}"/>
    <cellStyle name="40% - 强调文字颜色 2 2 6" xfId="286" xr:uid="{00000000-0005-0000-0000-00004E010000}"/>
    <cellStyle name="40% - 强调文字颜色 2 3" xfId="72" xr:uid="{00000000-0005-0000-0000-000078000000}"/>
    <cellStyle name="40% - 强调文字颜色 2 3 2" xfId="287" xr:uid="{00000000-0005-0000-0000-00004F010000}"/>
    <cellStyle name="40% - 强调文字颜色 2 3 2 2" xfId="288" xr:uid="{00000000-0005-0000-0000-000050010000}"/>
    <cellStyle name="40% - 强调文字颜色 2 3 2 3" xfId="289" xr:uid="{00000000-0005-0000-0000-000051010000}"/>
    <cellStyle name="40% - 强调文字颜色 2 3 3" xfId="290" xr:uid="{00000000-0005-0000-0000-000052010000}"/>
    <cellStyle name="40% - 强调文字颜色 2 3 4" xfId="291" xr:uid="{00000000-0005-0000-0000-000053010000}"/>
    <cellStyle name="40% - 强调文字颜色 2 3 5" xfId="292" xr:uid="{00000000-0005-0000-0000-000054010000}"/>
    <cellStyle name="40% - 强调文字颜色 2 4" xfId="75" xr:uid="{00000000-0005-0000-0000-00007B000000}"/>
    <cellStyle name="40% - 强调文字颜色 2 4 2" xfId="293" xr:uid="{00000000-0005-0000-0000-000055010000}"/>
    <cellStyle name="40% - 强调文字颜色 2 4 3" xfId="294" xr:uid="{00000000-0005-0000-0000-000056010000}"/>
    <cellStyle name="40% - 强调文字颜色 3 2" xfId="88" xr:uid="{00000000-0005-0000-0000-000088000000}"/>
    <cellStyle name="40% - 强调文字颜色 3 2 2" xfId="295" xr:uid="{00000000-0005-0000-0000-000057010000}"/>
    <cellStyle name="40% - 强调文字颜色 3 2 2 2" xfId="297" xr:uid="{00000000-0005-0000-0000-000059010000}"/>
    <cellStyle name="40% - 强调文字颜色 3 2 2 2 2" xfId="298" xr:uid="{00000000-0005-0000-0000-00005A010000}"/>
    <cellStyle name="40% - 强调文字颜色 3 2 2 2 3" xfId="299" xr:uid="{00000000-0005-0000-0000-00005B010000}"/>
    <cellStyle name="40% - 强调文字颜色 3 2 2 3" xfId="301" xr:uid="{00000000-0005-0000-0000-00005D010000}"/>
    <cellStyle name="40% - 强调文字颜色 3 2 2 4" xfId="303" xr:uid="{00000000-0005-0000-0000-00005F010000}"/>
    <cellStyle name="40% - 强调文字颜色 3 2 2 5" xfId="100" xr:uid="{00000000-0005-0000-0000-000094000000}"/>
    <cellStyle name="40% - 强调文字颜色 3 2 3" xfId="304" xr:uid="{00000000-0005-0000-0000-000060010000}"/>
    <cellStyle name="40% - 强调文字颜色 3 2 3 2" xfId="307" xr:uid="{00000000-0005-0000-0000-000063010000}"/>
    <cellStyle name="40% - 强调文字颜色 3 2 3 3" xfId="309" xr:uid="{00000000-0005-0000-0000-000065010000}"/>
    <cellStyle name="40% - 强调文字颜色 3 2 4" xfId="296" xr:uid="{00000000-0005-0000-0000-000058010000}"/>
    <cellStyle name="40% - 强调文字颜色 3 2 5" xfId="300" xr:uid="{00000000-0005-0000-0000-00005C010000}"/>
    <cellStyle name="40% - 强调文字颜色 3 2 6" xfId="302" xr:uid="{00000000-0005-0000-0000-00005E010000}"/>
    <cellStyle name="40% - 强调文字颜色 3 3" xfId="91" xr:uid="{00000000-0005-0000-0000-00008B000000}"/>
    <cellStyle name="40% - 强调文字颜色 3 3 2" xfId="311" xr:uid="{00000000-0005-0000-0000-000067010000}"/>
    <cellStyle name="40% - 强调文字颜色 3 3 2 2" xfId="247" xr:uid="{00000000-0005-0000-0000-000027010000}"/>
    <cellStyle name="40% - 强调文字颜色 3 3 2 3" xfId="313" xr:uid="{00000000-0005-0000-0000-000069010000}"/>
    <cellStyle name="40% - 强调文字颜色 3 3 3" xfId="28" xr:uid="{00000000-0005-0000-0000-000034000000}"/>
    <cellStyle name="40% - 强调文字颜色 3 3 4" xfId="306" xr:uid="{00000000-0005-0000-0000-000062010000}"/>
    <cellStyle name="40% - 强调文字颜色 3 3 5" xfId="308" xr:uid="{00000000-0005-0000-0000-000064010000}"/>
    <cellStyle name="40% - 强调文字颜色 3 4" xfId="94" xr:uid="{00000000-0005-0000-0000-00008E000000}"/>
    <cellStyle name="40% - 强调文字颜色 3 4 2" xfId="314" xr:uid="{00000000-0005-0000-0000-00006A010000}"/>
    <cellStyle name="40% - 强调文字颜色 3 4 3" xfId="315" xr:uid="{00000000-0005-0000-0000-00006B010000}"/>
    <cellStyle name="40% - 强调文字颜色 4 2" xfId="30" xr:uid="{00000000-0005-0000-0000-000037000000}"/>
    <cellStyle name="40% - 强调文字颜色 4 2 2" xfId="316" xr:uid="{00000000-0005-0000-0000-00006C010000}"/>
    <cellStyle name="40% - 强调文字颜色 4 2 2 2" xfId="317" xr:uid="{00000000-0005-0000-0000-00006D010000}"/>
    <cellStyle name="40% - 强调文字颜色 4 2 2 2 2" xfId="319" xr:uid="{00000000-0005-0000-0000-00006F010000}"/>
    <cellStyle name="40% - 强调文字颜色 4 2 2 2 3" xfId="321" xr:uid="{00000000-0005-0000-0000-000071010000}"/>
    <cellStyle name="40% - 强调文字颜色 4 2 2 3" xfId="322" xr:uid="{00000000-0005-0000-0000-000072010000}"/>
    <cellStyle name="40% - 强调文字颜色 4 2 2 4" xfId="323" xr:uid="{00000000-0005-0000-0000-000073010000}"/>
    <cellStyle name="40% - 强调文字颜色 4 2 2 5" xfId="324" xr:uid="{00000000-0005-0000-0000-000074010000}"/>
    <cellStyle name="40% - 强调文字颜色 4 2 3" xfId="244" xr:uid="{00000000-0005-0000-0000-000024010000}"/>
    <cellStyle name="40% - 强调文字颜色 4 2 3 2" xfId="41" xr:uid="{00000000-0005-0000-0000-00004A000000}"/>
    <cellStyle name="40% - 强调文字颜色 4 2 3 3" xfId="32" xr:uid="{00000000-0005-0000-0000-00003B000000}"/>
    <cellStyle name="40% - 强调文字颜色 4 2 4" xfId="246" xr:uid="{00000000-0005-0000-0000-000026010000}"/>
    <cellStyle name="40% - 强调文字颜色 4 2 5" xfId="312" xr:uid="{00000000-0005-0000-0000-000068010000}"/>
    <cellStyle name="40% - 强调文字颜色 4 2 6" xfId="325" xr:uid="{00000000-0005-0000-0000-000075010000}"/>
    <cellStyle name="40% - 强调文字颜色 4 3" xfId="327" xr:uid="{00000000-0005-0000-0000-000077010000}"/>
    <cellStyle name="40% - 强调文字颜色 4 3 2" xfId="44" xr:uid="{00000000-0005-0000-0000-00004F000000}"/>
    <cellStyle name="40% - 强调文字颜色 4 3 2 2" xfId="238" xr:uid="{00000000-0005-0000-0000-00001E010000}"/>
    <cellStyle name="40% - 强调文字颜色 4 3 2 3" xfId="263" xr:uid="{00000000-0005-0000-0000-000037010000}"/>
    <cellStyle name="40% - 强调文字颜色 4 3 3" xfId="47" xr:uid="{00000000-0005-0000-0000-000054000000}"/>
    <cellStyle name="40% - 强调文字颜色 4 3 4" xfId="6" xr:uid="{00000000-0005-0000-0000-00000B000000}"/>
    <cellStyle name="40% - 强调文字颜色 4 3 5" xfId="49" xr:uid="{00000000-0005-0000-0000-00005A000000}"/>
    <cellStyle name="40% - 强调文字颜色 4 4" xfId="209" xr:uid="{00000000-0005-0000-0000-000001010000}"/>
    <cellStyle name="40% - 强调文字颜色 4 4 2" xfId="211" xr:uid="{00000000-0005-0000-0000-000003010000}"/>
    <cellStyle name="40% - 强调文字颜色 4 4 3" xfId="215" xr:uid="{00000000-0005-0000-0000-000007010000}"/>
    <cellStyle name="40% - 强调文字颜色 5 2" xfId="328" xr:uid="{00000000-0005-0000-0000-000078010000}"/>
    <cellStyle name="40% - 强调文字颜色 5 2 2" xfId="329" xr:uid="{00000000-0005-0000-0000-000079010000}"/>
    <cellStyle name="40% - 强调文字颜色 5 2 2 2" xfId="330" xr:uid="{00000000-0005-0000-0000-00007A010000}"/>
    <cellStyle name="40% - 强调文字颜色 5 2 2 2 2" xfId="331" xr:uid="{00000000-0005-0000-0000-00007B010000}"/>
    <cellStyle name="40% - 强调文字颜色 5 2 2 2 3" xfId="333" xr:uid="{00000000-0005-0000-0000-00007D010000}"/>
    <cellStyle name="40% - 强调文字颜色 5 2 2 3" xfId="318" xr:uid="{00000000-0005-0000-0000-00006E010000}"/>
    <cellStyle name="40% - 强调文字颜色 5 2 2 4" xfId="320" xr:uid="{00000000-0005-0000-0000-000070010000}"/>
    <cellStyle name="40% - 强调文字颜色 5 2 2 5" xfId="335" xr:uid="{00000000-0005-0000-0000-00007F010000}"/>
    <cellStyle name="40% - 强调文字颜色 5 2 3" xfId="336" xr:uid="{00000000-0005-0000-0000-000080010000}"/>
    <cellStyle name="40% - 强调文字颜色 5 2 3 2" xfId="337" xr:uid="{00000000-0005-0000-0000-000081010000}"/>
    <cellStyle name="40% - 强调文字颜色 5 2 3 3" xfId="338" xr:uid="{00000000-0005-0000-0000-000082010000}"/>
    <cellStyle name="40% - 强调文字颜色 5 2 4" xfId="339" xr:uid="{00000000-0005-0000-0000-000083010000}"/>
    <cellStyle name="40% - 强调文字颜色 5 2 5" xfId="340" xr:uid="{00000000-0005-0000-0000-000084010000}"/>
    <cellStyle name="40% - 强调文字颜色 5 2 6" xfId="341" xr:uid="{00000000-0005-0000-0000-000085010000}"/>
    <cellStyle name="40% - 强调文字颜色 5 3" xfId="342" xr:uid="{00000000-0005-0000-0000-000086010000}"/>
    <cellStyle name="40% - 强调文字颜色 5 3 2" xfId="277" xr:uid="{00000000-0005-0000-0000-000045010000}"/>
    <cellStyle name="40% - 强调文字颜色 5 3 2 2" xfId="343" xr:uid="{00000000-0005-0000-0000-000087010000}"/>
    <cellStyle name="40% - 强调文字颜色 5 3 2 3" xfId="344" xr:uid="{00000000-0005-0000-0000-000088010000}"/>
    <cellStyle name="40% - 强调文字颜色 5 3 3" xfId="279" xr:uid="{00000000-0005-0000-0000-000047010000}"/>
    <cellStyle name="40% - 强调文字颜色 5 3 4" xfId="345" xr:uid="{00000000-0005-0000-0000-000089010000}"/>
    <cellStyle name="40% - 强调文字颜色 5 3 5" xfId="346" xr:uid="{00000000-0005-0000-0000-00008A010000}"/>
    <cellStyle name="40% - 强调文字颜色 5 4" xfId="226" xr:uid="{00000000-0005-0000-0000-000012010000}"/>
    <cellStyle name="40% - 强调文字颜色 5 4 2" xfId="228" xr:uid="{00000000-0005-0000-0000-000014010000}"/>
    <cellStyle name="40% - 强调文字颜色 5 4 3" xfId="230" xr:uid="{00000000-0005-0000-0000-000016010000}"/>
    <cellStyle name="40% - 强调文字颜色 6 2" xfId="143" xr:uid="{00000000-0005-0000-0000-0000BF000000}"/>
    <cellStyle name="40% - 强调文字颜色 6 2 2" xfId="347" xr:uid="{00000000-0005-0000-0000-00008B010000}"/>
    <cellStyle name="40% - 强调文字颜色 6 2 2 2" xfId="349" xr:uid="{00000000-0005-0000-0000-00008D010000}"/>
    <cellStyle name="40% - 强调文字颜色 6 2 2 2 2" xfId="350" xr:uid="{00000000-0005-0000-0000-00008E010000}"/>
    <cellStyle name="40% - 强调文字颜色 6 2 2 2 3" xfId="352" xr:uid="{00000000-0005-0000-0000-000090010000}"/>
    <cellStyle name="40% - 强调文字颜色 6 2 2 3" xfId="241" xr:uid="{00000000-0005-0000-0000-000021010000}"/>
    <cellStyle name="40% - 强调文字颜色 6 2 2 4" xfId="254" xr:uid="{00000000-0005-0000-0000-00002E010000}"/>
    <cellStyle name="40% - 强调文字颜色 6 2 2 5" xfId="258" xr:uid="{00000000-0005-0000-0000-000032010000}"/>
    <cellStyle name="40% - 强调文字颜色 6 2 3" xfId="353" xr:uid="{00000000-0005-0000-0000-000091010000}"/>
    <cellStyle name="40% - 强调文字颜色 6 2 3 2" xfId="354" xr:uid="{00000000-0005-0000-0000-000092010000}"/>
    <cellStyle name="40% - 强调文字颜色 6 2 3 3" xfId="265" xr:uid="{00000000-0005-0000-0000-000039010000}"/>
    <cellStyle name="40% - 强调文字颜色 6 2 4" xfId="355" xr:uid="{00000000-0005-0000-0000-000093010000}"/>
    <cellStyle name="40% - 强调文字颜色 6 2 5" xfId="356" xr:uid="{00000000-0005-0000-0000-000094010000}"/>
    <cellStyle name="40% - 强调文字颜色 6 2 6" xfId="357" xr:uid="{00000000-0005-0000-0000-000095010000}"/>
    <cellStyle name="40% - 强调文字颜色 6 3" xfId="145" xr:uid="{00000000-0005-0000-0000-0000C1000000}"/>
    <cellStyle name="40% - 强调文字颜色 6 3 2" xfId="358" xr:uid="{00000000-0005-0000-0000-000096010000}"/>
    <cellStyle name="40% - 强调文字颜色 6 3 2 2" xfId="360" xr:uid="{00000000-0005-0000-0000-000098010000}"/>
    <cellStyle name="40% - 强调文字颜色 6 3 2 3" xfId="55" xr:uid="{00000000-0005-0000-0000-000065000000}"/>
    <cellStyle name="40% - 强调文字颜色 6 3 3" xfId="361" xr:uid="{00000000-0005-0000-0000-000099010000}"/>
    <cellStyle name="40% - 强调文字颜色 6 3 4" xfId="362" xr:uid="{00000000-0005-0000-0000-00009A010000}"/>
    <cellStyle name="40% - 强调文字颜色 6 3 5" xfId="363" xr:uid="{00000000-0005-0000-0000-00009B010000}"/>
    <cellStyle name="40% - 强调文字颜色 6 4" xfId="236" xr:uid="{00000000-0005-0000-0000-00001C010000}"/>
    <cellStyle name="40% - 强调文字颜色 6 4 2" xfId="10" xr:uid="{00000000-0005-0000-0000-000015000000}"/>
    <cellStyle name="40% - 强调文字颜色 6 4 3" xfId="364" xr:uid="{00000000-0005-0000-0000-00009C010000}"/>
    <cellStyle name="常规" xfId="0" builtinId="0"/>
    <cellStyle name="常规 2" xfId="365" xr:uid="{00000000-0005-0000-0000-00009D010000}"/>
    <cellStyle name="常规 2 2" xfId="366" xr:uid="{00000000-0005-0000-0000-00009E010000}"/>
    <cellStyle name="常规 2 2 2" xfId="120" xr:uid="{00000000-0005-0000-0000-0000A8000000}"/>
    <cellStyle name="常规 2 2 3" xfId="122" xr:uid="{00000000-0005-0000-0000-0000AA000000}"/>
    <cellStyle name="常规 2 3" xfId="367" xr:uid="{00000000-0005-0000-0000-00009F010000}"/>
    <cellStyle name="常规 2 3 2" xfId="368" xr:uid="{00000000-0005-0000-0000-0000A0010000}"/>
    <cellStyle name="常规 2 3 2 2" xfId="285" xr:uid="{00000000-0005-0000-0000-00004D010000}"/>
    <cellStyle name="常规 2 3 2 2 2" xfId="369" xr:uid="{00000000-0005-0000-0000-0000A1010000}"/>
    <cellStyle name="常规 2 3 2 2 2 2" xfId="334" xr:uid="{00000000-0005-0000-0000-00007E010000}"/>
    <cellStyle name="常规 2 3 2 2 2 2 2" xfId="370" xr:uid="{00000000-0005-0000-0000-0000A2010000}"/>
    <cellStyle name="常规 2 3 2 2 2 2 3" xfId="371" xr:uid="{00000000-0005-0000-0000-0000A3010000}"/>
    <cellStyle name="常规 2 3 2 2 2 3" xfId="372" xr:uid="{00000000-0005-0000-0000-0000A4010000}"/>
    <cellStyle name="常规 2 3 2 2 2 4" xfId="310" xr:uid="{00000000-0005-0000-0000-000066010000}"/>
    <cellStyle name="常规 2 3 2 2 2 5" xfId="27" xr:uid="{00000000-0005-0000-0000-000033000000}"/>
    <cellStyle name="常规 2 3 2 2 3" xfId="373" xr:uid="{00000000-0005-0000-0000-0000A5010000}"/>
    <cellStyle name="常规 2 3 2 2 3 2" xfId="374" xr:uid="{00000000-0005-0000-0000-0000A6010000}"/>
    <cellStyle name="常规 2 3 2 2 3 3" xfId="375" xr:uid="{00000000-0005-0000-0000-0000A7010000}"/>
    <cellStyle name="常规 2 3 2 2 4" xfId="377" xr:uid="{00000000-0005-0000-0000-0000A9010000}"/>
    <cellStyle name="常规 2 3 2 2 5" xfId="43" xr:uid="{00000000-0005-0000-0000-00004D000000}"/>
    <cellStyle name="常规 2 3 2 2 6" xfId="46" xr:uid="{00000000-0005-0000-0000-000052000000}"/>
    <cellStyle name="常规 2 3 2 3" xfId="62" xr:uid="{00000000-0005-0000-0000-00006E000000}"/>
    <cellStyle name="常规 2 3 2 3 2" xfId="8" xr:uid="{00000000-0005-0000-0000-000010000000}"/>
    <cellStyle name="常规 2 3 2 3 2 2" xfId="64" xr:uid="{00000000-0005-0000-0000-000070000000}"/>
    <cellStyle name="常规 2 3 2 3 2 3" xfId="66" xr:uid="{00000000-0005-0000-0000-000072000000}"/>
    <cellStyle name="常规 2 3 2 3 3" xfId="23" xr:uid="{00000000-0005-0000-0000-00002D000000}"/>
    <cellStyle name="常规 2 3 2 3 4" xfId="51" xr:uid="{00000000-0005-0000-0000-00005F000000}"/>
    <cellStyle name="常规 2 3 2 3 5" xfId="60" xr:uid="{00000000-0005-0000-0000-00006B000000}"/>
    <cellStyle name="常规 2 3 2 4" xfId="37" xr:uid="{00000000-0005-0000-0000-000044000000}"/>
    <cellStyle name="常规 2 3 2 4 2" xfId="54" xr:uid="{00000000-0005-0000-0000-000064000000}"/>
    <cellStyle name="常规 2 3 2 4 3" xfId="68" xr:uid="{00000000-0005-0000-0000-000074000000}"/>
    <cellStyle name="常规 2 3 2 5" xfId="71" xr:uid="{00000000-0005-0000-0000-000077000000}"/>
    <cellStyle name="常规 2 3 2 6" xfId="74" xr:uid="{00000000-0005-0000-0000-00007A000000}"/>
    <cellStyle name="常规 2 3 2 7" xfId="77" xr:uid="{00000000-0005-0000-0000-00007D000000}"/>
    <cellStyle name="常规 2 3 3" xfId="378" xr:uid="{00000000-0005-0000-0000-0000AA010000}"/>
    <cellStyle name="常规 2 3 3 2" xfId="379" xr:uid="{00000000-0005-0000-0000-0000AB010000}"/>
    <cellStyle name="常规 2 3 3 2 2" xfId="380" xr:uid="{00000000-0005-0000-0000-0000AC010000}"/>
    <cellStyle name="常规 2 3 3 2 2 2" xfId="257" xr:uid="{00000000-0005-0000-0000-000031010000}"/>
    <cellStyle name="常规 2 3 3 2 2 3" xfId="260" xr:uid="{00000000-0005-0000-0000-000034010000}"/>
    <cellStyle name="常规 2 3 3 2 3" xfId="381" xr:uid="{00000000-0005-0000-0000-0000AD010000}"/>
    <cellStyle name="常规 2 3 3 2 4" xfId="382" xr:uid="{00000000-0005-0000-0000-0000AE010000}"/>
    <cellStyle name="常规 2 3 3 2 5" xfId="15" xr:uid="{00000000-0005-0000-0000-000020000000}"/>
    <cellStyle name="常规 2 3 3 3" xfId="79" xr:uid="{00000000-0005-0000-0000-00007F000000}"/>
    <cellStyle name="常规 2 3 3 3 2" xfId="82" xr:uid="{00000000-0005-0000-0000-000082000000}"/>
    <cellStyle name="常规 2 3 3 3 3" xfId="85" xr:uid="{00000000-0005-0000-0000-000085000000}"/>
    <cellStyle name="常规 2 3 3 4" xfId="87" xr:uid="{00000000-0005-0000-0000-000087000000}"/>
    <cellStyle name="常规 2 3 3 5" xfId="90" xr:uid="{00000000-0005-0000-0000-00008A000000}"/>
    <cellStyle name="常规 2 3 3 6" xfId="93" xr:uid="{00000000-0005-0000-0000-00008D000000}"/>
    <cellStyle name="常规 2 3 4" xfId="383" xr:uid="{00000000-0005-0000-0000-0000AF010000}"/>
    <cellStyle name="常规 2 3 4 2" xfId="384" xr:uid="{00000000-0005-0000-0000-0000B0010000}"/>
    <cellStyle name="常规 2 3 4 2 2" xfId="387" xr:uid="{00000000-0005-0000-0000-0000B3010000}"/>
    <cellStyle name="常规 2 3 4 2 3" xfId="389" xr:uid="{00000000-0005-0000-0000-0000B5010000}"/>
    <cellStyle name="常规 2 3 4 3" xfId="97" xr:uid="{00000000-0005-0000-0000-000091000000}"/>
    <cellStyle name="常规 2 3 4 4" xfId="29" xr:uid="{00000000-0005-0000-0000-000036000000}"/>
    <cellStyle name="常规 2 3 4 5" xfId="326" xr:uid="{00000000-0005-0000-0000-000076010000}"/>
    <cellStyle name="常规 2 3 5" xfId="390" xr:uid="{00000000-0005-0000-0000-0000B6010000}"/>
    <cellStyle name="常规 2 3 5 2" xfId="391" xr:uid="{00000000-0005-0000-0000-0000B7010000}"/>
    <cellStyle name="常规 2 3 5 3" xfId="392" xr:uid="{00000000-0005-0000-0000-0000B8010000}"/>
    <cellStyle name="常规 2 3 6" xfId="394" xr:uid="{00000000-0005-0000-0000-0000BA010000}"/>
    <cellStyle name="常规 2 3 7" xfId="396" xr:uid="{00000000-0005-0000-0000-0000BC010000}"/>
    <cellStyle name="常规 2 3 8" xfId="386" xr:uid="{00000000-0005-0000-0000-0000B2010000}"/>
    <cellStyle name="常规 2 4" xfId="397" xr:uid="{00000000-0005-0000-0000-0000BD010000}"/>
    <cellStyle name="常规 2 4 2" xfId="398" xr:uid="{00000000-0005-0000-0000-0000BE010000}"/>
    <cellStyle name="常规 2 5" xfId="399" xr:uid="{00000000-0005-0000-0000-0000BF010000}"/>
    <cellStyle name="常规 2 6" xfId="400" xr:uid="{00000000-0005-0000-0000-0000C0010000}"/>
    <cellStyle name="常规 2 7" xfId="401" xr:uid="{00000000-0005-0000-0000-0000C1010000}"/>
    <cellStyle name="常规 3" xfId="156" xr:uid="{00000000-0005-0000-0000-0000CC000000}"/>
    <cellStyle name="常规 3 2" xfId="158" xr:uid="{00000000-0005-0000-0000-0000CE000000}"/>
    <cellStyle name="常规 3 2 2" xfId="148" xr:uid="{00000000-0005-0000-0000-0000C4000000}"/>
    <cellStyle name="常规 3 3" xfId="163" xr:uid="{00000000-0005-0000-0000-0000D3000000}"/>
    <cellStyle name="常规 3 4" xfId="167" xr:uid="{00000000-0005-0000-0000-0000D7000000}"/>
    <cellStyle name="常规 4" xfId="172" xr:uid="{00000000-0005-0000-0000-0000DC000000}"/>
    <cellStyle name="常规 4 2" xfId="174" xr:uid="{00000000-0005-0000-0000-0000DE000000}"/>
    <cellStyle name="常规 4 2 2" xfId="177" xr:uid="{00000000-0005-0000-0000-0000E1000000}"/>
    <cellStyle name="常规 4 3" xfId="183" xr:uid="{00000000-0005-0000-0000-0000E7000000}"/>
    <cellStyle name="常规 4 4" xfId="176" xr:uid="{00000000-0005-0000-0000-0000E0000000}"/>
    <cellStyle name="常规 4 5" xfId="180" xr:uid="{00000000-0005-0000-0000-0000E4000000}"/>
    <cellStyle name="常规 5" xfId="186" xr:uid="{00000000-0005-0000-0000-0000EA000000}"/>
    <cellStyle name="常规 5 2" xfId="13" xr:uid="{00000000-0005-0000-0000-00001D000000}"/>
    <cellStyle name="常规 5 2 2" xfId="17" xr:uid="{00000000-0005-0000-0000-000024000000}"/>
    <cellStyle name="常规 5 2 2 2" xfId="393" xr:uid="{00000000-0005-0000-0000-0000B9010000}"/>
    <cellStyle name="常规 5 2 2 2 2" xfId="332" xr:uid="{00000000-0005-0000-0000-00007C010000}"/>
    <cellStyle name="常规 5 2 2 2 3" xfId="402" xr:uid="{00000000-0005-0000-0000-0000C2010000}"/>
    <cellStyle name="常规 5 2 2 3" xfId="395" xr:uid="{00000000-0005-0000-0000-0000BB010000}"/>
    <cellStyle name="常规 5 2 2 4" xfId="385" xr:uid="{00000000-0005-0000-0000-0000B1010000}"/>
    <cellStyle name="常规 5 2 2 5" xfId="388" xr:uid="{00000000-0005-0000-0000-0000B4010000}"/>
    <cellStyle name="常规 5 2 3" xfId="20" xr:uid="{00000000-0005-0000-0000-000029000000}"/>
    <cellStyle name="常规 5 2 3 2" xfId="403" xr:uid="{00000000-0005-0000-0000-0000C3010000}"/>
    <cellStyle name="常规 5 2 3 3" xfId="404" xr:uid="{00000000-0005-0000-0000-0000C4010000}"/>
    <cellStyle name="常规 5 2 4" xfId="12" xr:uid="{00000000-0005-0000-0000-00001A000000}"/>
    <cellStyle name="常规 5 2 5" xfId="7" xr:uid="{00000000-0005-0000-0000-00000F000000}"/>
    <cellStyle name="常规 5 2 6" xfId="22" xr:uid="{00000000-0005-0000-0000-00002C000000}"/>
    <cellStyle name="常规 5 3" xfId="188" xr:uid="{00000000-0005-0000-0000-0000EC000000}"/>
    <cellStyle name="常规 5 3 2" xfId="405" xr:uid="{00000000-0005-0000-0000-0000C5010000}"/>
    <cellStyle name="常规 5 3 2 2" xfId="171" xr:uid="{00000000-0005-0000-0000-0000DB000000}"/>
    <cellStyle name="常规 5 3 2 3" xfId="185" xr:uid="{00000000-0005-0000-0000-0000E9000000}"/>
    <cellStyle name="常规 5 3 3" xfId="406" xr:uid="{00000000-0005-0000-0000-0000C6010000}"/>
    <cellStyle name="常规 5 3 4" xfId="359" xr:uid="{00000000-0005-0000-0000-000097010000}"/>
    <cellStyle name="常规 5 3 5" xfId="53" xr:uid="{00000000-0005-0000-0000-000063000000}"/>
    <cellStyle name="常规 5 4" xfId="407" xr:uid="{00000000-0005-0000-0000-0000C7010000}"/>
    <cellStyle name="常规 5 4 2" xfId="408" xr:uid="{00000000-0005-0000-0000-0000C8010000}"/>
    <cellStyle name="常规 5 4 3" xfId="409" xr:uid="{00000000-0005-0000-0000-0000C9010000}"/>
    <cellStyle name="常规 5 5" xfId="410" xr:uid="{00000000-0005-0000-0000-0000CA010000}"/>
    <cellStyle name="常规 5 6" xfId="348" xr:uid="{00000000-0005-0000-0000-00008C010000}"/>
    <cellStyle name="常规 5 7" xfId="240" xr:uid="{00000000-0005-0000-0000-000020010000}"/>
    <cellStyle name="常规 6" xfId="11" xr:uid="{00000000-0005-0000-0000-000017000000}"/>
    <cellStyle name="常规 6 2" xfId="412" xr:uid="{00000000-0005-0000-0000-0000CC010000}"/>
    <cellStyle name="常规 7" xfId="413" xr:uid="{00000000-0005-0000-0000-0000CD010000}"/>
    <cellStyle name="常规 8" xfId="414" xr:uid="{00000000-0005-0000-0000-0000CE010000}"/>
    <cellStyle name="常规 9" xfId="415" xr:uid="{00000000-0005-0000-0000-0000CF010000}"/>
    <cellStyle name="注释 2" xfId="411" xr:uid="{00000000-0005-0000-0000-0000CB010000}"/>
    <cellStyle name="注释 2 2" xfId="233" xr:uid="{00000000-0005-0000-0000-000019010000}"/>
    <cellStyle name="注释 2 2 2" xfId="416" xr:uid="{00000000-0005-0000-0000-0000D0010000}"/>
    <cellStyle name="注释 2 2 2 2" xfId="351" xr:uid="{00000000-0005-0000-0000-00008F010000}"/>
    <cellStyle name="注释 2 2 2 2 2" xfId="26" xr:uid="{00000000-0005-0000-0000-000032000000}"/>
    <cellStyle name="注释 2 2 2 2 3" xfId="305" xr:uid="{00000000-0005-0000-0000-000061010000}"/>
    <cellStyle name="注释 2 2 2 3" xfId="417" xr:uid="{00000000-0005-0000-0000-0000D1010000}"/>
    <cellStyle name="注释 2 2 2 4" xfId="418" xr:uid="{00000000-0005-0000-0000-0000D2010000}"/>
    <cellStyle name="注释 2 2 2 5" xfId="36" xr:uid="{00000000-0005-0000-0000-000042000000}"/>
    <cellStyle name="注释 2 2 3" xfId="419" xr:uid="{00000000-0005-0000-0000-0000D3010000}"/>
    <cellStyle name="注释 2 2 3 2" xfId="249" xr:uid="{00000000-0005-0000-0000-000029010000}"/>
    <cellStyle name="注释 2 2 3 3" xfId="251" xr:uid="{00000000-0005-0000-0000-00002B010000}"/>
    <cellStyle name="注释 2 2 4" xfId="420" xr:uid="{00000000-0005-0000-0000-0000D4010000}"/>
    <cellStyle name="注释 2 2 5" xfId="421" xr:uid="{00000000-0005-0000-0000-0000D5010000}"/>
    <cellStyle name="注释 2 2 6" xfId="422" xr:uid="{00000000-0005-0000-0000-0000D6010000}"/>
    <cellStyle name="注释 2 3" xfId="33" xr:uid="{00000000-0005-0000-0000-00003D000000}"/>
    <cellStyle name="注释 2 3 2" xfId="376" xr:uid="{00000000-0005-0000-0000-0000A8010000}"/>
    <cellStyle name="注释 2 3 2 2" xfId="423" xr:uid="{00000000-0005-0000-0000-0000D7010000}"/>
    <cellStyle name="注释 2 3 2 3" xfId="130" xr:uid="{00000000-0005-0000-0000-0000B2000000}"/>
    <cellStyle name="注释 2 3 3" xfId="42" xr:uid="{00000000-0005-0000-0000-00004C000000}"/>
    <cellStyle name="注释 2 3 4" xfId="45" xr:uid="{00000000-0005-0000-0000-000051000000}"/>
    <cellStyle name="注释 2 3 5" xfId="3" xr:uid="{00000000-0005-0000-0000-000004000000}"/>
    <cellStyle name="注释 2 4" xfId="424" xr:uid="{00000000-0005-0000-0000-0000D8010000}"/>
    <cellStyle name="注释 2 4 2" xfId="50" xr:uid="{00000000-0005-0000-0000-00005E000000}"/>
    <cellStyle name="注释 2 4 3" xfId="59" xr:uid="{00000000-0005-0000-0000-00006A000000}"/>
    <cellStyle name="注释 2 5" xfId="81" xr:uid="{00000000-0005-0000-0000-000081000000}"/>
    <cellStyle name="注释 2 6" xfId="84" xr:uid="{00000000-0005-0000-0000-000084000000}"/>
    <cellStyle name="注释 2 7" xfId="425" xr:uid="{00000000-0005-0000-0000-0000D901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P749"/>
  <sheetViews>
    <sheetView showGridLines="0" tabSelected="1" workbookViewId="0">
      <pane xSplit="4" ySplit="5" topLeftCell="E731" activePane="bottomRight" state="frozen"/>
      <selection pane="topRight"/>
      <selection pane="bottomLeft"/>
      <selection pane="bottomRight" activeCell="G745" sqref="G745"/>
    </sheetView>
  </sheetViews>
  <sheetFormatPr defaultColWidth="8.875" defaultRowHeight="13.5" customHeight="1"/>
  <cols>
    <col min="2" max="2" width="9.5" customWidth="1"/>
    <col min="3" max="3" width="13.25" style="5" customWidth="1"/>
    <col min="4" max="4" width="18.625" style="5" customWidth="1"/>
    <col min="5" max="5" width="13.125" style="5" customWidth="1"/>
    <col min="6" max="8" width="11.875" style="5" customWidth="1"/>
    <col min="9" max="9" width="18.625" style="5" customWidth="1"/>
    <col min="10" max="10" width="17.125" style="5" customWidth="1"/>
    <col min="11" max="11" width="18.625" style="5" customWidth="1"/>
    <col min="12" max="12" width="13.5" style="5" customWidth="1"/>
    <col min="13" max="13" width="17.875" style="5" customWidth="1"/>
    <col min="14" max="14" width="19" style="5" customWidth="1"/>
    <col min="15" max="15" width="17.875" style="5" customWidth="1"/>
    <col min="16" max="16" width="19" style="5" customWidth="1"/>
    <col min="17" max="17" width="17.875" style="5" customWidth="1"/>
    <col min="18" max="20" width="19" style="5" customWidth="1"/>
    <col min="21" max="22" width="14.5" style="5" customWidth="1"/>
    <col min="23" max="23" width="15.5" style="5" customWidth="1"/>
    <col min="24" max="24" width="20.125" style="5" customWidth="1"/>
    <col min="25" max="25" width="21.375" style="5" customWidth="1"/>
    <col min="26" max="26" width="16" style="5" customWidth="1"/>
    <col min="27" max="27" width="16.625" style="5" customWidth="1"/>
    <col min="28" max="29" width="16" style="5" customWidth="1"/>
    <col min="30" max="30" width="19" style="5" customWidth="1"/>
    <col min="31" max="31" width="22.125" style="5" customWidth="1"/>
    <col min="32" max="199" width="8.875" style="5" customWidth="1"/>
  </cols>
  <sheetData>
    <row r="1" spans="3:224" s="1" customFormat="1" ht="14.25"/>
    <row r="2" spans="3:224" ht="13.5" customHeight="1">
      <c r="D2" s="5" t="s">
        <v>0</v>
      </c>
    </row>
    <row r="3" spans="3:224" ht="20.100000000000001" customHeight="1">
      <c r="C3" s="6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13</v>
      </c>
      <c r="T3" s="7" t="s">
        <v>14</v>
      </c>
      <c r="U3" s="7" t="s">
        <v>15</v>
      </c>
      <c r="V3" s="7" t="s">
        <v>16</v>
      </c>
      <c r="W3" s="7" t="s">
        <v>17</v>
      </c>
      <c r="X3" s="7" t="s">
        <v>18</v>
      </c>
      <c r="Y3" s="7" t="s">
        <v>19</v>
      </c>
      <c r="Z3" s="7" t="s">
        <v>20</v>
      </c>
      <c r="AA3" s="7" t="s">
        <v>21</v>
      </c>
      <c r="AB3" s="7" t="s">
        <v>22</v>
      </c>
      <c r="AC3" s="7" t="s">
        <v>23</v>
      </c>
      <c r="AD3" s="7" t="s">
        <v>24</v>
      </c>
      <c r="AE3" s="20" t="s">
        <v>25</v>
      </c>
    </row>
    <row r="4" spans="3:224" ht="20.100000000000001" customHeight="1">
      <c r="C4" s="6" t="s">
        <v>1</v>
      </c>
      <c r="D4" s="8" t="s">
        <v>26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 t="s">
        <v>32</v>
      </c>
      <c r="K4" s="9" t="s">
        <v>33</v>
      </c>
      <c r="L4" s="9" t="s">
        <v>34</v>
      </c>
      <c r="M4" s="9" t="s">
        <v>35</v>
      </c>
      <c r="N4" s="9" t="s">
        <v>36</v>
      </c>
      <c r="O4" s="9" t="s">
        <v>37</v>
      </c>
      <c r="P4" s="9" t="s">
        <v>38</v>
      </c>
      <c r="Q4" s="9" t="s">
        <v>39</v>
      </c>
      <c r="R4" s="9" t="s">
        <v>40</v>
      </c>
      <c r="S4" s="9" t="s">
        <v>41</v>
      </c>
      <c r="T4" s="9" t="s">
        <v>42</v>
      </c>
      <c r="U4" s="9" t="s">
        <v>43</v>
      </c>
      <c r="V4" s="9" t="s">
        <v>44</v>
      </c>
      <c r="W4" s="9" t="s">
        <v>45</v>
      </c>
      <c r="X4" s="9" t="s">
        <v>46</v>
      </c>
      <c r="Y4" s="9" t="s">
        <v>47</v>
      </c>
      <c r="Z4" s="9" t="s">
        <v>48</v>
      </c>
      <c r="AA4" s="9" t="s">
        <v>49</v>
      </c>
      <c r="AB4" s="21" t="s">
        <v>50</v>
      </c>
      <c r="AC4" s="21" t="s">
        <v>51</v>
      </c>
      <c r="AD4" s="21" t="s">
        <v>52</v>
      </c>
      <c r="AE4" s="20" t="s">
        <v>53</v>
      </c>
    </row>
    <row r="5" spans="3:224" ht="20.100000000000001" customHeight="1">
      <c r="C5" s="7" t="s">
        <v>54</v>
      </c>
      <c r="D5" s="7" t="s">
        <v>55</v>
      </c>
      <c r="E5" s="7" t="s">
        <v>54</v>
      </c>
      <c r="F5" s="7" t="s">
        <v>54</v>
      </c>
      <c r="G5" s="7" t="s">
        <v>54</v>
      </c>
      <c r="H5" s="7" t="s">
        <v>54</v>
      </c>
      <c r="I5" s="7" t="s">
        <v>56</v>
      </c>
      <c r="J5" s="7" t="s">
        <v>54</v>
      </c>
      <c r="K5" s="7" t="s">
        <v>54</v>
      </c>
      <c r="L5" s="7" t="s">
        <v>54</v>
      </c>
      <c r="M5" s="7" t="s">
        <v>54</v>
      </c>
      <c r="N5" s="7" t="s">
        <v>54</v>
      </c>
      <c r="O5" s="7" t="s">
        <v>54</v>
      </c>
      <c r="P5" s="7" t="s">
        <v>54</v>
      </c>
      <c r="Q5" s="7" t="s">
        <v>54</v>
      </c>
      <c r="R5" s="7" t="s">
        <v>54</v>
      </c>
      <c r="S5" s="7" t="s">
        <v>54</v>
      </c>
      <c r="T5" s="7" t="s">
        <v>54</v>
      </c>
      <c r="U5" s="7" t="s">
        <v>56</v>
      </c>
      <c r="V5" s="7" t="s">
        <v>56</v>
      </c>
      <c r="W5" s="7" t="s">
        <v>56</v>
      </c>
      <c r="X5" s="7" t="s">
        <v>56</v>
      </c>
      <c r="Y5" s="7" t="s">
        <v>56</v>
      </c>
      <c r="Z5" s="7" t="s">
        <v>56</v>
      </c>
      <c r="AA5" s="7" t="s">
        <v>54</v>
      </c>
      <c r="AB5" s="7" t="s">
        <v>57</v>
      </c>
      <c r="AC5" s="7" t="s">
        <v>58</v>
      </c>
      <c r="AD5" s="7" t="s">
        <v>58</v>
      </c>
      <c r="AE5" s="20" t="s">
        <v>54</v>
      </c>
    </row>
    <row r="6" spans="3:224" ht="20.100000000000001" customHeight="1">
      <c r="C6" s="76">
        <v>11500101</v>
      </c>
      <c r="D6" s="77" t="s">
        <v>673</v>
      </c>
      <c r="E6" s="25">
        <v>0</v>
      </c>
      <c r="F6" s="25">
        <v>0</v>
      </c>
      <c r="G6" s="25">
        <v>1</v>
      </c>
      <c r="H6" s="25">
        <v>0</v>
      </c>
      <c r="I6" s="29">
        <v>0.2</v>
      </c>
      <c r="J6" s="30">
        <v>0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f t="shared" ref="Q6" si="0">ROUND(R6/2,0)</f>
        <v>0</v>
      </c>
      <c r="R6" s="25">
        <v>0</v>
      </c>
      <c r="S6" s="25">
        <f t="shared" ref="S6" si="1">ROUND(T6/2,0)</f>
        <v>0</v>
      </c>
      <c r="T6" s="25">
        <v>0</v>
      </c>
      <c r="U6" s="29">
        <v>0</v>
      </c>
      <c r="V6" s="25">
        <v>0</v>
      </c>
      <c r="W6" s="25">
        <v>0</v>
      </c>
      <c r="X6" s="25">
        <v>0</v>
      </c>
      <c r="Y6" s="29">
        <v>0</v>
      </c>
      <c r="Z6" s="29">
        <v>0</v>
      </c>
      <c r="AA6" s="29">
        <v>0</v>
      </c>
      <c r="AB6" s="29" t="s">
        <v>688</v>
      </c>
      <c r="AC6" s="29" t="s">
        <v>691</v>
      </c>
      <c r="AD6" s="29" t="s">
        <v>701</v>
      </c>
      <c r="AE6" s="43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</row>
    <row r="7" spans="3:224" ht="20.100000000000001" customHeight="1">
      <c r="C7" s="76">
        <v>11500102</v>
      </c>
      <c r="D7" s="77" t="s">
        <v>674</v>
      </c>
      <c r="E7" s="25">
        <v>0</v>
      </c>
      <c r="F7" s="25">
        <v>0</v>
      </c>
      <c r="G7" s="25">
        <v>1</v>
      </c>
      <c r="H7" s="25">
        <v>0</v>
      </c>
      <c r="I7" s="29">
        <v>0.2</v>
      </c>
      <c r="J7" s="30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f t="shared" ref="Q7" si="2">ROUND(R7/2,0)</f>
        <v>0</v>
      </c>
      <c r="R7" s="25">
        <v>0</v>
      </c>
      <c r="S7" s="25">
        <f t="shared" ref="S7" si="3">ROUND(T7/2,0)</f>
        <v>0</v>
      </c>
      <c r="T7" s="25">
        <v>0</v>
      </c>
      <c r="U7" s="29">
        <v>0</v>
      </c>
      <c r="V7" s="25">
        <v>0</v>
      </c>
      <c r="W7" s="25">
        <v>0</v>
      </c>
      <c r="X7" s="25">
        <v>0</v>
      </c>
      <c r="Y7" s="29">
        <v>0</v>
      </c>
      <c r="Z7" s="29">
        <v>0</v>
      </c>
      <c r="AA7" s="29">
        <v>0</v>
      </c>
      <c r="AB7" s="29" t="s">
        <v>689</v>
      </c>
      <c r="AC7" s="29" t="s">
        <v>691</v>
      </c>
      <c r="AD7" s="29" t="s">
        <v>701</v>
      </c>
      <c r="AE7" s="43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</row>
    <row r="8" spans="3:224" ht="20.100000000000001" customHeight="1">
      <c r="C8" s="76">
        <v>11500103</v>
      </c>
      <c r="D8" s="77" t="s">
        <v>675</v>
      </c>
      <c r="E8" s="25">
        <v>0</v>
      </c>
      <c r="F8" s="25">
        <v>0</v>
      </c>
      <c r="G8" s="25">
        <v>1</v>
      </c>
      <c r="H8" s="25">
        <v>0</v>
      </c>
      <c r="I8" s="29">
        <v>0.2</v>
      </c>
      <c r="J8" s="30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f t="shared" ref="Q8:Q10" si="4">ROUND(R8/2,0)</f>
        <v>0</v>
      </c>
      <c r="R8" s="25">
        <v>0</v>
      </c>
      <c r="S8" s="25">
        <f t="shared" ref="S8:S10" si="5">ROUND(T8/2,0)</f>
        <v>0</v>
      </c>
      <c r="T8" s="25">
        <v>0</v>
      </c>
      <c r="U8" s="29">
        <v>0</v>
      </c>
      <c r="V8" s="25">
        <v>0</v>
      </c>
      <c r="W8" s="25">
        <v>0</v>
      </c>
      <c r="X8" s="25">
        <v>0</v>
      </c>
      <c r="Y8" s="29">
        <v>0</v>
      </c>
      <c r="Z8" s="29">
        <v>0</v>
      </c>
      <c r="AA8" s="29">
        <v>0</v>
      </c>
      <c r="AB8" s="29" t="s">
        <v>690</v>
      </c>
      <c r="AC8" s="29" t="s">
        <v>692</v>
      </c>
      <c r="AD8" s="29" t="s">
        <v>701</v>
      </c>
      <c r="AE8" s="43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</row>
    <row r="9" spans="3:224" ht="20.100000000000001" customHeight="1">
      <c r="C9" s="76">
        <v>11500201</v>
      </c>
      <c r="D9" s="77" t="s">
        <v>676</v>
      </c>
      <c r="E9" s="25">
        <v>0</v>
      </c>
      <c r="F9" s="25">
        <v>0</v>
      </c>
      <c r="G9" s="25">
        <v>1</v>
      </c>
      <c r="H9" s="25">
        <v>0</v>
      </c>
      <c r="I9" s="29">
        <v>0.2</v>
      </c>
      <c r="J9" s="30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f t="shared" si="4"/>
        <v>0</v>
      </c>
      <c r="R9" s="25">
        <v>0</v>
      </c>
      <c r="S9" s="25">
        <f t="shared" si="5"/>
        <v>0</v>
      </c>
      <c r="T9" s="25">
        <v>0</v>
      </c>
      <c r="U9" s="29">
        <v>0</v>
      </c>
      <c r="V9" s="25">
        <v>0</v>
      </c>
      <c r="W9" s="25">
        <v>0</v>
      </c>
      <c r="X9" s="25">
        <v>0</v>
      </c>
      <c r="Y9" s="29">
        <v>0</v>
      </c>
      <c r="Z9" s="29">
        <v>0</v>
      </c>
      <c r="AA9" s="29">
        <v>0</v>
      </c>
      <c r="AB9" s="29" t="s">
        <v>688</v>
      </c>
      <c r="AC9" s="29" t="s">
        <v>693</v>
      </c>
      <c r="AD9" s="29" t="s">
        <v>701</v>
      </c>
      <c r="AE9" s="43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</row>
    <row r="10" spans="3:224" ht="20.100000000000001" customHeight="1">
      <c r="C10" s="76">
        <v>11500202</v>
      </c>
      <c r="D10" s="77" t="s">
        <v>677</v>
      </c>
      <c r="E10" s="25">
        <v>0</v>
      </c>
      <c r="F10" s="25">
        <v>0</v>
      </c>
      <c r="G10" s="25">
        <v>1</v>
      </c>
      <c r="H10" s="25">
        <v>0</v>
      </c>
      <c r="I10" s="29">
        <v>0.2</v>
      </c>
      <c r="J10" s="30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f t="shared" si="4"/>
        <v>0</v>
      </c>
      <c r="R10" s="25">
        <v>0</v>
      </c>
      <c r="S10" s="25">
        <f t="shared" si="5"/>
        <v>0</v>
      </c>
      <c r="T10" s="25">
        <v>0</v>
      </c>
      <c r="U10" s="29">
        <v>0</v>
      </c>
      <c r="V10" s="25">
        <v>0</v>
      </c>
      <c r="W10" s="25">
        <v>0</v>
      </c>
      <c r="X10" s="25">
        <v>0</v>
      </c>
      <c r="Y10" s="29">
        <v>0</v>
      </c>
      <c r="Z10" s="29">
        <v>0</v>
      </c>
      <c r="AA10" s="29">
        <v>0</v>
      </c>
      <c r="AB10" s="29" t="s">
        <v>689</v>
      </c>
      <c r="AC10" s="29" t="s">
        <v>693</v>
      </c>
      <c r="AD10" s="29" t="s">
        <v>701</v>
      </c>
      <c r="AE10" s="43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</row>
    <row r="11" spans="3:224" ht="20.100000000000001" customHeight="1">
      <c r="C11" s="76">
        <v>11500203</v>
      </c>
      <c r="D11" s="77" t="s">
        <v>678</v>
      </c>
      <c r="E11" s="25">
        <v>0</v>
      </c>
      <c r="F11" s="25">
        <v>0</v>
      </c>
      <c r="G11" s="25">
        <v>1</v>
      </c>
      <c r="H11" s="25">
        <v>0</v>
      </c>
      <c r="I11" s="29">
        <v>0.2</v>
      </c>
      <c r="J11" s="30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f t="shared" ref="Q11:Q13" si="6">ROUND(R11/2,0)</f>
        <v>0</v>
      </c>
      <c r="R11" s="25">
        <v>0</v>
      </c>
      <c r="S11" s="25">
        <f t="shared" ref="S11:S13" si="7">ROUND(T11/2,0)</f>
        <v>0</v>
      </c>
      <c r="T11" s="25">
        <v>0</v>
      </c>
      <c r="U11" s="29">
        <v>0</v>
      </c>
      <c r="V11" s="25">
        <v>0</v>
      </c>
      <c r="W11" s="25">
        <v>0</v>
      </c>
      <c r="X11" s="25">
        <v>0</v>
      </c>
      <c r="Y11" s="29">
        <v>0</v>
      </c>
      <c r="Z11" s="29">
        <v>0</v>
      </c>
      <c r="AA11" s="29">
        <v>0</v>
      </c>
      <c r="AB11" s="29" t="s">
        <v>690</v>
      </c>
      <c r="AC11" s="29" t="s">
        <v>694</v>
      </c>
      <c r="AD11" s="29" t="s">
        <v>701</v>
      </c>
      <c r="AE11" s="43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</row>
    <row r="12" spans="3:224" ht="20.100000000000001" customHeight="1">
      <c r="C12" s="76">
        <v>11500301</v>
      </c>
      <c r="D12" s="77" t="s">
        <v>679</v>
      </c>
      <c r="E12" s="25">
        <v>0</v>
      </c>
      <c r="F12" s="25">
        <v>0</v>
      </c>
      <c r="G12" s="25">
        <v>1</v>
      </c>
      <c r="H12" s="25">
        <v>0</v>
      </c>
      <c r="I12" s="29">
        <v>0.2</v>
      </c>
      <c r="J12" s="30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f t="shared" si="6"/>
        <v>0</v>
      </c>
      <c r="R12" s="25">
        <v>0</v>
      </c>
      <c r="S12" s="25">
        <f t="shared" si="7"/>
        <v>0</v>
      </c>
      <c r="T12" s="25">
        <v>0</v>
      </c>
      <c r="U12" s="29">
        <v>0</v>
      </c>
      <c r="V12" s="25">
        <v>0</v>
      </c>
      <c r="W12" s="25">
        <v>0</v>
      </c>
      <c r="X12" s="25">
        <v>0</v>
      </c>
      <c r="Y12" s="29">
        <v>0</v>
      </c>
      <c r="Z12" s="29">
        <v>0</v>
      </c>
      <c r="AA12" s="29">
        <v>0</v>
      </c>
      <c r="AB12" s="29" t="s">
        <v>688</v>
      </c>
      <c r="AC12" s="29" t="s">
        <v>695</v>
      </c>
      <c r="AD12" s="29" t="s">
        <v>701</v>
      </c>
      <c r="AE12" s="43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</row>
    <row r="13" spans="3:224" ht="20.100000000000001" customHeight="1">
      <c r="C13" s="76">
        <v>11500302</v>
      </c>
      <c r="D13" s="77" t="s">
        <v>680</v>
      </c>
      <c r="E13" s="25">
        <v>0</v>
      </c>
      <c r="F13" s="25">
        <v>0</v>
      </c>
      <c r="G13" s="25">
        <v>1</v>
      </c>
      <c r="H13" s="25">
        <v>0</v>
      </c>
      <c r="I13" s="29">
        <v>0.2</v>
      </c>
      <c r="J13" s="30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f t="shared" si="6"/>
        <v>0</v>
      </c>
      <c r="R13" s="25">
        <v>0</v>
      </c>
      <c r="S13" s="25">
        <f t="shared" si="7"/>
        <v>0</v>
      </c>
      <c r="T13" s="25">
        <v>0</v>
      </c>
      <c r="U13" s="29">
        <v>0</v>
      </c>
      <c r="V13" s="25">
        <v>0</v>
      </c>
      <c r="W13" s="25">
        <v>0</v>
      </c>
      <c r="X13" s="25">
        <v>0</v>
      </c>
      <c r="Y13" s="29">
        <v>0</v>
      </c>
      <c r="Z13" s="29">
        <v>0</v>
      </c>
      <c r="AA13" s="29">
        <v>0</v>
      </c>
      <c r="AB13" s="29" t="s">
        <v>689</v>
      </c>
      <c r="AC13" s="29" t="s">
        <v>695</v>
      </c>
      <c r="AD13" s="29" t="s">
        <v>701</v>
      </c>
      <c r="AE13" s="43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</row>
    <row r="14" spans="3:224" ht="20.100000000000001" customHeight="1">
      <c r="C14" s="76">
        <v>11500303</v>
      </c>
      <c r="D14" s="77" t="s">
        <v>681</v>
      </c>
      <c r="E14" s="25">
        <v>0</v>
      </c>
      <c r="F14" s="25">
        <v>0</v>
      </c>
      <c r="G14" s="25">
        <v>1</v>
      </c>
      <c r="H14" s="25">
        <v>0</v>
      </c>
      <c r="I14" s="29">
        <v>0.2</v>
      </c>
      <c r="J14" s="30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f t="shared" ref="Q14:Q16" si="8">ROUND(R14/2,0)</f>
        <v>0</v>
      </c>
      <c r="R14" s="25">
        <v>0</v>
      </c>
      <c r="S14" s="25">
        <f t="shared" ref="S14:S16" si="9">ROUND(T14/2,0)</f>
        <v>0</v>
      </c>
      <c r="T14" s="25">
        <v>0</v>
      </c>
      <c r="U14" s="29">
        <v>0</v>
      </c>
      <c r="V14" s="25">
        <v>0</v>
      </c>
      <c r="W14" s="25">
        <v>0</v>
      </c>
      <c r="X14" s="25">
        <v>0</v>
      </c>
      <c r="Y14" s="29">
        <v>0</v>
      </c>
      <c r="Z14" s="29">
        <v>0</v>
      </c>
      <c r="AA14" s="29">
        <v>0</v>
      </c>
      <c r="AB14" s="29" t="s">
        <v>690</v>
      </c>
      <c r="AC14" s="29" t="s">
        <v>696</v>
      </c>
      <c r="AD14" s="29" t="s">
        <v>701</v>
      </c>
      <c r="AE14" s="43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</row>
    <row r="15" spans="3:224" ht="20.100000000000001" customHeight="1">
      <c r="C15" s="76">
        <v>11500401</v>
      </c>
      <c r="D15" s="77" t="s">
        <v>682</v>
      </c>
      <c r="E15" s="25">
        <v>0</v>
      </c>
      <c r="F15" s="25">
        <v>0</v>
      </c>
      <c r="G15" s="25">
        <v>1</v>
      </c>
      <c r="H15" s="25">
        <v>0</v>
      </c>
      <c r="I15" s="29">
        <v>0.2</v>
      </c>
      <c r="J15" s="30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f t="shared" si="8"/>
        <v>0</v>
      </c>
      <c r="R15" s="25">
        <v>0</v>
      </c>
      <c r="S15" s="25">
        <f t="shared" si="9"/>
        <v>0</v>
      </c>
      <c r="T15" s="25">
        <v>0</v>
      </c>
      <c r="U15" s="29">
        <v>0</v>
      </c>
      <c r="V15" s="25">
        <v>0</v>
      </c>
      <c r="W15" s="25">
        <v>0</v>
      </c>
      <c r="X15" s="25">
        <v>0</v>
      </c>
      <c r="Y15" s="29">
        <v>0</v>
      </c>
      <c r="Z15" s="29">
        <v>0</v>
      </c>
      <c r="AA15" s="29">
        <v>0</v>
      </c>
      <c r="AB15" s="29" t="s">
        <v>688</v>
      </c>
      <c r="AC15" s="29" t="s">
        <v>697</v>
      </c>
      <c r="AD15" s="29" t="s">
        <v>701</v>
      </c>
      <c r="AE15" s="43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</row>
    <row r="16" spans="3:224" ht="20.100000000000001" customHeight="1">
      <c r="C16" s="76">
        <v>11500402</v>
      </c>
      <c r="D16" s="77" t="s">
        <v>683</v>
      </c>
      <c r="E16" s="25">
        <v>0</v>
      </c>
      <c r="F16" s="25">
        <v>0</v>
      </c>
      <c r="G16" s="25">
        <v>1</v>
      </c>
      <c r="H16" s="25">
        <v>0</v>
      </c>
      <c r="I16" s="29">
        <v>0.2</v>
      </c>
      <c r="J16" s="30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f t="shared" si="8"/>
        <v>0</v>
      </c>
      <c r="R16" s="25">
        <v>0</v>
      </c>
      <c r="S16" s="25">
        <f t="shared" si="9"/>
        <v>0</v>
      </c>
      <c r="T16" s="25">
        <v>0</v>
      </c>
      <c r="U16" s="29">
        <v>0</v>
      </c>
      <c r="V16" s="25">
        <v>0</v>
      </c>
      <c r="W16" s="25">
        <v>0</v>
      </c>
      <c r="X16" s="25">
        <v>0</v>
      </c>
      <c r="Y16" s="29">
        <v>0</v>
      </c>
      <c r="Z16" s="29">
        <v>0</v>
      </c>
      <c r="AA16" s="29">
        <v>0</v>
      </c>
      <c r="AB16" s="29" t="s">
        <v>689</v>
      </c>
      <c r="AC16" s="29" t="s">
        <v>697</v>
      </c>
      <c r="AD16" s="29" t="s">
        <v>701</v>
      </c>
      <c r="AE16" s="43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</row>
    <row r="17" spans="3:224" ht="20.100000000000001" customHeight="1">
      <c r="C17" s="76">
        <v>11500403</v>
      </c>
      <c r="D17" s="77" t="s">
        <v>684</v>
      </c>
      <c r="E17" s="25">
        <v>0</v>
      </c>
      <c r="F17" s="25">
        <v>0</v>
      </c>
      <c r="G17" s="25">
        <v>1</v>
      </c>
      <c r="H17" s="25">
        <v>0</v>
      </c>
      <c r="I17" s="29">
        <v>0.2</v>
      </c>
      <c r="J17" s="30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f t="shared" ref="Q17:Q19" si="10">ROUND(R17/2,0)</f>
        <v>0</v>
      </c>
      <c r="R17" s="25">
        <v>0</v>
      </c>
      <c r="S17" s="25">
        <f t="shared" ref="S17:S19" si="11">ROUND(T17/2,0)</f>
        <v>0</v>
      </c>
      <c r="T17" s="25">
        <v>0</v>
      </c>
      <c r="U17" s="29">
        <v>0</v>
      </c>
      <c r="V17" s="25">
        <v>0</v>
      </c>
      <c r="W17" s="25">
        <v>0</v>
      </c>
      <c r="X17" s="25">
        <v>0</v>
      </c>
      <c r="Y17" s="29">
        <v>0</v>
      </c>
      <c r="Z17" s="29">
        <v>0</v>
      </c>
      <c r="AA17" s="29">
        <v>0</v>
      </c>
      <c r="AB17" s="29" t="s">
        <v>690</v>
      </c>
      <c r="AC17" s="29" t="s">
        <v>698</v>
      </c>
      <c r="AD17" s="29" t="s">
        <v>701</v>
      </c>
      <c r="AE17" s="43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</row>
    <row r="18" spans="3:224" ht="20.100000000000001" customHeight="1">
      <c r="C18" s="76">
        <v>11500501</v>
      </c>
      <c r="D18" s="77" t="s">
        <v>685</v>
      </c>
      <c r="E18" s="25">
        <v>0</v>
      </c>
      <c r="F18" s="25">
        <v>0</v>
      </c>
      <c r="G18" s="25">
        <v>1</v>
      </c>
      <c r="H18" s="25">
        <v>0</v>
      </c>
      <c r="I18" s="29">
        <v>0.2</v>
      </c>
      <c r="J18" s="30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f t="shared" si="10"/>
        <v>0</v>
      </c>
      <c r="R18" s="25">
        <v>0</v>
      </c>
      <c r="S18" s="25">
        <f t="shared" si="11"/>
        <v>0</v>
      </c>
      <c r="T18" s="25">
        <v>0</v>
      </c>
      <c r="U18" s="29">
        <v>0</v>
      </c>
      <c r="V18" s="25">
        <v>0</v>
      </c>
      <c r="W18" s="25">
        <v>0</v>
      </c>
      <c r="X18" s="25">
        <v>0</v>
      </c>
      <c r="Y18" s="29">
        <v>0</v>
      </c>
      <c r="Z18" s="29">
        <v>0</v>
      </c>
      <c r="AA18" s="29">
        <v>0</v>
      </c>
      <c r="AB18" s="29" t="s">
        <v>688</v>
      </c>
      <c r="AC18" s="29" t="s">
        <v>699</v>
      </c>
      <c r="AD18" s="29" t="s">
        <v>701</v>
      </c>
      <c r="AE18" s="43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</row>
    <row r="19" spans="3:224" ht="20.100000000000001" customHeight="1">
      <c r="C19" s="76">
        <v>11500502</v>
      </c>
      <c r="D19" s="77" t="s">
        <v>686</v>
      </c>
      <c r="E19" s="25">
        <v>0</v>
      </c>
      <c r="F19" s="25">
        <v>0</v>
      </c>
      <c r="G19" s="25">
        <v>1</v>
      </c>
      <c r="H19" s="25">
        <v>0</v>
      </c>
      <c r="I19" s="29">
        <v>0.2</v>
      </c>
      <c r="J19" s="30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f t="shared" si="10"/>
        <v>0</v>
      </c>
      <c r="R19" s="25">
        <v>0</v>
      </c>
      <c r="S19" s="25">
        <f t="shared" si="11"/>
        <v>0</v>
      </c>
      <c r="T19" s="25">
        <v>0</v>
      </c>
      <c r="U19" s="29">
        <v>0</v>
      </c>
      <c r="V19" s="25">
        <v>0</v>
      </c>
      <c r="W19" s="25">
        <v>0</v>
      </c>
      <c r="X19" s="25">
        <v>0</v>
      </c>
      <c r="Y19" s="29">
        <v>0</v>
      </c>
      <c r="Z19" s="29">
        <v>0</v>
      </c>
      <c r="AA19" s="29">
        <v>0</v>
      </c>
      <c r="AB19" s="29" t="s">
        <v>689</v>
      </c>
      <c r="AC19" s="29" t="s">
        <v>699</v>
      </c>
      <c r="AD19" s="29" t="s">
        <v>701</v>
      </c>
      <c r="AE19" s="43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</row>
    <row r="20" spans="3:224" ht="20.100000000000001" customHeight="1">
      <c r="C20" s="76">
        <v>11500503</v>
      </c>
      <c r="D20" s="77" t="s">
        <v>687</v>
      </c>
      <c r="E20" s="25">
        <v>0</v>
      </c>
      <c r="F20" s="25">
        <v>0</v>
      </c>
      <c r="G20" s="25">
        <v>1</v>
      </c>
      <c r="H20" s="25">
        <v>0</v>
      </c>
      <c r="I20" s="29">
        <v>0.2</v>
      </c>
      <c r="J20" s="30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f t="shared" ref="Q20" si="12">ROUND(R20/2,0)</f>
        <v>0</v>
      </c>
      <c r="R20" s="25">
        <v>0</v>
      </c>
      <c r="S20" s="25">
        <f t="shared" ref="S20" si="13">ROUND(T20/2,0)</f>
        <v>0</v>
      </c>
      <c r="T20" s="25">
        <v>0</v>
      </c>
      <c r="U20" s="29">
        <v>0</v>
      </c>
      <c r="V20" s="25">
        <v>0</v>
      </c>
      <c r="W20" s="25">
        <v>0</v>
      </c>
      <c r="X20" s="25">
        <v>0</v>
      </c>
      <c r="Y20" s="29">
        <v>0</v>
      </c>
      <c r="Z20" s="29">
        <v>0</v>
      </c>
      <c r="AA20" s="29">
        <v>0</v>
      </c>
      <c r="AB20" s="29" t="s">
        <v>690</v>
      </c>
      <c r="AC20" s="29" t="s">
        <v>700</v>
      </c>
      <c r="AD20" s="29" t="s">
        <v>701</v>
      </c>
      <c r="AE20" s="43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</row>
    <row r="21" spans="3:224" s="57" customFormat="1" ht="20.100000000000001" customHeight="1">
      <c r="C21" s="51">
        <v>40030001</v>
      </c>
      <c r="D21" s="58" t="s">
        <v>634</v>
      </c>
      <c r="E21" s="52">
        <v>0</v>
      </c>
      <c r="F21" s="52">
        <v>0</v>
      </c>
      <c r="G21" s="52">
        <v>1</v>
      </c>
      <c r="H21" s="52">
        <v>10</v>
      </c>
      <c r="I21" s="52">
        <v>0.3</v>
      </c>
      <c r="J21" s="53">
        <v>0</v>
      </c>
      <c r="K21" s="53">
        <v>0</v>
      </c>
      <c r="L21" s="54">
        <v>999999</v>
      </c>
      <c r="M21" s="54">
        <v>9999</v>
      </c>
      <c r="N21" s="54">
        <v>9999</v>
      </c>
      <c r="O21" s="55">
        <v>9999</v>
      </c>
      <c r="P21" s="55">
        <v>9999</v>
      </c>
      <c r="Q21" s="52">
        <v>9999</v>
      </c>
      <c r="R21" s="52">
        <v>9999</v>
      </c>
      <c r="S21" s="52">
        <v>9999</v>
      </c>
      <c r="T21" s="52">
        <v>9999</v>
      </c>
      <c r="U21" s="54">
        <v>0</v>
      </c>
      <c r="V21" s="54">
        <v>0</v>
      </c>
      <c r="W21" s="54">
        <v>0</v>
      </c>
      <c r="X21" s="54">
        <v>0</v>
      </c>
      <c r="Y21" s="54">
        <v>0</v>
      </c>
      <c r="Z21" s="54">
        <v>0</v>
      </c>
      <c r="AA21" s="54">
        <v>0</v>
      </c>
      <c r="AB21" s="53">
        <v>0</v>
      </c>
      <c r="AC21" s="53">
        <v>0</v>
      </c>
      <c r="AD21" s="53">
        <v>0</v>
      </c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6"/>
      <c r="FB21" s="56"/>
      <c r="FC21" s="56"/>
      <c r="FD21" s="56"/>
      <c r="FE21" s="56"/>
      <c r="FF21" s="56"/>
      <c r="FG21" s="56"/>
      <c r="FH21" s="56"/>
      <c r="FI21" s="56"/>
      <c r="FJ21" s="56"/>
      <c r="FK21" s="56"/>
      <c r="FL21" s="56"/>
      <c r="FM21" s="56"/>
      <c r="FN21" s="56"/>
      <c r="FO21" s="56"/>
      <c r="FP21" s="56"/>
      <c r="FQ21" s="56"/>
      <c r="FR21" s="56"/>
      <c r="FS21" s="56"/>
      <c r="FT21" s="56"/>
      <c r="FU21" s="56"/>
      <c r="FV21" s="56"/>
      <c r="FW21" s="56"/>
      <c r="FX21" s="56"/>
      <c r="FY21" s="56"/>
      <c r="FZ21" s="56"/>
      <c r="GA21" s="56"/>
      <c r="GB21" s="56"/>
      <c r="GC21" s="56"/>
      <c r="GD21" s="56"/>
      <c r="GE21" s="56"/>
      <c r="GF21" s="56"/>
      <c r="GG21" s="56"/>
      <c r="GH21" s="56"/>
      <c r="GI21" s="56"/>
      <c r="GJ21" s="56"/>
      <c r="GK21" s="56"/>
      <c r="GL21" s="56"/>
      <c r="GM21" s="56"/>
      <c r="GN21" s="56"/>
      <c r="GO21" s="56"/>
      <c r="GP21" s="56"/>
      <c r="GQ21" s="56"/>
    </row>
    <row r="22" spans="3:224" s="57" customFormat="1" ht="20.100000000000001" customHeight="1">
      <c r="C22" s="51">
        <v>40030002</v>
      </c>
      <c r="D22" s="58" t="s">
        <v>635</v>
      </c>
      <c r="E22" s="52">
        <v>0</v>
      </c>
      <c r="F22" s="52">
        <v>0</v>
      </c>
      <c r="G22" s="52">
        <v>1</v>
      </c>
      <c r="H22" s="52">
        <v>10</v>
      </c>
      <c r="I22" s="52">
        <v>0.3</v>
      </c>
      <c r="J22" s="53">
        <v>0</v>
      </c>
      <c r="K22" s="53">
        <v>0</v>
      </c>
      <c r="L22" s="54">
        <v>999999</v>
      </c>
      <c r="M22" s="54">
        <v>9999</v>
      </c>
      <c r="N22" s="54">
        <v>9999</v>
      </c>
      <c r="O22" s="55">
        <v>9999</v>
      </c>
      <c r="P22" s="55">
        <v>9999</v>
      </c>
      <c r="Q22" s="52">
        <v>0</v>
      </c>
      <c r="R22" s="52">
        <v>0</v>
      </c>
      <c r="S22" s="52">
        <v>0</v>
      </c>
      <c r="T22" s="52">
        <v>0</v>
      </c>
      <c r="U22" s="54">
        <v>0</v>
      </c>
      <c r="V22" s="54">
        <v>0</v>
      </c>
      <c r="W22" s="54">
        <v>0</v>
      </c>
      <c r="X22" s="54">
        <v>0</v>
      </c>
      <c r="Y22" s="54">
        <v>0</v>
      </c>
      <c r="Z22" s="54">
        <v>0</v>
      </c>
      <c r="AA22" s="54">
        <v>0</v>
      </c>
      <c r="AB22" s="53">
        <v>0</v>
      </c>
      <c r="AC22" s="53">
        <v>0</v>
      </c>
      <c r="AD22" s="53">
        <v>0</v>
      </c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  <c r="EY22" s="56"/>
      <c r="EZ22" s="56"/>
      <c r="FA22" s="56"/>
      <c r="FB22" s="56"/>
      <c r="FC22" s="56"/>
      <c r="FD22" s="56"/>
      <c r="FE22" s="56"/>
      <c r="FF22" s="56"/>
      <c r="FG22" s="56"/>
      <c r="FH22" s="56"/>
      <c r="FI22" s="56"/>
      <c r="FJ22" s="56"/>
      <c r="FK22" s="56"/>
      <c r="FL22" s="56"/>
      <c r="FM22" s="56"/>
      <c r="FN22" s="56"/>
      <c r="FO22" s="56"/>
      <c r="FP22" s="56"/>
      <c r="FQ22" s="56"/>
      <c r="FR22" s="56"/>
      <c r="FS22" s="56"/>
      <c r="FT22" s="56"/>
      <c r="FU22" s="56"/>
      <c r="FV22" s="56"/>
      <c r="FW22" s="56"/>
      <c r="FX22" s="56"/>
      <c r="FY22" s="56"/>
      <c r="FZ22" s="56"/>
      <c r="GA22" s="56"/>
      <c r="GB22" s="56"/>
      <c r="GC22" s="56"/>
      <c r="GD22" s="56"/>
      <c r="GE22" s="56"/>
      <c r="GF22" s="56"/>
      <c r="GG22" s="56"/>
      <c r="GH22" s="56"/>
      <c r="GI22" s="56"/>
      <c r="GJ22" s="56"/>
      <c r="GK22" s="56"/>
      <c r="GL22" s="56"/>
      <c r="GM22" s="56"/>
      <c r="GN22" s="56"/>
      <c r="GO22" s="56"/>
      <c r="GP22" s="56"/>
      <c r="GQ22" s="56"/>
    </row>
    <row r="23" spans="3:224" s="2" customFormat="1" ht="20.100000000000001" customHeight="1">
      <c r="C23" s="10">
        <v>40030101</v>
      </c>
      <c r="D23" s="11" t="s">
        <v>60</v>
      </c>
      <c r="E23" s="12">
        <v>0</v>
      </c>
      <c r="F23" s="12">
        <v>0</v>
      </c>
      <c r="G23" s="12">
        <v>1</v>
      </c>
      <c r="H23" s="12">
        <v>10</v>
      </c>
      <c r="I23" s="12">
        <v>0.3</v>
      </c>
      <c r="J23" s="16">
        <v>0</v>
      </c>
      <c r="K23" s="16">
        <v>0</v>
      </c>
      <c r="L23" s="15">
        <v>0</v>
      </c>
      <c r="M23" s="15">
        <v>0</v>
      </c>
      <c r="N23" s="15">
        <v>10</v>
      </c>
      <c r="O23" s="17">
        <v>0</v>
      </c>
      <c r="P23" s="17">
        <v>0</v>
      </c>
      <c r="Q23" s="12">
        <v>0</v>
      </c>
      <c r="R23" s="12">
        <v>0</v>
      </c>
      <c r="S23" s="12">
        <v>0</v>
      </c>
      <c r="T23" s="12">
        <v>10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6">
        <v>0</v>
      </c>
      <c r="AC23" s="16">
        <v>0</v>
      </c>
      <c r="AD23" s="16">
        <v>0</v>
      </c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</row>
    <row r="24" spans="3:224" s="2" customFormat="1" ht="20.100000000000001" customHeight="1">
      <c r="C24" s="10">
        <v>40030102</v>
      </c>
      <c r="D24" s="11" t="s">
        <v>61</v>
      </c>
      <c r="E24" s="12">
        <v>0</v>
      </c>
      <c r="F24" s="12">
        <v>1001</v>
      </c>
      <c r="G24" s="12">
        <v>1</v>
      </c>
      <c r="H24" s="12">
        <v>10</v>
      </c>
      <c r="I24" s="12">
        <v>0.3</v>
      </c>
      <c r="J24" s="16">
        <v>0</v>
      </c>
      <c r="K24" s="16">
        <v>0</v>
      </c>
      <c r="L24" s="15">
        <v>0</v>
      </c>
      <c r="M24" s="15">
        <v>0</v>
      </c>
      <c r="N24" s="15">
        <v>10</v>
      </c>
      <c r="O24" s="17">
        <v>0</v>
      </c>
      <c r="P24" s="17">
        <v>0</v>
      </c>
      <c r="Q24" s="12">
        <v>0</v>
      </c>
      <c r="R24" s="12">
        <v>10</v>
      </c>
      <c r="S24" s="12">
        <v>0</v>
      </c>
      <c r="T24" s="12">
        <v>10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6">
        <v>0</v>
      </c>
      <c r="AC24" s="16">
        <v>0</v>
      </c>
      <c r="AD24" s="16">
        <v>0</v>
      </c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</row>
    <row r="25" spans="3:224" s="2" customFormat="1" ht="20.100000000000001" customHeight="1">
      <c r="C25" s="10">
        <v>40030103</v>
      </c>
      <c r="D25" s="11" t="s">
        <v>62</v>
      </c>
      <c r="E25" s="12">
        <v>0</v>
      </c>
      <c r="F25" s="12">
        <v>0</v>
      </c>
      <c r="G25" s="12">
        <v>1</v>
      </c>
      <c r="H25" s="12">
        <v>10</v>
      </c>
      <c r="I25" s="12">
        <v>0.3</v>
      </c>
      <c r="J25" s="16">
        <v>0</v>
      </c>
      <c r="K25" s="16">
        <v>0</v>
      </c>
      <c r="L25" s="15">
        <v>0</v>
      </c>
      <c r="M25" s="15">
        <v>0</v>
      </c>
      <c r="N25" s="15">
        <v>10</v>
      </c>
      <c r="O25" s="17">
        <v>0</v>
      </c>
      <c r="P25" s="17">
        <v>0</v>
      </c>
      <c r="Q25" s="12">
        <v>0</v>
      </c>
      <c r="R25" s="12">
        <v>0</v>
      </c>
      <c r="S25" s="12">
        <v>0</v>
      </c>
      <c r="T25" s="12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6">
        <v>0</v>
      </c>
      <c r="AC25" s="16">
        <v>0</v>
      </c>
      <c r="AD25" s="16">
        <v>0</v>
      </c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3:224" s="2" customFormat="1" ht="20.100000000000001" customHeight="1">
      <c r="C26" s="10">
        <v>40030104</v>
      </c>
      <c r="D26" s="11" t="s">
        <v>63</v>
      </c>
      <c r="E26" s="12">
        <v>0</v>
      </c>
      <c r="F26" s="12">
        <v>0</v>
      </c>
      <c r="G26" s="12">
        <v>1</v>
      </c>
      <c r="H26" s="12">
        <v>10</v>
      </c>
      <c r="I26" s="12">
        <v>0.3</v>
      </c>
      <c r="J26" s="16">
        <v>0</v>
      </c>
      <c r="K26" s="16">
        <v>0</v>
      </c>
      <c r="L26" s="15">
        <v>0</v>
      </c>
      <c r="M26" s="15">
        <v>0</v>
      </c>
      <c r="N26" s="15">
        <v>10</v>
      </c>
      <c r="O26" s="17">
        <v>0</v>
      </c>
      <c r="P26" s="17">
        <v>0</v>
      </c>
      <c r="Q26" s="12">
        <v>0</v>
      </c>
      <c r="R26" s="12">
        <v>10</v>
      </c>
      <c r="S26" s="12">
        <v>0</v>
      </c>
      <c r="T26" s="12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6">
        <v>0</v>
      </c>
      <c r="AC26" s="16">
        <v>0</v>
      </c>
      <c r="AD26" s="16">
        <v>0</v>
      </c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</row>
    <row r="27" spans="3:224" s="2" customFormat="1" ht="20.100000000000001" customHeight="1">
      <c r="C27" s="10">
        <v>40030105</v>
      </c>
      <c r="D27" s="11" t="s">
        <v>64</v>
      </c>
      <c r="E27" s="12">
        <v>0</v>
      </c>
      <c r="F27" s="12">
        <v>1001</v>
      </c>
      <c r="G27" s="12">
        <v>1</v>
      </c>
      <c r="H27" s="12">
        <v>10</v>
      </c>
      <c r="I27" s="12">
        <v>0.3</v>
      </c>
      <c r="J27" s="16">
        <v>0</v>
      </c>
      <c r="K27" s="16">
        <v>0</v>
      </c>
      <c r="L27" s="15">
        <v>0</v>
      </c>
      <c r="M27" s="15">
        <v>0</v>
      </c>
      <c r="N27" s="15">
        <v>20</v>
      </c>
      <c r="O27" s="17">
        <v>0</v>
      </c>
      <c r="P27" s="17">
        <v>0</v>
      </c>
      <c r="Q27" s="12">
        <v>0</v>
      </c>
      <c r="R27" s="12">
        <v>0</v>
      </c>
      <c r="S27" s="12">
        <v>0</v>
      </c>
      <c r="T27" s="12">
        <v>10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6">
        <v>0</v>
      </c>
      <c r="AC27" s="16">
        <v>0</v>
      </c>
      <c r="AD27" s="16">
        <v>0</v>
      </c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</row>
    <row r="28" spans="3:224" s="2" customFormat="1" ht="20.100000000000001" customHeight="1">
      <c r="C28" s="10">
        <v>40030106</v>
      </c>
      <c r="D28" s="11" t="s">
        <v>65</v>
      </c>
      <c r="E28" s="12">
        <v>0</v>
      </c>
      <c r="F28" s="12">
        <v>0</v>
      </c>
      <c r="G28" s="12">
        <v>1</v>
      </c>
      <c r="H28" s="12">
        <v>10</v>
      </c>
      <c r="I28" s="12">
        <v>0.3</v>
      </c>
      <c r="J28" s="16">
        <v>0</v>
      </c>
      <c r="K28" s="16">
        <v>0</v>
      </c>
      <c r="L28" s="15">
        <v>0</v>
      </c>
      <c r="M28" s="15">
        <v>0</v>
      </c>
      <c r="N28" s="15">
        <v>10</v>
      </c>
      <c r="O28" s="17">
        <v>0</v>
      </c>
      <c r="P28" s="17">
        <v>0</v>
      </c>
      <c r="Q28" s="12">
        <v>0</v>
      </c>
      <c r="R28" s="12">
        <v>10</v>
      </c>
      <c r="S28" s="12">
        <v>0</v>
      </c>
      <c r="T28" s="12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6">
        <v>0</v>
      </c>
      <c r="AC28" s="16">
        <v>0</v>
      </c>
      <c r="AD28" s="16">
        <v>0</v>
      </c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</row>
    <row r="29" spans="3:224" s="2" customFormat="1" ht="20.100000000000001" customHeight="1">
      <c r="C29" s="10">
        <v>40030107</v>
      </c>
      <c r="D29" s="11" t="s">
        <v>66</v>
      </c>
      <c r="E29" s="12">
        <v>0</v>
      </c>
      <c r="F29" s="12">
        <v>0</v>
      </c>
      <c r="G29" s="12">
        <v>1</v>
      </c>
      <c r="H29" s="12">
        <v>10</v>
      </c>
      <c r="I29" s="12">
        <v>0.3</v>
      </c>
      <c r="J29" s="16">
        <v>0</v>
      </c>
      <c r="K29" s="16">
        <v>0</v>
      </c>
      <c r="L29" s="15">
        <v>0</v>
      </c>
      <c r="M29" s="15">
        <v>0</v>
      </c>
      <c r="N29" s="15">
        <v>20</v>
      </c>
      <c r="O29" s="17">
        <v>0</v>
      </c>
      <c r="P29" s="17">
        <v>0</v>
      </c>
      <c r="Q29" s="12">
        <v>0</v>
      </c>
      <c r="R29" s="12">
        <v>0</v>
      </c>
      <c r="S29" s="12">
        <v>0</v>
      </c>
      <c r="T29" s="12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6">
        <v>0</v>
      </c>
      <c r="AC29" s="16">
        <v>0</v>
      </c>
      <c r="AD29" s="16">
        <v>0</v>
      </c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</row>
    <row r="30" spans="3:224" s="2" customFormat="1" ht="20.100000000000001" customHeight="1">
      <c r="C30" s="10">
        <v>40030108</v>
      </c>
      <c r="D30" s="11" t="s">
        <v>67</v>
      </c>
      <c r="E30" s="12">
        <v>0</v>
      </c>
      <c r="F30" s="12">
        <v>0</v>
      </c>
      <c r="G30" s="12">
        <v>1</v>
      </c>
      <c r="H30" s="12">
        <v>10</v>
      </c>
      <c r="I30" s="12">
        <v>0.3</v>
      </c>
      <c r="J30" s="16">
        <v>0</v>
      </c>
      <c r="K30" s="16">
        <v>0</v>
      </c>
      <c r="L30" s="15">
        <v>0</v>
      </c>
      <c r="M30" s="15">
        <v>0</v>
      </c>
      <c r="N30" s="15">
        <v>10</v>
      </c>
      <c r="O30" s="17">
        <v>0</v>
      </c>
      <c r="P30" s="17">
        <v>0</v>
      </c>
      <c r="Q30" s="12">
        <v>0</v>
      </c>
      <c r="R30" s="12">
        <v>0</v>
      </c>
      <c r="S30" s="12">
        <v>0</v>
      </c>
      <c r="T30" s="12">
        <v>10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6">
        <v>0</v>
      </c>
      <c r="AC30" s="16">
        <v>0</v>
      </c>
      <c r="AD30" s="16">
        <v>0</v>
      </c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</row>
    <row r="31" spans="3:224" s="2" customFormat="1" ht="20.100000000000001" customHeight="1">
      <c r="C31" s="10">
        <v>40030109</v>
      </c>
      <c r="D31" s="11" t="s">
        <v>68</v>
      </c>
      <c r="E31" s="12">
        <v>0</v>
      </c>
      <c r="F31" s="12">
        <v>0</v>
      </c>
      <c r="G31" s="12">
        <v>1</v>
      </c>
      <c r="H31" s="12">
        <v>10</v>
      </c>
      <c r="I31" s="12">
        <v>0.3</v>
      </c>
      <c r="J31" s="16">
        <v>0</v>
      </c>
      <c r="K31" s="16">
        <v>0</v>
      </c>
      <c r="L31" s="15">
        <v>0</v>
      </c>
      <c r="M31" s="15">
        <v>0</v>
      </c>
      <c r="N31" s="15">
        <v>10</v>
      </c>
      <c r="O31" s="17">
        <v>0</v>
      </c>
      <c r="P31" s="17">
        <v>0</v>
      </c>
      <c r="Q31" s="12">
        <v>0</v>
      </c>
      <c r="R31" s="12">
        <v>10</v>
      </c>
      <c r="S31" s="12">
        <v>0</v>
      </c>
      <c r="T31" s="12">
        <v>10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6">
        <v>0</v>
      </c>
      <c r="AC31" s="16">
        <v>0</v>
      </c>
      <c r="AD31" s="16">
        <v>0</v>
      </c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</row>
    <row r="32" spans="3:224" s="2" customFormat="1" ht="20.100000000000001" customHeight="1">
      <c r="C32" s="10">
        <v>40030110</v>
      </c>
      <c r="D32" s="11" t="s">
        <v>69</v>
      </c>
      <c r="E32" s="12">
        <v>0</v>
      </c>
      <c r="F32" s="12">
        <v>1001</v>
      </c>
      <c r="G32" s="12">
        <v>1</v>
      </c>
      <c r="H32" s="12">
        <v>10</v>
      </c>
      <c r="I32" s="12">
        <v>0.3</v>
      </c>
      <c r="J32" s="16">
        <v>0</v>
      </c>
      <c r="K32" s="16">
        <v>0</v>
      </c>
      <c r="L32" s="15">
        <v>0</v>
      </c>
      <c r="M32" s="15">
        <v>0</v>
      </c>
      <c r="N32" s="15">
        <v>30</v>
      </c>
      <c r="O32" s="17">
        <v>0</v>
      </c>
      <c r="P32" s="17">
        <v>0</v>
      </c>
      <c r="Q32" s="12">
        <v>0</v>
      </c>
      <c r="R32" s="12">
        <v>0</v>
      </c>
      <c r="S32" s="12">
        <v>0</v>
      </c>
      <c r="T32" s="12">
        <v>0</v>
      </c>
      <c r="U32" s="15">
        <v>0.01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6">
        <v>0</v>
      </c>
      <c r="AC32" s="16">
        <v>0</v>
      </c>
      <c r="AD32" s="16">
        <v>0</v>
      </c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</row>
    <row r="33" spans="3:199" s="2" customFormat="1" ht="20.100000000000001" customHeight="1">
      <c r="C33" s="10">
        <v>40030111</v>
      </c>
      <c r="D33" s="11" t="s">
        <v>70</v>
      </c>
      <c r="E33" s="12">
        <v>0</v>
      </c>
      <c r="F33" s="12">
        <v>0</v>
      </c>
      <c r="G33" s="12">
        <v>1</v>
      </c>
      <c r="H33" s="12">
        <v>10</v>
      </c>
      <c r="I33" s="12">
        <v>0.3</v>
      </c>
      <c r="J33" s="16">
        <v>0</v>
      </c>
      <c r="K33" s="16">
        <v>0</v>
      </c>
      <c r="L33" s="15">
        <v>0</v>
      </c>
      <c r="M33" s="15">
        <v>0</v>
      </c>
      <c r="N33" s="15">
        <v>30</v>
      </c>
      <c r="O33" s="17">
        <v>0</v>
      </c>
      <c r="P33" s="17">
        <v>0</v>
      </c>
      <c r="Q33" s="12">
        <v>0</v>
      </c>
      <c r="R33" s="12">
        <v>0</v>
      </c>
      <c r="S33" s="12">
        <v>0</v>
      </c>
      <c r="T33" s="12">
        <v>10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6">
        <v>0</v>
      </c>
      <c r="AC33" s="16">
        <v>0</v>
      </c>
      <c r="AD33" s="16">
        <v>0</v>
      </c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</row>
    <row r="34" spans="3:199" s="2" customFormat="1" ht="20.100000000000001" customHeight="1">
      <c r="C34" s="10">
        <v>40030112</v>
      </c>
      <c r="D34" s="11" t="s">
        <v>59</v>
      </c>
      <c r="E34" s="12">
        <v>0</v>
      </c>
      <c r="F34" s="12">
        <v>0</v>
      </c>
      <c r="G34" s="12">
        <v>1</v>
      </c>
      <c r="H34" s="12">
        <v>10</v>
      </c>
      <c r="I34" s="12">
        <v>0.3</v>
      </c>
      <c r="J34" s="16">
        <v>0</v>
      </c>
      <c r="K34" s="16">
        <v>0</v>
      </c>
      <c r="L34" s="15">
        <v>0</v>
      </c>
      <c r="M34" s="15">
        <v>0</v>
      </c>
      <c r="N34" s="15">
        <v>50</v>
      </c>
      <c r="O34" s="17">
        <v>0</v>
      </c>
      <c r="P34" s="17">
        <v>0</v>
      </c>
      <c r="Q34" s="12">
        <v>0</v>
      </c>
      <c r="R34" s="12">
        <v>0</v>
      </c>
      <c r="S34" s="12">
        <v>0</v>
      </c>
      <c r="T34" s="12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6">
        <v>0</v>
      </c>
      <c r="AC34" s="16">
        <v>0</v>
      </c>
      <c r="AD34" s="16">
        <v>0</v>
      </c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</row>
    <row r="35" spans="3:199" s="2" customFormat="1" ht="20.100000000000001" customHeight="1">
      <c r="C35" s="10">
        <v>40030113</v>
      </c>
      <c r="D35" s="11" t="s">
        <v>71</v>
      </c>
      <c r="E35" s="12">
        <v>0</v>
      </c>
      <c r="F35" s="12">
        <v>0</v>
      </c>
      <c r="G35" s="12">
        <v>1</v>
      </c>
      <c r="H35" s="12">
        <v>10</v>
      </c>
      <c r="I35" s="12">
        <v>0.3</v>
      </c>
      <c r="J35" s="16">
        <v>0</v>
      </c>
      <c r="K35" s="16">
        <v>0</v>
      </c>
      <c r="L35" s="15">
        <v>0</v>
      </c>
      <c r="M35" s="15">
        <v>10</v>
      </c>
      <c r="N35" s="15">
        <v>100</v>
      </c>
      <c r="O35" s="17">
        <v>0</v>
      </c>
      <c r="P35" s="17">
        <v>0</v>
      </c>
      <c r="Q35" s="12">
        <v>0</v>
      </c>
      <c r="R35" s="12">
        <v>0</v>
      </c>
      <c r="S35" s="12">
        <v>0</v>
      </c>
      <c r="T35" s="12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6">
        <v>0</v>
      </c>
      <c r="AC35" s="16">
        <v>0</v>
      </c>
      <c r="AD35" s="16">
        <v>0</v>
      </c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</row>
    <row r="36" spans="3:199" s="2" customFormat="1" ht="20.100000000000001" customHeight="1">
      <c r="C36" s="10">
        <v>40030114</v>
      </c>
      <c r="D36" s="11" t="s">
        <v>72</v>
      </c>
      <c r="E36" s="12">
        <v>0</v>
      </c>
      <c r="F36" s="12">
        <v>0</v>
      </c>
      <c r="G36" s="12">
        <v>1</v>
      </c>
      <c r="H36" s="12">
        <v>10</v>
      </c>
      <c r="I36" s="12">
        <v>0.3</v>
      </c>
      <c r="J36" s="16">
        <v>0</v>
      </c>
      <c r="K36" s="16">
        <v>0</v>
      </c>
      <c r="L36" s="18">
        <v>100</v>
      </c>
      <c r="M36" s="18">
        <v>0</v>
      </c>
      <c r="N36" s="18">
        <v>0</v>
      </c>
      <c r="O36" s="17">
        <v>0</v>
      </c>
      <c r="P36" s="17">
        <v>0</v>
      </c>
      <c r="Q36" s="12">
        <v>0</v>
      </c>
      <c r="R36" s="12">
        <v>10</v>
      </c>
      <c r="S36" s="12">
        <v>0</v>
      </c>
      <c r="T36" s="12">
        <v>10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6">
        <v>0</v>
      </c>
      <c r="AC36" s="16">
        <v>0</v>
      </c>
      <c r="AD36" s="16">
        <v>0</v>
      </c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</row>
    <row r="37" spans="3:199" s="2" customFormat="1" ht="20.100000000000001" customHeight="1">
      <c r="C37" s="10">
        <v>40030201</v>
      </c>
      <c r="D37" s="11" t="s">
        <v>73</v>
      </c>
      <c r="E37" s="12">
        <v>0</v>
      </c>
      <c r="F37" s="12">
        <v>0</v>
      </c>
      <c r="G37" s="12">
        <v>1</v>
      </c>
      <c r="H37" s="12">
        <v>10</v>
      </c>
      <c r="I37" s="12">
        <v>0.3</v>
      </c>
      <c r="J37" s="16">
        <v>0</v>
      </c>
      <c r="K37" s="16">
        <v>0</v>
      </c>
      <c r="L37" s="15">
        <v>0</v>
      </c>
      <c r="M37" s="15">
        <v>10</v>
      </c>
      <c r="N37" s="15">
        <v>10</v>
      </c>
      <c r="O37" s="17">
        <v>0</v>
      </c>
      <c r="P37" s="17">
        <v>0</v>
      </c>
      <c r="Q37" s="12">
        <v>0</v>
      </c>
      <c r="R37" s="12">
        <v>10</v>
      </c>
      <c r="S37" s="12">
        <v>0</v>
      </c>
      <c r="T37" s="12">
        <v>10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6">
        <v>0</v>
      </c>
      <c r="AC37" s="16">
        <v>0</v>
      </c>
      <c r="AD37" s="16">
        <v>0</v>
      </c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</row>
    <row r="38" spans="3:199" s="2" customFormat="1" ht="20.100000000000001" customHeight="1">
      <c r="C38" s="10">
        <v>40030202</v>
      </c>
      <c r="D38" s="11" t="s">
        <v>74</v>
      </c>
      <c r="E38" s="12">
        <v>0</v>
      </c>
      <c r="F38" s="12">
        <v>0</v>
      </c>
      <c r="G38" s="12">
        <v>1</v>
      </c>
      <c r="H38" s="12">
        <v>10</v>
      </c>
      <c r="I38" s="12">
        <v>0.3</v>
      </c>
      <c r="J38" s="16">
        <v>0</v>
      </c>
      <c r="K38" s="16">
        <v>0</v>
      </c>
      <c r="L38" s="15">
        <v>0</v>
      </c>
      <c r="M38" s="15">
        <v>0</v>
      </c>
      <c r="N38" s="15">
        <v>20</v>
      </c>
      <c r="O38" s="17">
        <v>0</v>
      </c>
      <c r="P38" s="17">
        <v>0</v>
      </c>
      <c r="Q38" s="12">
        <v>0</v>
      </c>
      <c r="R38" s="12">
        <v>20</v>
      </c>
      <c r="S38" s="12">
        <v>0</v>
      </c>
      <c r="T38" s="12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6">
        <v>0</v>
      </c>
      <c r="AC38" s="16">
        <v>0</v>
      </c>
      <c r="AD38" s="16">
        <v>0</v>
      </c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</row>
    <row r="39" spans="3:199" s="2" customFormat="1" ht="20.100000000000001" customHeight="1">
      <c r="C39" s="10">
        <v>40030203</v>
      </c>
      <c r="D39" s="11" t="s">
        <v>75</v>
      </c>
      <c r="E39" s="12">
        <v>0</v>
      </c>
      <c r="F39" s="12">
        <v>1101</v>
      </c>
      <c r="G39" s="12">
        <v>1</v>
      </c>
      <c r="H39" s="12">
        <v>10</v>
      </c>
      <c r="I39" s="12">
        <v>0.3</v>
      </c>
      <c r="J39" s="16">
        <v>0</v>
      </c>
      <c r="K39" s="16">
        <v>0</v>
      </c>
      <c r="L39" s="15">
        <v>0</v>
      </c>
      <c r="M39" s="15">
        <v>10</v>
      </c>
      <c r="N39" s="15">
        <v>20</v>
      </c>
      <c r="O39" s="17">
        <v>0</v>
      </c>
      <c r="P39" s="17">
        <v>0</v>
      </c>
      <c r="Q39" s="12">
        <v>0</v>
      </c>
      <c r="R39" s="12">
        <v>20</v>
      </c>
      <c r="S39" s="12">
        <v>0</v>
      </c>
      <c r="T39" s="12">
        <v>10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6">
        <v>0</v>
      </c>
      <c r="AC39" s="16">
        <v>0</v>
      </c>
      <c r="AD39" s="16">
        <v>0</v>
      </c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</row>
    <row r="40" spans="3:199" s="2" customFormat="1" ht="20.100000000000001" customHeight="1">
      <c r="C40" s="10">
        <v>40030204</v>
      </c>
      <c r="D40" s="11" t="s">
        <v>76</v>
      </c>
      <c r="E40" s="12">
        <v>0</v>
      </c>
      <c r="F40" s="12">
        <v>0</v>
      </c>
      <c r="G40" s="12">
        <v>1</v>
      </c>
      <c r="H40" s="12">
        <v>10</v>
      </c>
      <c r="I40" s="12">
        <v>0.3</v>
      </c>
      <c r="J40" s="16">
        <v>0</v>
      </c>
      <c r="K40" s="16">
        <v>0</v>
      </c>
      <c r="L40" s="15">
        <v>0</v>
      </c>
      <c r="M40" s="15">
        <v>0</v>
      </c>
      <c r="N40" s="15">
        <v>20</v>
      </c>
      <c r="O40" s="17">
        <v>0</v>
      </c>
      <c r="P40" s="17">
        <v>0</v>
      </c>
      <c r="Q40" s="12">
        <v>0</v>
      </c>
      <c r="R40" s="12">
        <v>0</v>
      </c>
      <c r="S40" s="12">
        <v>0</v>
      </c>
      <c r="T40" s="12">
        <v>10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6">
        <v>0</v>
      </c>
      <c r="AC40" s="16">
        <v>0</v>
      </c>
      <c r="AD40" s="16">
        <v>0</v>
      </c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</row>
    <row r="41" spans="3:199" s="2" customFormat="1" ht="20.100000000000001" customHeight="1">
      <c r="C41" s="10">
        <v>40030205</v>
      </c>
      <c r="D41" s="11" t="s">
        <v>77</v>
      </c>
      <c r="E41" s="12">
        <v>0</v>
      </c>
      <c r="F41" s="12">
        <v>0</v>
      </c>
      <c r="G41" s="12">
        <v>1</v>
      </c>
      <c r="H41" s="12">
        <v>10</v>
      </c>
      <c r="I41" s="12">
        <v>0.3</v>
      </c>
      <c r="J41" s="16">
        <v>0</v>
      </c>
      <c r="K41" s="16">
        <v>0</v>
      </c>
      <c r="L41" s="15">
        <v>0</v>
      </c>
      <c r="M41" s="15">
        <v>10</v>
      </c>
      <c r="N41" s="15">
        <v>20</v>
      </c>
      <c r="O41" s="17">
        <v>0</v>
      </c>
      <c r="P41" s="17">
        <v>0</v>
      </c>
      <c r="Q41" s="12">
        <v>0</v>
      </c>
      <c r="R41" s="12">
        <v>0</v>
      </c>
      <c r="S41" s="12">
        <v>0</v>
      </c>
      <c r="T41" s="12">
        <v>10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6">
        <v>0</v>
      </c>
      <c r="AC41" s="16">
        <v>0</v>
      </c>
      <c r="AD41" s="16">
        <v>0</v>
      </c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</row>
    <row r="42" spans="3:199" s="2" customFormat="1" ht="20.100000000000001" customHeight="1">
      <c r="C42" s="10">
        <v>40030206</v>
      </c>
      <c r="D42" s="11" t="s">
        <v>78</v>
      </c>
      <c r="E42" s="12">
        <v>0</v>
      </c>
      <c r="F42" s="12">
        <v>0</v>
      </c>
      <c r="G42" s="12">
        <v>1</v>
      </c>
      <c r="H42" s="12">
        <v>10</v>
      </c>
      <c r="I42" s="12">
        <v>0.3</v>
      </c>
      <c r="J42" s="16">
        <v>0</v>
      </c>
      <c r="K42" s="16">
        <v>0</v>
      </c>
      <c r="L42" s="15">
        <v>0</v>
      </c>
      <c r="M42" s="15">
        <v>10</v>
      </c>
      <c r="N42" s="15">
        <v>20</v>
      </c>
      <c r="O42" s="17">
        <v>0</v>
      </c>
      <c r="P42" s="17">
        <v>0</v>
      </c>
      <c r="Q42" s="12">
        <v>0</v>
      </c>
      <c r="R42" s="12">
        <v>10</v>
      </c>
      <c r="S42" s="12">
        <v>0</v>
      </c>
      <c r="T42" s="12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6">
        <v>0</v>
      </c>
      <c r="AC42" s="16">
        <v>0</v>
      </c>
      <c r="AD42" s="16">
        <v>0</v>
      </c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</row>
    <row r="43" spans="3:199" s="2" customFormat="1" ht="20.100000000000001" customHeight="1">
      <c r="C43" s="10">
        <v>40030207</v>
      </c>
      <c r="D43" s="11" t="s">
        <v>79</v>
      </c>
      <c r="E43" s="12">
        <v>0</v>
      </c>
      <c r="F43" s="12">
        <v>0</v>
      </c>
      <c r="G43" s="12">
        <v>1</v>
      </c>
      <c r="H43" s="12">
        <v>10</v>
      </c>
      <c r="I43" s="12">
        <v>0.3</v>
      </c>
      <c r="J43" s="16">
        <v>0</v>
      </c>
      <c r="K43" s="16">
        <v>0</v>
      </c>
      <c r="L43" s="15">
        <v>0</v>
      </c>
      <c r="M43" s="15">
        <v>20</v>
      </c>
      <c r="N43" s="15">
        <v>40</v>
      </c>
      <c r="O43" s="17">
        <v>0</v>
      </c>
      <c r="P43" s="17">
        <v>0</v>
      </c>
      <c r="Q43" s="12">
        <v>0</v>
      </c>
      <c r="R43" s="12">
        <v>0</v>
      </c>
      <c r="S43" s="12">
        <v>0</v>
      </c>
      <c r="T43" s="12">
        <v>10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6">
        <v>0</v>
      </c>
      <c r="AC43" s="16">
        <v>0</v>
      </c>
      <c r="AD43" s="16">
        <v>0</v>
      </c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</row>
    <row r="44" spans="3:199" s="2" customFormat="1" ht="20.100000000000001" customHeight="1">
      <c r="C44" s="10">
        <v>40030208</v>
      </c>
      <c r="D44" s="11" t="s">
        <v>80</v>
      </c>
      <c r="E44" s="12">
        <v>0</v>
      </c>
      <c r="F44" s="12">
        <v>1102</v>
      </c>
      <c r="G44" s="12">
        <v>1</v>
      </c>
      <c r="H44" s="12">
        <v>10</v>
      </c>
      <c r="I44" s="12">
        <v>0.3</v>
      </c>
      <c r="J44" s="16">
        <v>0</v>
      </c>
      <c r="K44" s="16">
        <v>0</v>
      </c>
      <c r="L44" s="15">
        <v>0</v>
      </c>
      <c r="M44" s="15">
        <v>0</v>
      </c>
      <c r="N44" s="15">
        <v>0</v>
      </c>
      <c r="O44" s="17">
        <v>0</v>
      </c>
      <c r="P44" s="17">
        <v>0</v>
      </c>
      <c r="Q44" s="12">
        <v>10</v>
      </c>
      <c r="R44" s="12">
        <v>20</v>
      </c>
      <c r="S44" s="12">
        <v>0</v>
      </c>
      <c r="T44" s="12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6">
        <v>0</v>
      </c>
      <c r="AC44" s="16">
        <v>0</v>
      </c>
      <c r="AD44" s="16">
        <v>0</v>
      </c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</row>
    <row r="45" spans="3:199" s="2" customFormat="1" ht="20.100000000000001" customHeight="1">
      <c r="C45" s="10">
        <v>40030209</v>
      </c>
      <c r="D45" s="11" t="s">
        <v>81</v>
      </c>
      <c r="E45" s="12">
        <v>0</v>
      </c>
      <c r="F45" s="12">
        <v>0</v>
      </c>
      <c r="G45" s="12">
        <v>1</v>
      </c>
      <c r="H45" s="12">
        <v>10</v>
      </c>
      <c r="I45" s="12">
        <v>0.3</v>
      </c>
      <c r="J45" s="16">
        <v>0</v>
      </c>
      <c r="K45" s="16">
        <v>0</v>
      </c>
      <c r="L45" s="15">
        <v>0</v>
      </c>
      <c r="M45" s="15">
        <v>10</v>
      </c>
      <c r="N45" s="15">
        <v>20</v>
      </c>
      <c r="O45" s="17">
        <v>0</v>
      </c>
      <c r="P45" s="17">
        <v>0</v>
      </c>
      <c r="Q45" s="12">
        <v>20</v>
      </c>
      <c r="R45" s="12">
        <v>20</v>
      </c>
      <c r="S45" s="12">
        <v>0</v>
      </c>
      <c r="T45" s="12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6">
        <v>0</v>
      </c>
      <c r="AC45" s="16">
        <v>0</v>
      </c>
      <c r="AD45" s="16">
        <v>0</v>
      </c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</row>
    <row r="46" spans="3:199" s="2" customFormat="1" ht="20.100000000000001" customHeight="1">
      <c r="C46" s="10">
        <v>40030210</v>
      </c>
      <c r="D46" s="11" t="s">
        <v>82</v>
      </c>
      <c r="E46" s="12">
        <v>0</v>
      </c>
      <c r="F46" s="12">
        <v>1102</v>
      </c>
      <c r="G46" s="12">
        <v>1</v>
      </c>
      <c r="H46" s="12">
        <v>10</v>
      </c>
      <c r="I46" s="12">
        <v>0.3</v>
      </c>
      <c r="J46" s="16">
        <v>0</v>
      </c>
      <c r="K46" s="16">
        <v>0</v>
      </c>
      <c r="L46" s="15">
        <v>0</v>
      </c>
      <c r="M46" s="15">
        <v>0</v>
      </c>
      <c r="N46" s="15">
        <v>10</v>
      </c>
      <c r="O46" s="17">
        <v>0</v>
      </c>
      <c r="P46" s="17">
        <v>0</v>
      </c>
      <c r="Q46" s="12">
        <v>0</v>
      </c>
      <c r="R46" s="12">
        <v>0</v>
      </c>
      <c r="S46" s="12">
        <v>0</v>
      </c>
      <c r="T46" s="12">
        <v>30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6">
        <v>0</v>
      </c>
      <c r="AC46" s="16">
        <v>0</v>
      </c>
      <c r="AD46" s="16">
        <v>0</v>
      </c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</row>
    <row r="47" spans="3:199" s="2" customFormat="1" ht="20.100000000000001" customHeight="1">
      <c r="C47" s="10">
        <v>40030211</v>
      </c>
      <c r="D47" s="11" t="s">
        <v>83</v>
      </c>
      <c r="E47" s="12">
        <v>0</v>
      </c>
      <c r="F47" s="12">
        <v>1102</v>
      </c>
      <c r="G47" s="12">
        <v>1</v>
      </c>
      <c r="H47" s="12">
        <v>10</v>
      </c>
      <c r="I47" s="12">
        <v>0.3</v>
      </c>
      <c r="J47" s="16">
        <v>0</v>
      </c>
      <c r="K47" s="16">
        <v>0</v>
      </c>
      <c r="L47" s="15">
        <v>0</v>
      </c>
      <c r="M47" s="15">
        <v>20</v>
      </c>
      <c r="N47" s="15">
        <v>30</v>
      </c>
      <c r="O47" s="17">
        <v>0</v>
      </c>
      <c r="P47" s="17">
        <v>0</v>
      </c>
      <c r="Q47" s="12">
        <v>0</v>
      </c>
      <c r="R47" s="12">
        <v>10</v>
      </c>
      <c r="S47" s="12">
        <v>0</v>
      </c>
      <c r="T47" s="12">
        <v>10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6">
        <v>0</v>
      </c>
      <c r="AC47" s="16">
        <v>0</v>
      </c>
      <c r="AD47" s="16">
        <v>0</v>
      </c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</row>
    <row r="48" spans="3:199" s="2" customFormat="1" ht="20.100000000000001" customHeight="1">
      <c r="C48" s="10">
        <v>40030212</v>
      </c>
      <c r="D48" s="11" t="s">
        <v>84</v>
      </c>
      <c r="E48" s="12">
        <v>0</v>
      </c>
      <c r="F48" s="12">
        <v>0</v>
      </c>
      <c r="G48" s="12">
        <v>1</v>
      </c>
      <c r="H48" s="12">
        <v>10</v>
      </c>
      <c r="I48" s="12">
        <v>0.3</v>
      </c>
      <c r="J48" s="16">
        <v>0</v>
      </c>
      <c r="K48" s="16">
        <v>0</v>
      </c>
      <c r="L48" s="15">
        <v>0</v>
      </c>
      <c r="M48" s="15">
        <v>10</v>
      </c>
      <c r="N48" s="15">
        <v>40</v>
      </c>
      <c r="O48" s="17">
        <v>0</v>
      </c>
      <c r="P48" s="17">
        <v>0</v>
      </c>
      <c r="Q48" s="12">
        <v>0</v>
      </c>
      <c r="R48" s="12">
        <v>20</v>
      </c>
      <c r="S48" s="12">
        <v>0</v>
      </c>
      <c r="T48" s="12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6">
        <v>0</v>
      </c>
      <c r="AC48" s="16">
        <v>0</v>
      </c>
      <c r="AD48" s="16">
        <v>0</v>
      </c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</row>
    <row r="49" spans="3:199" s="2" customFormat="1" ht="20.100000000000001" customHeight="1">
      <c r="C49" s="10">
        <v>40030213</v>
      </c>
      <c r="D49" s="11" t="s">
        <v>85</v>
      </c>
      <c r="E49" s="12">
        <v>0</v>
      </c>
      <c r="F49" s="12">
        <v>0</v>
      </c>
      <c r="G49" s="12">
        <v>1</v>
      </c>
      <c r="H49" s="12">
        <v>10</v>
      </c>
      <c r="I49" s="12">
        <v>0.3</v>
      </c>
      <c r="J49" s="16">
        <v>0</v>
      </c>
      <c r="K49" s="16">
        <v>0</v>
      </c>
      <c r="L49" s="15">
        <v>0</v>
      </c>
      <c r="M49" s="15">
        <v>20</v>
      </c>
      <c r="N49" s="15">
        <v>50</v>
      </c>
      <c r="O49" s="17">
        <v>0</v>
      </c>
      <c r="P49" s="17">
        <v>0</v>
      </c>
      <c r="Q49" s="12">
        <v>0</v>
      </c>
      <c r="R49" s="12">
        <v>20</v>
      </c>
      <c r="S49" s="12">
        <v>0</v>
      </c>
      <c r="T49" s="12">
        <v>10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6">
        <v>0</v>
      </c>
      <c r="AC49" s="16">
        <v>0</v>
      </c>
      <c r="AD49" s="16">
        <v>0</v>
      </c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</row>
    <row r="50" spans="3:199" s="2" customFormat="1" ht="20.100000000000001" customHeight="1">
      <c r="C50" s="10">
        <v>40030214</v>
      </c>
      <c r="D50" s="11" t="s">
        <v>86</v>
      </c>
      <c r="E50" s="12">
        <v>0</v>
      </c>
      <c r="F50" s="12">
        <v>1101</v>
      </c>
      <c r="G50" s="12">
        <v>1</v>
      </c>
      <c r="H50" s="12">
        <v>10</v>
      </c>
      <c r="I50" s="12">
        <v>0.3</v>
      </c>
      <c r="J50" s="16">
        <v>0</v>
      </c>
      <c r="K50" s="16">
        <v>0</v>
      </c>
      <c r="L50" s="15">
        <v>0</v>
      </c>
      <c r="M50" s="15">
        <v>20</v>
      </c>
      <c r="N50" s="15">
        <v>70</v>
      </c>
      <c r="O50" s="17">
        <v>0</v>
      </c>
      <c r="P50" s="17">
        <v>0</v>
      </c>
      <c r="Q50" s="12">
        <v>0</v>
      </c>
      <c r="R50" s="12">
        <v>20</v>
      </c>
      <c r="S50" s="12">
        <v>0</v>
      </c>
      <c r="T50" s="12">
        <v>20</v>
      </c>
      <c r="U50" s="15">
        <v>0.01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6">
        <v>0</v>
      </c>
      <c r="AC50" s="16">
        <v>0</v>
      </c>
      <c r="AD50" s="16">
        <v>0</v>
      </c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</row>
    <row r="51" spans="3:199" s="2" customFormat="1" ht="20.100000000000001" customHeight="1">
      <c r="C51" s="10">
        <v>40030215</v>
      </c>
      <c r="D51" s="11" t="s">
        <v>87</v>
      </c>
      <c r="E51" s="12">
        <v>0</v>
      </c>
      <c r="F51" s="12">
        <v>0</v>
      </c>
      <c r="G51" s="12">
        <v>1</v>
      </c>
      <c r="H51" s="12">
        <v>10</v>
      </c>
      <c r="I51" s="12">
        <v>0.3</v>
      </c>
      <c r="J51" s="16">
        <v>0</v>
      </c>
      <c r="K51" s="16">
        <v>0</v>
      </c>
      <c r="L51" s="15">
        <v>0</v>
      </c>
      <c r="M51" s="15">
        <v>20</v>
      </c>
      <c r="N51" s="15">
        <v>60</v>
      </c>
      <c r="O51" s="17">
        <v>0</v>
      </c>
      <c r="P51" s="17">
        <v>0</v>
      </c>
      <c r="Q51" s="12">
        <v>0</v>
      </c>
      <c r="R51" s="12">
        <v>0</v>
      </c>
      <c r="S51" s="12">
        <v>0</v>
      </c>
      <c r="T51" s="12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6">
        <v>0</v>
      </c>
      <c r="AC51" s="16">
        <v>0</v>
      </c>
      <c r="AD51" s="16">
        <v>0</v>
      </c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</row>
    <row r="52" spans="3:199" s="2" customFormat="1" ht="20.100000000000001" customHeight="1">
      <c r="C52" s="10">
        <v>40030216</v>
      </c>
      <c r="D52" s="11" t="s">
        <v>88</v>
      </c>
      <c r="E52" s="12">
        <v>0</v>
      </c>
      <c r="F52" s="12">
        <v>0</v>
      </c>
      <c r="G52" s="12">
        <v>1</v>
      </c>
      <c r="H52" s="12">
        <v>10</v>
      </c>
      <c r="I52" s="12">
        <v>0.3</v>
      </c>
      <c r="J52" s="16">
        <v>0</v>
      </c>
      <c r="K52" s="16">
        <v>0</v>
      </c>
      <c r="L52" s="15">
        <v>0</v>
      </c>
      <c r="M52" s="15">
        <v>20</v>
      </c>
      <c r="N52" s="15">
        <v>40</v>
      </c>
      <c r="O52" s="17">
        <v>0</v>
      </c>
      <c r="P52" s="17">
        <v>0</v>
      </c>
      <c r="Q52" s="12">
        <v>0</v>
      </c>
      <c r="R52" s="12">
        <v>0</v>
      </c>
      <c r="S52" s="12">
        <v>0</v>
      </c>
      <c r="T52" s="12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6">
        <v>0</v>
      </c>
      <c r="AC52" s="16">
        <v>0</v>
      </c>
      <c r="AD52" s="16">
        <v>0</v>
      </c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</row>
    <row r="53" spans="3:199" s="2" customFormat="1" ht="20.100000000000001" customHeight="1">
      <c r="C53" s="10">
        <v>40030217</v>
      </c>
      <c r="D53" s="11" t="s">
        <v>89</v>
      </c>
      <c r="E53" s="12">
        <v>0</v>
      </c>
      <c r="F53" s="12">
        <v>0</v>
      </c>
      <c r="G53" s="12">
        <v>1</v>
      </c>
      <c r="H53" s="12">
        <v>10</v>
      </c>
      <c r="I53" s="12">
        <v>0.3</v>
      </c>
      <c r="J53" s="16">
        <v>0</v>
      </c>
      <c r="K53" s="16">
        <v>0</v>
      </c>
      <c r="L53" s="15">
        <v>500</v>
      </c>
      <c r="M53" s="15">
        <v>0</v>
      </c>
      <c r="N53" s="15">
        <v>0</v>
      </c>
      <c r="O53" s="17">
        <v>0</v>
      </c>
      <c r="P53" s="17">
        <v>0</v>
      </c>
      <c r="Q53" s="12">
        <v>0</v>
      </c>
      <c r="R53" s="12">
        <v>0</v>
      </c>
      <c r="S53" s="12">
        <v>0</v>
      </c>
      <c r="T53" s="12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6">
        <v>0</v>
      </c>
      <c r="AC53" s="16">
        <v>0</v>
      </c>
      <c r="AD53" s="16">
        <v>0</v>
      </c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</row>
    <row r="54" spans="3:199" s="2" customFormat="1" ht="20.100000000000001" customHeight="1">
      <c r="C54" s="10">
        <v>40030218</v>
      </c>
      <c r="D54" s="11" t="s">
        <v>90</v>
      </c>
      <c r="E54" s="12">
        <v>0</v>
      </c>
      <c r="F54" s="12">
        <v>0</v>
      </c>
      <c r="G54" s="12">
        <v>1</v>
      </c>
      <c r="H54" s="12">
        <v>10</v>
      </c>
      <c r="I54" s="12">
        <v>0.3</v>
      </c>
      <c r="J54" s="16">
        <v>0</v>
      </c>
      <c r="K54" s="16">
        <v>0</v>
      </c>
      <c r="L54" s="15">
        <v>0</v>
      </c>
      <c r="M54" s="15">
        <v>50</v>
      </c>
      <c r="N54" s="15">
        <v>120</v>
      </c>
      <c r="O54" s="17">
        <v>0</v>
      </c>
      <c r="P54" s="17">
        <v>0</v>
      </c>
      <c r="Q54" s="12">
        <v>0</v>
      </c>
      <c r="R54" s="12">
        <v>0</v>
      </c>
      <c r="S54" s="12">
        <v>0</v>
      </c>
      <c r="T54" s="12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6">
        <v>0</v>
      </c>
      <c r="AC54" s="16">
        <v>0</v>
      </c>
      <c r="AD54" s="16">
        <v>0</v>
      </c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</row>
    <row r="55" spans="3:199" s="2" customFormat="1" ht="20.100000000000001" customHeight="1">
      <c r="C55" s="10">
        <v>40030219</v>
      </c>
      <c r="D55" s="11" t="s">
        <v>91</v>
      </c>
      <c r="E55" s="12">
        <v>0</v>
      </c>
      <c r="F55" s="12">
        <v>0</v>
      </c>
      <c r="G55" s="12">
        <v>1</v>
      </c>
      <c r="H55" s="12">
        <v>10</v>
      </c>
      <c r="I55" s="12">
        <v>0.3</v>
      </c>
      <c r="J55" s="16">
        <v>0</v>
      </c>
      <c r="K55" s="16">
        <v>0</v>
      </c>
      <c r="L55" s="15">
        <v>0</v>
      </c>
      <c r="M55" s="15">
        <v>20</v>
      </c>
      <c r="N55" s="15">
        <v>180</v>
      </c>
      <c r="O55" s="17">
        <v>0</v>
      </c>
      <c r="P55" s="17">
        <v>0</v>
      </c>
      <c r="Q55" s="12">
        <v>0</v>
      </c>
      <c r="R55" s="12">
        <v>0</v>
      </c>
      <c r="S55" s="12">
        <v>0</v>
      </c>
      <c r="T55" s="12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6">
        <v>0</v>
      </c>
      <c r="AC55" s="16">
        <v>0</v>
      </c>
      <c r="AD55" s="16">
        <v>0</v>
      </c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</row>
    <row r="56" spans="3:199" s="2" customFormat="1" ht="20.100000000000001" customHeight="1">
      <c r="C56" s="10">
        <v>40030220</v>
      </c>
      <c r="D56" s="11" t="s">
        <v>92</v>
      </c>
      <c r="E56" s="12">
        <v>0</v>
      </c>
      <c r="F56" s="12">
        <v>1103</v>
      </c>
      <c r="G56" s="12">
        <v>1</v>
      </c>
      <c r="H56" s="12">
        <v>10</v>
      </c>
      <c r="I56" s="12">
        <v>0.3</v>
      </c>
      <c r="J56" s="16">
        <v>0</v>
      </c>
      <c r="K56" s="16">
        <v>0</v>
      </c>
      <c r="L56" s="15">
        <v>0</v>
      </c>
      <c r="M56" s="15">
        <v>0</v>
      </c>
      <c r="N56" s="15">
        <v>220</v>
      </c>
      <c r="O56" s="17">
        <v>0</v>
      </c>
      <c r="P56" s="17">
        <v>0</v>
      </c>
      <c r="Q56" s="12">
        <v>0</v>
      </c>
      <c r="R56" s="12">
        <v>0</v>
      </c>
      <c r="S56" s="12">
        <v>0</v>
      </c>
      <c r="T56" s="12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6">
        <v>0</v>
      </c>
      <c r="AC56" s="16">
        <v>0</v>
      </c>
      <c r="AD56" s="16">
        <v>0</v>
      </c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</row>
    <row r="57" spans="3:199" s="2" customFormat="1" ht="20.100000000000001" customHeight="1">
      <c r="C57" s="10">
        <v>40030221</v>
      </c>
      <c r="D57" s="11" t="s">
        <v>93</v>
      </c>
      <c r="E57" s="12">
        <v>0</v>
      </c>
      <c r="F57" s="12">
        <v>0</v>
      </c>
      <c r="G57" s="12">
        <v>1</v>
      </c>
      <c r="H57" s="12">
        <v>10</v>
      </c>
      <c r="I57" s="12">
        <v>0.3</v>
      </c>
      <c r="J57" s="16">
        <v>0</v>
      </c>
      <c r="K57" s="16">
        <v>0</v>
      </c>
      <c r="L57" s="15">
        <v>150</v>
      </c>
      <c r="M57" s="15">
        <v>0</v>
      </c>
      <c r="N57" s="15">
        <v>0</v>
      </c>
      <c r="O57" s="17">
        <v>0</v>
      </c>
      <c r="P57" s="17">
        <v>0</v>
      </c>
      <c r="Q57" s="12">
        <v>0</v>
      </c>
      <c r="R57" s="12">
        <v>20</v>
      </c>
      <c r="S57" s="12">
        <v>0</v>
      </c>
      <c r="T57" s="12">
        <v>20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6">
        <v>0</v>
      </c>
      <c r="AC57" s="16">
        <v>0</v>
      </c>
      <c r="AD57" s="16">
        <v>0</v>
      </c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</row>
    <row r="58" spans="3:199" s="2" customFormat="1" ht="20.100000000000001" customHeight="1">
      <c r="C58" s="13">
        <v>40030222</v>
      </c>
      <c r="D58" s="11" t="s">
        <v>94</v>
      </c>
      <c r="E58" s="12">
        <v>0</v>
      </c>
      <c r="F58" s="12">
        <v>1103</v>
      </c>
      <c r="G58" s="12">
        <v>1</v>
      </c>
      <c r="H58" s="12">
        <v>10</v>
      </c>
      <c r="I58" s="12">
        <v>0.3</v>
      </c>
      <c r="J58" s="16">
        <v>0</v>
      </c>
      <c r="K58" s="16">
        <v>0</v>
      </c>
      <c r="L58" s="18">
        <v>250</v>
      </c>
      <c r="M58" s="18">
        <v>0</v>
      </c>
      <c r="N58" s="18">
        <v>0</v>
      </c>
      <c r="O58" s="17">
        <v>0</v>
      </c>
      <c r="P58" s="17">
        <v>0</v>
      </c>
      <c r="Q58" s="12">
        <v>10</v>
      </c>
      <c r="R58" s="12">
        <v>30</v>
      </c>
      <c r="S58" s="12">
        <v>10</v>
      </c>
      <c r="T58" s="12">
        <v>30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6">
        <v>0</v>
      </c>
      <c r="AC58" s="16">
        <v>0</v>
      </c>
      <c r="AD58" s="16">
        <v>0</v>
      </c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</row>
    <row r="59" spans="3:199" s="2" customFormat="1" ht="20.100000000000001" customHeight="1">
      <c r="C59" s="13">
        <v>40030251</v>
      </c>
      <c r="D59" s="14" t="s">
        <v>95</v>
      </c>
      <c r="E59" s="12">
        <v>0</v>
      </c>
      <c r="F59" s="15">
        <v>0</v>
      </c>
      <c r="G59" s="12">
        <v>1</v>
      </c>
      <c r="H59" s="12">
        <v>10</v>
      </c>
      <c r="I59" s="12">
        <v>0.3</v>
      </c>
      <c r="J59" s="16">
        <v>0</v>
      </c>
      <c r="K59" s="16">
        <v>0</v>
      </c>
      <c r="L59" s="18">
        <v>0</v>
      </c>
      <c r="M59" s="18">
        <v>20</v>
      </c>
      <c r="N59" s="18">
        <v>50</v>
      </c>
      <c r="O59" s="17">
        <v>0</v>
      </c>
      <c r="P59" s="17">
        <v>0</v>
      </c>
      <c r="Q59" s="18">
        <v>0</v>
      </c>
      <c r="R59" s="18">
        <v>10</v>
      </c>
      <c r="S59" s="18">
        <v>0</v>
      </c>
      <c r="T59" s="18">
        <v>20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6">
        <v>0</v>
      </c>
      <c r="AC59" s="16">
        <v>0</v>
      </c>
      <c r="AD59" s="16">
        <v>0</v>
      </c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</row>
    <row r="60" spans="3:199" s="2" customFormat="1" ht="20.100000000000001" customHeight="1">
      <c r="C60" s="13">
        <v>40030252</v>
      </c>
      <c r="D60" s="14" t="s">
        <v>96</v>
      </c>
      <c r="E60" s="12">
        <v>0</v>
      </c>
      <c r="F60" s="15">
        <v>0</v>
      </c>
      <c r="G60" s="12">
        <v>1</v>
      </c>
      <c r="H60" s="12">
        <v>10</v>
      </c>
      <c r="I60" s="12">
        <v>0.3</v>
      </c>
      <c r="J60" s="16">
        <v>0</v>
      </c>
      <c r="K60" s="16">
        <v>0</v>
      </c>
      <c r="L60" s="18">
        <v>100</v>
      </c>
      <c r="M60" s="18">
        <v>0</v>
      </c>
      <c r="N60" s="18">
        <v>0</v>
      </c>
      <c r="O60" s="17">
        <v>0</v>
      </c>
      <c r="P60" s="17">
        <v>0</v>
      </c>
      <c r="Q60" s="18">
        <v>0</v>
      </c>
      <c r="R60" s="18">
        <v>0</v>
      </c>
      <c r="S60" s="18">
        <v>0</v>
      </c>
      <c r="T60" s="18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6">
        <v>0</v>
      </c>
      <c r="AC60" s="16">
        <v>0</v>
      </c>
      <c r="AD60" s="16">
        <v>0</v>
      </c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</row>
    <row r="61" spans="3:199" s="2" customFormat="1" ht="20.100000000000001" customHeight="1">
      <c r="C61" s="13">
        <v>40030253</v>
      </c>
      <c r="D61" s="14" t="s">
        <v>97</v>
      </c>
      <c r="E61" s="12">
        <v>0</v>
      </c>
      <c r="F61" s="15">
        <v>0</v>
      </c>
      <c r="G61" s="12">
        <v>1</v>
      </c>
      <c r="H61" s="12">
        <v>10</v>
      </c>
      <c r="I61" s="12">
        <v>0.3</v>
      </c>
      <c r="J61" s="16">
        <v>0</v>
      </c>
      <c r="K61" s="16">
        <v>0</v>
      </c>
      <c r="L61" s="18">
        <v>0</v>
      </c>
      <c r="M61" s="18">
        <v>10</v>
      </c>
      <c r="N61" s="18">
        <v>30</v>
      </c>
      <c r="O61" s="17">
        <v>0</v>
      </c>
      <c r="P61" s="17">
        <v>0</v>
      </c>
      <c r="Q61" s="18">
        <v>0</v>
      </c>
      <c r="R61" s="18">
        <v>20</v>
      </c>
      <c r="S61" s="18">
        <v>0</v>
      </c>
      <c r="T61" s="18">
        <v>20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6">
        <v>0</v>
      </c>
      <c r="AC61" s="16">
        <v>0</v>
      </c>
      <c r="AD61" s="16">
        <v>0</v>
      </c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</row>
    <row r="62" spans="3:199" s="2" customFormat="1" ht="20.100000000000001" customHeight="1">
      <c r="C62" s="13">
        <v>40030254</v>
      </c>
      <c r="D62" s="14" t="s">
        <v>98</v>
      </c>
      <c r="E62" s="12">
        <v>0</v>
      </c>
      <c r="F62" s="15">
        <v>0</v>
      </c>
      <c r="G62" s="12">
        <v>1</v>
      </c>
      <c r="H62" s="12">
        <v>10</v>
      </c>
      <c r="I62" s="12">
        <v>0.3</v>
      </c>
      <c r="J62" s="16">
        <v>0</v>
      </c>
      <c r="K62" s="16">
        <v>0</v>
      </c>
      <c r="L62" s="18">
        <v>0</v>
      </c>
      <c r="M62" s="18">
        <v>20</v>
      </c>
      <c r="N62" s="18">
        <v>20</v>
      </c>
      <c r="O62" s="17">
        <v>0</v>
      </c>
      <c r="P62" s="17">
        <v>0</v>
      </c>
      <c r="Q62" s="18">
        <v>0</v>
      </c>
      <c r="R62" s="18">
        <v>20</v>
      </c>
      <c r="S62" s="18">
        <v>0</v>
      </c>
      <c r="T62" s="18">
        <v>20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6">
        <v>0</v>
      </c>
      <c r="AC62" s="16">
        <v>0</v>
      </c>
      <c r="AD62" s="16">
        <v>0</v>
      </c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</row>
    <row r="63" spans="3:199" s="2" customFormat="1" ht="20.100000000000001" customHeight="1">
      <c r="C63" s="13">
        <v>40030255</v>
      </c>
      <c r="D63" s="14" t="s">
        <v>99</v>
      </c>
      <c r="E63" s="12">
        <v>0</v>
      </c>
      <c r="F63" s="15">
        <v>0</v>
      </c>
      <c r="G63" s="12">
        <v>1</v>
      </c>
      <c r="H63" s="12">
        <v>10</v>
      </c>
      <c r="I63" s="12">
        <v>0.3</v>
      </c>
      <c r="J63" s="16">
        <v>0</v>
      </c>
      <c r="K63" s="16">
        <v>0</v>
      </c>
      <c r="L63" s="18">
        <v>150</v>
      </c>
      <c r="M63" s="18">
        <v>0</v>
      </c>
      <c r="N63" s="18">
        <v>0</v>
      </c>
      <c r="O63" s="17">
        <v>0</v>
      </c>
      <c r="P63" s="17">
        <v>0</v>
      </c>
      <c r="Q63" s="18">
        <v>10</v>
      </c>
      <c r="R63" s="18">
        <v>20</v>
      </c>
      <c r="S63" s="18">
        <v>10</v>
      </c>
      <c r="T63" s="18">
        <v>20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6">
        <v>0</v>
      </c>
      <c r="AC63" s="16">
        <v>0</v>
      </c>
      <c r="AD63" s="16">
        <v>0</v>
      </c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</row>
    <row r="64" spans="3:199" s="2" customFormat="1" ht="20.100000000000001" customHeight="1">
      <c r="C64" s="13">
        <v>40030256</v>
      </c>
      <c r="D64" s="14" t="s">
        <v>100</v>
      </c>
      <c r="E64" s="12">
        <v>0</v>
      </c>
      <c r="F64" s="15">
        <v>1104</v>
      </c>
      <c r="G64" s="12">
        <v>1</v>
      </c>
      <c r="H64" s="12">
        <v>10</v>
      </c>
      <c r="I64" s="12">
        <v>0.3</v>
      </c>
      <c r="J64" s="16">
        <v>0</v>
      </c>
      <c r="K64" s="16">
        <v>0</v>
      </c>
      <c r="L64" s="18">
        <v>0</v>
      </c>
      <c r="M64" s="18">
        <v>20</v>
      </c>
      <c r="N64" s="18">
        <v>30</v>
      </c>
      <c r="O64" s="17">
        <v>0</v>
      </c>
      <c r="P64" s="17">
        <v>0</v>
      </c>
      <c r="Q64" s="18">
        <v>0</v>
      </c>
      <c r="R64" s="18">
        <v>10</v>
      </c>
      <c r="S64" s="18">
        <v>0</v>
      </c>
      <c r="T64" s="18">
        <v>20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6">
        <v>0</v>
      </c>
      <c r="AC64" s="16">
        <v>0</v>
      </c>
      <c r="AD64" s="16">
        <v>0</v>
      </c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</row>
    <row r="65" spans="3:199" s="2" customFormat="1" ht="20.100000000000001" customHeight="1">
      <c r="C65" s="13">
        <v>40030257</v>
      </c>
      <c r="D65" s="14" t="s">
        <v>101</v>
      </c>
      <c r="E65" s="12">
        <v>0</v>
      </c>
      <c r="F65" s="15">
        <v>1104</v>
      </c>
      <c r="G65" s="12">
        <v>1</v>
      </c>
      <c r="H65" s="12">
        <v>10</v>
      </c>
      <c r="I65" s="12">
        <v>0.3</v>
      </c>
      <c r="J65" s="16">
        <v>0</v>
      </c>
      <c r="K65" s="16">
        <v>0</v>
      </c>
      <c r="L65" s="18">
        <v>0</v>
      </c>
      <c r="M65" s="18">
        <v>0</v>
      </c>
      <c r="N65" s="18">
        <v>10</v>
      </c>
      <c r="O65" s="17">
        <v>0</v>
      </c>
      <c r="P65" s="17">
        <v>0</v>
      </c>
      <c r="Q65" s="18">
        <v>10</v>
      </c>
      <c r="R65" s="18">
        <v>20</v>
      </c>
      <c r="S65" s="18">
        <v>0</v>
      </c>
      <c r="T65" s="18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6">
        <v>0</v>
      </c>
      <c r="AC65" s="16">
        <v>0</v>
      </c>
      <c r="AD65" s="16">
        <v>0</v>
      </c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</row>
    <row r="66" spans="3:199" s="2" customFormat="1" ht="20.100000000000001" customHeight="1">
      <c r="C66" s="13">
        <v>40030258</v>
      </c>
      <c r="D66" s="14" t="s">
        <v>102</v>
      </c>
      <c r="E66" s="12">
        <v>0</v>
      </c>
      <c r="F66" s="15">
        <v>1104</v>
      </c>
      <c r="G66" s="12">
        <v>1</v>
      </c>
      <c r="H66" s="12">
        <v>10</v>
      </c>
      <c r="I66" s="12">
        <v>0.3</v>
      </c>
      <c r="J66" s="16">
        <v>0</v>
      </c>
      <c r="K66" s="16">
        <v>0</v>
      </c>
      <c r="L66" s="18">
        <v>0</v>
      </c>
      <c r="M66" s="18">
        <v>0</v>
      </c>
      <c r="N66" s="18">
        <v>20</v>
      </c>
      <c r="O66" s="17">
        <v>0</v>
      </c>
      <c r="P66" s="17">
        <v>0</v>
      </c>
      <c r="Q66" s="18">
        <v>0</v>
      </c>
      <c r="R66" s="18">
        <v>0</v>
      </c>
      <c r="S66" s="18">
        <v>10</v>
      </c>
      <c r="T66" s="18">
        <v>20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6">
        <v>0</v>
      </c>
      <c r="AC66" s="16">
        <v>0</v>
      </c>
      <c r="AD66" s="16">
        <v>0</v>
      </c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</row>
    <row r="67" spans="3:199" s="2" customFormat="1" ht="20.100000000000001" customHeight="1">
      <c r="C67" s="13">
        <v>40030259</v>
      </c>
      <c r="D67" s="14" t="s">
        <v>103</v>
      </c>
      <c r="E67" s="12">
        <v>0</v>
      </c>
      <c r="F67" s="15">
        <v>0</v>
      </c>
      <c r="G67" s="12">
        <v>1</v>
      </c>
      <c r="H67" s="12">
        <v>10</v>
      </c>
      <c r="I67" s="12">
        <v>0.3</v>
      </c>
      <c r="J67" s="16">
        <v>0</v>
      </c>
      <c r="K67" s="16">
        <v>0</v>
      </c>
      <c r="L67" s="18">
        <v>0</v>
      </c>
      <c r="M67" s="18">
        <v>0</v>
      </c>
      <c r="N67" s="18">
        <v>300</v>
      </c>
      <c r="O67" s="17">
        <v>0</v>
      </c>
      <c r="P67" s="17">
        <v>0</v>
      </c>
      <c r="Q67" s="18">
        <v>0</v>
      </c>
      <c r="R67" s="18">
        <v>0</v>
      </c>
      <c r="S67" s="18">
        <v>0</v>
      </c>
      <c r="T67" s="18">
        <v>0</v>
      </c>
      <c r="U67" s="15">
        <v>0.1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6">
        <v>0</v>
      </c>
      <c r="AC67" s="16">
        <v>0</v>
      </c>
      <c r="AD67" s="16">
        <v>0</v>
      </c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</row>
    <row r="68" spans="3:199" s="2" customFormat="1" ht="20.100000000000001" customHeight="1">
      <c r="C68" s="13">
        <v>40030260</v>
      </c>
      <c r="D68" s="14" t="s">
        <v>104</v>
      </c>
      <c r="E68" s="12">
        <v>0</v>
      </c>
      <c r="F68" s="15">
        <v>0</v>
      </c>
      <c r="G68" s="12">
        <v>1</v>
      </c>
      <c r="H68" s="12">
        <v>10</v>
      </c>
      <c r="I68" s="12">
        <v>0.3</v>
      </c>
      <c r="J68" s="16">
        <v>0</v>
      </c>
      <c r="K68" s="16">
        <v>0</v>
      </c>
      <c r="L68" s="18">
        <v>100</v>
      </c>
      <c r="M68" s="18">
        <v>0</v>
      </c>
      <c r="N68" s="18">
        <v>0</v>
      </c>
      <c r="O68" s="17">
        <v>0</v>
      </c>
      <c r="P68" s="17">
        <v>0</v>
      </c>
      <c r="Q68" s="18">
        <v>0</v>
      </c>
      <c r="R68" s="18">
        <v>0</v>
      </c>
      <c r="S68" s="18">
        <v>0</v>
      </c>
      <c r="T68" s="18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6">
        <v>0</v>
      </c>
      <c r="AC68" s="16">
        <v>0</v>
      </c>
      <c r="AD68" s="16">
        <v>0</v>
      </c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</row>
    <row r="69" spans="3:199" s="2" customFormat="1" ht="20.100000000000001" customHeight="1">
      <c r="C69" s="13">
        <v>40030261</v>
      </c>
      <c r="D69" s="14" t="s">
        <v>105</v>
      </c>
      <c r="E69" s="12">
        <v>0</v>
      </c>
      <c r="F69" s="15">
        <v>0</v>
      </c>
      <c r="G69" s="12">
        <v>1</v>
      </c>
      <c r="H69" s="12">
        <v>10</v>
      </c>
      <c r="I69" s="12">
        <v>0.3</v>
      </c>
      <c r="J69" s="16">
        <v>0</v>
      </c>
      <c r="K69" s="16">
        <v>0</v>
      </c>
      <c r="L69" s="18">
        <v>0</v>
      </c>
      <c r="M69" s="18">
        <v>0</v>
      </c>
      <c r="N69" s="18">
        <v>10</v>
      </c>
      <c r="O69" s="17">
        <v>0</v>
      </c>
      <c r="P69" s="17">
        <v>0</v>
      </c>
      <c r="Q69" s="18">
        <v>0</v>
      </c>
      <c r="R69" s="18">
        <v>0</v>
      </c>
      <c r="S69" s="18">
        <v>0</v>
      </c>
      <c r="T69" s="18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6">
        <v>0</v>
      </c>
      <c r="AC69" s="16">
        <v>0</v>
      </c>
      <c r="AD69" s="16">
        <v>0</v>
      </c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</row>
    <row r="70" spans="3:199" s="2" customFormat="1" ht="20.100000000000001" customHeight="1">
      <c r="C70" s="13">
        <v>40030262</v>
      </c>
      <c r="D70" s="14" t="s">
        <v>106</v>
      </c>
      <c r="E70" s="12">
        <v>0</v>
      </c>
      <c r="F70" s="15">
        <v>0</v>
      </c>
      <c r="G70" s="12">
        <v>1</v>
      </c>
      <c r="H70" s="12">
        <v>10</v>
      </c>
      <c r="I70" s="12">
        <v>0.3</v>
      </c>
      <c r="J70" s="16">
        <v>0</v>
      </c>
      <c r="K70" s="16">
        <v>0</v>
      </c>
      <c r="L70" s="18">
        <v>0</v>
      </c>
      <c r="M70" s="18">
        <v>0</v>
      </c>
      <c r="N70" s="18">
        <v>0</v>
      </c>
      <c r="O70" s="17">
        <v>0</v>
      </c>
      <c r="P70" s="17">
        <v>0</v>
      </c>
      <c r="Q70" s="18">
        <v>0</v>
      </c>
      <c r="R70" s="18">
        <v>10</v>
      </c>
      <c r="S70" s="18">
        <v>0</v>
      </c>
      <c r="T70" s="18">
        <v>10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6">
        <v>0</v>
      </c>
      <c r="AC70" s="16">
        <v>0</v>
      </c>
      <c r="AD70" s="16">
        <v>0</v>
      </c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</row>
    <row r="71" spans="3:199" s="2" customFormat="1" ht="20.100000000000001" customHeight="1">
      <c r="C71" s="13">
        <v>40030263</v>
      </c>
      <c r="D71" s="11" t="s">
        <v>107</v>
      </c>
      <c r="E71" s="12">
        <v>0</v>
      </c>
      <c r="F71" s="12">
        <v>0</v>
      </c>
      <c r="G71" s="12">
        <v>1</v>
      </c>
      <c r="H71" s="12">
        <v>10</v>
      </c>
      <c r="I71" s="12">
        <v>0.3</v>
      </c>
      <c r="J71" s="16">
        <v>0</v>
      </c>
      <c r="K71" s="16">
        <v>0</v>
      </c>
      <c r="L71" s="15">
        <v>0</v>
      </c>
      <c r="M71" s="15">
        <v>50</v>
      </c>
      <c r="N71" s="15">
        <v>200</v>
      </c>
      <c r="O71" s="17">
        <v>0</v>
      </c>
      <c r="P71" s="17">
        <v>0</v>
      </c>
      <c r="Q71" s="12">
        <v>0</v>
      </c>
      <c r="R71" s="12">
        <v>0</v>
      </c>
      <c r="S71" s="12">
        <v>0</v>
      </c>
      <c r="T71" s="12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6">
        <v>0</v>
      </c>
      <c r="AC71" s="16">
        <v>0</v>
      </c>
      <c r="AD71" s="16">
        <v>0</v>
      </c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</row>
    <row r="72" spans="3:199" s="2" customFormat="1" ht="20.100000000000001" customHeight="1">
      <c r="C72" s="13">
        <v>40030301</v>
      </c>
      <c r="D72" s="15" t="s">
        <v>108</v>
      </c>
      <c r="E72" s="12">
        <v>0</v>
      </c>
      <c r="F72" s="12">
        <v>1201</v>
      </c>
      <c r="G72" s="12">
        <v>1</v>
      </c>
      <c r="H72" s="12">
        <v>20</v>
      </c>
      <c r="I72" s="12">
        <v>0.3</v>
      </c>
      <c r="J72" s="16">
        <v>0</v>
      </c>
      <c r="K72" s="16">
        <v>0</v>
      </c>
      <c r="L72" s="15">
        <v>0</v>
      </c>
      <c r="M72" s="15">
        <v>20</v>
      </c>
      <c r="N72" s="15">
        <v>40</v>
      </c>
      <c r="O72" s="17">
        <v>0</v>
      </c>
      <c r="P72" s="17">
        <v>0</v>
      </c>
      <c r="Q72" s="19">
        <v>10</v>
      </c>
      <c r="R72" s="19">
        <v>30</v>
      </c>
      <c r="S72" s="19">
        <v>10</v>
      </c>
      <c r="T72" s="19">
        <v>30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6">
        <v>0</v>
      </c>
      <c r="AC72" s="16">
        <v>0</v>
      </c>
      <c r="AD72" s="16">
        <v>0</v>
      </c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</row>
    <row r="73" spans="3:199" s="2" customFormat="1" ht="20.100000000000001" customHeight="1">
      <c r="C73" s="13">
        <v>40030302</v>
      </c>
      <c r="D73" s="15" t="s">
        <v>109</v>
      </c>
      <c r="E73" s="12">
        <v>0</v>
      </c>
      <c r="F73" s="12">
        <v>0</v>
      </c>
      <c r="G73" s="12">
        <v>1</v>
      </c>
      <c r="H73" s="12">
        <v>20</v>
      </c>
      <c r="I73" s="12">
        <v>0.3</v>
      </c>
      <c r="J73" s="16">
        <v>0</v>
      </c>
      <c r="K73" s="16">
        <v>0</v>
      </c>
      <c r="L73" s="15">
        <v>0</v>
      </c>
      <c r="M73" s="15">
        <v>10</v>
      </c>
      <c r="N73" s="15">
        <v>30</v>
      </c>
      <c r="O73" s="17">
        <v>0</v>
      </c>
      <c r="P73" s="17">
        <v>0</v>
      </c>
      <c r="Q73" s="19">
        <v>0</v>
      </c>
      <c r="R73" s="19">
        <v>20</v>
      </c>
      <c r="S73" s="19">
        <v>0</v>
      </c>
      <c r="T73" s="19">
        <v>20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6">
        <v>0</v>
      </c>
      <c r="AC73" s="16">
        <v>0</v>
      </c>
      <c r="AD73" s="16">
        <v>0</v>
      </c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</row>
    <row r="74" spans="3:199" s="2" customFormat="1" ht="20.100000000000001" customHeight="1">
      <c r="C74" s="13">
        <v>40030303</v>
      </c>
      <c r="D74" s="15" t="s">
        <v>110</v>
      </c>
      <c r="E74" s="12">
        <v>0</v>
      </c>
      <c r="F74" s="12">
        <v>1201</v>
      </c>
      <c r="G74" s="12">
        <v>1</v>
      </c>
      <c r="H74" s="12">
        <v>20</v>
      </c>
      <c r="I74" s="12">
        <v>0.3</v>
      </c>
      <c r="J74" s="16">
        <v>0</v>
      </c>
      <c r="K74" s="16">
        <v>0</v>
      </c>
      <c r="L74" s="15">
        <v>0</v>
      </c>
      <c r="M74" s="15">
        <v>20</v>
      </c>
      <c r="N74" s="15">
        <v>70</v>
      </c>
      <c r="O74" s="17">
        <v>0</v>
      </c>
      <c r="P74" s="17">
        <v>0</v>
      </c>
      <c r="Q74" s="19">
        <v>0</v>
      </c>
      <c r="R74" s="19">
        <v>0</v>
      </c>
      <c r="S74" s="19">
        <v>10</v>
      </c>
      <c r="T74" s="19">
        <v>20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6">
        <v>0</v>
      </c>
      <c r="AC74" s="16">
        <v>0</v>
      </c>
      <c r="AD74" s="16">
        <v>0</v>
      </c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</row>
    <row r="75" spans="3:199" s="2" customFormat="1" ht="20.100000000000001" customHeight="1">
      <c r="C75" s="13">
        <v>40030304</v>
      </c>
      <c r="D75" s="15" t="s">
        <v>111</v>
      </c>
      <c r="E75" s="12">
        <v>0</v>
      </c>
      <c r="F75" s="12">
        <v>0</v>
      </c>
      <c r="G75" s="12">
        <v>1</v>
      </c>
      <c r="H75" s="12">
        <v>20</v>
      </c>
      <c r="I75" s="12">
        <v>0.3</v>
      </c>
      <c r="J75" s="16">
        <v>0</v>
      </c>
      <c r="K75" s="16">
        <v>0</v>
      </c>
      <c r="L75" s="15">
        <v>0</v>
      </c>
      <c r="M75" s="15">
        <v>30</v>
      </c>
      <c r="N75" s="15">
        <v>50</v>
      </c>
      <c r="O75" s="17">
        <v>0</v>
      </c>
      <c r="P75" s="17">
        <v>0</v>
      </c>
      <c r="Q75" s="19">
        <v>0</v>
      </c>
      <c r="R75" s="19">
        <v>0</v>
      </c>
      <c r="S75" s="19">
        <v>0</v>
      </c>
      <c r="T75" s="19">
        <v>20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6">
        <v>0</v>
      </c>
      <c r="AC75" s="16">
        <v>0</v>
      </c>
      <c r="AD75" s="16">
        <v>0</v>
      </c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</row>
    <row r="76" spans="3:199" s="2" customFormat="1" ht="20.100000000000001" customHeight="1">
      <c r="C76" s="13">
        <v>40030305</v>
      </c>
      <c r="D76" s="15" t="s">
        <v>112</v>
      </c>
      <c r="E76" s="12">
        <v>0</v>
      </c>
      <c r="F76" s="12">
        <v>1203</v>
      </c>
      <c r="G76" s="12">
        <v>1</v>
      </c>
      <c r="H76" s="12">
        <v>20</v>
      </c>
      <c r="I76" s="12">
        <v>0.3</v>
      </c>
      <c r="J76" s="16">
        <v>0</v>
      </c>
      <c r="K76" s="16">
        <v>0</v>
      </c>
      <c r="L76" s="15">
        <v>0</v>
      </c>
      <c r="M76" s="15">
        <v>10</v>
      </c>
      <c r="N76" s="15">
        <v>40</v>
      </c>
      <c r="O76" s="17">
        <v>0</v>
      </c>
      <c r="P76" s="17">
        <v>0</v>
      </c>
      <c r="Q76" s="19">
        <v>20</v>
      </c>
      <c r="R76" s="19">
        <v>30</v>
      </c>
      <c r="S76" s="19">
        <v>0</v>
      </c>
      <c r="T76" s="19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6">
        <v>0</v>
      </c>
      <c r="AC76" s="16">
        <v>0</v>
      </c>
      <c r="AD76" s="16">
        <v>0</v>
      </c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</row>
    <row r="77" spans="3:199" s="2" customFormat="1" ht="20.100000000000001" customHeight="1">
      <c r="C77" s="13">
        <v>40030306</v>
      </c>
      <c r="D77" s="15" t="s">
        <v>113</v>
      </c>
      <c r="E77" s="12">
        <v>0</v>
      </c>
      <c r="F77" s="12">
        <v>0</v>
      </c>
      <c r="G77" s="12">
        <v>1</v>
      </c>
      <c r="H77" s="12">
        <v>20</v>
      </c>
      <c r="I77" s="12">
        <v>0.3</v>
      </c>
      <c r="J77" s="16">
        <v>0</v>
      </c>
      <c r="K77" s="16">
        <v>0</v>
      </c>
      <c r="L77" s="15">
        <v>0</v>
      </c>
      <c r="M77" s="15">
        <v>20</v>
      </c>
      <c r="N77" s="15">
        <v>20</v>
      </c>
      <c r="O77" s="17">
        <v>0</v>
      </c>
      <c r="P77" s="17">
        <v>0</v>
      </c>
      <c r="Q77" s="19">
        <v>10</v>
      </c>
      <c r="R77" s="19">
        <v>20</v>
      </c>
      <c r="S77" s="19">
        <v>0</v>
      </c>
      <c r="T77" s="19">
        <v>10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6">
        <v>0</v>
      </c>
      <c r="AC77" s="16">
        <v>0</v>
      </c>
      <c r="AD77" s="16">
        <v>0</v>
      </c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</row>
    <row r="78" spans="3:199" s="2" customFormat="1" ht="20.100000000000001" customHeight="1">
      <c r="C78" s="13">
        <v>40030307</v>
      </c>
      <c r="D78" s="15" t="s">
        <v>114</v>
      </c>
      <c r="E78" s="12">
        <v>0</v>
      </c>
      <c r="F78" s="12">
        <v>1203</v>
      </c>
      <c r="G78" s="12">
        <v>1</v>
      </c>
      <c r="H78" s="12">
        <v>20</v>
      </c>
      <c r="I78" s="12">
        <v>0.3</v>
      </c>
      <c r="J78" s="16">
        <v>0</v>
      </c>
      <c r="K78" s="16">
        <v>0</v>
      </c>
      <c r="L78" s="15">
        <v>0</v>
      </c>
      <c r="M78" s="15">
        <v>20</v>
      </c>
      <c r="N78" s="15">
        <v>40</v>
      </c>
      <c r="O78" s="17">
        <v>0</v>
      </c>
      <c r="P78" s="17">
        <v>0</v>
      </c>
      <c r="Q78" s="19">
        <v>0</v>
      </c>
      <c r="R78" s="19">
        <v>0</v>
      </c>
      <c r="S78" s="19">
        <v>20</v>
      </c>
      <c r="T78" s="19">
        <v>30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6">
        <v>0</v>
      </c>
      <c r="AC78" s="16">
        <v>0</v>
      </c>
      <c r="AD78" s="16">
        <v>0</v>
      </c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</row>
    <row r="79" spans="3:199" s="2" customFormat="1" ht="20.100000000000001" customHeight="1">
      <c r="C79" s="13">
        <v>40030308</v>
      </c>
      <c r="D79" s="15" t="s">
        <v>115</v>
      </c>
      <c r="E79" s="12">
        <v>0</v>
      </c>
      <c r="F79" s="12">
        <v>0</v>
      </c>
      <c r="G79" s="12">
        <v>1</v>
      </c>
      <c r="H79" s="12">
        <v>20</v>
      </c>
      <c r="I79" s="12">
        <v>0.3</v>
      </c>
      <c r="J79" s="16">
        <v>0</v>
      </c>
      <c r="K79" s="16">
        <v>0</v>
      </c>
      <c r="L79" s="15">
        <v>0</v>
      </c>
      <c r="M79" s="15">
        <v>20</v>
      </c>
      <c r="N79" s="15">
        <v>20</v>
      </c>
      <c r="O79" s="17">
        <v>0</v>
      </c>
      <c r="P79" s="17">
        <v>0</v>
      </c>
      <c r="Q79" s="19">
        <v>0</v>
      </c>
      <c r="R79" s="19">
        <v>0</v>
      </c>
      <c r="S79" s="19">
        <v>10</v>
      </c>
      <c r="T79" s="19">
        <v>20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6">
        <v>0</v>
      </c>
      <c r="AC79" s="16">
        <v>0</v>
      </c>
      <c r="AD79" s="16">
        <v>0</v>
      </c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</row>
    <row r="80" spans="3:199" s="2" customFormat="1" ht="20.100000000000001" customHeight="1">
      <c r="C80" s="13">
        <v>40030309</v>
      </c>
      <c r="D80" s="15" t="s">
        <v>116</v>
      </c>
      <c r="E80" s="12">
        <v>0</v>
      </c>
      <c r="F80" s="12">
        <v>1202</v>
      </c>
      <c r="G80" s="12">
        <v>1</v>
      </c>
      <c r="H80" s="12">
        <v>20</v>
      </c>
      <c r="I80" s="12">
        <v>0.3</v>
      </c>
      <c r="J80" s="16">
        <v>0</v>
      </c>
      <c r="K80" s="16">
        <v>0</v>
      </c>
      <c r="L80" s="15">
        <v>0</v>
      </c>
      <c r="M80" s="15">
        <v>40</v>
      </c>
      <c r="N80" s="15">
        <v>70</v>
      </c>
      <c r="O80" s="17">
        <v>0</v>
      </c>
      <c r="P80" s="17">
        <v>0</v>
      </c>
      <c r="Q80" s="19">
        <v>0</v>
      </c>
      <c r="R80" s="19">
        <v>20</v>
      </c>
      <c r="S80" s="19">
        <v>0</v>
      </c>
      <c r="T80" s="19">
        <v>20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6">
        <v>0</v>
      </c>
      <c r="AC80" s="16">
        <v>0</v>
      </c>
      <c r="AD80" s="16">
        <v>0</v>
      </c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</row>
    <row r="81" spans="3:199" s="2" customFormat="1" ht="20.100000000000001" customHeight="1">
      <c r="C81" s="13">
        <v>40030310</v>
      </c>
      <c r="D81" s="15" t="s">
        <v>117</v>
      </c>
      <c r="E81" s="12">
        <v>0</v>
      </c>
      <c r="F81" s="12">
        <v>0</v>
      </c>
      <c r="G81" s="12">
        <v>1</v>
      </c>
      <c r="H81" s="12">
        <v>20</v>
      </c>
      <c r="I81" s="12">
        <v>0.3</v>
      </c>
      <c r="J81" s="16">
        <v>0</v>
      </c>
      <c r="K81" s="16">
        <v>0</v>
      </c>
      <c r="L81" s="15">
        <v>0</v>
      </c>
      <c r="M81" s="15">
        <v>20</v>
      </c>
      <c r="N81" s="15">
        <v>50</v>
      </c>
      <c r="O81" s="17">
        <v>0</v>
      </c>
      <c r="P81" s="17">
        <v>0</v>
      </c>
      <c r="Q81" s="19">
        <v>0</v>
      </c>
      <c r="R81" s="19">
        <v>10</v>
      </c>
      <c r="S81" s="19">
        <v>0</v>
      </c>
      <c r="T81" s="19">
        <v>10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6">
        <v>0</v>
      </c>
      <c r="AC81" s="16">
        <v>0</v>
      </c>
      <c r="AD81" s="16">
        <v>0</v>
      </c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</row>
    <row r="82" spans="3:199" s="2" customFormat="1" ht="20.100000000000001" customHeight="1">
      <c r="C82" s="13">
        <v>40030311</v>
      </c>
      <c r="D82" s="15" t="s">
        <v>118</v>
      </c>
      <c r="E82" s="12">
        <v>0</v>
      </c>
      <c r="F82" s="12">
        <v>1202</v>
      </c>
      <c r="G82" s="12">
        <v>1</v>
      </c>
      <c r="H82" s="12">
        <v>20</v>
      </c>
      <c r="I82" s="12">
        <v>0.3</v>
      </c>
      <c r="J82" s="16">
        <v>0</v>
      </c>
      <c r="K82" s="16">
        <v>0</v>
      </c>
      <c r="L82" s="15">
        <v>0</v>
      </c>
      <c r="M82" s="15">
        <v>20</v>
      </c>
      <c r="N82" s="15">
        <v>120</v>
      </c>
      <c r="O82" s="17">
        <v>0</v>
      </c>
      <c r="P82" s="17">
        <v>0</v>
      </c>
      <c r="Q82" s="19">
        <v>10</v>
      </c>
      <c r="R82" s="19">
        <v>20</v>
      </c>
      <c r="S82" s="19">
        <v>0</v>
      </c>
      <c r="T82" s="19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6">
        <v>0</v>
      </c>
      <c r="AC82" s="16">
        <v>0</v>
      </c>
      <c r="AD82" s="16">
        <v>0</v>
      </c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</row>
    <row r="83" spans="3:199" s="2" customFormat="1" ht="20.100000000000001" customHeight="1">
      <c r="C83" s="13">
        <v>40030312</v>
      </c>
      <c r="D83" s="15" t="s">
        <v>119</v>
      </c>
      <c r="E83" s="12">
        <v>0</v>
      </c>
      <c r="F83" s="12">
        <v>0</v>
      </c>
      <c r="G83" s="12">
        <v>1</v>
      </c>
      <c r="H83" s="12">
        <v>20</v>
      </c>
      <c r="I83" s="12">
        <v>0.3</v>
      </c>
      <c r="J83" s="16">
        <v>0</v>
      </c>
      <c r="K83" s="16">
        <v>0</v>
      </c>
      <c r="L83" s="15">
        <v>0</v>
      </c>
      <c r="M83" s="15">
        <v>30</v>
      </c>
      <c r="N83" s="15">
        <v>80</v>
      </c>
      <c r="O83" s="17">
        <v>0</v>
      </c>
      <c r="P83" s="17">
        <v>0</v>
      </c>
      <c r="Q83" s="19">
        <v>0</v>
      </c>
      <c r="R83" s="19">
        <v>10</v>
      </c>
      <c r="S83" s="19">
        <v>0</v>
      </c>
      <c r="T83" s="19">
        <v>10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6">
        <v>0</v>
      </c>
      <c r="AC83" s="16">
        <v>0</v>
      </c>
      <c r="AD83" s="16">
        <v>0</v>
      </c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</row>
    <row r="84" spans="3:199" s="2" customFormat="1" ht="20.100000000000001" customHeight="1">
      <c r="C84" s="13">
        <v>40030313</v>
      </c>
      <c r="D84" s="15" t="s">
        <v>120</v>
      </c>
      <c r="E84" s="12">
        <v>0</v>
      </c>
      <c r="F84" s="12">
        <v>1204</v>
      </c>
      <c r="G84" s="12">
        <v>1</v>
      </c>
      <c r="H84" s="12">
        <v>20</v>
      </c>
      <c r="I84" s="12">
        <v>0.3</v>
      </c>
      <c r="J84" s="16">
        <v>0</v>
      </c>
      <c r="K84" s="16">
        <v>0</v>
      </c>
      <c r="L84" s="15">
        <v>0</v>
      </c>
      <c r="M84" s="15">
        <v>20</v>
      </c>
      <c r="N84" s="15">
        <v>110</v>
      </c>
      <c r="O84" s="17">
        <v>0</v>
      </c>
      <c r="P84" s="17">
        <v>0</v>
      </c>
      <c r="Q84" s="19">
        <v>0</v>
      </c>
      <c r="R84" s="19">
        <v>0</v>
      </c>
      <c r="S84" s="19">
        <v>10</v>
      </c>
      <c r="T84" s="19">
        <v>20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6">
        <v>0</v>
      </c>
      <c r="AC84" s="16">
        <v>0</v>
      </c>
      <c r="AD84" s="16">
        <v>0</v>
      </c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</row>
    <row r="85" spans="3:199" s="2" customFormat="1" ht="20.100000000000001" customHeight="1">
      <c r="C85" s="13">
        <v>40030314</v>
      </c>
      <c r="D85" s="15" t="s">
        <v>121</v>
      </c>
      <c r="E85" s="12">
        <v>0</v>
      </c>
      <c r="F85" s="12">
        <v>0</v>
      </c>
      <c r="G85" s="12">
        <v>1</v>
      </c>
      <c r="H85" s="12">
        <v>20</v>
      </c>
      <c r="I85" s="12">
        <v>0.3</v>
      </c>
      <c r="J85" s="16">
        <v>0</v>
      </c>
      <c r="K85" s="16">
        <v>0</v>
      </c>
      <c r="L85" s="15">
        <v>0</v>
      </c>
      <c r="M85" s="15">
        <v>20</v>
      </c>
      <c r="N85" s="15">
        <v>90</v>
      </c>
      <c r="O85" s="17">
        <v>0</v>
      </c>
      <c r="P85" s="17">
        <v>0</v>
      </c>
      <c r="Q85" s="19">
        <v>0</v>
      </c>
      <c r="R85" s="19">
        <v>20</v>
      </c>
      <c r="S85" s="19">
        <v>0</v>
      </c>
      <c r="T85" s="19">
        <v>20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6">
        <v>0</v>
      </c>
      <c r="AC85" s="16">
        <v>0</v>
      </c>
      <c r="AD85" s="16">
        <v>0</v>
      </c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</row>
    <row r="86" spans="3:199" s="2" customFormat="1" ht="20.100000000000001" customHeight="1">
      <c r="C86" s="13">
        <v>40030315</v>
      </c>
      <c r="D86" s="15" t="s">
        <v>122</v>
      </c>
      <c r="E86" s="12">
        <v>0</v>
      </c>
      <c r="F86" s="12">
        <v>1204</v>
      </c>
      <c r="G86" s="12">
        <v>1</v>
      </c>
      <c r="H86" s="12">
        <v>20</v>
      </c>
      <c r="I86" s="12">
        <v>0.3</v>
      </c>
      <c r="J86" s="16">
        <v>0</v>
      </c>
      <c r="K86" s="16">
        <v>0</v>
      </c>
      <c r="L86" s="15">
        <v>0</v>
      </c>
      <c r="M86" s="15">
        <v>40</v>
      </c>
      <c r="N86" s="15">
        <v>80</v>
      </c>
      <c r="O86" s="17">
        <v>0</v>
      </c>
      <c r="P86" s="17">
        <v>0</v>
      </c>
      <c r="Q86" s="19">
        <v>10</v>
      </c>
      <c r="R86" s="19">
        <v>20</v>
      </c>
      <c r="S86" s="19">
        <v>10</v>
      </c>
      <c r="T86" s="19">
        <v>20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6">
        <v>0</v>
      </c>
      <c r="AC86" s="16">
        <v>0</v>
      </c>
      <c r="AD86" s="16">
        <v>0</v>
      </c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</row>
    <row r="87" spans="3:199" s="2" customFormat="1" ht="20.100000000000001" customHeight="1">
      <c r="C87" s="13">
        <v>40030316</v>
      </c>
      <c r="D87" s="15" t="s">
        <v>123</v>
      </c>
      <c r="E87" s="12">
        <v>0</v>
      </c>
      <c r="F87" s="12">
        <v>1204</v>
      </c>
      <c r="G87" s="12">
        <v>1</v>
      </c>
      <c r="H87" s="12">
        <v>20</v>
      </c>
      <c r="I87" s="12">
        <v>0.3</v>
      </c>
      <c r="J87" s="16">
        <v>0</v>
      </c>
      <c r="K87" s="16">
        <v>0</v>
      </c>
      <c r="L87" s="15">
        <v>1000</v>
      </c>
      <c r="M87" s="15">
        <v>0</v>
      </c>
      <c r="N87" s="15">
        <v>0</v>
      </c>
      <c r="O87" s="17">
        <v>0</v>
      </c>
      <c r="P87" s="17">
        <v>0</v>
      </c>
      <c r="Q87" s="19">
        <v>0</v>
      </c>
      <c r="R87" s="19">
        <v>0</v>
      </c>
      <c r="S87" s="19">
        <v>0</v>
      </c>
      <c r="T87" s="19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6">
        <v>0</v>
      </c>
      <c r="AC87" s="16">
        <v>0</v>
      </c>
      <c r="AD87" s="16">
        <v>0</v>
      </c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</row>
    <row r="88" spans="3:199" s="2" customFormat="1" ht="20.100000000000001" customHeight="1">
      <c r="C88" s="13">
        <v>40030317</v>
      </c>
      <c r="D88" s="15" t="s">
        <v>124</v>
      </c>
      <c r="E88" s="12">
        <v>0</v>
      </c>
      <c r="F88" s="12">
        <v>1202</v>
      </c>
      <c r="G88" s="12">
        <v>1</v>
      </c>
      <c r="H88" s="12">
        <v>20</v>
      </c>
      <c r="I88" s="12">
        <v>0.3</v>
      </c>
      <c r="J88" s="16">
        <v>0</v>
      </c>
      <c r="K88" s="16">
        <v>0</v>
      </c>
      <c r="L88" s="15">
        <v>0</v>
      </c>
      <c r="M88" s="15">
        <v>50</v>
      </c>
      <c r="N88" s="15">
        <v>350</v>
      </c>
      <c r="O88" s="17">
        <v>0</v>
      </c>
      <c r="P88" s="17">
        <v>0</v>
      </c>
      <c r="Q88" s="19">
        <v>0</v>
      </c>
      <c r="R88" s="19">
        <v>0</v>
      </c>
      <c r="S88" s="19">
        <v>0</v>
      </c>
      <c r="T88" s="19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6">
        <v>0</v>
      </c>
      <c r="AC88" s="16">
        <v>0</v>
      </c>
      <c r="AD88" s="16">
        <v>0</v>
      </c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</row>
    <row r="89" spans="3:199" s="2" customFormat="1" ht="20.100000000000001" customHeight="1">
      <c r="C89" s="13">
        <v>40030318</v>
      </c>
      <c r="D89" s="15" t="s">
        <v>125</v>
      </c>
      <c r="E89" s="12">
        <v>0</v>
      </c>
      <c r="F89" s="12">
        <v>0</v>
      </c>
      <c r="G89" s="12">
        <v>1</v>
      </c>
      <c r="H89" s="12">
        <v>20</v>
      </c>
      <c r="I89" s="12">
        <v>0.3</v>
      </c>
      <c r="J89" s="16">
        <v>0</v>
      </c>
      <c r="K89" s="16">
        <v>0</v>
      </c>
      <c r="L89" s="15">
        <v>0</v>
      </c>
      <c r="M89" s="15">
        <v>100</v>
      </c>
      <c r="N89" s="15">
        <v>200</v>
      </c>
      <c r="O89" s="17">
        <v>0</v>
      </c>
      <c r="P89" s="17">
        <v>0</v>
      </c>
      <c r="Q89" s="19">
        <v>0</v>
      </c>
      <c r="R89" s="19">
        <v>0</v>
      </c>
      <c r="S89" s="19">
        <v>0</v>
      </c>
      <c r="T89" s="19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6">
        <v>0</v>
      </c>
      <c r="AC89" s="16">
        <v>0</v>
      </c>
      <c r="AD89" s="16">
        <v>0</v>
      </c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</row>
    <row r="90" spans="3:199" s="2" customFormat="1" ht="20.100000000000001" customHeight="1">
      <c r="C90" s="13">
        <v>40030319</v>
      </c>
      <c r="D90" s="15" t="s">
        <v>126</v>
      </c>
      <c r="E90" s="12">
        <v>0</v>
      </c>
      <c r="F90" s="12">
        <v>0</v>
      </c>
      <c r="G90" s="12">
        <v>1</v>
      </c>
      <c r="H90" s="12">
        <v>20</v>
      </c>
      <c r="I90" s="12">
        <v>0.3</v>
      </c>
      <c r="J90" s="16">
        <v>0</v>
      </c>
      <c r="K90" s="16">
        <v>0</v>
      </c>
      <c r="L90" s="15">
        <v>0</v>
      </c>
      <c r="M90" s="15">
        <v>50</v>
      </c>
      <c r="N90" s="15">
        <v>270</v>
      </c>
      <c r="O90" s="17">
        <v>0</v>
      </c>
      <c r="P90" s="17">
        <v>0</v>
      </c>
      <c r="Q90" s="19">
        <v>0</v>
      </c>
      <c r="R90" s="19">
        <v>0</v>
      </c>
      <c r="S90" s="19">
        <v>0</v>
      </c>
      <c r="T90" s="19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6">
        <v>0</v>
      </c>
      <c r="AC90" s="16">
        <v>0</v>
      </c>
      <c r="AD90" s="16">
        <v>0</v>
      </c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</row>
    <row r="91" spans="3:199" s="2" customFormat="1" ht="20.100000000000001" customHeight="1">
      <c r="C91" s="13">
        <v>40030320</v>
      </c>
      <c r="D91" s="15" t="s">
        <v>127</v>
      </c>
      <c r="E91" s="12">
        <v>0</v>
      </c>
      <c r="F91" s="12">
        <v>1202</v>
      </c>
      <c r="G91" s="12">
        <v>1</v>
      </c>
      <c r="H91" s="12">
        <v>20</v>
      </c>
      <c r="I91" s="12">
        <v>0.3</v>
      </c>
      <c r="J91" s="16">
        <v>0</v>
      </c>
      <c r="K91" s="16">
        <v>0</v>
      </c>
      <c r="L91" s="15">
        <v>400</v>
      </c>
      <c r="M91" s="15">
        <v>0</v>
      </c>
      <c r="N91" s="15">
        <v>0</v>
      </c>
      <c r="O91" s="17">
        <v>0</v>
      </c>
      <c r="P91" s="17">
        <v>0</v>
      </c>
      <c r="Q91" s="19">
        <v>20</v>
      </c>
      <c r="R91" s="19">
        <v>50</v>
      </c>
      <c r="S91" s="19">
        <v>20</v>
      </c>
      <c r="T91" s="19">
        <v>50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6">
        <v>0</v>
      </c>
      <c r="AC91" s="16">
        <v>0</v>
      </c>
      <c r="AD91" s="16">
        <v>0</v>
      </c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</row>
    <row r="92" spans="3:199" s="2" customFormat="1" ht="20.100000000000001" customHeight="1">
      <c r="C92" s="13">
        <v>40030321</v>
      </c>
      <c r="D92" s="18" t="s">
        <v>128</v>
      </c>
      <c r="E92" s="12">
        <v>0</v>
      </c>
      <c r="F92" s="12">
        <v>0</v>
      </c>
      <c r="G92" s="12">
        <v>1</v>
      </c>
      <c r="H92" s="12">
        <v>20</v>
      </c>
      <c r="I92" s="12">
        <v>0.3</v>
      </c>
      <c r="J92" s="16">
        <v>0</v>
      </c>
      <c r="K92" s="16">
        <v>0</v>
      </c>
      <c r="L92" s="18">
        <v>300</v>
      </c>
      <c r="M92" s="18">
        <v>0</v>
      </c>
      <c r="N92" s="18">
        <v>0</v>
      </c>
      <c r="O92" s="17">
        <v>0</v>
      </c>
      <c r="P92" s="17">
        <v>0</v>
      </c>
      <c r="Q92" s="12">
        <v>20</v>
      </c>
      <c r="R92" s="12">
        <v>40</v>
      </c>
      <c r="S92" s="12">
        <v>20</v>
      </c>
      <c r="T92" s="12">
        <v>40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6">
        <v>0</v>
      </c>
      <c r="AC92" s="16">
        <v>0</v>
      </c>
      <c r="AD92" s="16">
        <v>0</v>
      </c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</row>
    <row r="93" spans="3:199" s="2" customFormat="1" ht="20.100000000000001" customHeight="1">
      <c r="C93" s="10">
        <v>40030322</v>
      </c>
      <c r="D93" s="10" t="s">
        <v>129</v>
      </c>
      <c r="E93" s="12">
        <v>0</v>
      </c>
      <c r="F93" s="15">
        <v>0</v>
      </c>
      <c r="G93" s="12">
        <v>1</v>
      </c>
      <c r="H93" s="12">
        <v>20</v>
      </c>
      <c r="I93" s="12">
        <v>0.3</v>
      </c>
      <c r="J93" s="16">
        <v>0</v>
      </c>
      <c r="K93" s="16">
        <v>0</v>
      </c>
      <c r="L93" s="19">
        <v>0</v>
      </c>
      <c r="M93" s="19">
        <v>20</v>
      </c>
      <c r="N93" s="19">
        <v>90</v>
      </c>
      <c r="O93" s="17">
        <v>0</v>
      </c>
      <c r="P93" s="17">
        <v>0</v>
      </c>
      <c r="Q93" s="19">
        <v>0</v>
      </c>
      <c r="R93" s="19">
        <v>20</v>
      </c>
      <c r="S93" s="19">
        <v>0</v>
      </c>
      <c r="T93" s="19">
        <v>10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6">
        <v>0</v>
      </c>
      <c r="AC93" s="16">
        <v>0</v>
      </c>
      <c r="AD93" s="16">
        <v>0</v>
      </c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</row>
    <row r="94" spans="3:199" s="2" customFormat="1" ht="20.100000000000001" customHeight="1">
      <c r="C94" s="10">
        <v>40030323</v>
      </c>
      <c r="D94" s="10" t="s">
        <v>130</v>
      </c>
      <c r="E94" s="12">
        <v>0</v>
      </c>
      <c r="F94" s="15">
        <v>0</v>
      </c>
      <c r="G94" s="12">
        <v>1</v>
      </c>
      <c r="H94" s="12">
        <v>20</v>
      </c>
      <c r="I94" s="12">
        <v>0.3</v>
      </c>
      <c r="J94" s="16">
        <v>0</v>
      </c>
      <c r="K94" s="16">
        <v>0</v>
      </c>
      <c r="L94" s="19">
        <v>0</v>
      </c>
      <c r="M94" s="19">
        <v>20</v>
      </c>
      <c r="N94" s="19">
        <v>100</v>
      </c>
      <c r="O94" s="17">
        <v>0</v>
      </c>
      <c r="P94" s="17">
        <v>0</v>
      </c>
      <c r="Q94" s="19">
        <v>10</v>
      </c>
      <c r="R94" s="19">
        <v>10</v>
      </c>
      <c r="S94" s="19">
        <v>0</v>
      </c>
      <c r="T94" s="19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6">
        <v>0</v>
      </c>
      <c r="AC94" s="16">
        <v>0</v>
      </c>
      <c r="AD94" s="16">
        <v>0</v>
      </c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</row>
    <row r="95" spans="3:199" s="2" customFormat="1" ht="20.100000000000001" customHeight="1">
      <c r="C95" s="10">
        <v>40030324</v>
      </c>
      <c r="D95" s="10" t="s">
        <v>131</v>
      </c>
      <c r="E95" s="12">
        <v>0</v>
      </c>
      <c r="F95" s="15">
        <v>0</v>
      </c>
      <c r="G95" s="12">
        <v>1</v>
      </c>
      <c r="H95" s="12">
        <v>20</v>
      </c>
      <c r="I95" s="12">
        <v>0.3</v>
      </c>
      <c r="J95" s="16">
        <v>0</v>
      </c>
      <c r="K95" s="16">
        <v>0</v>
      </c>
      <c r="L95" s="19">
        <v>0</v>
      </c>
      <c r="M95" s="19">
        <v>20</v>
      </c>
      <c r="N95" s="19">
        <v>30</v>
      </c>
      <c r="O95" s="17">
        <v>0</v>
      </c>
      <c r="P95" s="17">
        <v>0</v>
      </c>
      <c r="Q95" s="19">
        <v>0</v>
      </c>
      <c r="R95" s="19">
        <v>20</v>
      </c>
      <c r="S95" s="19">
        <v>0</v>
      </c>
      <c r="T95" s="19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6">
        <v>0</v>
      </c>
      <c r="AC95" s="16">
        <v>0</v>
      </c>
      <c r="AD95" s="16">
        <v>0</v>
      </c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</row>
    <row r="96" spans="3:199" s="2" customFormat="1" ht="20.100000000000001" customHeight="1">
      <c r="C96" s="10">
        <v>40030325</v>
      </c>
      <c r="D96" s="10" t="s">
        <v>132</v>
      </c>
      <c r="E96" s="12">
        <v>0</v>
      </c>
      <c r="F96" s="15">
        <v>0</v>
      </c>
      <c r="G96" s="12">
        <v>1</v>
      </c>
      <c r="H96" s="12">
        <v>20</v>
      </c>
      <c r="I96" s="12">
        <v>0.3</v>
      </c>
      <c r="J96" s="16">
        <v>0</v>
      </c>
      <c r="K96" s="16">
        <v>0</v>
      </c>
      <c r="L96" s="19">
        <v>0</v>
      </c>
      <c r="M96" s="19">
        <v>20</v>
      </c>
      <c r="N96" s="19">
        <v>60</v>
      </c>
      <c r="O96" s="17">
        <v>0</v>
      </c>
      <c r="P96" s="17">
        <v>0</v>
      </c>
      <c r="Q96" s="19">
        <v>0</v>
      </c>
      <c r="R96" s="19">
        <v>0</v>
      </c>
      <c r="S96" s="19">
        <v>0</v>
      </c>
      <c r="T96" s="19">
        <v>20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6">
        <v>0</v>
      </c>
      <c r="AC96" s="16">
        <v>0</v>
      </c>
      <c r="AD96" s="16">
        <v>0</v>
      </c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</row>
    <row r="97" spans="3:199" s="2" customFormat="1" ht="20.100000000000001" customHeight="1">
      <c r="C97" s="10">
        <v>40030326</v>
      </c>
      <c r="D97" s="10" t="s">
        <v>133</v>
      </c>
      <c r="E97" s="12">
        <v>0</v>
      </c>
      <c r="F97" s="15">
        <v>0</v>
      </c>
      <c r="G97" s="12">
        <v>1</v>
      </c>
      <c r="H97" s="12">
        <v>20</v>
      </c>
      <c r="I97" s="12">
        <v>0.3</v>
      </c>
      <c r="J97" s="16">
        <v>0</v>
      </c>
      <c r="K97" s="16">
        <v>0</v>
      </c>
      <c r="L97" s="19">
        <v>0</v>
      </c>
      <c r="M97" s="19">
        <v>10</v>
      </c>
      <c r="N97" s="19">
        <v>30</v>
      </c>
      <c r="O97" s="17">
        <v>0</v>
      </c>
      <c r="P97" s="17">
        <v>0</v>
      </c>
      <c r="Q97" s="19">
        <v>10</v>
      </c>
      <c r="R97" s="19">
        <v>20</v>
      </c>
      <c r="S97" s="19">
        <v>0</v>
      </c>
      <c r="T97" s="19">
        <v>20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6">
        <v>0</v>
      </c>
      <c r="AC97" s="16">
        <v>0</v>
      </c>
      <c r="AD97" s="16">
        <v>0</v>
      </c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</row>
    <row r="98" spans="3:199" s="2" customFormat="1" ht="20.100000000000001" customHeight="1">
      <c r="C98" s="10">
        <v>40030327</v>
      </c>
      <c r="D98" s="10" t="s">
        <v>134</v>
      </c>
      <c r="E98" s="12">
        <v>0</v>
      </c>
      <c r="F98" s="15">
        <v>0</v>
      </c>
      <c r="G98" s="12">
        <v>1</v>
      </c>
      <c r="H98" s="12">
        <v>20</v>
      </c>
      <c r="I98" s="12">
        <v>0.3</v>
      </c>
      <c r="J98" s="16">
        <v>0</v>
      </c>
      <c r="K98" s="16">
        <v>0</v>
      </c>
      <c r="L98" s="19">
        <v>0</v>
      </c>
      <c r="M98" s="19">
        <v>10</v>
      </c>
      <c r="N98" s="19">
        <v>30</v>
      </c>
      <c r="O98" s="17">
        <v>0</v>
      </c>
      <c r="P98" s="17">
        <v>0</v>
      </c>
      <c r="Q98" s="19">
        <v>0</v>
      </c>
      <c r="R98" s="19">
        <v>0</v>
      </c>
      <c r="S98" s="19">
        <v>10</v>
      </c>
      <c r="T98" s="19">
        <v>20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6">
        <v>0</v>
      </c>
      <c r="AC98" s="16">
        <v>0</v>
      </c>
      <c r="AD98" s="16">
        <v>0</v>
      </c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</row>
    <row r="99" spans="3:199" s="2" customFormat="1" ht="20.100000000000001" customHeight="1">
      <c r="C99" s="10">
        <v>40030328</v>
      </c>
      <c r="D99" s="10" t="s">
        <v>135</v>
      </c>
      <c r="E99" s="12">
        <v>0</v>
      </c>
      <c r="F99" s="15">
        <v>0</v>
      </c>
      <c r="G99" s="12">
        <v>1</v>
      </c>
      <c r="H99" s="12">
        <v>20</v>
      </c>
      <c r="I99" s="12">
        <v>0.3</v>
      </c>
      <c r="J99" s="16">
        <v>0</v>
      </c>
      <c r="K99" s="16">
        <v>0</v>
      </c>
      <c r="L99" s="19">
        <v>800</v>
      </c>
      <c r="M99" s="19">
        <v>0</v>
      </c>
      <c r="N99" s="19">
        <v>0</v>
      </c>
      <c r="O99" s="17">
        <v>0</v>
      </c>
      <c r="P99" s="17">
        <v>0</v>
      </c>
      <c r="Q99" s="19">
        <v>0</v>
      </c>
      <c r="R99" s="19">
        <v>0</v>
      </c>
      <c r="S99" s="19">
        <v>0</v>
      </c>
      <c r="T99" s="19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6">
        <v>0</v>
      </c>
      <c r="AC99" s="16">
        <v>0</v>
      </c>
      <c r="AD99" s="16">
        <v>0</v>
      </c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</row>
    <row r="100" spans="3:199" s="2" customFormat="1" ht="20.100000000000001" customHeight="1">
      <c r="C100" s="13">
        <v>40030329</v>
      </c>
      <c r="D100" s="10" t="s">
        <v>136</v>
      </c>
      <c r="E100" s="12">
        <v>0</v>
      </c>
      <c r="F100" s="15">
        <v>0</v>
      </c>
      <c r="G100" s="12">
        <v>1</v>
      </c>
      <c r="H100" s="12">
        <v>20</v>
      </c>
      <c r="I100" s="12">
        <v>0.3</v>
      </c>
      <c r="J100" s="16">
        <v>0</v>
      </c>
      <c r="K100" s="16">
        <v>0</v>
      </c>
      <c r="L100" s="19">
        <v>0</v>
      </c>
      <c r="M100" s="19">
        <v>0</v>
      </c>
      <c r="N100" s="19">
        <v>0</v>
      </c>
      <c r="O100" s="17">
        <v>0</v>
      </c>
      <c r="P100" s="17">
        <v>0</v>
      </c>
      <c r="Q100" s="19">
        <v>0</v>
      </c>
      <c r="R100" s="19">
        <v>10</v>
      </c>
      <c r="S100" s="19">
        <v>0</v>
      </c>
      <c r="T100" s="19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6">
        <v>0</v>
      </c>
      <c r="AC100" s="16">
        <v>0</v>
      </c>
      <c r="AD100" s="16">
        <v>0</v>
      </c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</row>
    <row r="101" spans="3:199" s="2" customFormat="1" ht="20.100000000000001" customHeight="1">
      <c r="C101" s="10">
        <v>40030330</v>
      </c>
      <c r="D101" s="10" t="s">
        <v>137</v>
      </c>
      <c r="E101" s="12">
        <v>0</v>
      </c>
      <c r="F101" s="15">
        <v>0</v>
      </c>
      <c r="G101" s="12">
        <v>1</v>
      </c>
      <c r="H101" s="12">
        <v>20</v>
      </c>
      <c r="I101" s="12">
        <v>0.3</v>
      </c>
      <c r="J101" s="16">
        <v>0</v>
      </c>
      <c r="K101" s="16">
        <v>0</v>
      </c>
      <c r="L101" s="19">
        <v>200</v>
      </c>
      <c r="M101" s="19">
        <v>0</v>
      </c>
      <c r="N101" s="15">
        <v>0</v>
      </c>
      <c r="O101" s="17">
        <v>0</v>
      </c>
      <c r="P101" s="17">
        <v>0</v>
      </c>
      <c r="Q101" s="19">
        <v>0</v>
      </c>
      <c r="R101" s="19">
        <v>0</v>
      </c>
      <c r="S101" s="19">
        <v>0</v>
      </c>
      <c r="T101" s="19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6">
        <v>0</v>
      </c>
      <c r="AC101" s="16">
        <v>0</v>
      </c>
      <c r="AD101" s="16">
        <v>0</v>
      </c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</row>
    <row r="102" spans="3:199" s="2" customFormat="1" ht="20.100000000000001" customHeight="1">
      <c r="C102" s="13">
        <v>40030331</v>
      </c>
      <c r="D102" s="10" t="s">
        <v>138</v>
      </c>
      <c r="E102" s="12">
        <v>0</v>
      </c>
      <c r="F102" s="15">
        <v>0</v>
      </c>
      <c r="G102" s="12">
        <v>1</v>
      </c>
      <c r="H102" s="12">
        <v>20</v>
      </c>
      <c r="I102" s="12">
        <v>0.3</v>
      </c>
      <c r="J102" s="16">
        <v>0</v>
      </c>
      <c r="K102" s="16">
        <v>0</v>
      </c>
      <c r="L102" s="19">
        <v>0</v>
      </c>
      <c r="M102" s="19">
        <v>0</v>
      </c>
      <c r="N102" s="15">
        <v>0</v>
      </c>
      <c r="O102" s="17">
        <v>0</v>
      </c>
      <c r="P102" s="17">
        <v>0</v>
      </c>
      <c r="Q102" s="19">
        <v>10</v>
      </c>
      <c r="R102" s="19">
        <v>20</v>
      </c>
      <c r="S102" s="19">
        <v>0</v>
      </c>
      <c r="T102" s="19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6">
        <v>0</v>
      </c>
      <c r="AC102" s="16">
        <v>0</v>
      </c>
      <c r="AD102" s="16">
        <v>0</v>
      </c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</row>
    <row r="103" spans="3:199" s="2" customFormat="1" ht="20.100000000000001" customHeight="1">
      <c r="C103" s="10">
        <v>40030332</v>
      </c>
      <c r="D103" s="10" t="s">
        <v>139</v>
      </c>
      <c r="E103" s="12">
        <v>0</v>
      </c>
      <c r="F103" s="15">
        <v>0</v>
      </c>
      <c r="G103" s="12">
        <v>1</v>
      </c>
      <c r="H103" s="12">
        <v>20</v>
      </c>
      <c r="I103" s="12">
        <v>0.3</v>
      </c>
      <c r="J103" s="16">
        <v>0</v>
      </c>
      <c r="K103" s="16">
        <v>0</v>
      </c>
      <c r="L103" s="19">
        <v>0</v>
      </c>
      <c r="M103" s="19">
        <v>0</v>
      </c>
      <c r="N103" s="15">
        <v>0</v>
      </c>
      <c r="O103" s="17">
        <v>0</v>
      </c>
      <c r="P103" s="17">
        <v>0</v>
      </c>
      <c r="Q103" s="19">
        <v>10</v>
      </c>
      <c r="R103" s="19">
        <v>10</v>
      </c>
      <c r="S103" s="19">
        <v>10</v>
      </c>
      <c r="T103" s="19">
        <v>20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6">
        <v>0</v>
      </c>
      <c r="AC103" s="16">
        <v>0</v>
      </c>
      <c r="AD103" s="16">
        <v>0</v>
      </c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</row>
    <row r="104" spans="3:199" s="2" customFormat="1" ht="20.100000000000001" customHeight="1">
      <c r="C104" s="13">
        <v>40030333</v>
      </c>
      <c r="D104" s="10" t="s">
        <v>140</v>
      </c>
      <c r="E104" s="12">
        <v>0</v>
      </c>
      <c r="F104" s="15">
        <v>0</v>
      </c>
      <c r="G104" s="12">
        <v>1</v>
      </c>
      <c r="H104" s="12">
        <v>20</v>
      </c>
      <c r="I104" s="12">
        <v>0.3</v>
      </c>
      <c r="J104" s="16">
        <v>0</v>
      </c>
      <c r="K104" s="16">
        <v>0</v>
      </c>
      <c r="L104" s="19">
        <v>200</v>
      </c>
      <c r="M104" s="19">
        <v>0</v>
      </c>
      <c r="N104" s="15">
        <v>0</v>
      </c>
      <c r="O104" s="17">
        <v>0</v>
      </c>
      <c r="P104" s="17">
        <v>0</v>
      </c>
      <c r="Q104" s="19">
        <v>10</v>
      </c>
      <c r="R104" s="19">
        <v>20</v>
      </c>
      <c r="S104" s="19">
        <v>10</v>
      </c>
      <c r="T104" s="19">
        <v>20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6">
        <v>0</v>
      </c>
      <c r="AC104" s="16">
        <v>0</v>
      </c>
      <c r="AD104" s="16">
        <v>0</v>
      </c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</row>
    <row r="105" spans="3:199" s="2" customFormat="1" ht="20.100000000000001" customHeight="1">
      <c r="C105" s="10">
        <v>40030334</v>
      </c>
      <c r="D105" s="10" t="s">
        <v>141</v>
      </c>
      <c r="E105" s="12">
        <v>0</v>
      </c>
      <c r="F105" s="12">
        <v>1202</v>
      </c>
      <c r="G105" s="12">
        <v>1</v>
      </c>
      <c r="H105" s="12">
        <v>20</v>
      </c>
      <c r="I105" s="12">
        <v>0.3</v>
      </c>
      <c r="J105" s="16">
        <v>0</v>
      </c>
      <c r="K105" s="16">
        <v>0</v>
      </c>
      <c r="L105" s="15">
        <v>0</v>
      </c>
      <c r="M105" s="15">
        <v>100</v>
      </c>
      <c r="N105" s="15">
        <v>600</v>
      </c>
      <c r="O105" s="17">
        <v>0</v>
      </c>
      <c r="P105" s="17">
        <v>0</v>
      </c>
      <c r="Q105" s="19">
        <v>0</v>
      </c>
      <c r="R105" s="19">
        <v>0</v>
      </c>
      <c r="S105" s="19">
        <v>0</v>
      </c>
      <c r="T105" s="19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6">
        <v>0</v>
      </c>
      <c r="AC105" s="16">
        <v>0</v>
      </c>
      <c r="AD105" s="16">
        <v>0</v>
      </c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</row>
    <row r="106" spans="3:199" s="2" customFormat="1" ht="20.100000000000001" customHeight="1">
      <c r="C106" s="13">
        <v>40030335</v>
      </c>
      <c r="D106" s="10" t="s">
        <v>142</v>
      </c>
      <c r="E106" s="12">
        <v>0</v>
      </c>
      <c r="F106" s="12">
        <v>1202</v>
      </c>
      <c r="G106" s="12">
        <v>1</v>
      </c>
      <c r="H106" s="12">
        <v>20</v>
      </c>
      <c r="I106" s="12">
        <v>0.3</v>
      </c>
      <c r="J106" s="16">
        <v>0</v>
      </c>
      <c r="K106" s="16">
        <v>0</v>
      </c>
      <c r="L106" s="15">
        <v>1000</v>
      </c>
      <c r="M106" s="15">
        <v>0</v>
      </c>
      <c r="N106" s="15">
        <v>0</v>
      </c>
      <c r="O106" s="17">
        <v>0</v>
      </c>
      <c r="P106" s="17">
        <v>0</v>
      </c>
      <c r="Q106" s="19">
        <v>30</v>
      </c>
      <c r="R106" s="19">
        <v>100</v>
      </c>
      <c r="S106" s="19">
        <v>30</v>
      </c>
      <c r="T106" s="19">
        <v>100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6">
        <v>0</v>
      </c>
      <c r="AC106" s="16">
        <v>0</v>
      </c>
      <c r="AD106" s="16">
        <v>0</v>
      </c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</row>
    <row r="107" spans="3:199" s="2" customFormat="1" ht="20.100000000000001" customHeight="1">
      <c r="C107" s="14">
        <v>40030401</v>
      </c>
      <c r="D107" s="15" t="s">
        <v>143</v>
      </c>
      <c r="E107" s="12">
        <v>0</v>
      </c>
      <c r="F107" s="15">
        <v>1303</v>
      </c>
      <c r="G107" s="12">
        <v>1</v>
      </c>
      <c r="H107" s="12">
        <v>30</v>
      </c>
      <c r="I107" s="12">
        <v>0.3</v>
      </c>
      <c r="J107" s="16">
        <v>0</v>
      </c>
      <c r="K107" s="16">
        <v>0</v>
      </c>
      <c r="L107" s="15">
        <v>0</v>
      </c>
      <c r="M107" s="15">
        <v>30</v>
      </c>
      <c r="N107" s="15">
        <v>70</v>
      </c>
      <c r="O107" s="17">
        <v>0</v>
      </c>
      <c r="P107" s="17">
        <v>0</v>
      </c>
      <c r="Q107" s="19">
        <v>20</v>
      </c>
      <c r="R107" s="19">
        <v>60</v>
      </c>
      <c r="S107" s="19">
        <v>20</v>
      </c>
      <c r="T107" s="19">
        <v>60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6">
        <v>0</v>
      </c>
      <c r="AC107" s="16">
        <v>0</v>
      </c>
      <c r="AD107" s="16">
        <v>0</v>
      </c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</row>
    <row r="108" spans="3:199" s="2" customFormat="1" ht="20.100000000000001" customHeight="1">
      <c r="C108" s="14">
        <v>40030402</v>
      </c>
      <c r="D108" s="15" t="s">
        <v>144</v>
      </c>
      <c r="E108" s="12">
        <v>0</v>
      </c>
      <c r="F108" s="15">
        <v>0</v>
      </c>
      <c r="G108" s="12">
        <v>1</v>
      </c>
      <c r="H108" s="12">
        <v>30</v>
      </c>
      <c r="I108" s="12">
        <v>0.3</v>
      </c>
      <c r="J108" s="16">
        <v>0</v>
      </c>
      <c r="K108" s="16">
        <v>0</v>
      </c>
      <c r="L108" s="15">
        <v>0</v>
      </c>
      <c r="M108" s="15">
        <v>10</v>
      </c>
      <c r="N108" s="15">
        <v>60</v>
      </c>
      <c r="O108" s="17">
        <v>0</v>
      </c>
      <c r="P108" s="17">
        <v>0</v>
      </c>
      <c r="Q108" s="19">
        <v>10</v>
      </c>
      <c r="R108" s="19">
        <v>30</v>
      </c>
      <c r="S108" s="19">
        <v>10</v>
      </c>
      <c r="T108" s="19">
        <v>30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6">
        <v>0</v>
      </c>
      <c r="AC108" s="16">
        <v>0</v>
      </c>
      <c r="AD108" s="16">
        <v>0</v>
      </c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</row>
    <row r="109" spans="3:199" s="2" customFormat="1" ht="20.100000000000001" customHeight="1">
      <c r="C109" s="14">
        <v>40030403</v>
      </c>
      <c r="D109" s="15" t="s">
        <v>145</v>
      </c>
      <c r="E109" s="12">
        <v>0</v>
      </c>
      <c r="F109" s="15">
        <v>1303</v>
      </c>
      <c r="G109" s="12">
        <v>1</v>
      </c>
      <c r="H109" s="12">
        <v>30</v>
      </c>
      <c r="I109" s="12">
        <v>0.3</v>
      </c>
      <c r="J109" s="16">
        <v>0</v>
      </c>
      <c r="K109" s="16">
        <v>0</v>
      </c>
      <c r="L109" s="15">
        <v>0</v>
      </c>
      <c r="M109" s="15">
        <v>40</v>
      </c>
      <c r="N109" s="15">
        <v>90</v>
      </c>
      <c r="O109" s="17">
        <v>0</v>
      </c>
      <c r="P109" s="17">
        <v>0</v>
      </c>
      <c r="Q109" s="19">
        <v>0</v>
      </c>
      <c r="R109" s="19">
        <v>0</v>
      </c>
      <c r="S109" s="19">
        <v>10</v>
      </c>
      <c r="T109" s="19">
        <v>30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6">
        <v>0</v>
      </c>
      <c r="AC109" s="16">
        <v>0</v>
      </c>
      <c r="AD109" s="16">
        <v>0</v>
      </c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</row>
    <row r="110" spans="3:199" s="2" customFormat="1" ht="20.100000000000001" customHeight="1">
      <c r="C110" s="14">
        <v>40030404</v>
      </c>
      <c r="D110" s="15" t="s">
        <v>146</v>
      </c>
      <c r="E110" s="12">
        <v>0</v>
      </c>
      <c r="F110" s="15">
        <v>0</v>
      </c>
      <c r="G110" s="12">
        <v>1</v>
      </c>
      <c r="H110" s="12">
        <v>30</v>
      </c>
      <c r="I110" s="12">
        <v>0.3</v>
      </c>
      <c r="J110" s="16">
        <v>0</v>
      </c>
      <c r="K110" s="16">
        <v>0</v>
      </c>
      <c r="L110" s="15">
        <v>0</v>
      </c>
      <c r="M110" s="15">
        <v>10</v>
      </c>
      <c r="N110" s="15">
        <v>80</v>
      </c>
      <c r="O110" s="17">
        <v>0</v>
      </c>
      <c r="P110" s="17">
        <v>0</v>
      </c>
      <c r="Q110" s="19">
        <v>0</v>
      </c>
      <c r="R110" s="19">
        <v>0</v>
      </c>
      <c r="S110" s="19">
        <v>10</v>
      </c>
      <c r="T110" s="19">
        <v>20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6">
        <v>0</v>
      </c>
      <c r="AC110" s="16">
        <v>0</v>
      </c>
      <c r="AD110" s="16">
        <v>0</v>
      </c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</row>
    <row r="111" spans="3:199" s="2" customFormat="1" ht="20.100000000000001" customHeight="1">
      <c r="C111" s="14">
        <v>40030405</v>
      </c>
      <c r="D111" s="15" t="s">
        <v>147</v>
      </c>
      <c r="E111" s="12">
        <v>0</v>
      </c>
      <c r="F111" s="15">
        <v>1305</v>
      </c>
      <c r="G111" s="12">
        <v>1</v>
      </c>
      <c r="H111" s="12">
        <v>30</v>
      </c>
      <c r="I111" s="12">
        <v>0.3</v>
      </c>
      <c r="J111" s="16">
        <v>0</v>
      </c>
      <c r="K111" s="16">
        <v>0</v>
      </c>
      <c r="L111" s="15">
        <v>0</v>
      </c>
      <c r="M111" s="15">
        <v>20</v>
      </c>
      <c r="N111" s="15">
        <v>50</v>
      </c>
      <c r="O111" s="17">
        <v>0</v>
      </c>
      <c r="P111" s="17">
        <v>0</v>
      </c>
      <c r="Q111" s="19">
        <v>20</v>
      </c>
      <c r="R111" s="19">
        <v>60</v>
      </c>
      <c r="S111" s="19">
        <v>0</v>
      </c>
      <c r="T111" s="19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6">
        <v>0</v>
      </c>
      <c r="AC111" s="16">
        <v>0</v>
      </c>
      <c r="AD111" s="16">
        <v>0</v>
      </c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</row>
    <row r="112" spans="3:199" s="2" customFormat="1" ht="20.100000000000001" customHeight="1">
      <c r="C112" s="14">
        <v>40030406</v>
      </c>
      <c r="D112" s="15" t="s">
        <v>148</v>
      </c>
      <c r="E112" s="12">
        <v>0</v>
      </c>
      <c r="F112" s="15">
        <v>0</v>
      </c>
      <c r="G112" s="12">
        <v>1</v>
      </c>
      <c r="H112" s="12">
        <v>30</v>
      </c>
      <c r="I112" s="12">
        <v>0.3</v>
      </c>
      <c r="J112" s="16">
        <v>0</v>
      </c>
      <c r="K112" s="16">
        <v>0</v>
      </c>
      <c r="L112" s="15">
        <v>0</v>
      </c>
      <c r="M112" s="15">
        <v>10</v>
      </c>
      <c r="N112" s="15">
        <v>40</v>
      </c>
      <c r="O112" s="17">
        <v>0</v>
      </c>
      <c r="P112" s="17">
        <v>0</v>
      </c>
      <c r="Q112" s="19">
        <v>20</v>
      </c>
      <c r="R112" s="19">
        <v>40</v>
      </c>
      <c r="S112" s="19">
        <v>0</v>
      </c>
      <c r="T112" s="19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6">
        <v>0</v>
      </c>
      <c r="AC112" s="16">
        <v>0</v>
      </c>
      <c r="AD112" s="16">
        <v>0</v>
      </c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</row>
    <row r="113" spans="3:199" s="2" customFormat="1" ht="20.100000000000001" customHeight="1">
      <c r="C113" s="14">
        <v>40030407</v>
      </c>
      <c r="D113" s="15" t="s">
        <v>149</v>
      </c>
      <c r="E113" s="12">
        <v>0</v>
      </c>
      <c r="F113" s="15">
        <v>1305</v>
      </c>
      <c r="G113" s="12">
        <v>1</v>
      </c>
      <c r="H113" s="12">
        <v>30</v>
      </c>
      <c r="I113" s="12">
        <v>0.3</v>
      </c>
      <c r="J113" s="16">
        <v>0</v>
      </c>
      <c r="K113" s="16">
        <v>0</v>
      </c>
      <c r="L113" s="15">
        <v>0</v>
      </c>
      <c r="M113" s="15">
        <v>20</v>
      </c>
      <c r="N113" s="15">
        <v>70</v>
      </c>
      <c r="O113" s="17">
        <v>0</v>
      </c>
      <c r="P113" s="17">
        <v>0</v>
      </c>
      <c r="Q113" s="19">
        <v>0</v>
      </c>
      <c r="R113" s="19">
        <v>0</v>
      </c>
      <c r="S113" s="19">
        <v>20</v>
      </c>
      <c r="T113" s="19">
        <v>50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6">
        <v>0</v>
      </c>
      <c r="AC113" s="16">
        <v>0</v>
      </c>
      <c r="AD113" s="16">
        <v>0</v>
      </c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</row>
    <row r="114" spans="3:199" s="2" customFormat="1" ht="20.100000000000001" customHeight="1">
      <c r="C114" s="14">
        <v>40030408</v>
      </c>
      <c r="D114" s="15" t="s">
        <v>150</v>
      </c>
      <c r="E114" s="12">
        <v>0</v>
      </c>
      <c r="F114" s="15">
        <v>0</v>
      </c>
      <c r="G114" s="12">
        <v>1</v>
      </c>
      <c r="H114" s="12">
        <v>30</v>
      </c>
      <c r="I114" s="12">
        <v>0.3</v>
      </c>
      <c r="J114" s="16">
        <v>0</v>
      </c>
      <c r="K114" s="16">
        <v>0</v>
      </c>
      <c r="L114" s="15">
        <v>0</v>
      </c>
      <c r="M114" s="15">
        <v>10</v>
      </c>
      <c r="N114" s="15">
        <v>50</v>
      </c>
      <c r="O114" s="17">
        <v>0</v>
      </c>
      <c r="P114" s="17">
        <v>0</v>
      </c>
      <c r="Q114" s="19">
        <v>0</v>
      </c>
      <c r="R114" s="19">
        <v>0</v>
      </c>
      <c r="S114" s="19">
        <v>10</v>
      </c>
      <c r="T114" s="19">
        <v>30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6">
        <v>0</v>
      </c>
      <c r="AC114" s="16">
        <v>0</v>
      </c>
      <c r="AD114" s="16">
        <v>0</v>
      </c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</row>
    <row r="115" spans="3:199" s="2" customFormat="1" ht="20.100000000000001" customHeight="1">
      <c r="C115" s="14">
        <v>40030409</v>
      </c>
      <c r="D115" s="15" t="s">
        <v>151</v>
      </c>
      <c r="E115" s="12">
        <v>0</v>
      </c>
      <c r="F115" s="15">
        <v>1304</v>
      </c>
      <c r="G115" s="12">
        <v>1</v>
      </c>
      <c r="H115" s="12">
        <v>30</v>
      </c>
      <c r="I115" s="12">
        <v>0.3</v>
      </c>
      <c r="J115" s="16">
        <v>0</v>
      </c>
      <c r="K115" s="16">
        <v>0</v>
      </c>
      <c r="L115" s="15">
        <v>0</v>
      </c>
      <c r="M115" s="15">
        <v>40</v>
      </c>
      <c r="N115" s="15">
        <v>110</v>
      </c>
      <c r="O115" s="17">
        <v>0</v>
      </c>
      <c r="P115" s="17">
        <v>0</v>
      </c>
      <c r="Q115" s="19">
        <v>10</v>
      </c>
      <c r="R115" s="19">
        <v>30</v>
      </c>
      <c r="S115" s="19">
        <v>10</v>
      </c>
      <c r="T115" s="19">
        <v>30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6">
        <v>0</v>
      </c>
      <c r="AC115" s="16">
        <v>0</v>
      </c>
      <c r="AD115" s="16">
        <v>0</v>
      </c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</row>
    <row r="116" spans="3:199" s="2" customFormat="1" ht="20.100000000000001" customHeight="1">
      <c r="C116" s="14">
        <v>40030410</v>
      </c>
      <c r="D116" s="15" t="s">
        <v>152</v>
      </c>
      <c r="E116" s="12">
        <v>0</v>
      </c>
      <c r="F116" s="15">
        <v>0</v>
      </c>
      <c r="G116" s="12">
        <v>1</v>
      </c>
      <c r="H116" s="12">
        <v>30</v>
      </c>
      <c r="I116" s="12">
        <v>0.3</v>
      </c>
      <c r="J116" s="16">
        <v>0</v>
      </c>
      <c r="K116" s="16">
        <v>0</v>
      </c>
      <c r="L116" s="15">
        <v>0</v>
      </c>
      <c r="M116" s="15">
        <v>20</v>
      </c>
      <c r="N116" s="15">
        <v>90</v>
      </c>
      <c r="O116" s="17">
        <v>0</v>
      </c>
      <c r="P116" s="17">
        <v>0</v>
      </c>
      <c r="Q116" s="19">
        <v>10</v>
      </c>
      <c r="R116" s="19">
        <v>20</v>
      </c>
      <c r="S116" s="19">
        <v>10</v>
      </c>
      <c r="T116" s="19">
        <v>20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6">
        <v>0</v>
      </c>
      <c r="AC116" s="16">
        <v>0</v>
      </c>
      <c r="AD116" s="16">
        <v>0</v>
      </c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</row>
    <row r="117" spans="3:199" s="2" customFormat="1" ht="20.100000000000001" customHeight="1">
      <c r="C117" s="14">
        <v>40030411</v>
      </c>
      <c r="D117" s="15" t="s">
        <v>153</v>
      </c>
      <c r="E117" s="12">
        <v>0</v>
      </c>
      <c r="F117" s="15">
        <v>1304</v>
      </c>
      <c r="G117" s="12">
        <v>1</v>
      </c>
      <c r="H117" s="12">
        <v>30</v>
      </c>
      <c r="I117" s="12">
        <v>0.3</v>
      </c>
      <c r="J117" s="16">
        <v>0</v>
      </c>
      <c r="K117" s="16">
        <v>0</v>
      </c>
      <c r="L117" s="15">
        <v>0</v>
      </c>
      <c r="M117" s="15">
        <v>30</v>
      </c>
      <c r="N117" s="15">
        <v>180</v>
      </c>
      <c r="O117" s="17">
        <v>0</v>
      </c>
      <c r="P117" s="17">
        <v>0</v>
      </c>
      <c r="Q117" s="19">
        <v>10</v>
      </c>
      <c r="R117" s="19">
        <v>30</v>
      </c>
      <c r="S117" s="19">
        <v>0</v>
      </c>
      <c r="T117" s="19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6">
        <v>0</v>
      </c>
      <c r="AC117" s="16">
        <v>0</v>
      </c>
      <c r="AD117" s="16">
        <v>0</v>
      </c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</row>
    <row r="118" spans="3:199" s="2" customFormat="1" ht="20.100000000000001" customHeight="1">
      <c r="C118" s="14">
        <v>40030412</v>
      </c>
      <c r="D118" s="15" t="s">
        <v>154</v>
      </c>
      <c r="E118" s="12">
        <v>0</v>
      </c>
      <c r="F118" s="15">
        <v>0</v>
      </c>
      <c r="G118" s="12">
        <v>1</v>
      </c>
      <c r="H118" s="12">
        <v>30</v>
      </c>
      <c r="I118" s="12">
        <v>0.3</v>
      </c>
      <c r="J118" s="16">
        <v>0</v>
      </c>
      <c r="K118" s="16">
        <v>0</v>
      </c>
      <c r="L118" s="15">
        <v>0</v>
      </c>
      <c r="M118" s="15">
        <v>20</v>
      </c>
      <c r="N118" s="15">
        <v>150</v>
      </c>
      <c r="O118" s="17">
        <v>0</v>
      </c>
      <c r="P118" s="17">
        <v>0</v>
      </c>
      <c r="Q118" s="19">
        <v>10</v>
      </c>
      <c r="R118" s="19">
        <v>20</v>
      </c>
      <c r="S118" s="19">
        <v>0</v>
      </c>
      <c r="T118" s="19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6">
        <v>0</v>
      </c>
      <c r="AC118" s="16">
        <v>0</v>
      </c>
      <c r="AD118" s="16">
        <v>0</v>
      </c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</row>
    <row r="119" spans="3:199" s="2" customFormat="1" ht="20.100000000000001" customHeight="1">
      <c r="C119" s="14">
        <v>40030413</v>
      </c>
      <c r="D119" s="15" t="s">
        <v>155</v>
      </c>
      <c r="E119" s="12">
        <v>0</v>
      </c>
      <c r="F119" s="15">
        <v>1306</v>
      </c>
      <c r="G119" s="12">
        <v>1</v>
      </c>
      <c r="H119" s="12">
        <v>30</v>
      </c>
      <c r="I119" s="12">
        <v>0.3</v>
      </c>
      <c r="J119" s="16">
        <v>0</v>
      </c>
      <c r="K119" s="16">
        <v>0</v>
      </c>
      <c r="L119" s="15">
        <v>0</v>
      </c>
      <c r="M119" s="15">
        <v>30</v>
      </c>
      <c r="N119" s="15">
        <v>170</v>
      </c>
      <c r="O119" s="17">
        <v>0</v>
      </c>
      <c r="P119" s="17">
        <v>0</v>
      </c>
      <c r="Q119" s="19">
        <v>0</v>
      </c>
      <c r="R119" s="19">
        <v>0</v>
      </c>
      <c r="S119" s="19">
        <v>20</v>
      </c>
      <c r="T119" s="19">
        <v>40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6">
        <v>0</v>
      </c>
      <c r="AC119" s="16">
        <v>0</v>
      </c>
      <c r="AD119" s="16">
        <v>0</v>
      </c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</row>
    <row r="120" spans="3:199" s="2" customFormat="1" ht="20.100000000000001" customHeight="1">
      <c r="C120" s="14">
        <v>40030414</v>
      </c>
      <c r="D120" s="15" t="s">
        <v>156</v>
      </c>
      <c r="E120" s="12">
        <v>0</v>
      </c>
      <c r="F120" s="15">
        <v>0</v>
      </c>
      <c r="G120" s="12">
        <v>1</v>
      </c>
      <c r="H120" s="12">
        <v>30</v>
      </c>
      <c r="I120" s="12">
        <v>0.3</v>
      </c>
      <c r="J120" s="16">
        <v>0</v>
      </c>
      <c r="K120" s="16">
        <v>0</v>
      </c>
      <c r="L120" s="15">
        <v>0</v>
      </c>
      <c r="M120" s="15">
        <v>10</v>
      </c>
      <c r="N120" s="15">
        <v>150</v>
      </c>
      <c r="O120" s="17">
        <v>0</v>
      </c>
      <c r="P120" s="17">
        <v>0</v>
      </c>
      <c r="Q120" s="19">
        <v>0</v>
      </c>
      <c r="R120" s="19">
        <v>0</v>
      </c>
      <c r="S120" s="19">
        <v>10</v>
      </c>
      <c r="T120" s="19">
        <v>20</v>
      </c>
      <c r="U120" s="18">
        <v>0</v>
      </c>
      <c r="V120" s="18">
        <v>0</v>
      </c>
      <c r="W120" s="18">
        <v>0</v>
      </c>
      <c r="X120" s="18">
        <v>0</v>
      </c>
      <c r="Y120" s="18">
        <v>0</v>
      </c>
      <c r="Z120" s="18">
        <v>0</v>
      </c>
      <c r="AA120" s="18">
        <v>0</v>
      </c>
      <c r="AB120" s="16">
        <v>0</v>
      </c>
      <c r="AC120" s="16">
        <v>0</v>
      </c>
      <c r="AD120" s="16">
        <v>0</v>
      </c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</row>
    <row r="121" spans="3:199" s="2" customFormat="1" ht="20.100000000000001" customHeight="1">
      <c r="C121" s="14">
        <v>40030415</v>
      </c>
      <c r="D121" s="15" t="s">
        <v>157</v>
      </c>
      <c r="E121" s="12">
        <v>0</v>
      </c>
      <c r="F121" s="15">
        <v>1306</v>
      </c>
      <c r="G121" s="12">
        <v>1</v>
      </c>
      <c r="H121" s="12">
        <v>30</v>
      </c>
      <c r="I121" s="12">
        <v>0.3</v>
      </c>
      <c r="J121" s="16">
        <v>0</v>
      </c>
      <c r="K121" s="16">
        <v>0</v>
      </c>
      <c r="L121" s="15">
        <v>0</v>
      </c>
      <c r="M121" s="15">
        <v>0</v>
      </c>
      <c r="N121" s="15">
        <v>20</v>
      </c>
      <c r="O121" s="17">
        <v>0</v>
      </c>
      <c r="P121" s="17">
        <v>0</v>
      </c>
      <c r="Q121" s="19">
        <v>0</v>
      </c>
      <c r="R121" s="19">
        <v>20</v>
      </c>
      <c r="S121" s="19">
        <v>0</v>
      </c>
      <c r="T121" s="19">
        <v>20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18">
        <v>0</v>
      </c>
      <c r="AB121" s="16">
        <v>0</v>
      </c>
      <c r="AC121" s="16">
        <v>0</v>
      </c>
      <c r="AD121" s="16">
        <v>0</v>
      </c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</row>
    <row r="122" spans="3:199" s="2" customFormat="1" ht="20.100000000000001" customHeight="1">
      <c r="C122" s="14">
        <v>40030416</v>
      </c>
      <c r="D122" s="15" t="s">
        <v>158</v>
      </c>
      <c r="E122" s="12">
        <v>0</v>
      </c>
      <c r="F122" s="15">
        <v>1306</v>
      </c>
      <c r="G122" s="12">
        <v>1</v>
      </c>
      <c r="H122" s="12">
        <v>30</v>
      </c>
      <c r="I122" s="12">
        <v>0.3</v>
      </c>
      <c r="J122" s="16">
        <v>0</v>
      </c>
      <c r="K122" s="16">
        <v>0</v>
      </c>
      <c r="L122" s="15">
        <v>2000</v>
      </c>
      <c r="M122" s="15">
        <v>0</v>
      </c>
      <c r="N122" s="15">
        <v>0</v>
      </c>
      <c r="O122" s="17">
        <v>0</v>
      </c>
      <c r="P122" s="17">
        <v>0</v>
      </c>
      <c r="Q122" s="19">
        <v>0</v>
      </c>
      <c r="R122" s="19">
        <v>0</v>
      </c>
      <c r="S122" s="19">
        <v>0</v>
      </c>
      <c r="T122" s="19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18">
        <v>0</v>
      </c>
      <c r="AB122" s="16">
        <v>0</v>
      </c>
      <c r="AC122" s="16">
        <v>0</v>
      </c>
      <c r="AD122" s="16">
        <v>0</v>
      </c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</row>
    <row r="123" spans="3:199" s="2" customFormat="1" ht="20.100000000000001" customHeight="1">
      <c r="C123" s="14">
        <v>40030417</v>
      </c>
      <c r="D123" s="15" t="s">
        <v>159</v>
      </c>
      <c r="E123" s="12">
        <v>0</v>
      </c>
      <c r="F123" s="15">
        <v>0</v>
      </c>
      <c r="G123" s="12">
        <v>1</v>
      </c>
      <c r="H123" s="12">
        <v>30</v>
      </c>
      <c r="I123" s="12">
        <v>0.3</v>
      </c>
      <c r="J123" s="16">
        <v>0</v>
      </c>
      <c r="K123" s="16">
        <v>0</v>
      </c>
      <c r="L123" s="15">
        <v>1500</v>
      </c>
      <c r="M123" s="15">
        <v>0</v>
      </c>
      <c r="N123" s="15">
        <v>0</v>
      </c>
      <c r="O123" s="17">
        <v>0</v>
      </c>
      <c r="P123" s="17">
        <v>0</v>
      </c>
      <c r="Q123" s="19">
        <v>0</v>
      </c>
      <c r="R123" s="19">
        <v>0</v>
      </c>
      <c r="S123" s="19">
        <v>0</v>
      </c>
      <c r="T123" s="19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18">
        <v>0</v>
      </c>
      <c r="AB123" s="16">
        <v>0</v>
      </c>
      <c r="AC123" s="16">
        <v>0</v>
      </c>
      <c r="AD123" s="16">
        <v>0</v>
      </c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</row>
    <row r="124" spans="3:199" s="2" customFormat="1" ht="20.100000000000001" customHeight="1">
      <c r="C124" s="14">
        <v>40030418</v>
      </c>
      <c r="D124" s="15" t="s">
        <v>160</v>
      </c>
      <c r="E124" s="12">
        <v>0</v>
      </c>
      <c r="F124" s="15">
        <v>1304</v>
      </c>
      <c r="G124" s="12">
        <v>1</v>
      </c>
      <c r="H124" s="12">
        <v>30</v>
      </c>
      <c r="I124" s="12">
        <v>0.3</v>
      </c>
      <c r="J124" s="16">
        <v>0</v>
      </c>
      <c r="K124" s="16">
        <v>0</v>
      </c>
      <c r="L124" s="15">
        <v>0</v>
      </c>
      <c r="M124" s="15">
        <v>50</v>
      </c>
      <c r="N124" s="15">
        <v>600</v>
      </c>
      <c r="O124" s="17">
        <v>0</v>
      </c>
      <c r="P124" s="17">
        <v>0</v>
      </c>
      <c r="Q124" s="19">
        <v>0</v>
      </c>
      <c r="R124" s="19">
        <v>0</v>
      </c>
      <c r="S124" s="19">
        <v>0</v>
      </c>
      <c r="T124" s="19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6">
        <v>0</v>
      </c>
      <c r="AC124" s="16">
        <v>0</v>
      </c>
      <c r="AD124" s="16">
        <v>0</v>
      </c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</row>
    <row r="125" spans="3:199" s="2" customFormat="1" ht="20.100000000000001" customHeight="1">
      <c r="C125" s="14">
        <v>40030419</v>
      </c>
      <c r="D125" s="15" t="s">
        <v>161</v>
      </c>
      <c r="E125" s="12">
        <v>0</v>
      </c>
      <c r="F125" s="15">
        <v>0</v>
      </c>
      <c r="G125" s="12">
        <v>1</v>
      </c>
      <c r="H125" s="12">
        <v>30</v>
      </c>
      <c r="I125" s="12">
        <v>0.3</v>
      </c>
      <c r="J125" s="16">
        <v>0</v>
      </c>
      <c r="K125" s="16">
        <v>0</v>
      </c>
      <c r="L125" s="15">
        <v>0</v>
      </c>
      <c r="M125" s="15">
        <v>70</v>
      </c>
      <c r="N125" s="15">
        <v>450</v>
      </c>
      <c r="O125" s="17">
        <v>0</v>
      </c>
      <c r="P125" s="17">
        <v>0</v>
      </c>
      <c r="Q125" s="19">
        <v>0</v>
      </c>
      <c r="R125" s="19">
        <v>0</v>
      </c>
      <c r="S125" s="19">
        <v>0</v>
      </c>
      <c r="T125" s="19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0</v>
      </c>
      <c r="AB125" s="16">
        <v>0</v>
      </c>
      <c r="AC125" s="16">
        <v>0</v>
      </c>
      <c r="AD125" s="16">
        <v>0</v>
      </c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</row>
    <row r="126" spans="3:199" s="2" customFormat="1" ht="20.100000000000001" customHeight="1">
      <c r="C126" s="14">
        <v>40030420</v>
      </c>
      <c r="D126" s="15" t="s">
        <v>162</v>
      </c>
      <c r="E126" s="12">
        <v>0</v>
      </c>
      <c r="F126" s="15">
        <v>1304</v>
      </c>
      <c r="G126" s="12">
        <v>1</v>
      </c>
      <c r="H126" s="12">
        <v>30</v>
      </c>
      <c r="I126" s="12">
        <v>0.3</v>
      </c>
      <c r="J126" s="16">
        <v>0</v>
      </c>
      <c r="K126" s="16">
        <v>0</v>
      </c>
      <c r="L126" s="15">
        <v>800</v>
      </c>
      <c r="M126" s="15">
        <v>0</v>
      </c>
      <c r="N126" s="15">
        <v>0</v>
      </c>
      <c r="O126" s="17">
        <v>0</v>
      </c>
      <c r="P126" s="17">
        <v>0</v>
      </c>
      <c r="Q126" s="19">
        <v>30</v>
      </c>
      <c r="R126" s="19">
        <v>100</v>
      </c>
      <c r="S126" s="19">
        <v>20</v>
      </c>
      <c r="T126" s="19">
        <v>70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8">
        <v>0</v>
      </c>
      <c r="AB126" s="16">
        <v>0</v>
      </c>
      <c r="AC126" s="16">
        <v>0</v>
      </c>
      <c r="AD126" s="16">
        <v>0</v>
      </c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</row>
    <row r="127" spans="3:199" s="2" customFormat="1" ht="20.100000000000001" customHeight="1">
      <c r="C127" s="14">
        <v>40030421</v>
      </c>
      <c r="D127" s="15" t="s">
        <v>163</v>
      </c>
      <c r="E127" s="12">
        <v>0</v>
      </c>
      <c r="F127" s="15">
        <v>0</v>
      </c>
      <c r="G127" s="12">
        <v>1</v>
      </c>
      <c r="H127" s="12">
        <v>30</v>
      </c>
      <c r="I127" s="12">
        <v>0.3</v>
      </c>
      <c r="J127" s="16">
        <v>0</v>
      </c>
      <c r="K127" s="16">
        <v>0</v>
      </c>
      <c r="L127" s="15">
        <v>600</v>
      </c>
      <c r="M127" s="15">
        <v>0</v>
      </c>
      <c r="N127" s="15">
        <v>0</v>
      </c>
      <c r="O127" s="17">
        <v>0</v>
      </c>
      <c r="P127" s="17">
        <v>0</v>
      </c>
      <c r="Q127" s="19">
        <v>20</v>
      </c>
      <c r="R127" s="19">
        <v>90</v>
      </c>
      <c r="S127" s="19">
        <v>20</v>
      </c>
      <c r="T127" s="19">
        <v>50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6">
        <v>0</v>
      </c>
      <c r="AC127" s="16">
        <v>0</v>
      </c>
      <c r="AD127" s="16">
        <v>0</v>
      </c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</row>
    <row r="128" spans="3:199" s="2" customFormat="1" ht="20.100000000000001" customHeight="1">
      <c r="C128" s="14">
        <v>40030422</v>
      </c>
      <c r="D128" s="15" t="s">
        <v>164</v>
      </c>
      <c r="E128" s="12">
        <v>0</v>
      </c>
      <c r="F128" s="15">
        <v>0</v>
      </c>
      <c r="G128" s="12">
        <v>1</v>
      </c>
      <c r="H128" s="12">
        <v>30</v>
      </c>
      <c r="I128" s="12">
        <v>0.3</v>
      </c>
      <c r="J128" s="16">
        <v>0</v>
      </c>
      <c r="K128" s="16">
        <v>0</v>
      </c>
      <c r="L128" s="15">
        <v>0</v>
      </c>
      <c r="M128" s="15">
        <v>10</v>
      </c>
      <c r="N128" s="15">
        <v>40</v>
      </c>
      <c r="O128" s="17">
        <v>0</v>
      </c>
      <c r="P128" s="17">
        <v>0</v>
      </c>
      <c r="Q128" s="19">
        <v>20</v>
      </c>
      <c r="R128" s="19">
        <v>40</v>
      </c>
      <c r="S128" s="19">
        <v>0</v>
      </c>
      <c r="T128" s="19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6">
        <v>0</v>
      </c>
      <c r="AC128" s="16">
        <v>0</v>
      </c>
      <c r="AD128" s="16">
        <v>0</v>
      </c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</row>
    <row r="129" spans="3:199" s="2" customFormat="1" ht="20.100000000000001" customHeight="1">
      <c r="C129" s="14">
        <v>40030423</v>
      </c>
      <c r="D129" s="15" t="s">
        <v>165</v>
      </c>
      <c r="E129" s="12">
        <v>0</v>
      </c>
      <c r="F129" s="15">
        <v>0</v>
      </c>
      <c r="G129" s="12">
        <v>1</v>
      </c>
      <c r="H129" s="12">
        <v>30</v>
      </c>
      <c r="I129" s="12">
        <v>0.3</v>
      </c>
      <c r="J129" s="16">
        <v>0</v>
      </c>
      <c r="K129" s="16">
        <v>0</v>
      </c>
      <c r="L129" s="15">
        <v>0</v>
      </c>
      <c r="M129" s="15">
        <v>20</v>
      </c>
      <c r="N129" s="15">
        <v>60</v>
      </c>
      <c r="O129" s="17">
        <v>0</v>
      </c>
      <c r="P129" s="17">
        <v>0</v>
      </c>
      <c r="Q129" s="19">
        <v>0</v>
      </c>
      <c r="R129" s="19">
        <v>0</v>
      </c>
      <c r="S129" s="19">
        <v>20</v>
      </c>
      <c r="T129" s="19">
        <v>30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6">
        <v>0</v>
      </c>
      <c r="AC129" s="16">
        <v>0</v>
      </c>
      <c r="AD129" s="16">
        <v>0</v>
      </c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</row>
    <row r="130" spans="3:199" s="2" customFormat="1" ht="20.100000000000001" customHeight="1">
      <c r="C130" s="14">
        <v>40030424</v>
      </c>
      <c r="D130" s="15" t="s">
        <v>166</v>
      </c>
      <c r="E130" s="12">
        <v>0</v>
      </c>
      <c r="F130" s="15">
        <v>0</v>
      </c>
      <c r="G130" s="12">
        <v>1</v>
      </c>
      <c r="H130" s="12">
        <v>30</v>
      </c>
      <c r="I130" s="12">
        <v>0.3</v>
      </c>
      <c r="J130" s="16">
        <v>0</v>
      </c>
      <c r="K130" s="16">
        <v>0</v>
      </c>
      <c r="L130" s="15">
        <v>700</v>
      </c>
      <c r="M130" s="15">
        <v>0</v>
      </c>
      <c r="N130" s="15">
        <v>0</v>
      </c>
      <c r="O130" s="17">
        <v>0</v>
      </c>
      <c r="P130" s="17">
        <v>0</v>
      </c>
      <c r="Q130" s="19">
        <v>30</v>
      </c>
      <c r="R130" s="19">
        <v>90</v>
      </c>
      <c r="S130" s="19">
        <v>20</v>
      </c>
      <c r="T130" s="19">
        <v>60</v>
      </c>
      <c r="U130" s="18">
        <v>0</v>
      </c>
      <c r="V130" s="18">
        <v>0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6">
        <v>0</v>
      </c>
      <c r="AC130" s="16">
        <v>0</v>
      </c>
      <c r="AD130" s="16">
        <v>0</v>
      </c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</row>
    <row r="131" spans="3:199" s="2" customFormat="1" ht="20.100000000000001" customHeight="1">
      <c r="C131" s="14">
        <v>40030425</v>
      </c>
      <c r="D131" s="15" t="s">
        <v>167</v>
      </c>
      <c r="E131" s="12">
        <v>0</v>
      </c>
      <c r="F131" s="15">
        <v>0</v>
      </c>
      <c r="G131" s="12">
        <v>1</v>
      </c>
      <c r="H131" s="12">
        <v>30</v>
      </c>
      <c r="I131" s="12">
        <v>0.3</v>
      </c>
      <c r="J131" s="16">
        <v>0</v>
      </c>
      <c r="K131" s="16">
        <v>0</v>
      </c>
      <c r="L131" s="15">
        <v>0</v>
      </c>
      <c r="M131" s="15">
        <v>30</v>
      </c>
      <c r="N131" s="15">
        <v>60</v>
      </c>
      <c r="O131" s="17">
        <v>0</v>
      </c>
      <c r="P131" s="17">
        <v>0</v>
      </c>
      <c r="Q131" s="19">
        <v>10</v>
      </c>
      <c r="R131" s="19">
        <v>40</v>
      </c>
      <c r="S131" s="19">
        <v>10</v>
      </c>
      <c r="T131" s="19">
        <v>40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16">
        <v>0</v>
      </c>
      <c r="AC131" s="16">
        <v>0</v>
      </c>
      <c r="AD131" s="16">
        <v>0</v>
      </c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</row>
    <row r="132" spans="3:199" s="2" customFormat="1" ht="20.100000000000001" customHeight="1">
      <c r="C132" s="14">
        <v>40030426</v>
      </c>
      <c r="D132" s="15" t="s">
        <v>168</v>
      </c>
      <c r="E132" s="12">
        <v>0</v>
      </c>
      <c r="F132" s="15">
        <v>0</v>
      </c>
      <c r="G132" s="12">
        <v>1</v>
      </c>
      <c r="H132" s="12">
        <v>30</v>
      </c>
      <c r="I132" s="12">
        <v>0.3</v>
      </c>
      <c r="J132" s="16">
        <v>0</v>
      </c>
      <c r="K132" s="16">
        <v>0</v>
      </c>
      <c r="L132" s="15">
        <v>0</v>
      </c>
      <c r="M132" s="15">
        <v>40</v>
      </c>
      <c r="N132" s="15">
        <v>90</v>
      </c>
      <c r="O132" s="17">
        <v>0</v>
      </c>
      <c r="P132" s="17">
        <v>0</v>
      </c>
      <c r="Q132" s="19">
        <v>10</v>
      </c>
      <c r="R132" s="19">
        <v>20</v>
      </c>
      <c r="S132" s="19">
        <v>10</v>
      </c>
      <c r="T132" s="19">
        <v>20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18">
        <v>0</v>
      </c>
      <c r="AB132" s="16">
        <v>0</v>
      </c>
      <c r="AC132" s="16">
        <v>0</v>
      </c>
      <c r="AD132" s="16">
        <v>0</v>
      </c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</row>
    <row r="133" spans="3:199" s="2" customFormat="1" ht="20.100000000000001" customHeight="1">
      <c r="C133" s="14">
        <v>40030427</v>
      </c>
      <c r="D133" s="15" t="s">
        <v>169</v>
      </c>
      <c r="E133" s="12">
        <v>0</v>
      </c>
      <c r="F133" s="15">
        <v>0</v>
      </c>
      <c r="G133" s="12">
        <v>1</v>
      </c>
      <c r="H133" s="12">
        <v>30</v>
      </c>
      <c r="I133" s="12">
        <v>0.3</v>
      </c>
      <c r="J133" s="16">
        <v>0</v>
      </c>
      <c r="K133" s="16">
        <v>0</v>
      </c>
      <c r="L133" s="15">
        <v>0</v>
      </c>
      <c r="M133" s="15">
        <v>50</v>
      </c>
      <c r="N133" s="15">
        <v>500</v>
      </c>
      <c r="O133" s="17">
        <v>0</v>
      </c>
      <c r="P133" s="17">
        <v>0</v>
      </c>
      <c r="Q133" s="19">
        <v>0</v>
      </c>
      <c r="R133" s="19">
        <v>0</v>
      </c>
      <c r="S133" s="19">
        <v>0</v>
      </c>
      <c r="T133" s="19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v>0</v>
      </c>
      <c r="AB133" s="16">
        <v>0</v>
      </c>
      <c r="AC133" s="16">
        <v>0</v>
      </c>
      <c r="AD133" s="16">
        <v>0</v>
      </c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</row>
    <row r="134" spans="3:199" s="2" customFormat="1" ht="20.100000000000001" customHeight="1">
      <c r="C134" s="23">
        <v>40030428</v>
      </c>
      <c r="D134" s="18" t="s">
        <v>170</v>
      </c>
      <c r="E134" s="12">
        <v>0</v>
      </c>
      <c r="F134" s="15">
        <v>0</v>
      </c>
      <c r="G134" s="12">
        <v>1</v>
      </c>
      <c r="H134" s="12">
        <v>30</v>
      </c>
      <c r="I134" s="12">
        <v>0.3</v>
      </c>
      <c r="J134" s="16">
        <v>0</v>
      </c>
      <c r="K134" s="16">
        <v>0</v>
      </c>
      <c r="L134" s="15">
        <v>1750</v>
      </c>
      <c r="M134" s="15">
        <v>0</v>
      </c>
      <c r="N134" s="15">
        <v>0</v>
      </c>
      <c r="O134" s="17">
        <v>0</v>
      </c>
      <c r="P134" s="17">
        <v>0</v>
      </c>
      <c r="Q134" s="19">
        <v>0</v>
      </c>
      <c r="R134" s="19">
        <v>0</v>
      </c>
      <c r="S134" s="19">
        <v>0</v>
      </c>
      <c r="T134" s="19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v>0</v>
      </c>
      <c r="AB134" s="16">
        <v>0</v>
      </c>
      <c r="AC134" s="16">
        <v>0</v>
      </c>
      <c r="AD134" s="16">
        <v>0</v>
      </c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</row>
    <row r="135" spans="3:199" s="2" customFormat="1" ht="20.100000000000001" customHeight="1">
      <c r="C135" s="14">
        <v>40030429</v>
      </c>
      <c r="D135" s="15" t="s">
        <v>171</v>
      </c>
      <c r="E135" s="12">
        <v>0</v>
      </c>
      <c r="F135" s="15">
        <v>0</v>
      </c>
      <c r="G135" s="12">
        <v>1</v>
      </c>
      <c r="H135" s="12">
        <v>30</v>
      </c>
      <c r="I135" s="12">
        <v>0.3</v>
      </c>
      <c r="J135" s="16">
        <v>0</v>
      </c>
      <c r="K135" s="16">
        <v>0</v>
      </c>
      <c r="L135" s="15">
        <v>400</v>
      </c>
      <c r="M135" s="15">
        <v>0</v>
      </c>
      <c r="N135" s="15">
        <v>0</v>
      </c>
      <c r="O135" s="17">
        <v>0</v>
      </c>
      <c r="P135" s="17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6">
        <v>0</v>
      </c>
      <c r="AC135" s="16">
        <v>0</v>
      </c>
      <c r="AD135" s="16">
        <v>0</v>
      </c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</row>
    <row r="136" spans="3:199" s="2" customFormat="1" ht="20.100000000000001" customHeight="1">
      <c r="C136" s="23">
        <v>40030430</v>
      </c>
      <c r="D136" s="15" t="s">
        <v>172</v>
      </c>
      <c r="E136" s="12">
        <v>0</v>
      </c>
      <c r="F136" s="15">
        <v>0</v>
      </c>
      <c r="G136" s="12">
        <v>1</v>
      </c>
      <c r="H136" s="12">
        <v>30</v>
      </c>
      <c r="I136" s="12">
        <v>0.3</v>
      </c>
      <c r="J136" s="16">
        <v>0</v>
      </c>
      <c r="K136" s="16">
        <v>0</v>
      </c>
      <c r="L136" s="15">
        <v>200</v>
      </c>
      <c r="M136" s="15">
        <v>0</v>
      </c>
      <c r="N136" s="15">
        <v>0</v>
      </c>
      <c r="O136" s="17">
        <v>0</v>
      </c>
      <c r="P136" s="17">
        <v>0</v>
      </c>
      <c r="Q136" s="15">
        <v>0</v>
      </c>
      <c r="R136" s="15">
        <v>20</v>
      </c>
      <c r="S136" s="15">
        <v>0</v>
      </c>
      <c r="T136" s="15">
        <v>20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6">
        <v>0</v>
      </c>
      <c r="AC136" s="16">
        <v>0</v>
      </c>
      <c r="AD136" s="16">
        <v>0</v>
      </c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</row>
    <row r="137" spans="3:199" s="2" customFormat="1" ht="20.100000000000001" customHeight="1">
      <c r="C137" s="14">
        <v>40030431</v>
      </c>
      <c r="D137" s="15" t="s">
        <v>173</v>
      </c>
      <c r="E137" s="12">
        <v>0</v>
      </c>
      <c r="F137" s="15">
        <v>0</v>
      </c>
      <c r="G137" s="12">
        <v>1</v>
      </c>
      <c r="H137" s="12">
        <v>30</v>
      </c>
      <c r="I137" s="12">
        <v>0.3</v>
      </c>
      <c r="J137" s="16">
        <v>0</v>
      </c>
      <c r="K137" s="16">
        <v>0</v>
      </c>
      <c r="L137" s="15">
        <v>0</v>
      </c>
      <c r="M137" s="15">
        <v>0</v>
      </c>
      <c r="N137" s="15">
        <v>0</v>
      </c>
      <c r="O137" s="17">
        <v>0</v>
      </c>
      <c r="P137" s="17">
        <v>0</v>
      </c>
      <c r="Q137" s="19">
        <v>30</v>
      </c>
      <c r="R137" s="19">
        <v>30</v>
      </c>
      <c r="S137" s="19">
        <v>0</v>
      </c>
      <c r="T137" s="19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6">
        <v>0</v>
      </c>
      <c r="AC137" s="16">
        <v>0</v>
      </c>
      <c r="AD137" s="16">
        <v>0</v>
      </c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</row>
    <row r="138" spans="3:199" s="2" customFormat="1" ht="20.100000000000001" customHeight="1">
      <c r="C138" s="23">
        <v>40030432</v>
      </c>
      <c r="D138" s="15" t="s">
        <v>174</v>
      </c>
      <c r="E138" s="12">
        <v>0</v>
      </c>
      <c r="F138" s="15">
        <v>0</v>
      </c>
      <c r="G138" s="12">
        <v>1</v>
      </c>
      <c r="H138" s="12">
        <v>30</v>
      </c>
      <c r="I138" s="12">
        <v>0.3</v>
      </c>
      <c r="J138" s="16">
        <v>0</v>
      </c>
      <c r="K138" s="16">
        <v>0</v>
      </c>
      <c r="L138" s="15">
        <v>0</v>
      </c>
      <c r="M138" s="15">
        <v>0</v>
      </c>
      <c r="N138" s="15">
        <v>0</v>
      </c>
      <c r="O138" s="17">
        <v>0</v>
      </c>
      <c r="P138" s="17">
        <v>0</v>
      </c>
      <c r="Q138" s="19">
        <v>10</v>
      </c>
      <c r="R138" s="19">
        <v>30</v>
      </c>
      <c r="S138" s="19">
        <v>10</v>
      </c>
      <c r="T138" s="19">
        <v>30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6">
        <v>0</v>
      </c>
      <c r="AC138" s="16">
        <v>0</v>
      </c>
      <c r="AD138" s="16">
        <v>0</v>
      </c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</row>
    <row r="139" spans="3:199" s="2" customFormat="1" ht="20.100000000000001" customHeight="1">
      <c r="C139" s="14">
        <v>40030433</v>
      </c>
      <c r="D139" s="15" t="s">
        <v>175</v>
      </c>
      <c r="E139" s="12">
        <v>0</v>
      </c>
      <c r="F139" s="15">
        <v>1304</v>
      </c>
      <c r="G139" s="12">
        <v>1</v>
      </c>
      <c r="H139" s="12">
        <v>30</v>
      </c>
      <c r="I139" s="12">
        <v>0.3</v>
      </c>
      <c r="J139" s="16">
        <v>0</v>
      </c>
      <c r="K139" s="16">
        <v>0</v>
      </c>
      <c r="L139" s="15">
        <v>0</v>
      </c>
      <c r="M139" s="15">
        <v>100</v>
      </c>
      <c r="N139" s="15">
        <v>900</v>
      </c>
      <c r="O139" s="17">
        <v>0</v>
      </c>
      <c r="P139" s="17">
        <v>0</v>
      </c>
      <c r="Q139" s="19">
        <v>0</v>
      </c>
      <c r="R139" s="19">
        <v>0</v>
      </c>
      <c r="S139" s="19">
        <v>0</v>
      </c>
      <c r="T139" s="19">
        <v>0</v>
      </c>
      <c r="U139" s="18">
        <v>0.1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6">
        <v>0</v>
      </c>
      <c r="AC139" s="16">
        <v>0</v>
      </c>
      <c r="AD139" s="16">
        <v>0</v>
      </c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</row>
    <row r="140" spans="3:199" s="2" customFormat="1" ht="20.100000000000001" customHeight="1">
      <c r="C140" s="23">
        <v>40030434</v>
      </c>
      <c r="D140" s="15" t="s">
        <v>176</v>
      </c>
      <c r="E140" s="12">
        <v>0</v>
      </c>
      <c r="F140" s="15">
        <v>1304</v>
      </c>
      <c r="G140" s="12">
        <v>1</v>
      </c>
      <c r="H140" s="12">
        <v>30</v>
      </c>
      <c r="I140" s="12">
        <v>0.3</v>
      </c>
      <c r="J140" s="16">
        <v>0</v>
      </c>
      <c r="K140" s="16">
        <v>0</v>
      </c>
      <c r="L140" s="15">
        <v>0</v>
      </c>
      <c r="M140" s="15">
        <v>50</v>
      </c>
      <c r="N140" s="15">
        <v>350</v>
      </c>
      <c r="O140" s="17">
        <v>0</v>
      </c>
      <c r="P140" s="17">
        <v>0</v>
      </c>
      <c r="Q140" s="19">
        <v>0</v>
      </c>
      <c r="R140" s="19">
        <v>0</v>
      </c>
      <c r="S140" s="19">
        <v>0</v>
      </c>
      <c r="T140" s="19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6">
        <v>0</v>
      </c>
      <c r="AC140" s="16">
        <v>0</v>
      </c>
      <c r="AD140" s="16">
        <v>0</v>
      </c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</row>
    <row r="141" spans="3:199" s="2" customFormat="1" ht="20.100000000000001" customHeight="1">
      <c r="C141" s="10">
        <v>40030501</v>
      </c>
      <c r="D141" s="15" t="s">
        <v>177</v>
      </c>
      <c r="E141" s="12">
        <v>0</v>
      </c>
      <c r="F141" s="15">
        <v>1403</v>
      </c>
      <c r="G141" s="12">
        <v>1</v>
      </c>
      <c r="H141" s="12">
        <v>40</v>
      </c>
      <c r="I141" s="12">
        <v>0.3</v>
      </c>
      <c r="J141" s="16">
        <v>0</v>
      </c>
      <c r="K141" s="16">
        <v>0</v>
      </c>
      <c r="L141" s="15">
        <v>0</v>
      </c>
      <c r="M141" s="15">
        <v>30</v>
      </c>
      <c r="N141" s="15">
        <v>100</v>
      </c>
      <c r="O141" s="17">
        <v>0</v>
      </c>
      <c r="P141" s="17">
        <v>0</v>
      </c>
      <c r="Q141" s="19">
        <v>30</v>
      </c>
      <c r="R141" s="19">
        <v>80</v>
      </c>
      <c r="S141" s="19">
        <v>30</v>
      </c>
      <c r="T141" s="19">
        <v>80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6">
        <v>0</v>
      </c>
      <c r="AC141" s="16">
        <v>0</v>
      </c>
      <c r="AD141" s="16">
        <v>0</v>
      </c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</row>
    <row r="142" spans="3:199" s="2" customFormat="1" ht="20.100000000000001" customHeight="1">
      <c r="C142" s="10">
        <v>40030502</v>
      </c>
      <c r="D142" s="15" t="s">
        <v>178</v>
      </c>
      <c r="E142" s="12">
        <v>0</v>
      </c>
      <c r="F142" s="15">
        <v>0</v>
      </c>
      <c r="G142" s="12">
        <v>1</v>
      </c>
      <c r="H142" s="12">
        <v>40</v>
      </c>
      <c r="I142" s="12">
        <v>0.3</v>
      </c>
      <c r="J142" s="16">
        <v>0</v>
      </c>
      <c r="K142" s="16">
        <v>0</v>
      </c>
      <c r="L142" s="15">
        <v>0</v>
      </c>
      <c r="M142" s="15">
        <v>30</v>
      </c>
      <c r="N142" s="15">
        <v>80</v>
      </c>
      <c r="O142" s="17">
        <v>0</v>
      </c>
      <c r="P142" s="17">
        <v>0</v>
      </c>
      <c r="Q142" s="19">
        <v>20</v>
      </c>
      <c r="R142" s="19">
        <v>60</v>
      </c>
      <c r="S142" s="19">
        <v>20</v>
      </c>
      <c r="T142" s="19">
        <v>80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6">
        <v>0</v>
      </c>
      <c r="AC142" s="16">
        <v>0</v>
      </c>
      <c r="AD142" s="16">
        <v>0</v>
      </c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</row>
    <row r="143" spans="3:199" s="2" customFormat="1" ht="20.100000000000001" customHeight="1">
      <c r="C143" s="10">
        <v>40030503</v>
      </c>
      <c r="D143" s="15" t="s">
        <v>179</v>
      </c>
      <c r="E143" s="12">
        <v>0</v>
      </c>
      <c r="F143" s="15">
        <v>1403</v>
      </c>
      <c r="G143" s="12">
        <v>1</v>
      </c>
      <c r="H143" s="12">
        <v>40</v>
      </c>
      <c r="I143" s="12">
        <v>0.3</v>
      </c>
      <c r="J143" s="16">
        <v>0</v>
      </c>
      <c r="K143" s="16">
        <v>0</v>
      </c>
      <c r="L143" s="15">
        <v>0</v>
      </c>
      <c r="M143" s="15">
        <v>40</v>
      </c>
      <c r="N143" s="15">
        <v>130</v>
      </c>
      <c r="O143" s="17">
        <v>0</v>
      </c>
      <c r="P143" s="17">
        <v>0</v>
      </c>
      <c r="Q143" s="19">
        <v>0</v>
      </c>
      <c r="R143" s="19">
        <v>0</v>
      </c>
      <c r="S143" s="19">
        <v>20</v>
      </c>
      <c r="T143" s="19">
        <v>40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6">
        <v>0</v>
      </c>
      <c r="AC143" s="16">
        <v>0</v>
      </c>
      <c r="AD143" s="16">
        <v>0</v>
      </c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</row>
    <row r="144" spans="3:199" s="2" customFormat="1" ht="20.100000000000001" customHeight="1">
      <c r="C144" s="10">
        <v>40030504</v>
      </c>
      <c r="D144" s="15" t="s">
        <v>180</v>
      </c>
      <c r="E144" s="12">
        <v>0</v>
      </c>
      <c r="F144" s="15">
        <v>0</v>
      </c>
      <c r="G144" s="12">
        <v>1</v>
      </c>
      <c r="H144" s="12">
        <v>40</v>
      </c>
      <c r="I144" s="12">
        <v>0.3</v>
      </c>
      <c r="J144" s="16">
        <v>0</v>
      </c>
      <c r="K144" s="16">
        <v>0</v>
      </c>
      <c r="L144" s="15">
        <v>0</v>
      </c>
      <c r="M144" s="15">
        <v>40</v>
      </c>
      <c r="N144" s="15">
        <v>110</v>
      </c>
      <c r="O144" s="17">
        <v>0</v>
      </c>
      <c r="P144" s="17">
        <v>0</v>
      </c>
      <c r="Q144" s="19">
        <v>0</v>
      </c>
      <c r="R144" s="19">
        <v>0</v>
      </c>
      <c r="S144" s="19">
        <v>10</v>
      </c>
      <c r="T144" s="19">
        <v>30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6">
        <v>0</v>
      </c>
      <c r="AC144" s="16">
        <v>0</v>
      </c>
      <c r="AD144" s="16">
        <v>0</v>
      </c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</row>
    <row r="145" spans="3:199" s="2" customFormat="1" ht="20.100000000000001" customHeight="1">
      <c r="C145" s="10">
        <v>40030505</v>
      </c>
      <c r="D145" s="15" t="s">
        <v>181</v>
      </c>
      <c r="E145" s="12">
        <v>0</v>
      </c>
      <c r="F145" s="15">
        <v>1405</v>
      </c>
      <c r="G145" s="12">
        <v>1</v>
      </c>
      <c r="H145" s="12">
        <v>40</v>
      </c>
      <c r="I145" s="12">
        <v>0.3</v>
      </c>
      <c r="J145" s="16">
        <v>0</v>
      </c>
      <c r="K145" s="16">
        <v>0</v>
      </c>
      <c r="L145" s="15">
        <v>0</v>
      </c>
      <c r="M145" s="15">
        <v>20</v>
      </c>
      <c r="N145" s="15">
        <v>70</v>
      </c>
      <c r="O145" s="17">
        <v>0</v>
      </c>
      <c r="P145" s="17">
        <v>0</v>
      </c>
      <c r="Q145" s="19">
        <v>30</v>
      </c>
      <c r="R145" s="19">
        <v>80</v>
      </c>
      <c r="S145" s="19">
        <v>0</v>
      </c>
      <c r="T145" s="19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6">
        <v>0</v>
      </c>
      <c r="AC145" s="16">
        <v>0</v>
      </c>
      <c r="AD145" s="16">
        <v>0</v>
      </c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</row>
    <row r="146" spans="3:199" s="2" customFormat="1" ht="20.100000000000001" customHeight="1">
      <c r="C146" s="10">
        <v>40030506</v>
      </c>
      <c r="D146" s="15" t="s">
        <v>81</v>
      </c>
      <c r="E146" s="12">
        <v>0</v>
      </c>
      <c r="F146" s="15">
        <v>0</v>
      </c>
      <c r="G146" s="12">
        <v>1</v>
      </c>
      <c r="H146" s="12">
        <v>40</v>
      </c>
      <c r="I146" s="12">
        <v>0.3</v>
      </c>
      <c r="J146" s="16">
        <v>0</v>
      </c>
      <c r="K146" s="16">
        <v>0</v>
      </c>
      <c r="L146" s="15">
        <v>0</v>
      </c>
      <c r="M146" s="15">
        <v>20</v>
      </c>
      <c r="N146" s="15">
        <v>60</v>
      </c>
      <c r="O146" s="17">
        <v>0</v>
      </c>
      <c r="P146" s="17">
        <v>0</v>
      </c>
      <c r="Q146" s="19">
        <v>20</v>
      </c>
      <c r="R146" s="19">
        <v>60</v>
      </c>
      <c r="S146" s="19">
        <v>0</v>
      </c>
      <c r="T146" s="19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6">
        <v>0</v>
      </c>
      <c r="AC146" s="16">
        <v>0</v>
      </c>
      <c r="AD146" s="16">
        <v>0</v>
      </c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</row>
    <row r="147" spans="3:199" s="2" customFormat="1" ht="20.100000000000001" customHeight="1">
      <c r="C147" s="10">
        <v>40030507</v>
      </c>
      <c r="D147" s="15" t="s">
        <v>182</v>
      </c>
      <c r="E147" s="12">
        <v>0</v>
      </c>
      <c r="F147" s="15">
        <v>1405</v>
      </c>
      <c r="G147" s="12">
        <v>1</v>
      </c>
      <c r="H147" s="12">
        <v>40</v>
      </c>
      <c r="I147" s="12">
        <v>0.3</v>
      </c>
      <c r="J147" s="16">
        <v>0</v>
      </c>
      <c r="K147" s="16">
        <v>0</v>
      </c>
      <c r="L147" s="15">
        <v>0</v>
      </c>
      <c r="M147" s="15">
        <v>30</v>
      </c>
      <c r="N147" s="15">
        <v>110</v>
      </c>
      <c r="O147" s="17">
        <v>0</v>
      </c>
      <c r="P147" s="17">
        <v>0</v>
      </c>
      <c r="Q147" s="19">
        <v>0</v>
      </c>
      <c r="R147" s="19">
        <v>0</v>
      </c>
      <c r="S147" s="19">
        <v>20</v>
      </c>
      <c r="T147" s="19">
        <v>50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6">
        <v>0</v>
      </c>
      <c r="AC147" s="16">
        <v>0</v>
      </c>
      <c r="AD147" s="16">
        <v>0</v>
      </c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</row>
    <row r="148" spans="3:199" s="2" customFormat="1" ht="20.100000000000001" customHeight="1">
      <c r="C148" s="10">
        <v>40030508</v>
      </c>
      <c r="D148" s="15" t="s">
        <v>183</v>
      </c>
      <c r="E148" s="12">
        <v>0</v>
      </c>
      <c r="F148" s="15">
        <v>0</v>
      </c>
      <c r="G148" s="12">
        <v>1</v>
      </c>
      <c r="H148" s="12">
        <v>40</v>
      </c>
      <c r="I148" s="12">
        <v>0.3</v>
      </c>
      <c r="J148" s="16">
        <v>0</v>
      </c>
      <c r="K148" s="16">
        <v>0</v>
      </c>
      <c r="L148" s="15">
        <v>0</v>
      </c>
      <c r="M148" s="15">
        <v>20</v>
      </c>
      <c r="N148" s="15">
        <v>90</v>
      </c>
      <c r="O148" s="17">
        <v>0</v>
      </c>
      <c r="P148" s="17">
        <v>0</v>
      </c>
      <c r="Q148" s="19">
        <v>0</v>
      </c>
      <c r="R148" s="19">
        <v>0</v>
      </c>
      <c r="S148" s="19">
        <v>10</v>
      </c>
      <c r="T148" s="19">
        <v>40</v>
      </c>
      <c r="U148" s="18">
        <v>0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6">
        <v>0</v>
      </c>
      <c r="AC148" s="16">
        <v>0</v>
      </c>
      <c r="AD148" s="16">
        <v>0</v>
      </c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</row>
    <row r="149" spans="3:199" s="2" customFormat="1" ht="20.100000000000001" customHeight="1">
      <c r="C149" s="10">
        <v>40030509</v>
      </c>
      <c r="D149" s="15" t="s">
        <v>184</v>
      </c>
      <c r="E149" s="12">
        <v>0</v>
      </c>
      <c r="F149" s="15">
        <v>1404</v>
      </c>
      <c r="G149" s="12">
        <v>1</v>
      </c>
      <c r="H149" s="12">
        <v>40</v>
      </c>
      <c r="I149" s="12">
        <v>0.3</v>
      </c>
      <c r="J149" s="16">
        <v>0</v>
      </c>
      <c r="K149" s="16">
        <v>0</v>
      </c>
      <c r="L149" s="15">
        <v>0</v>
      </c>
      <c r="M149" s="15">
        <v>50</v>
      </c>
      <c r="N149" s="15">
        <v>150</v>
      </c>
      <c r="O149" s="17">
        <v>0</v>
      </c>
      <c r="P149" s="17">
        <v>0</v>
      </c>
      <c r="Q149" s="19">
        <v>20</v>
      </c>
      <c r="R149" s="19">
        <v>40</v>
      </c>
      <c r="S149" s="19">
        <v>20</v>
      </c>
      <c r="T149" s="19">
        <v>40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6">
        <v>0</v>
      </c>
      <c r="AC149" s="16">
        <v>0</v>
      </c>
      <c r="AD149" s="16">
        <v>0</v>
      </c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</row>
    <row r="150" spans="3:199" s="2" customFormat="1" ht="20.100000000000001" customHeight="1">
      <c r="C150" s="10">
        <v>40030510</v>
      </c>
      <c r="D150" s="15" t="s">
        <v>185</v>
      </c>
      <c r="E150" s="12">
        <v>0</v>
      </c>
      <c r="F150" s="15">
        <v>0</v>
      </c>
      <c r="G150" s="12">
        <v>1</v>
      </c>
      <c r="H150" s="12">
        <v>40</v>
      </c>
      <c r="I150" s="12">
        <v>0.3</v>
      </c>
      <c r="J150" s="16">
        <v>0</v>
      </c>
      <c r="K150" s="16">
        <v>0</v>
      </c>
      <c r="L150" s="15">
        <v>0</v>
      </c>
      <c r="M150" s="15">
        <v>40</v>
      </c>
      <c r="N150" s="15">
        <v>130</v>
      </c>
      <c r="O150" s="17">
        <v>0</v>
      </c>
      <c r="P150" s="17">
        <v>0</v>
      </c>
      <c r="Q150" s="19">
        <v>20</v>
      </c>
      <c r="R150" s="19">
        <v>30</v>
      </c>
      <c r="S150" s="19">
        <v>20</v>
      </c>
      <c r="T150" s="19">
        <v>30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6">
        <v>0</v>
      </c>
      <c r="AC150" s="16">
        <v>0</v>
      </c>
      <c r="AD150" s="16">
        <v>0</v>
      </c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</row>
    <row r="151" spans="3:199" s="2" customFormat="1" ht="20.100000000000001" customHeight="1">
      <c r="C151" s="10">
        <v>40030511</v>
      </c>
      <c r="D151" s="15" t="s">
        <v>186</v>
      </c>
      <c r="E151" s="12">
        <v>0</v>
      </c>
      <c r="F151" s="15">
        <v>1404</v>
      </c>
      <c r="G151" s="12">
        <v>1</v>
      </c>
      <c r="H151" s="12">
        <v>40</v>
      </c>
      <c r="I151" s="12">
        <v>0.3</v>
      </c>
      <c r="J151" s="16">
        <v>0</v>
      </c>
      <c r="K151" s="16">
        <v>0</v>
      </c>
      <c r="L151" s="15">
        <v>0</v>
      </c>
      <c r="M151" s="15">
        <v>50</v>
      </c>
      <c r="N151" s="15">
        <v>300</v>
      </c>
      <c r="O151" s="17">
        <v>0</v>
      </c>
      <c r="P151" s="17">
        <v>0</v>
      </c>
      <c r="Q151" s="19">
        <v>20</v>
      </c>
      <c r="R151" s="19">
        <v>40</v>
      </c>
      <c r="S151" s="19">
        <v>0</v>
      </c>
      <c r="T151" s="19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6">
        <v>0</v>
      </c>
      <c r="AC151" s="16">
        <v>0</v>
      </c>
      <c r="AD151" s="16">
        <v>0</v>
      </c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</row>
    <row r="152" spans="3:199" s="2" customFormat="1" ht="20.100000000000001" customHeight="1">
      <c r="C152" s="10">
        <v>40030512</v>
      </c>
      <c r="D152" s="15" t="s">
        <v>187</v>
      </c>
      <c r="E152" s="12">
        <v>0</v>
      </c>
      <c r="F152" s="15">
        <v>0</v>
      </c>
      <c r="G152" s="12">
        <v>1</v>
      </c>
      <c r="H152" s="12">
        <v>40</v>
      </c>
      <c r="I152" s="12">
        <v>0.3</v>
      </c>
      <c r="J152" s="16">
        <v>0</v>
      </c>
      <c r="K152" s="16">
        <v>0</v>
      </c>
      <c r="L152" s="15">
        <v>0</v>
      </c>
      <c r="M152" s="15">
        <v>30</v>
      </c>
      <c r="N152" s="15">
        <v>210</v>
      </c>
      <c r="O152" s="17">
        <v>0</v>
      </c>
      <c r="P152" s="17">
        <v>0</v>
      </c>
      <c r="Q152" s="19">
        <v>10</v>
      </c>
      <c r="R152" s="19">
        <v>30</v>
      </c>
      <c r="S152" s="19">
        <v>0</v>
      </c>
      <c r="T152" s="19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6">
        <v>0</v>
      </c>
      <c r="AC152" s="16">
        <v>0</v>
      </c>
      <c r="AD152" s="16">
        <v>0</v>
      </c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</row>
    <row r="153" spans="3:199" s="2" customFormat="1" ht="20.100000000000001" customHeight="1">
      <c r="C153" s="10">
        <v>40030513</v>
      </c>
      <c r="D153" s="15" t="s">
        <v>188</v>
      </c>
      <c r="E153" s="12">
        <v>0</v>
      </c>
      <c r="F153" s="15">
        <v>1406</v>
      </c>
      <c r="G153" s="12">
        <v>1</v>
      </c>
      <c r="H153" s="12">
        <v>40</v>
      </c>
      <c r="I153" s="12">
        <v>0.3</v>
      </c>
      <c r="J153" s="16">
        <v>0</v>
      </c>
      <c r="K153" s="16">
        <v>0</v>
      </c>
      <c r="L153" s="15">
        <v>0</v>
      </c>
      <c r="M153" s="15">
        <v>60</v>
      </c>
      <c r="N153" s="15">
        <v>240</v>
      </c>
      <c r="O153" s="17">
        <v>0</v>
      </c>
      <c r="P153" s="17">
        <v>0</v>
      </c>
      <c r="Q153" s="19">
        <v>0</v>
      </c>
      <c r="R153" s="19">
        <v>0</v>
      </c>
      <c r="S153" s="19">
        <v>20</v>
      </c>
      <c r="T153" s="19">
        <v>40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6">
        <v>0</v>
      </c>
      <c r="AC153" s="16">
        <v>0</v>
      </c>
      <c r="AD153" s="16">
        <v>0</v>
      </c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</row>
    <row r="154" spans="3:199" s="2" customFormat="1" ht="20.100000000000001" customHeight="1">
      <c r="C154" s="10">
        <v>40030514</v>
      </c>
      <c r="D154" s="15" t="s">
        <v>189</v>
      </c>
      <c r="E154" s="12">
        <v>0</v>
      </c>
      <c r="F154" s="15">
        <v>0</v>
      </c>
      <c r="G154" s="12">
        <v>1</v>
      </c>
      <c r="H154" s="12">
        <v>40</v>
      </c>
      <c r="I154" s="12">
        <v>0.3</v>
      </c>
      <c r="J154" s="16">
        <v>0</v>
      </c>
      <c r="K154" s="16">
        <v>0</v>
      </c>
      <c r="L154" s="15">
        <v>0</v>
      </c>
      <c r="M154" s="15">
        <v>50</v>
      </c>
      <c r="N154" s="15">
        <v>200</v>
      </c>
      <c r="O154" s="17">
        <v>0</v>
      </c>
      <c r="P154" s="17">
        <v>0</v>
      </c>
      <c r="Q154" s="19">
        <v>0</v>
      </c>
      <c r="R154" s="19">
        <v>0</v>
      </c>
      <c r="S154" s="19">
        <v>10</v>
      </c>
      <c r="T154" s="19">
        <v>30</v>
      </c>
      <c r="U154" s="18">
        <v>0</v>
      </c>
      <c r="V154" s="18">
        <v>0</v>
      </c>
      <c r="W154" s="18">
        <v>0</v>
      </c>
      <c r="X154" s="18">
        <v>0</v>
      </c>
      <c r="Y154" s="18">
        <v>0</v>
      </c>
      <c r="Z154" s="18">
        <v>0</v>
      </c>
      <c r="AA154" s="18">
        <v>0</v>
      </c>
      <c r="AB154" s="16">
        <v>0</v>
      </c>
      <c r="AC154" s="16">
        <v>0</v>
      </c>
      <c r="AD154" s="16">
        <v>0</v>
      </c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</row>
    <row r="155" spans="3:199" s="2" customFormat="1" ht="20.100000000000001" customHeight="1">
      <c r="C155" s="10">
        <v>40030515</v>
      </c>
      <c r="D155" s="15" t="s">
        <v>190</v>
      </c>
      <c r="E155" s="12">
        <v>0</v>
      </c>
      <c r="F155" s="15">
        <v>1406</v>
      </c>
      <c r="G155" s="12">
        <v>1</v>
      </c>
      <c r="H155" s="12">
        <v>40</v>
      </c>
      <c r="I155" s="12">
        <v>0.3</v>
      </c>
      <c r="J155" s="16">
        <v>0</v>
      </c>
      <c r="K155" s="16">
        <v>0</v>
      </c>
      <c r="L155" s="15">
        <v>0</v>
      </c>
      <c r="M155" s="15">
        <v>0</v>
      </c>
      <c r="N155" s="15">
        <v>30</v>
      </c>
      <c r="O155" s="17">
        <v>0</v>
      </c>
      <c r="P155" s="17">
        <v>0</v>
      </c>
      <c r="Q155" s="19">
        <v>0</v>
      </c>
      <c r="R155" s="19">
        <v>30</v>
      </c>
      <c r="S155" s="19">
        <v>0</v>
      </c>
      <c r="T155" s="19">
        <v>30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6">
        <v>0</v>
      </c>
      <c r="AC155" s="16">
        <v>0</v>
      </c>
      <c r="AD155" s="16">
        <v>0</v>
      </c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</row>
    <row r="156" spans="3:199" s="2" customFormat="1" ht="20.100000000000001" customHeight="1">
      <c r="C156" s="10">
        <v>40030516</v>
      </c>
      <c r="D156" s="15" t="s">
        <v>191</v>
      </c>
      <c r="E156" s="12">
        <v>0</v>
      </c>
      <c r="F156" s="15">
        <v>1406</v>
      </c>
      <c r="G156" s="12">
        <v>1</v>
      </c>
      <c r="H156" s="12">
        <v>40</v>
      </c>
      <c r="I156" s="12">
        <v>0.3</v>
      </c>
      <c r="J156" s="16">
        <v>0</v>
      </c>
      <c r="K156" s="16">
        <v>0</v>
      </c>
      <c r="L156" s="15">
        <v>3200</v>
      </c>
      <c r="M156" s="15">
        <v>0</v>
      </c>
      <c r="N156" s="15">
        <v>0</v>
      </c>
      <c r="O156" s="17">
        <v>0</v>
      </c>
      <c r="P156" s="17">
        <v>0</v>
      </c>
      <c r="Q156" s="19">
        <v>0</v>
      </c>
      <c r="R156" s="19">
        <v>0</v>
      </c>
      <c r="S156" s="19">
        <v>0</v>
      </c>
      <c r="T156" s="19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6">
        <v>0</v>
      </c>
      <c r="AC156" s="16">
        <v>0</v>
      </c>
      <c r="AD156" s="16">
        <v>0</v>
      </c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</row>
    <row r="157" spans="3:199" s="2" customFormat="1" ht="20.100000000000001" customHeight="1">
      <c r="C157" s="10">
        <v>40030517</v>
      </c>
      <c r="D157" s="15" t="s">
        <v>159</v>
      </c>
      <c r="E157" s="12">
        <v>0</v>
      </c>
      <c r="F157" s="15">
        <v>0</v>
      </c>
      <c r="G157" s="12">
        <v>1</v>
      </c>
      <c r="H157" s="12">
        <v>40</v>
      </c>
      <c r="I157" s="12">
        <v>0.3</v>
      </c>
      <c r="J157" s="16">
        <v>0</v>
      </c>
      <c r="K157" s="16">
        <v>0</v>
      </c>
      <c r="L157" s="15">
        <v>2500</v>
      </c>
      <c r="M157" s="15">
        <v>0</v>
      </c>
      <c r="N157" s="15">
        <v>0</v>
      </c>
      <c r="O157" s="17">
        <v>0</v>
      </c>
      <c r="P157" s="17">
        <v>0</v>
      </c>
      <c r="Q157" s="19">
        <v>0</v>
      </c>
      <c r="R157" s="19">
        <v>0</v>
      </c>
      <c r="S157" s="19">
        <v>0</v>
      </c>
      <c r="T157" s="19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6">
        <v>0</v>
      </c>
      <c r="AC157" s="16">
        <v>0</v>
      </c>
      <c r="AD157" s="16">
        <v>0</v>
      </c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</row>
    <row r="158" spans="3:199" s="2" customFormat="1" ht="20.100000000000001" customHeight="1">
      <c r="C158" s="10">
        <v>40030518</v>
      </c>
      <c r="D158" s="15" t="s">
        <v>192</v>
      </c>
      <c r="E158" s="12">
        <v>0</v>
      </c>
      <c r="F158" s="15">
        <v>1404</v>
      </c>
      <c r="G158" s="12">
        <v>1</v>
      </c>
      <c r="H158" s="12">
        <v>40</v>
      </c>
      <c r="I158" s="12">
        <v>0.3</v>
      </c>
      <c r="J158" s="16">
        <v>0</v>
      </c>
      <c r="K158" s="16">
        <v>0</v>
      </c>
      <c r="L158" s="15">
        <v>0</v>
      </c>
      <c r="M158" s="15">
        <v>70</v>
      </c>
      <c r="N158" s="15">
        <v>900</v>
      </c>
      <c r="O158" s="17">
        <v>0</v>
      </c>
      <c r="P158" s="17">
        <v>0</v>
      </c>
      <c r="Q158" s="19">
        <v>0</v>
      </c>
      <c r="R158" s="19">
        <v>0</v>
      </c>
      <c r="S158" s="19">
        <v>0</v>
      </c>
      <c r="T158" s="19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6">
        <v>0</v>
      </c>
      <c r="AC158" s="16">
        <v>0</v>
      </c>
      <c r="AD158" s="16">
        <v>0</v>
      </c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</row>
    <row r="159" spans="3:199" s="2" customFormat="1" ht="20.100000000000001" customHeight="1">
      <c r="C159" s="10">
        <v>40030519</v>
      </c>
      <c r="D159" s="15" t="s">
        <v>161</v>
      </c>
      <c r="E159" s="12">
        <v>0</v>
      </c>
      <c r="F159" s="15">
        <v>0</v>
      </c>
      <c r="G159" s="12">
        <v>1</v>
      </c>
      <c r="H159" s="12">
        <v>40</v>
      </c>
      <c r="I159" s="12">
        <v>0.3</v>
      </c>
      <c r="J159" s="16">
        <v>0</v>
      </c>
      <c r="K159" s="16">
        <v>0</v>
      </c>
      <c r="L159" s="15">
        <v>0</v>
      </c>
      <c r="M159" s="15">
        <v>50</v>
      </c>
      <c r="N159" s="15">
        <v>750</v>
      </c>
      <c r="O159" s="17">
        <v>0</v>
      </c>
      <c r="P159" s="17">
        <v>0</v>
      </c>
      <c r="Q159" s="19">
        <v>0</v>
      </c>
      <c r="R159" s="19">
        <v>0</v>
      </c>
      <c r="S159" s="19">
        <v>0</v>
      </c>
      <c r="T159" s="19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6">
        <v>0</v>
      </c>
      <c r="AC159" s="16">
        <v>0</v>
      </c>
      <c r="AD159" s="16">
        <v>0</v>
      </c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</row>
    <row r="160" spans="3:199" s="2" customFormat="1" ht="20.100000000000001" customHeight="1">
      <c r="C160" s="10">
        <v>40030520</v>
      </c>
      <c r="D160" s="15" t="s">
        <v>193</v>
      </c>
      <c r="E160" s="12">
        <v>0</v>
      </c>
      <c r="F160" s="15">
        <v>1404</v>
      </c>
      <c r="G160" s="12">
        <v>1</v>
      </c>
      <c r="H160" s="12">
        <v>40</v>
      </c>
      <c r="I160" s="12">
        <v>0.3</v>
      </c>
      <c r="J160" s="16">
        <v>0</v>
      </c>
      <c r="K160" s="16">
        <v>0</v>
      </c>
      <c r="L160" s="15">
        <v>1400</v>
      </c>
      <c r="M160" s="15">
        <v>0</v>
      </c>
      <c r="N160" s="15">
        <v>0</v>
      </c>
      <c r="O160" s="17">
        <v>0</v>
      </c>
      <c r="P160" s="17">
        <v>0</v>
      </c>
      <c r="Q160" s="19">
        <v>50</v>
      </c>
      <c r="R160" s="19">
        <v>140</v>
      </c>
      <c r="S160" s="19">
        <v>50</v>
      </c>
      <c r="T160" s="19">
        <v>100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6">
        <v>0</v>
      </c>
      <c r="AC160" s="16">
        <v>0</v>
      </c>
      <c r="AD160" s="16">
        <v>0</v>
      </c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</row>
    <row r="161" spans="3:199" s="2" customFormat="1" ht="20.100000000000001" customHeight="1">
      <c r="C161" s="10">
        <v>40030521</v>
      </c>
      <c r="D161" s="15" t="s">
        <v>163</v>
      </c>
      <c r="E161" s="12">
        <v>0</v>
      </c>
      <c r="F161" s="15">
        <v>0</v>
      </c>
      <c r="G161" s="12">
        <v>1</v>
      </c>
      <c r="H161" s="12">
        <v>40</v>
      </c>
      <c r="I161" s="12">
        <v>0.3</v>
      </c>
      <c r="J161" s="16">
        <v>0</v>
      </c>
      <c r="K161" s="16">
        <v>0</v>
      </c>
      <c r="L161" s="15">
        <v>1100</v>
      </c>
      <c r="M161" s="15">
        <v>0</v>
      </c>
      <c r="N161" s="15">
        <v>0</v>
      </c>
      <c r="O161" s="17">
        <v>0</v>
      </c>
      <c r="P161" s="17">
        <v>0</v>
      </c>
      <c r="Q161" s="19">
        <v>40</v>
      </c>
      <c r="R161" s="19">
        <v>120</v>
      </c>
      <c r="S161" s="19">
        <v>40</v>
      </c>
      <c r="T161" s="19">
        <v>80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6">
        <v>0</v>
      </c>
      <c r="AC161" s="16">
        <v>0</v>
      </c>
      <c r="AD161" s="16">
        <v>0</v>
      </c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</row>
    <row r="162" spans="3:199" s="2" customFormat="1" ht="20.100000000000001" customHeight="1">
      <c r="C162" s="10">
        <v>40030522</v>
      </c>
      <c r="D162" s="15" t="s">
        <v>194</v>
      </c>
      <c r="E162" s="12">
        <v>0</v>
      </c>
      <c r="F162" s="15">
        <v>1401</v>
      </c>
      <c r="G162" s="12">
        <v>1</v>
      </c>
      <c r="H162" s="12">
        <v>40</v>
      </c>
      <c r="I162" s="12">
        <v>0.3</v>
      </c>
      <c r="J162" s="16">
        <v>0</v>
      </c>
      <c r="K162" s="16">
        <v>0</v>
      </c>
      <c r="L162" s="15">
        <v>0</v>
      </c>
      <c r="M162" s="15">
        <v>50</v>
      </c>
      <c r="N162" s="15">
        <v>280</v>
      </c>
      <c r="O162" s="17">
        <v>0</v>
      </c>
      <c r="P162" s="17">
        <v>0</v>
      </c>
      <c r="Q162" s="19">
        <v>20</v>
      </c>
      <c r="R162" s="19">
        <v>40</v>
      </c>
      <c r="S162" s="19">
        <v>0</v>
      </c>
      <c r="T162" s="19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6">
        <v>0</v>
      </c>
      <c r="AC162" s="16">
        <v>0</v>
      </c>
      <c r="AD162" s="16">
        <v>0</v>
      </c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</row>
    <row r="163" spans="3:199" s="2" customFormat="1" ht="20.100000000000001" customHeight="1">
      <c r="C163" s="10">
        <v>40030523</v>
      </c>
      <c r="D163" s="15" t="s">
        <v>195</v>
      </c>
      <c r="E163" s="12">
        <v>0</v>
      </c>
      <c r="F163" s="15">
        <v>1401</v>
      </c>
      <c r="G163" s="12">
        <v>1</v>
      </c>
      <c r="H163" s="12">
        <v>40</v>
      </c>
      <c r="I163" s="12">
        <v>0.3</v>
      </c>
      <c r="J163" s="16">
        <v>0</v>
      </c>
      <c r="K163" s="16">
        <v>0</v>
      </c>
      <c r="L163" s="15">
        <v>0</v>
      </c>
      <c r="M163" s="15">
        <v>50</v>
      </c>
      <c r="N163" s="15">
        <v>220</v>
      </c>
      <c r="O163" s="17">
        <v>0</v>
      </c>
      <c r="P163" s="17">
        <v>0</v>
      </c>
      <c r="Q163" s="19">
        <v>0</v>
      </c>
      <c r="R163" s="19">
        <v>0</v>
      </c>
      <c r="S163" s="19">
        <v>10</v>
      </c>
      <c r="T163" s="19">
        <v>30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6">
        <v>0</v>
      </c>
      <c r="AC163" s="16">
        <v>0</v>
      </c>
      <c r="AD163" s="16">
        <v>0</v>
      </c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</row>
    <row r="164" spans="3:199" s="2" customFormat="1" ht="20.100000000000001" customHeight="1">
      <c r="C164" s="10">
        <v>40030524</v>
      </c>
      <c r="D164" s="15" t="s">
        <v>196</v>
      </c>
      <c r="E164" s="12">
        <v>0</v>
      </c>
      <c r="F164" s="15">
        <v>1402</v>
      </c>
      <c r="G164" s="12">
        <v>1</v>
      </c>
      <c r="H164" s="12">
        <v>40</v>
      </c>
      <c r="I164" s="12">
        <v>0.3</v>
      </c>
      <c r="J164" s="16">
        <v>0</v>
      </c>
      <c r="K164" s="16">
        <v>0</v>
      </c>
      <c r="L164" s="15">
        <v>1100</v>
      </c>
      <c r="M164" s="15">
        <v>0</v>
      </c>
      <c r="N164" s="15">
        <v>0</v>
      </c>
      <c r="O164" s="17">
        <v>0</v>
      </c>
      <c r="P164" s="17">
        <v>0</v>
      </c>
      <c r="Q164" s="19">
        <v>50</v>
      </c>
      <c r="R164" s="19">
        <v>130</v>
      </c>
      <c r="S164" s="19">
        <v>50</v>
      </c>
      <c r="T164" s="19">
        <v>90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8">
        <v>0</v>
      </c>
      <c r="AB164" s="16">
        <v>0</v>
      </c>
      <c r="AC164" s="16">
        <v>0</v>
      </c>
      <c r="AD164" s="16">
        <v>0</v>
      </c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</row>
    <row r="165" spans="3:199" s="2" customFormat="1" ht="20.100000000000001" customHeight="1">
      <c r="C165" s="10">
        <v>40030525</v>
      </c>
      <c r="D165" s="15" t="s">
        <v>197</v>
      </c>
      <c r="E165" s="12">
        <v>0</v>
      </c>
      <c r="F165" s="15">
        <v>1402</v>
      </c>
      <c r="G165" s="12">
        <v>1</v>
      </c>
      <c r="H165" s="12">
        <v>40</v>
      </c>
      <c r="I165" s="12">
        <v>0.3</v>
      </c>
      <c r="J165" s="16">
        <v>0</v>
      </c>
      <c r="K165" s="16">
        <v>0</v>
      </c>
      <c r="L165" s="15">
        <v>0</v>
      </c>
      <c r="M165" s="15">
        <v>30</v>
      </c>
      <c r="N165" s="15">
        <v>80</v>
      </c>
      <c r="O165" s="17">
        <v>0</v>
      </c>
      <c r="P165" s="17">
        <v>0</v>
      </c>
      <c r="Q165" s="19">
        <v>30</v>
      </c>
      <c r="R165" s="19">
        <v>60</v>
      </c>
      <c r="S165" s="19">
        <v>30</v>
      </c>
      <c r="T165" s="19">
        <v>80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6">
        <v>0</v>
      </c>
      <c r="AC165" s="16">
        <v>0</v>
      </c>
      <c r="AD165" s="16">
        <v>0</v>
      </c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</row>
    <row r="166" spans="3:199" s="2" customFormat="1" ht="20.100000000000001" customHeight="1">
      <c r="C166" s="10">
        <v>40030526</v>
      </c>
      <c r="D166" s="15" t="s">
        <v>198</v>
      </c>
      <c r="E166" s="12">
        <v>0</v>
      </c>
      <c r="F166" s="15">
        <v>1402</v>
      </c>
      <c r="G166" s="12">
        <v>1</v>
      </c>
      <c r="H166" s="12">
        <v>40</v>
      </c>
      <c r="I166" s="12">
        <v>0.3</v>
      </c>
      <c r="J166" s="16">
        <v>0</v>
      </c>
      <c r="K166" s="16">
        <v>0</v>
      </c>
      <c r="L166" s="15">
        <v>0</v>
      </c>
      <c r="M166" s="15">
        <v>60</v>
      </c>
      <c r="N166" s="15">
        <v>130</v>
      </c>
      <c r="O166" s="17">
        <v>0</v>
      </c>
      <c r="P166" s="17">
        <v>0</v>
      </c>
      <c r="Q166" s="19">
        <v>20</v>
      </c>
      <c r="R166" s="19">
        <v>30</v>
      </c>
      <c r="S166" s="19">
        <v>20</v>
      </c>
      <c r="T166" s="19">
        <v>30</v>
      </c>
      <c r="U166" s="18">
        <v>0</v>
      </c>
      <c r="V166" s="18">
        <v>0</v>
      </c>
      <c r="W166" s="18">
        <v>0</v>
      </c>
      <c r="X166" s="18">
        <v>0</v>
      </c>
      <c r="Y166" s="18">
        <v>0</v>
      </c>
      <c r="Z166" s="18">
        <v>0</v>
      </c>
      <c r="AA166" s="18">
        <v>0</v>
      </c>
      <c r="AB166" s="16">
        <v>0</v>
      </c>
      <c r="AC166" s="16">
        <v>0</v>
      </c>
      <c r="AD166" s="16">
        <v>0</v>
      </c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</row>
    <row r="167" spans="3:199" s="2" customFormat="1" ht="20.100000000000001" customHeight="1">
      <c r="C167" s="10">
        <v>40030527</v>
      </c>
      <c r="D167" s="15" t="s">
        <v>199</v>
      </c>
      <c r="E167" s="12">
        <v>0</v>
      </c>
      <c r="F167" s="15">
        <v>1402</v>
      </c>
      <c r="G167" s="12">
        <v>1</v>
      </c>
      <c r="H167" s="12">
        <v>40</v>
      </c>
      <c r="I167" s="12">
        <v>0.3</v>
      </c>
      <c r="J167" s="16">
        <v>0</v>
      </c>
      <c r="K167" s="16">
        <v>0</v>
      </c>
      <c r="L167" s="15">
        <v>0</v>
      </c>
      <c r="M167" s="15">
        <v>40</v>
      </c>
      <c r="N167" s="15">
        <v>120</v>
      </c>
      <c r="O167" s="17">
        <v>0</v>
      </c>
      <c r="P167" s="17">
        <v>0</v>
      </c>
      <c r="Q167" s="19">
        <v>0</v>
      </c>
      <c r="R167" s="19">
        <v>0</v>
      </c>
      <c r="S167" s="19">
        <v>10</v>
      </c>
      <c r="T167" s="19">
        <v>40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6">
        <v>0</v>
      </c>
      <c r="AC167" s="16">
        <v>0</v>
      </c>
      <c r="AD167" s="16">
        <v>0</v>
      </c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</row>
    <row r="168" spans="3:199" s="2" customFormat="1" ht="20.100000000000001" customHeight="1">
      <c r="C168" s="10">
        <v>40030528</v>
      </c>
      <c r="D168" s="15" t="s">
        <v>200</v>
      </c>
      <c r="E168" s="12">
        <v>0</v>
      </c>
      <c r="F168" s="15">
        <v>1402</v>
      </c>
      <c r="G168" s="12">
        <v>1</v>
      </c>
      <c r="H168" s="12">
        <v>40</v>
      </c>
      <c r="I168" s="12">
        <v>0.3</v>
      </c>
      <c r="J168" s="16">
        <v>0</v>
      </c>
      <c r="K168" s="16">
        <v>0</v>
      </c>
      <c r="L168" s="15">
        <v>0</v>
      </c>
      <c r="M168" s="15">
        <v>30</v>
      </c>
      <c r="N168" s="15">
        <v>60</v>
      </c>
      <c r="O168" s="17">
        <v>0</v>
      </c>
      <c r="P168" s="17">
        <v>0</v>
      </c>
      <c r="Q168" s="19">
        <v>30</v>
      </c>
      <c r="R168" s="19">
        <v>60</v>
      </c>
      <c r="S168" s="19">
        <v>0</v>
      </c>
      <c r="T168" s="19">
        <v>0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0</v>
      </c>
      <c r="AB168" s="16">
        <v>0</v>
      </c>
      <c r="AC168" s="16">
        <v>0</v>
      </c>
      <c r="AD168" s="16">
        <v>0</v>
      </c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</row>
    <row r="169" spans="3:199" s="2" customFormat="1" ht="20.100000000000001" customHeight="1">
      <c r="C169" s="10">
        <v>40030529</v>
      </c>
      <c r="D169" s="15" t="s">
        <v>201</v>
      </c>
      <c r="E169" s="12">
        <v>0</v>
      </c>
      <c r="F169" s="15">
        <v>1402</v>
      </c>
      <c r="G169" s="12">
        <v>1</v>
      </c>
      <c r="H169" s="12">
        <v>40</v>
      </c>
      <c r="I169" s="12">
        <v>0.3</v>
      </c>
      <c r="J169" s="16">
        <v>0</v>
      </c>
      <c r="K169" s="16">
        <v>0</v>
      </c>
      <c r="L169" s="15">
        <v>0</v>
      </c>
      <c r="M169" s="15">
        <v>30</v>
      </c>
      <c r="N169" s="15">
        <v>90</v>
      </c>
      <c r="O169" s="17">
        <v>0</v>
      </c>
      <c r="P169" s="17">
        <v>0</v>
      </c>
      <c r="Q169" s="19">
        <v>0</v>
      </c>
      <c r="R169" s="19">
        <v>0</v>
      </c>
      <c r="S169" s="19">
        <v>20</v>
      </c>
      <c r="T169" s="19">
        <v>40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6">
        <v>0</v>
      </c>
      <c r="AC169" s="16">
        <v>0</v>
      </c>
      <c r="AD169" s="16">
        <v>0</v>
      </c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</row>
    <row r="170" spans="3:199" s="2" customFormat="1" ht="20.100000000000001" customHeight="1">
      <c r="C170" s="13">
        <v>40030530</v>
      </c>
      <c r="D170" s="18" t="s">
        <v>202</v>
      </c>
      <c r="E170" s="12">
        <v>0</v>
      </c>
      <c r="F170" s="15">
        <v>0</v>
      </c>
      <c r="G170" s="12">
        <v>1</v>
      </c>
      <c r="H170" s="12">
        <v>40</v>
      </c>
      <c r="I170" s="12">
        <v>0.3</v>
      </c>
      <c r="J170" s="16">
        <v>0</v>
      </c>
      <c r="K170" s="16">
        <v>0</v>
      </c>
      <c r="L170" s="18">
        <v>0</v>
      </c>
      <c r="M170" s="18">
        <v>0</v>
      </c>
      <c r="N170" s="18">
        <v>0</v>
      </c>
      <c r="O170" s="17">
        <v>0</v>
      </c>
      <c r="P170" s="17">
        <v>0</v>
      </c>
      <c r="Q170" s="12">
        <v>10</v>
      </c>
      <c r="R170" s="12">
        <v>20</v>
      </c>
      <c r="S170" s="12">
        <v>10</v>
      </c>
      <c r="T170" s="12">
        <v>20</v>
      </c>
      <c r="U170" s="18">
        <v>0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6">
        <v>0</v>
      </c>
      <c r="AC170" s="16">
        <v>0</v>
      </c>
      <c r="AD170" s="16">
        <v>0</v>
      </c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</row>
    <row r="171" spans="3:199" s="2" customFormat="1" ht="20.100000000000001" customHeight="1">
      <c r="C171" s="10">
        <v>40030531</v>
      </c>
      <c r="D171" s="15" t="s">
        <v>203</v>
      </c>
      <c r="E171" s="12">
        <v>0</v>
      </c>
      <c r="F171" s="15">
        <v>0</v>
      </c>
      <c r="G171" s="12">
        <v>1</v>
      </c>
      <c r="H171" s="12">
        <v>40</v>
      </c>
      <c r="I171" s="12">
        <v>0.3</v>
      </c>
      <c r="J171" s="16">
        <v>0</v>
      </c>
      <c r="K171" s="16">
        <v>0</v>
      </c>
      <c r="L171" s="15">
        <v>0</v>
      </c>
      <c r="M171" s="15">
        <v>30</v>
      </c>
      <c r="N171" s="15">
        <v>30</v>
      </c>
      <c r="O171" s="17">
        <v>0</v>
      </c>
      <c r="P171" s="17">
        <v>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6">
        <v>0</v>
      </c>
      <c r="AC171" s="16">
        <v>0</v>
      </c>
      <c r="AD171" s="16">
        <v>0</v>
      </c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</row>
    <row r="172" spans="3:199" s="2" customFormat="1" ht="20.100000000000001" customHeight="1">
      <c r="C172" s="13">
        <v>40030532</v>
      </c>
      <c r="D172" s="15" t="s">
        <v>204</v>
      </c>
      <c r="E172" s="12">
        <v>0</v>
      </c>
      <c r="F172" s="15">
        <v>0</v>
      </c>
      <c r="G172" s="12">
        <v>1</v>
      </c>
      <c r="H172" s="12">
        <v>40</v>
      </c>
      <c r="I172" s="12">
        <v>0.3</v>
      </c>
      <c r="J172" s="16">
        <v>0</v>
      </c>
      <c r="K172" s="16">
        <v>0</v>
      </c>
      <c r="L172" s="15">
        <v>600</v>
      </c>
      <c r="M172" s="15">
        <v>0</v>
      </c>
      <c r="N172" s="15">
        <v>0</v>
      </c>
      <c r="O172" s="17">
        <v>0</v>
      </c>
      <c r="P172" s="17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6">
        <v>0</v>
      </c>
      <c r="AC172" s="16">
        <v>0</v>
      </c>
      <c r="AD172" s="16">
        <v>0</v>
      </c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</row>
    <row r="173" spans="3:199" s="2" customFormat="1" ht="20.100000000000001" customHeight="1">
      <c r="C173" s="10">
        <v>40030533</v>
      </c>
      <c r="D173" s="15" t="s">
        <v>205</v>
      </c>
      <c r="E173" s="12">
        <v>0</v>
      </c>
      <c r="F173" s="15">
        <v>0</v>
      </c>
      <c r="G173" s="12">
        <v>1</v>
      </c>
      <c r="H173" s="12">
        <v>40</v>
      </c>
      <c r="I173" s="12">
        <v>0.3</v>
      </c>
      <c r="J173" s="16">
        <v>0</v>
      </c>
      <c r="K173" s="16">
        <v>0</v>
      </c>
      <c r="L173" s="15">
        <v>0</v>
      </c>
      <c r="M173" s="15">
        <v>0</v>
      </c>
      <c r="N173" s="15">
        <v>0</v>
      </c>
      <c r="O173" s="17">
        <v>0</v>
      </c>
      <c r="P173" s="17">
        <v>0</v>
      </c>
      <c r="Q173" s="19">
        <v>10</v>
      </c>
      <c r="R173" s="19">
        <v>20</v>
      </c>
      <c r="S173" s="19">
        <v>20</v>
      </c>
      <c r="T173" s="19">
        <v>30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6">
        <v>0</v>
      </c>
      <c r="AC173" s="16">
        <v>0</v>
      </c>
      <c r="AD173" s="16">
        <v>0</v>
      </c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</row>
    <row r="174" spans="3:199" s="2" customFormat="1" ht="20.100000000000001" customHeight="1">
      <c r="C174" s="13">
        <v>40030534</v>
      </c>
      <c r="D174" s="15" t="s">
        <v>206</v>
      </c>
      <c r="E174" s="12">
        <v>0</v>
      </c>
      <c r="F174" s="15">
        <v>0</v>
      </c>
      <c r="G174" s="12">
        <v>1</v>
      </c>
      <c r="H174" s="12">
        <v>40</v>
      </c>
      <c r="I174" s="12">
        <v>0.3</v>
      </c>
      <c r="J174" s="16">
        <v>0</v>
      </c>
      <c r="K174" s="16">
        <v>0</v>
      </c>
      <c r="L174" s="15">
        <v>0</v>
      </c>
      <c r="M174" s="15">
        <v>0</v>
      </c>
      <c r="N174" s="15">
        <v>0</v>
      </c>
      <c r="O174" s="17">
        <v>0</v>
      </c>
      <c r="P174" s="17">
        <v>0</v>
      </c>
      <c r="Q174" s="19">
        <v>20</v>
      </c>
      <c r="R174" s="19">
        <v>40</v>
      </c>
      <c r="S174" s="19">
        <v>20</v>
      </c>
      <c r="T174" s="19">
        <v>40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6">
        <v>0</v>
      </c>
      <c r="AC174" s="16">
        <v>0</v>
      </c>
      <c r="AD174" s="16">
        <v>0</v>
      </c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</row>
    <row r="175" spans="3:199" s="2" customFormat="1" ht="20.100000000000001" customHeight="1">
      <c r="C175" s="10">
        <v>40030535</v>
      </c>
      <c r="D175" s="15" t="s">
        <v>207</v>
      </c>
      <c r="E175" s="12">
        <v>0</v>
      </c>
      <c r="F175" s="15">
        <v>1404</v>
      </c>
      <c r="G175" s="12">
        <v>1</v>
      </c>
      <c r="H175" s="12">
        <v>40</v>
      </c>
      <c r="I175" s="12">
        <v>0.3</v>
      </c>
      <c r="J175" s="16">
        <v>0</v>
      </c>
      <c r="K175" s="16">
        <v>0</v>
      </c>
      <c r="L175" s="15">
        <v>0</v>
      </c>
      <c r="M175" s="19">
        <v>200</v>
      </c>
      <c r="N175" s="19">
        <v>1250</v>
      </c>
      <c r="O175" s="17">
        <v>0</v>
      </c>
      <c r="P175" s="17">
        <v>0</v>
      </c>
      <c r="Q175" s="19">
        <v>0</v>
      </c>
      <c r="R175" s="19">
        <v>0</v>
      </c>
      <c r="S175" s="19">
        <v>0</v>
      </c>
      <c r="T175" s="19">
        <v>0</v>
      </c>
      <c r="U175" s="18">
        <v>0</v>
      </c>
      <c r="V175" s="18">
        <v>0</v>
      </c>
      <c r="W175" s="18">
        <v>0</v>
      </c>
      <c r="X175" s="18">
        <v>0.05</v>
      </c>
      <c r="Y175" s="18">
        <v>0</v>
      </c>
      <c r="Z175" s="18">
        <v>0</v>
      </c>
      <c r="AA175" s="18">
        <v>0</v>
      </c>
      <c r="AB175" s="16">
        <v>0</v>
      </c>
      <c r="AC175" s="16">
        <v>0</v>
      </c>
      <c r="AD175" s="16">
        <v>0</v>
      </c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</row>
    <row r="176" spans="3:199" s="2" customFormat="1" ht="20.100000000000001" customHeight="1">
      <c r="C176" s="13">
        <v>40030536</v>
      </c>
      <c r="D176" s="15" t="s">
        <v>208</v>
      </c>
      <c r="E176" s="12">
        <v>0</v>
      </c>
      <c r="F176" s="15">
        <v>1406</v>
      </c>
      <c r="G176" s="12">
        <v>1</v>
      </c>
      <c r="H176" s="12">
        <v>40</v>
      </c>
      <c r="I176" s="12">
        <v>0.3</v>
      </c>
      <c r="J176" s="16">
        <v>0</v>
      </c>
      <c r="K176" s="16">
        <v>0</v>
      </c>
      <c r="L176" s="15">
        <v>5000</v>
      </c>
      <c r="M176" s="15">
        <v>0</v>
      </c>
      <c r="N176" s="15">
        <v>0</v>
      </c>
      <c r="O176" s="17">
        <v>0</v>
      </c>
      <c r="P176" s="17">
        <v>0</v>
      </c>
      <c r="Q176" s="19">
        <v>30</v>
      </c>
      <c r="R176" s="19">
        <v>30</v>
      </c>
      <c r="S176" s="19">
        <v>30</v>
      </c>
      <c r="T176" s="19">
        <v>30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6">
        <v>0</v>
      </c>
      <c r="AC176" s="16">
        <v>0</v>
      </c>
      <c r="AD176" s="16">
        <v>0</v>
      </c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</row>
    <row r="177" spans="3:199" s="2" customFormat="1" ht="20.100000000000001" customHeight="1">
      <c r="C177" s="13">
        <v>40030601</v>
      </c>
      <c r="D177" s="15" t="s">
        <v>209</v>
      </c>
      <c r="E177" s="12">
        <v>0</v>
      </c>
      <c r="F177" s="15">
        <v>1503</v>
      </c>
      <c r="G177" s="12">
        <v>1</v>
      </c>
      <c r="H177" s="12">
        <v>50</v>
      </c>
      <c r="I177" s="12">
        <v>0.3</v>
      </c>
      <c r="J177" s="16">
        <v>0</v>
      </c>
      <c r="K177" s="16">
        <v>0</v>
      </c>
      <c r="L177" s="15">
        <v>0</v>
      </c>
      <c r="M177" s="19">
        <v>50</v>
      </c>
      <c r="N177" s="19">
        <v>140</v>
      </c>
      <c r="O177" s="17">
        <v>0</v>
      </c>
      <c r="P177" s="17">
        <v>0</v>
      </c>
      <c r="Q177" s="19">
        <v>40</v>
      </c>
      <c r="R177" s="19">
        <v>110</v>
      </c>
      <c r="S177" s="15">
        <v>40</v>
      </c>
      <c r="T177" s="15">
        <v>110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6">
        <v>0</v>
      </c>
      <c r="AC177" s="16">
        <v>0</v>
      </c>
      <c r="AD177" s="16">
        <v>0</v>
      </c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</row>
    <row r="178" spans="3:199" s="2" customFormat="1" ht="20.100000000000001" customHeight="1">
      <c r="C178" s="13">
        <v>40030602</v>
      </c>
      <c r="D178" s="15" t="s">
        <v>210</v>
      </c>
      <c r="E178" s="12">
        <v>0</v>
      </c>
      <c r="F178" s="15">
        <v>0</v>
      </c>
      <c r="G178" s="12">
        <v>1</v>
      </c>
      <c r="H178" s="12">
        <v>50</v>
      </c>
      <c r="I178" s="12">
        <v>0.3</v>
      </c>
      <c r="J178" s="16">
        <v>0</v>
      </c>
      <c r="K178" s="16">
        <v>0</v>
      </c>
      <c r="L178" s="15">
        <v>0</v>
      </c>
      <c r="M178" s="19">
        <v>30</v>
      </c>
      <c r="N178" s="19">
        <v>120</v>
      </c>
      <c r="O178" s="17">
        <v>0</v>
      </c>
      <c r="P178" s="17">
        <v>0</v>
      </c>
      <c r="Q178" s="19">
        <v>30</v>
      </c>
      <c r="R178" s="19">
        <v>90</v>
      </c>
      <c r="S178" s="15">
        <v>30</v>
      </c>
      <c r="T178" s="15">
        <v>90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6">
        <v>0</v>
      </c>
      <c r="AC178" s="16">
        <v>0</v>
      </c>
      <c r="AD178" s="16">
        <v>0</v>
      </c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</row>
    <row r="179" spans="3:199" s="2" customFormat="1" ht="20.100000000000001" customHeight="1">
      <c r="C179" s="13">
        <v>40030603</v>
      </c>
      <c r="D179" s="15" t="s">
        <v>211</v>
      </c>
      <c r="E179" s="12">
        <v>0</v>
      </c>
      <c r="F179" s="15">
        <v>1503</v>
      </c>
      <c r="G179" s="12">
        <v>1</v>
      </c>
      <c r="H179" s="12">
        <v>50</v>
      </c>
      <c r="I179" s="12">
        <v>0.3</v>
      </c>
      <c r="J179" s="16">
        <v>0</v>
      </c>
      <c r="K179" s="16">
        <v>0</v>
      </c>
      <c r="L179" s="15">
        <v>0</v>
      </c>
      <c r="M179" s="19">
        <v>60</v>
      </c>
      <c r="N179" s="19">
        <v>180</v>
      </c>
      <c r="O179" s="17">
        <v>0</v>
      </c>
      <c r="P179" s="17">
        <v>0</v>
      </c>
      <c r="Q179" s="19">
        <v>0</v>
      </c>
      <c r="R179" s="19">
        <v>0</v>
      </c>
      <c r="S179" s="15">
        <v>30</v>
      </c>
      <c r="T179" s="15">
        <v>60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6">
        <v>0</v>
      </c>
      <c r="AC179" s="16">
        <v>0</v>
      </c>
      <c r="AD179" s="16">
        <v>0</v>
      </c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</row>
    <row r="180" spans="3:199" s="2" customFormat="1" ht="20.100000000000001" customHeight="1">
      <c r="C180" s="13">
        <v>40030604</v>
      </c>
      <c r="D180" s="15" t="s">
        <v>212</v>
      </c>
      <c r="E180" s="12">
        <v>0</v>
      </c>
      <c r="F180" s="15">
        <v>0</v>
      </c>
      <c r="G180" s="12">
        <v>1</v>
      </c>
      <c r="H180" s="12">
        <v>50</v>
      </c>
      <c r="I180" s="12">
        <v>0.3</v>
      </c>
      <c r="J180" s="16">
        <v>0</v>
      </c>
      <c r="K180" s="16">
        <v>0</v>
      </c>
      <c r="L180" s="15">
        <v>0</v>
      </c>
      <c r="M180" s="19">
        <v>50</v>
      </c>
      <c r="N180" s="19">
        <v>150</v>
      </c>
      <c r="O180" s="17">
        <v>0</v>
      </c>
      <c r="P180" s="17">
        <v>0</v>
      </c>
      <c r="Q180" s="19">
        <v>0</v>
      </c>
      <c r="R180" s="19">
        <v>0</v>
      </c>
      <c r="S180" s="15">
        <v>20</v>
      </c>
      <c r="T180" s="15">
        <v>40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6">
        <v>0</v>
      </c>
      <c r="AC180" s="16">
        <v>0</v>
      </c>
      <c r="AD180" s="16">
        <v>0</v>
      </c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</row>
    <row r="181" spans="3:199" s="2" customFormat="1" ht="20.100000000000001" customHeight="1">
      <c r="C181" s="13">
        <v>40030605</v>
      </c>
      <c r="D181" s="15" t="s">
        <v>213</v>
      </c>
      <c r="E181" s="12">
        <v>0</v>
      </c>
      <c r="F181" s="15">
        <v>1505</v>
      </c>
      <c r="G181" s="12">
        <v>1</v>
      </c>
      <c r="H181" s="12">
        <v>50</v>
      </c>
      <c r="I181" s="12">
        <v>0.3</v>
      </c>
      <c r="J181" s="16">
        <v>0</v>
      </c>
      <c r="K181" s="16">
        <v>0</v>
      </c>
      <c r="L181" s="15">
        <v>0</v>
      </c>
      <c r="M181" s="19">
        <v>40</v>
      </c>
      <c r="N181" s="19">
        <v>110</v>
      </c>
      <c r="O181" s="17">
        <v>0</v>
      </c>
      <c r="P181" s="17">
        <v>0</v>
      </c>
      <c r="Q181" s="19">
        <v>40</v>
      </c>
      <c r="R181" s="19">
        <v>110</v>
      </c>
      <c r="S181" s="15">
        <v>0</v>
      </c>
      <c r="T181" s="15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6">
        <v>0</v>
      </c>
      <c r="AC181" s="16">
        <v>0</v>
      </c>
      <c r="AD181" s="16">
        <v>0</v>
      </c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</row>
    <row r="182" spans="3:199" s="2" customFormat="1" ht="20.100000000000001" customHeight="1">
      <c r="C182" s="13">
        <v>40030606</v>
      </c>
      <c r="D182" s="15" t="s">
        <v>214</v>
      </c>
      <c r="E182" s="12">
        <v>0</v>
      </c>
      <c r="F182" s="15">
        <v>0</v>
      </c>
      <c r="G182" s="12">
        <v>1</v>
      </c>
      <c r="H182" s="12">
        <v>50</v>
      </c>
      <c r="I182" s="12">
        <v>0.3</v>
      </c>
      <c r="J182" s="16">
        <v>0</v>
      </c>
      <c r="K182" s="16">
        <v>0</v>
      </c>
      <c r="L182" s="15">
        <v>0</v>
      </c>
      <c r="M182" s="19">
        <v>30</v>
      </c>
      <c r="N182" s="19">
        <v>90</v>
      </c>
      <c r="O182" s="17">
        <v>0</v>
      </c>
      <c r="P182" s="17">
        <v>0</v>
      </c>
      <c r="Q182" s="19">
        <v>40</v>
      </c>
      <c r="R182" s="19">
        <v>90</v>
      </c>
      <c r="S182" s="15">
        <v>0</v>
      </c>
      <c r="T182" s="15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6">
        <v>0</v>
      </c>
      <c r="AC182" s="16">
        <v>0</v>
      </c>
      <c r="AD182" s="16">
        <v>0</v>
      </c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</row>
    <row r="183" spans="3:199" s="2" customFormat="1" ht="20.100000000000001" customHeight="1">
      <c r="C183" s="13">
        <v>40030607</v>
      </c>
      <c r="D183" s="15" t="s">
        <v>215</v>
      </c>
      <c r="E183" s="12">
        <v>0</v>
      </c>
      <c r="F183" s="15">
        <v>1505</v>
      </c>
      <c r="G183" s="12">
        <v>1</v>
      </c>
      <c r="H183" s="12">
        <v>50</v>
      </c>
      <c r="I183" s="12">
        <v>0.3</v>
      </c>
      <c r="J183" s="16">
        <v>0</v>
      </c>
      <c r="K183" s="16">
        <v>0</v>
      </c>
      <c r="L183" s="15">
        <v>0</v>
      </c>
      <c r="M183" s="19">
        <v>50</v>
      </c>
      <c r="N183" s="19">
        <v>150</v>
      </c>
      <c r="O183" s="17">
        <v>0</v>
      </c>
      <c r="P183" s="17">
        <v>0</v>
      </c>
      <c r="Q183" s="19">
        <v>0</v>
      </c>
      <c r="R183" s="19">
        <v>0</v>
      </c>
      <c r="S183" s="15">
        <v>40</v>
      </c>
      <c r="T183" s="15">
        <v>110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6">
        <v>0</v>
      </c>
      <c r="AC183" s="16">
        <v>0</v>
      </c>
      <c r="AD183" s="16">
        <v>0</v>
      </c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</row>
    <row r="184" spans="3:199" s="2" customFormat="1" ht="20.100000000000001" customHeight="1">
      <c r="C184" s="13">
        <v>40030608</v>
      </c>
      <c r="D184" s="15" t="s">
        <v>216</v>
      </c>
      <c r="E184" s="12">
        <v>0</v>
      </c>
      <c r="F184" s="15">
        <v>0</v>
      </c>
      <c r="G184" s="12">
        <v>1</v>
      </c>
      <c r="H184" s="12">
        <v>50</v>
      </c>
      <c r="I184" s="12">
        <v>0.3</v>
      </c>
      <c r="J184" s="16">
        <v>0</v>
      </c>
      <c r="K184" s="16">
        <v>0</v>
      </c>
      <c r="L184" s="15">
        <v>0</v>
      </c>
      <c r="M184" s="19">
        <v>40</v>
      </c>
      <c r="N184" s="19">
        <v>130</v>
      </c>
      <c r="O184" s="17">
        <v>0</v>
      </c>
      <c r="P184" s="17">
        <v>0</v>
      </c>
      <c r="Q184" s="19">
        <v>0</v>
      </c>
      <c r="R184" s="19">
        <v>0</v>
      </c>
      <c r="S184" s="15">
        <v>30</v>
      </c>
      <c r="T184" s="15">
        <v>90</v>
      </c>
      <c r="U184" s="18">
        <v>0</v>
      </c>
      <c r="V184" s="18">
        <v>0</v>
      </c>
      <c r="W184" s="18">
        <v>0</v>
      </c>
      <c r="X184" s="18">
        <v>0</v>
      </c>
      <c r="Y184" s="18">
        <v>0</v>
      </c>
      <c r="Z184" s="18">
        <v>0</v>
      </c>
      <c r="AA184" s="18">
        <v>0</v>
      </c>
      <c r="AB184" s="16">
        <v>0</v>
      </c>
      <c r="AC184" s="16">
        <v>0</v>
      </c>
      <c r="AD184" s="16">
        <v>0</v>
      </c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</row>
    <row r="185" spans="3:199" s="2" customFormat="1" ht="20.100000000000001" customHeight="1">
      <c r="C185" s="13">
        <v>40030609</v>
      </c>
      <c r="D185" s="15" t="s">
        <v>217</v>
      </c>
      <c r="E185" s="12">
        <v>0</v>
      </c>
      <c r="F185" s="15">
        <v>1504</v>
      </c>
      <c r="G185" s="12">
        <v>1</v>
      </c>
      <c r="H185" s="12">
        <v>50</v>
      </c>
      <c r="I185" s="12">
        <v>0.3</v>
      </c>
      <c r="J185" s="16">
        <v>0</v>
      </c>
      <c r="K185" s="16">
        <v>0</v>
      </c>
      <c r="L185" s="15">
        <v>0</v>
      </c>
      <c r="M185" s="19">
        <v>70</v>
      </c>
      <c r="N185" s="19">
        <v>210</v>
      </c>
      <c r="O185" s="17">
        <v>0</v>
      </c>
      <c r="P185" s="17">
        <v>0</v>
      </c>
      <c r="Q185" s="19">
        <v>30</v>
      </c>
      <c r="R185" s="19">
        <v>60</v>
      </c>
      <c r="S185" s="15">
        <v>30</v>
      </c>
      <c r="T185" s="15">
        <v>60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  <c r="Z185" s="18">
        <v>0</v>
      </c>
      <c r="AA185" s="18">
        <v>0</v>
      </c>
      <c r="AB185" s="16">
        <v>0</v>
      </c>
      <c r="AC185" s="16">
        <v>0</v>
      </c>
      <c r="AD185" s="16">
        <v>0</v>
      </c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</row>
    <row r="186" spans="3:199" s="2" customFormat="1" ht="20.100000000000001" customHeight="1">
      <c r="C186" s="13">
        <v>40030610</v>
      </c>
      <c r="D186" s="15" t="s">
        <v>218</v>
      </c>
      <c r="E186" s="12">
        <v>0</v>
      </c>
      <c r="F186" s="15">
        <v>0</v>
      </c>
      <c r="G186" s="12">
        <v>1</v>
      </c>
      <c r="H186" s="12">
        <v>50</v>
      </c>
      <c r="I186" s="12">
        <v>0.3</v>
      </c>
      <c r="J186" s="16">
        <v>0</v>
      </c>
      <c r="K186" s="16">
        <v>0</v>
      </c>
      <c r="L186" s="15">
        <v>0</v>
      </c>
      <c r="M186" s="19">
        <v>50</v>
      </c>
      <c r="N186" s="19">
        <v>180</v>
      </c>
      <c r="O186" s="17">
        <v>0</v>
      </c>
      <c r="P186" s="17">
        <v>0</v>
      </c>
      <c r="Q186" s="19">
        <v>20</v>
      </c>
      <c r="R186" s="19">
        <v>50</v>
      </c>
      <c r="S186" s="15">
        <v>20</v>
      </c>
      <c r="T186" s="15">
        <v>50</v>
      </c>
      <c r="U186" s="18">
        <v>0</v>
      </c>
      <c r="V186" s="18">
        <v>0</v>
      </c>
      <c r="W186" s="18">
        <v>0</v>
      </c>
      <c r="X186" s="18">
        <v>0</v>
      </c>
      <c r="Y186" s="18">
        <v>0</v>
      </c>
      <c r="Z186" s="18">
        <v>0</v>
      </c>
      <c r="AA186" s="18">
        <v>0</v>
      </c>
      <c r="AB186" s="16">
        <v>0</v>
      </c>
      <c r="AC186" s="16">
        <v>0</v>
      </c>
      <c r="AD186" s="16">
        <v>0</v>
      </c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</row>
    <row r="187" spans="3:199" s="2" customFormat="1" ht="20.100000000000001" customHeight="1">
      <c r="C187" s="13">
        <v>40030611</v>
      </c>
      <c r="D187" s="15" t="s">
        <v>219</v>
      </c>
      <c r="E187" s="12">
        <v>0</v>
      </c>
      <c r="F187" s="15">
        <v>1504</v>
      </c>
      <c r="G187" s="12">
        <v>1</v>
      </c>
      <c r="H187" s="12">
        <v>50</v>
      </c>
      <c r="I187" s="12">
        <v>0.3</v>
      </c>
      <c r="J187" s="16">
        <v>0</v>
      </c>
      <c r="K187" s="16">
        <v>0</v>
      </c>
      <c r="L187" s="15">
        <v>0</v>
      </c>
      <c r="M187" s="19">
        <v>70</v>
      </c>
      <c r="N187" s="19">
        <v>410</v>
      </c>
      <c r="O187" s="17">
        <v>0</v>
      </c>
      <c r="P187" s="17">
        <v>0</v>
      </c>
      <c r="Q187" s="19">
        <v>30</v>
      </c>
      <c r="R187" s="19">
        <v>80</v>
      </c>
      <c r="S187" s="15">
        <v>0</v>
      </c>
      <c r="T187" s="15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6">
        <v>0</v>
      </c>
      <c r="AC187" s="16">
        <v>0</v>
      </c>
      <c r="AD187" s="16">
        <v>0</v>
      </c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</row>
    <row r="188" spans="3:199" s="2" customFormat="1" ht="20.100000000000001" customHeight="1">
      <c r="C188" s="13">
        <v>40030612</v>
      </c>
      <c r="D188" s="15" t="s">
        <v>220</v>
      </c>
      <c r="E188" s="12">
        <v>0</v>
      </c>
      <c r="F188" s="15">
        <v>0</v>
      </c>
      <c r="G188" s="12">
        <v>1</v>
      </c>
      <c r="H188" s="12">
        <v>50</v>
      </c>
      <c r="I188" s="12">
        <v>0.3</v>
      </c>
      <c r="J188" s="16">
        <v>0</v>
      </c>
      <c r="K188" s="16">
        <v>0</v>
      </c>
      <c r="L188" s="15">
        <v>0</v>
      </c>
      <c r="M188" s="19">
        <v>50</v>
      </c>
      <c r="N188" s="19">
        <v>350</v>
      </c>
      <c r="O188" s="17">
        <v>0</v>
      </c>
      <c r="P188" s="17">
        <v>0</v>
      </c>
      <c r="Q188" s="19">
        <v>30</v>
      </c>
      <c r="R188" s="19">
        <v>60</v>
      </c>
      <c r="S188" s="15">
        <v>0</v>
      </c>
      <c r="T188" s="15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6">
        <v>0</v>
      </c>
      <c r="AC188" s="16">
        <v>0</v>
      </c>
      <c r="AD188" s="16">
        <v>0</v>
      </c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</row>
    <row r="189" spans="3:199" s="2" customFormat="1" ht="20.100000000000001" customHeight="1">
      <c r="C189" s="13">
        <v>40030613</v>
      </c>
      <c r="D189" s="15" t="s">
        <v>221</v>
      </c>
      <c r="E189" s="12">
        <v>0</v>
      </c>
      <c r="F189" s="15">
        <v>1506</v>
      </c>
      <c r="G189" s="12">
        <v>1</v>
      </c>
      <c r="H189" s="12">
        <v>50</v>
      </c>
      <c r="I189" s="12">
        <v>0.3</v>
      </c>
      <c r="J189" s="16">
        <v>0</v>
      </c>
      <c r="K189" s="16">
        <v>0</v>
      </c>
      <c r="L189" s="15">
        <v>0</v>
      </c>
      <c r="M189" s="19">
        <v>80</v>
      </c>
      <c r="N189" s="19">
        <v>320</v>
      </c>
      <c r="O189" s="17">
        <v>0</v>
      </c>
      <c r="P189" s="17">
        <v>0</v>
      </c>
      <c r="Q189" s="19">
        <v>0</v>
      </c>
      <c r="R189" s="19">
        <v>0</v>
      </c>
      <c r="S189" s="15">
        <v>20</v>
      </c>
      <c r="T189" s="15">
        <v>50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6">
        <v>0</v>
      </c>
      <c r="AC189" s="16">
        <v>0</v>
      </c>
      <c r="AD189" s="16">
        <v>0</v>
      </c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</row>
    <row r="190" spans="3:199" s="2" customFormat="1" ht="20.100000000000001" customHeight="1">
      <c r="C190" s="13">
        <v>40030614</v>
      </c>
      <c r="D190" s="15" t="s">
        <v>222</v>
      </c>
      <c r="E190" s="12">
        <v>0</v>
      </c>
      <c r="F190" s="15">
        <v>0</v>
      </c>
      <c r="G190" s="12">
        <v>1</v>
      </c>
      <c r="H190" s="12">
        <v>50</v>
      </c>
      <c r="I190" s="12">
        <v>0.3</v>
      </c>
      <c r="J190" s="16">
        <v>0</v>
      </c>
      <c r="K190" s="16">
        <v>0</v>
      </c>
      <c r="L190" s="15">
        <v>0</v>
      </c>
      <c r="M190" s="19">
        <v>70</v>
      </c>
      <c r="N190" s="19">
        <v>280</v>
      </c>
      <c r="O190" s="17">
        <v>0</v>
      </c>
      <c r="P190" s="17">
        <v>0</v>
      </c>
      <c r="Q190" s="19">
        <v>0</v>
      </c>
      <c r="R190" s="19">
        <v>0</v>
      </c>
      <c r="S190" s="15">
        <v>20</v>
      </c>
      <c r="T190" s="15">
        <v>50</v>
      </c>
      <c r="U190" s="18">
        <v>0</v>
      </c>
      <c r="V190" s="18">
        <v>0</v>
      </c>
      <c r="W190" s="18">
        <v>0</v>
      </c>
      <c r="X190" s="18">
        <v>0</v>
      </c>
      <c r="Y190" s="18">
        <v>0</v>
      </c>
      <c r="Z190" s="18">
        <v>0</v>
      </c>
      <c r="AA190" s="18">
        <v>0</v>
      </c>
      <c r="AB190" s="16">
        <v>0</v>
      </c>
      <c r="AC190" s="16">
        <v>0</v>
      </c>
      <c r="AD190" s="16">
        <v>0</v>
      </c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</row>
    <row r="191" spans="3:199" s="2" customFormat="1" ht="20.100000000000001" customHeight="1">
      <c r="C191" s="13">
        <v>40030615</v>
      </c>
      <c r="D191" s="15" t="s">
        <v>223</v>
      </c>
      <c r="E191" s="12">
        <v>0</v>
      </c>
      <c r="F191" s="15">
        <v>1506</v>
      </c>
      <c r="G191" s="12">
        <v>1</v>
      </c>
      <c r="H191" s="12">
        <v>50</v>
      </c>
      <c r="I191" s="12">
        <v>0.3</v>
      </c>
      <c r="J191" s="16">
        <v>0</v>
      </c>
      <c r="K191" s="16">
        <v>0</v>
      </c>
      <c r="L191" s="15">
        <v>0</v>
      </c>
      <c r="M191" s="19">
        <v>0</v>
      </c>
      <c r="N191" s="19">
        <v>40</v>
      </c>
      <c r="O191" s="17">
        <v>0</v>
      </c>
      <c r="P191" s="17">
        <v>0</v>
      </c>
      <c r="Q191" s="19">
        <v>0</v>
      </c>
      <c r="R191" s="19">
        <v>40</v>
      </c>
      <c r="S191" s="15">
        <v>0</v>
      </c>
      <c r="T191" s="15">
        <v>40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6">
        <v>0</v>
      </c>
      <c r="AC191" s="16">
        <v>0</v>
      </c>
      <c r="AD191" s="16">
        <v>0</v>
      </c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</row>
    <row r="192" spans="3:199" s="2" customFormat="1" ht="20.100000000000001" customHeight="1">
      <c r="C192" s="13">
        <v>40030616</v>
      </c>
      <c r="D192" s="15" t="s">
        <v>224</v>
      </c>
      <c r="E192" s="12">
        <v>0</v>
      </c>
      <c r="F192" s="15">
        <v>1506</v>
      </c>
      <c r="G192" s="12">
        <v>1</v>
      </c>
      <c r="H192" s="12">
        <v>50</v>
      </c>
      <c r="I192" s="12">
        <v>0.3</v>
      </c>
      <c r="J192" s="16">
        <v>0</v>
      </c>
      <c r="K192" s="16">
        <v>0</v>
      </c>
      <c r="L192" s="15">
        <v>5000</v>
      </c>
      <c r="M192" s="19">
        <v>0</v>
      </c>
      <c r="N192" s="19">
        <v>0</v>
      </c>
      <c r="O192" s="17">
        <v>0</v>
      </c>
      <c r="P192" s="17">
        <v>0</v>
      </c>
      <c r="Q192" s="19">
        <v>0</v>
      </c>
      <c r="R192" s="19">
        <v>0</v>
      </c>
      <c r="S192" s="15">
        <v>0</v>
      </c>
      <c r="T192" s="15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16">
        <v>0</v>
      </c>
      <c r="AC192" s="16">
        <v>0</v>
      </c>
      <c r="AD192" s="16">
        <v>0</v>
      </c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</row>
    <row r="193" spans="3:199" s="2" customFormat="1" ht="20.100000000000001" customHeight="1">
      <c r="C193" s="13">
        <v>40030617</v>
      </c>
      <c r="D193" s="15" t="s">
        <v>225</v>
      </c>
      <c r="E193" s="12">
        <v>0</v>
      </c>
      <c r="F193" s="15">
        <v>0</v>
      </c>
      <c r="G193" s="12">
        <v>1</v>
      </c>
      <c r="H193" s="12">
        <v>50</v>
      </c>
      <c r="I193" s="12">
        <v>0.3</v>
      </c>
      <c r="J193" s="16">
        <v>0</v>
      </c>
      <c r="K193" s="16">
        <v>0</v>
      </c>
      <c r="L193" s="15">
        <v>4000</v>
      </c>
      <c r="M193" s="19">
        <v>0</v>
      </c>
      <c r="N193" s="19">
        <v>0</v>
      </c>
      <c r="O193" s="17">
        <v>0</v>
      </c>
      <c r="P193" s="17">
        <v>0</v>
      </c>
      <c r="Q193" s="19">
        <v>0</v>
      </c>
      <c r="R193" s="19">
        <v>0</v>
      </c>
      <c r="S193" s="15">
        <v>0</v>
      </c>
      <c r="T193" s="15">
        <v>0</v>
      </c>
      <c r="U193" s="18">
        <v>0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6">
        <v>0</v>
      </c>
      <c r="AC193" s="16">
        <v>0</v>
      </c>
      <c r="AD193" s="16">
        <v>0</v>
      </c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</row>
    <row r="194" spans="3:199" s="2" customFormat="1" ht="20.100000000000001" customHeight="1">
      <c r="C194" s="13">
        <v>40030618</v>
      </c>
      <c r="D194" s="15" t="s">
        <v>226</v>
      </c>
      <c r="E194" s="12">
        <v>0</v>
      </c>
      <c r="F194" s="15">
        <v>1504</v>
      </c>
      <c r="G194" s="12">
        <v>1</v>
      </c>
      <c r="H194" s="12">
        <v>50</v>
      </c>
      <c r="I194" s="12">
        <v>0.3</v>
      </c>
      <c r="J194" s="16">
        <v>0</v>
      </c>
      <c r="K194" s="16">
        <v>0</v>
      </c>
      <c r="L194" s="15">
        <v>0</v>
      </c>
      <c r="M194" s="19">
        <v>150</v>
      </c>
      <c r="N194" s="19">
        <v>1250</v>
      </c>
      <c r="O194" s="17">
        <v>0</v>
      </c>
      <c r="P194" s="17">
        <v>0</v>
      </c>
      <c r="Q194" s="19">
        <v>0</v>
      </c>
      <c r="R194" s="19">
        <v>0</v>
      </c>
      <c r="S194" s="15">
        <v>0</v>
      </c>
      <c r="T194" s="15">
        <v>0</v>
      </c>
      <c r="U194" s="18">
        <v>0</v>
      </c>
      <c r="V194" s="18">
        <v>0</v>
      </c>
      <c r="W194" s="18">
        <v>0</v>
      </c>
      <c r="X194" s="18">
        <v>0</v>
      </c>
      <c r="Y194" s="18">
        <v>0</v>
      </c>
      <c r="Z194" s="18">
        <v>0</v>
      </c>
      <c r="AA194" s="18">
        <v>0</v>
      </c>
      <c r="AB194" s="16">
        <v>0</v>
      </c>
      <c r="AC194" s="16">
        <v>0</v>
      </c>
      <c r="AD194" s="16">
        <v>0</v>
      </c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</row>
    <row r="195" spans="3:199" s="2" customFormat="1" ht="20.100000000000001" customHeight="1">
      <c r="C195" s="13">
        <v>40030619</v>
      </c>
      <c r="D195" s="15" t="s">
        <v>227</v>
      </c>
      <c r="E195" s="12">
        <v>0</v>
      </c>
      <c r="F195" s="15">
        <v>0</v>
      </c>
      <c r="G195" s="12">
        <v>1</v>
      </c>
      <c r="H195" s="12">
        <v>50</v>
      </c>
      <c r="I195" s="12">
        <v>0.3</v>
      </c>
      <c r="J195" s="16">
        <v>0</v>
      </c>
      <c r="K195" s="16">
        <v>0</v>
      </c>
      <c r="L195" s="15">
        <v>0</v>
      </c>
      <c r="M195" s="19">
        <v>100</v>
      </c>
      <c r="N195" s="19">
        <v>1050</v>
      </c>
      <c r="O195" s="17">
        <v>0</v>
      </c>
      <c r="P195" s="17">
        <v>0</v>
      </c>
      <c r="Q195" s="19">
        <v>0</v>
      </c>
      <c r="R195" s="19">
        <v>0</v>
      </c>
      <c r="S195" s="15">
        <v>0</v>
      </c>
      <c r="T195" s="15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6">
        <v>0</v>
      </c>
      <c r="AC195" s="16">
        <v>0</v>
      </c>
      <c r="AD195" s="16">
        <v>0</v>
      </c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</row>
    <row r="196" spans="3:199" s="2" customFormat="1" ht="20.100000000000001" customHeight="1">
      <c r="C196" s="13">
        <v>40030620</v>
      </c>
      <c r="D196" s="15" t="s">
        <v>228</v>
      </c>
      <c r="E196" s="12">
        <v>0</v>
      </c>
      <c r="F196" s="15">
        <v>1504</v>
      </c>
      <c r="G196" s="12">
        <v>1</v>
      </c>
      <c r="H196" s="12">
        <v>50</v>
      </c>
      <c r="I196" s="12">
        <v>0.3</v>
      </c>
      <c r="J196" s="16">
        <v>0</v>
      </c>
      <c r="K196" s="16">
        <v>0</v>
      </c>
      <c r="L196" s="15">
        <v>2100</v>
      </c>
      <c r="M196" s="19">
        <v>0</v>
      </c>
      <c r="N196" s="19">
        <v>0</v>
      </c>
      <c r="O196" s="17">
        <v>0</v>
      </c>
      <c r="P196" s="17">
        <v>0</v>
      </c>
      <c r="Q196" s="19">
        <v>80</v>
      </c>
      <c r="R196" s="19">
        <v>180</v>
      </c>
      <c r="S196" s="15">
        <v>60</v>
      </c>
      <c r="T196" s="15">
        <v>160</v>
      </c>
      <c r="U196" s="18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6">
        <v>0</v>
      </c>
      <c r="AC196" s="16">
        <v>0</v>
      </c>
      <c r="AD196" s="16">
        <v>0</v>
      </c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</row>
    <row r="197" spans="3:199" s="2" customFormat="1" ht="20.100000000000001" customHeight="1">
      <c r="C197" s="13">
        <v>40030621</v>
      </c>
      <c r="D197" s="15" t="s">
        <v>229</v>
      </c>
      <c r="E197" s="12">
        <v>0</v>
      </c>
      <c r="F197" s="15">
        <v>0</v>
      </c>
      <c r="G197" s="12">
        <v>1</v>
      </c>
      <c r="H197" s="12">
        <v>50</v>
      </c>
      <c r="I197" s="12">
        <v>0.3</v>
      </c>
      <c r="J197" s="16">
        <v>0</v>
      </c>
      <c r="K197" s="16">
        <v>0</v>
      </c>
      <c r="L197" s="15">
        <v>1750</v>
      </c>
      <c r="M197" s="19">
        <v>0</v>
      </c>
      <c r="N197" s="19">
        <v>0</v>
      </c>
      <c r="O197" s="17">
        <v>0</v>
      </c>
      <c r="P197" s="17">
        <v>0</v>
      </c>
      <c r="Q197" s="19">
        <v>50</v>
      </c>
      <c r="R197" s="19">
        <v>150</v>
      </c>
      <c r="S197" s="15">
        <v>50</v>
      </c>
      <c r="T197" s="15">
        <v>120</v>
      </c>
      <c r="U197" s="18">
        <v>0</v>
      </c>
      <c r="V197" s="18">
        <v>0</v>
      </c>
      <c r="W197" s="18">
        <v>0</v>
      </c>
      <c r="X197" s="18">
        <v>0</v>
      </c>
      <c r="Y197" s="18">
        <v>0</v>
      </c>
      <c r="Z197" s="18">
        <v>0</v>
      </c>
      <c r="AA197" s="18">
        <v>0</v>
      </c>
      <c r="AB197" s="16">
        <v>0</v>
      </c>
      <c r="AC197" s="16">
        <v>0</v>
      </c>
      <c r="AD197" s="16">
        <v>0</v>
      </c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</row>
    <row r="198" spans="3:199" s="2" customFormat="1" ht="20.100000000000001" customHeight="1">
      <c r="C198" s="13">
        <v>40030622</v>
      </c>
      <c r="D198" s="15" t="s">
        <v>230</v>
      </c>
      <c r="E198" s="12">
        <v>0</v>
      </c>
      <c r="F198" s="15">
        <v>1501</v>
      </c>
      <c r="G198" s="12">
        <v>1</v>
      </c>
      <c r="H198" s="12">
        <v>50</v>
      </c>
      <c r="I198" s="12">
        <v>0.3</v>
      </c>
      <c r="J198" s="16">
        <v>0</v>
      </c>
      <c r="K198" s="16">
        <v>0</v>
      </c>
      <c r="L198" s="15">
        <v>0</v>
      </c>
      <c r="M198" s="19">
        <v>80</v>
      </c>
      <c r="N198" s="19">
        <v>350</v>
      </c>
      <c r="O198" s="17">
        <v>0</v>
      </c>
      <c r="P198" s="17">
        <v>0</v>
      </c>
      <c r="Q198" s="19">
        <v>20</v>
      </c>
      <c r="R198" s="19">
        <v>60</v>
      </c>
      <c r="S198" s="15">
        <v>0</v>
      </c>
      <c r="T198" s="15">
        <v>0</v>
      </c>
      <c r="U198" s="18">
        <v>0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6">
        <v>0</v>
      </c>
      <c r="AC198" s="16">
        <v>0</v>
      </c>
      <c r="AD198" s="16">
        <v>0</v>
      </c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</row>
    <row r="199" spans="3:199" s="2" customFormat="1" ht="20.100000000000001" customHeight="1">
      <c r="C199" s="13">
        <v>40030623</v>
      </c>
      <c r="D199" s="15" t="s">
        <v>231</v>
      </c>
      <c r="E199" s="12">
        <v>0</v>
      </c>
      <c r="F199" s="15">
        <v>1501</v>
      </c>
      <c r="G199" s="12">
        <v>1</v>
      </c>
      <c r="H199" s="12">
        <v>50</v>
      </c>
      <c r="I199" s="12">
        <v>0.3</v>
      </c>
      <c r="J199" s="16">
        <v>0</v>
      </c>
      <c r="K199" s="16">
        <v>0</v>
      </c>
      <c r="L199" s="15">
        <v>0</v>
      </c>
      <c r="M199" s="19">
        <v>80</v>
      </c>
      <c r="N199" s="19">
        <v>280</v>
      </c>
      <c r="O199" s="17">
        <v>0</v>
      </c>
      <c r="P199" s="17">
        <v>0</v>
      </c>
      <c r="Q199" s="19">
        <v>0</v>
      </c>
      <c r="R199" s="19">
        <v>0</v>
      </c>
      <c r="S199" s="15">
        <v>20</v>
      </c>
      <c r="T199" s="15">
        <v>40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8">
        <v>0</v>
      </c>
      <c r="AB199" s="16">
        <v>0</v>
      </c>
      <c r="AC199" s="16">
        <v>0</v>
      </c>
      <c r="AD199" s="16">
        <v>0</v>
      </c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</row>
    <row r="200" spans="3:199" s="2" customFormat="1" ht="20.100000000000001" customHeight="1">
      <c r="C200" s="13">
        <v>40030624</v>
      </c>
      <c r="D200" s="15" t="s">
        <v>232</v>
      </c>
      <c r="E200" s="12">
        <v>0</v>
      </c>
      <c r="F200" s="15">
        <v>1502</v>
      </c>
      <c r="G200" s="12">
        <v>1</v>
      </c>
      <c r="H200" s="12">
        <v>50</v>
      </c>
      <c r="I200" s="12">
        <v>0.3</v>
      </c>
      <c r="J200" s="16">
        <v>0</v>
      </c>
      <c r="K200" s="16">
        <v>0</v>
      </c>
      <c r="L200" s="15">
        <v>1900</v>
      </c>
      <c r="M200" s="19">
        <v>0</v>
      </c>
      <c r="N200" s="19">
        <v>0</v>
      </c>
      <c r="O200" s="17">
        <v>0</v>
      </c>
      <c r="P200" s="17">
        <v>0</v>
      </c>
      <c r="Q200" s="19">
        <v>80</v>
      </c>
      <c r="R200" s="19">
        <v>150</v>
      </c>
      <c r="S200" s="15">
        <v>60</v>
      </c>
      <c r="T200" s="15">
        <v>120</v>
      </c>
      <c r="U200" s="18">
        <v>0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6">
        <v>0</v>
      </c>
      <c r="AC200" s="16">
        <v>0</v>
      </c>
      <c r="AD200" s="16">
        <v>0</v>
      </c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</row>
    <row r="201" spans="3:199" s="2" customFormat="1" ht="20.100000000000001" customHeight="1">
      <c r="C201" s="13">
        <v>40030625</v>
      </c>
      <c r="D201" s="15" t="s">
        <v>233</v>
      </c>
      <c r="E201" s="12">
        <v>0</v>
      </c>
      <c r="F201" s="15">
        <v>1502</v>
      </c>
      <c r="G201" s="12">
        <v>1</v>
      </c>
      <c r="H201" s="12">
        <v>50</v>
      </c>
      <c r="I201" s="12">
        <v>0.3</v>
      </c>
      <c r="J201" s="16">
        <v>0</v>
      </c>
      <c r="K201" s="16">
        <v>0</v>
      </c>
      <c r="L201" s="15">
        <v>0</v>
      </c>
      <c r="M201" s="19">
        <v>50</v>
      </c>
      <c r="N201" s="19">
        <v>120</v>
      </c>
      <c r="O201" s="17">
        <v>0</v>
      </c>
      <c r="P201" s="17">
        <v>0</v>
      </c>
      <c r="Q201" s="19">
        <v>40</v>
      </c>
      <c r="R201" s="19">
        <v>90</v>
      </c>
      <c r="S201" s="15">
        <v>40</v>
      </c>
      <c r="T201" s="15">
        <v>90</v>
      </c>
      <c r="U201" s="18">
        <v>0</v>
      </c>
      <c r="V201" s="18">
        <v>0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16">
        <v>0</v>
      </c>
      <c r="AC201" s="16">
        <v>0</v>
      </c>
      <c r="AD201" s="16">
        <v>0</v>
      </c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</row>
    <row r="202" spans="3:199" s="2" customFormat="1" ht="20.100000000000001" customHeight="1">
      <c r="C202" s="13">
        <v>40030626</v>
      </c>
      <c r="D202" s="15" t="s">
        <v>234</v>
      </c>
      <c r="E202" s="12">
        <v>0</v>
      </c>
      <c r="F202" s="15">
        <v>1502</v>
      </c>
      <c r="G202" s="12">
        <v>1</v>
      </c>
      <c r="H202" s="12">
        <v>50</v>
      </c>
      <c r="I202" s="12">
        <v>0.3</v>
      </c>
      <c r="J202" s="16">
        <v>0</v>
      </c>
      <c r="K202" s="16">
        <v>0</v>
      </c>
      <c r="L202" s="15">
        <v>0</v>
      </c>
      <c r="M202" s="19">
        <v>90</v>
      </c>
      <c r="N202" s="19">
        <v>180</v>
      </c>
      <c r="O202" s="17">
        <v>0</v>
      </c>
      <c r="P202" s="17">
        <v>0</v>
      </c>
      <c r="Q202" s="19">
        <v>30</v>
      </c>
      <c r="R202" s="19">
        <v>50</v>
      </c>
      <c r="S202" s="15">
        <v>30</v>
      </c>
      <c r="T202" s="15">
        <v>50</v>
      </c>
      <c r="U202" s="18">
        <v>0</v>
      </c>
      <c r="V202" s="18">
        <v>0</v>
      </c>
      <c r="W202" s="18">
        <v>0</v>
      </c>
      <c r="X202" s="18">
        <v>0</v>
      </c>
      <c r="Y202" s="18">
        <v>0</v>
      </c>
      <c r="Z202" s="18">
        <v>0</v>
      </c>
      <c r="AA202" s="18">
        <v>0</v>
      </c>
      <c r="AB202" s="16">
        <v>0</v>
      </c>
      <c r="AC202" s="16">
        <v>0</v>
      </c>
      <c r="AD202" s="16">
        <v>0</v>
      </c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</row>
    <row r="203" spans="3:199" s="2" customFormat="1" ht="20.100000000000001" customHeight="1">
      <c r="C203" s="13">
        <v>40030627</v>
      </c>
      <c r="D203" s="15" t="s">
        <v>235</v>
      </c>
      <c r="E203" s="12">
        <v>0</v>
      </c>
      <c r="F203" s="15">
        <v>1502</v>
      </c>
      <c r="G203" s="12">
        <v>1</v>
      </c>
      <c r="H203" s="12">
        <v>50</v>
      </c>
      <c r="I203" s="12">
        <v>0.3</v>
      </c>
      <c r="J203" s="16">
        <v>0</v>
      </c>
      <c r="K203" s="16">
        <v>0</v>
      </c>
      <c r="L203" s="15">
        <v>0</v>
      </c>
      <c r="M203" s="19">
        <v>70</v>
      </c>
      <c r="N203" s="19">
        <v>150</v>
      </c>
      <c r="O203" s="17">
        <v>0</v>
      </c>
      <c r="P203" s="17">
        <v>0</v>
      </c>
      <c r="Q203" s="19">
        <v>0</v>
      </c>
      <c r="R203" s="19">
        <v>0</v>
      </c>
      <c r="S203" s="15">
        <v>20</v>
      </c>
      <c r="T203" s="15">
        <v>50</v>
      </c>
      <c r="U203" s="18">
        <v>0</v>
      </c>
      <c r="V203" s="18">
        <v>0</v>
      </c>
      <c r="W203" s="18">
        <v>0</v>
      </c>
      <c r="X203" s="18">
        <v>0</v>
      </c>
      <c r="Y203" s="18">
        <v>0</v>
      </c>
      <c r="Z203" s="18">
        <v>0</v>
      </c>
      <c r="AA203" s="18">
        <v>0</v>
      </c>
      <c r="AB203" s="16">
        <v>0</v>
      </c>
      <c r="AC203" s="16">
        <v>0</v>
      </c>
      <c r="AD203" s="16">
        <v>0</v>
      </c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</row>
    <row r="204" spans="3:199" s="2" customFormat="1" ht="20.100000000000001" customHeight="1">
      <c r="C204" s="13">
        <v>40030628</v>
      </c>
      <c r="D204" s="15" t="s">
        <v>236</v>
      </c>
      <c r="E204" s="12">
        <v>0</v>
      </c>
      <c r="F204" s="15">
        <v>1502</v>
      </c>
      <c r="G204" s="12">
        <v>1</v>
      </c>
      <c r="H204" s="12">
        <v>50</v>
      </c>
      <c r="I204" s="12">
        <v>0.3</v>
      </c>
      <c r="J204" s="16">
        <v>0</v>
      </c>
      <c r="K204" s="16">
        <v>0</v>
      </c>
      <c r="L204" s="15">
        <v>0</v>
      </c>
      <c r="M204" s="19">
        <v>40</v>
      </c>
      <c r="N204" s="19">
        <v>90</v>
      </c>
      <c r="O204" s="17">
        <v>0</v>
      </c>
      <c r="P204" s="17">
        <v>0</v>
      </c>
      <c r="Q204" s="19">
        <v>50</v>
      </c>
      <c r="R204" s="19">
        <v>100</v>
      </c>
      <c r="S204" s="15">
        <v>0</v>
      </c>
      <c r="T204" s="15">
        <v>0</v>
      </c>
      <c r="U204" s="18">
        <v>0</v>
      </c>
      <c r="V204" s="18">
        <v>0</v>
      </c>
      <c r="W204" s="18">
        <v>0</v>
      </c>
      <c r="X204" s="18">
        <v>0</v>
      </c>
      <c r="Y204" s="18">
        <v>0</v>
      </c>
      <c r="Z204" s="18">
        <v>0</v>
      </c>
      <c r="AA204" s="18">
        <v>0</v>
      </c>
      <c r="AB204" s="16">
        <v>0</v>
      </c>
      <c r="AC204" s="16">
        <v>0</v>
      </c>
      <c r="AD204" s="16">
        <v>0</v>
      </c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</row>
    <row r="205" spans="3:199" s="2" customFormat="1" ht="20.100000000000001" customHeight="1">
      <c r="C205" s="13">
        <v>40030629</v>
      </c>
      <c r="D205" s="18" t="s">
        <v>237</v>
      </c>
      <c r="E205" s="12">
        <v>0</v>
      </c>
      <c r="F205" s="15">
        <v>1502</v>
      </c>
      <c r="G205" s="12">
        <v>1</v>
      </c>
      <c r="H205" s="12">
        <v>50</v>
      </c>
      <c r="I205" s="12">
        <v>0.3</v>
      </c>
      <c r="J205" s="16">
        <v>0</v>
      </c>
      <c r="K205" s="16">
        <v>0</v>
      </c>
      <c r="L205" s="18">
        <v>0</v>
      </c>
      <c r="M205" s="12">
        <v>60</v>
      </c>
      <c r="N205" s="12">
        <v>130</v>
      </c>
      <c r="O205" s="17">
        <v>0</v>
      </c>
      <c r="P205" s="17">
        <v>0</v>
      </c>
      <c r="Q205" s="12">
        <v>0</v>
      </c>
      <c r="R205" s="12">
        <v>0</v>
      </c>
      <c r="S205" s="18">
        <v>40</v>
      </c>
      <c r="T205" s="18">
        <v>100</v>
      </c>
      <c r="U205" s="18">
        <v>0</v>
      </c>
      <c r="V205" s="18">
        <v>0</v>
      </c>
      <c r="W205" s="18">
        <v>0</v>
      </c>
      <c r="X205" s="18">
        <v>0</v>
      </c>
      <c r="Y205" s="18">
        <v>0</v>
      </c>
      <c r="Z205" s="18">
        <v>0</v>
      </c>
      <c r="AA205" s="18">
        <v>0</v>
      </c>
      <c r="AB205" s="16">
        <v>0</v>
      </c>
      <c r="AC205" s="16">
        <v>0</v>
      </c>
      <c r="AD205" s="16">
        <v>0</v>
      </c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</row>
    <row r="206" spans="3:199" s="2" customFormat="1" ht="20.100000000000001" customHeight="1">
      <c r="C206" s="10">
        <v>40030630</v>
      </c>
      <c r="D206" s="15" t="s">
        <v>238</v>
      </c>
      <c r="E206" s="12">
        <v>0</v>
      </c>
      <c r="F206" s="15">
        <v>1513</v>
      </c>
      <c r="G206" s="12">
        <v>1</v>
      </c>
      <c r="H206" s="12">
        <v>60</v>
      </c>
      <c r="I206" s="12">
        <v>0.3</v>
      </c>
      <c r="J206" s="16">
        <v>0</v>
      </c>
      <c r="K206" s="16">
        <v>0</v>
      </c>
      <c r="L206" s="15">
        <v>0</v>
      </c>
      <c r="M206" s="19">
        <v>80</v>
      </c>
      <c r="N206" s="19">
        <v>210</v>
      </c>
      <c r="O206" s="17">
        <v>0</v>
      </c>
      <c r="P206" s="17">
        <v>0</v>
      </c>
      <c r="Q206" s="19">
        <v>60</v>
      </c>
      <c r="R206" s="19">
        <v>170</v>
      </c>
      <c r="S206" s="15">
        <v>60</v>
      </c>
      <c r="T206" s="15">
        <v>170</v>
      </c>
      <c r="U206" s="18">
        <v>0</v>
      </c>
      <c r="V206" s="18">
        <v>0</v>
      </c>
      <c r="W206" s="18">
        <v>0</v>
      </c>
      <c r="X206" s="18">
        <v>0</v>
      </c>
      <c r="Y206" s="18">
        <v>0</v>
      </c>
      <c r="Z206" s="18">
        <v>0</v>
      </c>
      <c r="AA206" s="18">
        <v>0</v>
      </c>
      <c r="AB206" s="16">
        <v>0</v>
      </c>
      <c r="AC206" s="16">
        <v>0</v>
      </c>
      <c r="AD206" s="16">
        <v>0</v>
      </c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</row>
    <row r="207" spans="3:199" s="2" customFormat="1" ht="20.100000000000001" customHeight="1">
      <c r="C207" s="10">
        <v>40030631</v>
      </c>
      <c r="D207" s="15" t="s">
        <v>239</v>
      </c>
      <c r="E207" s="12">
        <v>0</v>
      </c>
      <c r="F207" s="15">
        <v>1513</v>
      </c>
      <c r="G207" s="12">
        <v>1</v>
      </c>
      <c r="H207" s="12">
        <v>60</v>
      </c>
      <c r="I207" s="12">
        <v>0.3</v>
      </c>
      <c r="J207" s="16">
        <v>0</v>
      </c>
      <c r="K207" s="16">
        <v>0</v>
      </c>
      <c r="L207" s="15">
        <v>0</v>
      </c>
      <c r="M207" s="19">
        <v>90</v>
      </c>
      <c r="N207" s="19">
        <v>270</v>
      </c>
      <c r="O207" s="17">
        <v>0</v>
      </c>
      <c r="P207" s="17">
        <v>0</v>
      </c>
      <c r="Q207" s="19">
        <v>0</v>
      </c>
      <c r="R207" s="19">
        <v>0</v>
      </c>
      <c r="S207" s="15">
        <v>50</v>
      </c>
      <c r="T207" s="15">
        <v>90</v>
      </c>
      <c r="U207" s="18">
        <v>0</v>
      </c>
      <c r="V207" s="18">
        <v>0</v>
      </c>
      <c r="W207" s="18">
        <v>0</v>
      </c>
      <c r="X207" s="18">
        <v>0</v>
      </c>
      <c r="Y207" s="18">
        <v>0</v>
      </c>
      <c r="Z207" s="18">
        <v>0</v>
      </c>
      <c r="AA207" s="18">
        <v>0</v>
      </c>
      <c r="AB207" s="16">
        <v>0</v>
      </c>
      <c r="AC207" s="16">
        <v>0</v>
      </c>
      <c r="AD207" s="16">
        <v>0</v>
      </c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</row>
    <row r="208" spans="3:199" s="2" customFormat="1" ht="20.100000000000001" customHeight="1">
      <c r="C208" s="10">
        <v>40030632</v>
      </c>
      <c r="D208" s="15" t="s">
        <v>240</v>
      </c>
      <c r="E208" s="12">
        <v>0</v>
      </c>
      <c r="F208" s="15">
        <v>1515</v>
      </c>
      <c r="G208" s="12">
        <v>1</v>
      </c>
      <c r="H208" s="12">
        <v>60</v>
      </c>
      <c r="I208" s="12">
        <v>0.3</v>
      </c>
      <c r="J208" s="16">
        <v>0</v>
      </c>
      <c r="K208" s="16">
        <v>0</v>
      </c>
      <c r="L208" s="15">
        <v>0</v>
      </c>
      <c r="M208" s="19">
        <v>60</v>
      </c>
      <c r="N208" s="19">
        <v>170</v>
      </c>
      <c r="O208" s="17">
        <v>0</v>
      </c>
      <c r="P208" s="17">
        <v>0</v>
      </c>
      <c r="Q208" s="19">
        <v>60</v>
      </c>
      <c r="R208" s="19">
        <v>170</v>
      </c>
      <c r="S208" s="15">
        <v>0</v>
      </c>
      <c r="T208" s="15">
        <v>0</v>
      </c>
      <c r="U208" s="18">
        <v>0</v>
      </c>
      <c r="V208" s="18">
        <v>0</v>
      </c>
      <c r="W208" s="18">
        <v>0</v>
      </c>
      <c r="X208" s="18">
        <v>0</v>
      </c>
      <c r="Y208" s="18">
        <v>0</v>
      </c>
      <c r="Z208" s="18">
        <v>0</v>
      </c>
      <c r="AA208" s="18">
        <v>0</v>
      </c>
      <c r="AB208" s="16">
        <v>0</v>
      </c>
      <c r="AC208" s="16">
        <v>0</v>
      </c>
      <c r="AD208" s="16">
        <v>0</v>
      </c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</row>
    <row r="209" spans="3:224" s="2" customFormat="1" ht="20.100000000000001" customHeight="1">
      <c r="C209" s="10">
        <v>40030633</v>
      </c>
      <c r="D209" s="15" t="s">
        <v>241</v>
      </c>
      <c r="E209" s="12">
        <v>0</v>
      </c>
      <c r="F209" s="15">
        <v>1515</v>
      </c>
      <c r="G209" s="12">
        <v>1</v>
      </c>
      <c r="H209" s="12">
        <v>60</v>
      </c>
      <c r="I209" s="12">
        <v>0.3</v>
      </c>
      <c r="J209" s="16">
        <v>0</v>
      </c>
      <c r="K209" s="16">
        <v>0</v>
      </c>
      <c r="L209" s="15">
        <v>0</v>
      </c>
      <c r="M209" s="19">
        <v>80</v>
      </c>
      <c r="N209" s="19">
        <v>230</v>
      </c>
      <c r="O209" s="17">
        <v>0</v>
      </c>
      <c r="P209" s="17">
        <v>0</v>
      </c>
      <c r="Q209" s="19">
        <v>0</v>
      </c>
      <c r="R209" s="19">
        <v>0</v>
      </c>
      <c r="S209" s="15">
        <v>60</v>
      </c>
      <c r="T209" s="15">
        <v>170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8">
        <v>0</v>
      </c>
      <c r="AB209" s="16">
        <v>0</v>
      </c>
      <c r="AC209" s="16">
        <v>0</v>
      </c>
      <c r="AD209" s="16">
        <v>0</v>
      </c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</row>
    <row r="210" spans="3:224" s="2" customFormat="1" ht="20.100000000000001" customHeight="1">
      <c r="C210" s="10">
        <v>40030634</v>
      </c>
      <c r="D210" s="15" t="s">
        <v>242</v>
      </c>
      <c r="E210" s="12">
        <v>0</v>
      </c>
      <c r="F210" s="15">
        <v>1514</v>
      </c>
      <c r="G210" s="12">
        <v>1</v>
      </c>
      <c r="H210" s="12">
        <v>60</v>
      </c>
      <c r="I210" s="12">
        <v>0.3</v>
      </c>
      <c r="J210" s="16">
        <v>0</v>
      </c>
      <c r="K210" s="16">
        <v>0</v>
      </c>
      <c r="L210" s="15">
        <v>0</v>
      </c>
      <c r="M210" s="19">
        <v>110</v>
      </c>
      <c r="N210" s="19">
        <v>320</v>
      </c>
      <c r="O210" s="17">
        <v>0</v>
      </c>
      <c r="P210" s="17">
        <v>0</v>
      </c>
      <c r="Q210" s="19">
        <v>50</v>
      </c>
      <c r="R210" s="19">
        <v>90</v>
      </c>
      <c r="S210" s="15">
        <v>50</v>
      </c>
      <c r="T210" s="15">
        <v>90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6">
        <v>0</v>
      </c>
      <c r="AC210" s="16">
        <v>0</v>
      </c>
      <c r="AD210" s="16">
        <v>0</v>
      </c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</row>
    <row r="211" spans="3:224" s="2" customFormat="1" ht="20.100000000000001" customHeight="1">
      <c r="C211" s="10">
        <v>40030635</v>
      </c>
      <c r="D211" s="15" t="s">
        <v>243</v>
      </c>
      <c r="E211" s="12">
        <v>0</v>
      </c>
      <c r="F211" s="15">
        <v>1514</v>
      </c>
      <c r="G211" s="12">
        <v>1</v>
      </c>
      <c r="H211" s="12">
        <v>60</v>
      </c>
      <c r="I211" s="12">
        <v>0.3</v>
      </c>
      <c r="J211" s="16">
        <v>0</v>
      </c>
      <c r="K211" s="16">
        <v>0</v>
      </c>
      <c r="L211" s="15">
        <v>0</v>
      </c>
      <c r="M211" s="19">
        <v>110</v>
      </c>
      <c r="N211" s="19">
        <v>620</v>
      </c>
      <c r="O211" s="17">
        <v>0</v>
      </c>
      <c r="P211" s="17">
        <v>0</v>
      </c>
      <c r="Q211" s="19">
        <v>50</v>
      </c>
      <c r="R211" s="19">
        <v>120</v>
      </c>
      <c r="S211" s="15">
        <v>0</v>
      </c>
      <c r="T211" s="15">
        <v>0</v>
      </c>
      <c r="U211" s="18">
        <v>0</v>
      </c>
      <c r="V211" s="18">
        <v>0</v>
      </c>
      <c r="W211" s="18">
        <v>0</v>
      </c>
      <c r="X211" s="18">
        <v>0</v>
      </c>
      <c r="Y211" s="18">
        <v>0</v>
      </c>
      <c r="Z211" s="18">
        <v>0</v>
      </c>
      <c r="AA211" s="18">
        <v>0</v>
      </c>
      <c r="AB211" s="16">
        <v>0</v>
      </c>
      <c r="AC211" s="16">
        <v>0</v>
      </c>
      <c r="AD211" s="16">
        <v>0</v>
      </c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</row>
    <row r="212" spans="3:224" s="2" customFormat="1" ht="20.100000000000001" customHeight="1">
      <c r="C212" s="10">
        <v>40030636</v>
      </c>
      <c r="D212" s="15" t="s">
        <v>244</v>
      </c>
      <c r="E212" s="12">
        <v>0</v>
      </c>
      <c r="F212" s="15">
        <v>1516</v>
      </c>
      <c r="G212" s="12">
        <v>1</v>
      </c>
      <c r="H212" s="12">
        <v>60</v>
      </c>
      <c r="I212" s="12">
        <v>0.3</v>
      </c>
      <c r="J212" s="16">
        <v>0</v>
      </c>
      <c r="K212" s="16">
        <v>0</v>
      </c>
      <c r="L212" s="15">
        <v>0</v>
      </c>
      <c r="M212" s="19">
        <v>120</v>
      </c>
      <c r="N212" s="19">
        <v>480</v>
      </c>
      <c r="O212" s="17">
        <v>0</v>
      </c>
      <c r="P212" s="17">
        <v>0</v>
      </c>
      <c r="Q212" s="19">
        <v>0</v>
      </c>
      <c r="R212" s="19">
        <v>0</v>
      </c>
      <c r="S212" s="15">
        <v>30</v>
      </c>
      <c r="T212" s="15">
        <v>80</v>
      </c>
      <c r="U212" s="18">
        <v>0</v>
      </c>
      <c r="V212" s="18">
        <v>0</v>
      </c>
      <c r="W212" s="18">
        <v>0</v>
      </c>
      <c r="X212" s="18">
        <v>0</v>
      </c>
      <c r="Y212" s="18">
        <v>0</v>
      </c>
      <c r="Z212" s="18">
        <v>0</v>
      </c>
      <c r="AA212" s="18">
        <v>0</v>
      </c>
      <c r="AB212" s="16">
        <v>0</v>
      </c>
      <c r="AC212" s="16">
        <v>0</v>
      </c>
      <c r="AD212" s="16">
        <v>0</v>
      </c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</row>
    <row r="213" spans="3:224" s="2" customFormat="1" ht="20.100000000000001" customHeight="1">
      <c r="C213" s="10">
        <v>40030637</v>
      </c>
      <c r="D213" s="15" t="s">
        <v>245</v>
      </c>
      <c r="E213" s="12">
        <v>0</v>
      </c>
      <c r="F213" s="15">
        <v>1516</v>
      </c>
      <c r="G213" s="12">
        <v>1</v>
      </c>
      <c r="H213" s="12">
        <v>60</v>
      </c>
      <c r="I213" s="12">
        <v>0.3</v>
      </c>
      <c r="J213" s="16">
        <v>0</v>
      </c>
      <c r="K213" s="16">
        <v>0</v>
      </c>
      <c r="L213" s="15">
        <v>0</v>
      </c>
      <c r="M213" s="19">
        <v>0</v>
      </c>
      <c r="N213" s="19">
        <v>60</v>
      </c>
      <c r="O213" s="17">
        <v>0</v>
      </c>
      <c r="P213" s="17">
        <v>0</v>
      </c>
      <c r="Q213" s="19">
        <v>0</v>
      </c>
      <c r="R213" s="19">
        <v>60</v>
      </c>
      <c r="S213" s="15">
        <v>0</v>
      </c>
      <c r="T213" s="15">
        <v>60</v>
      </c>
      <c r="U213" s="18">
        <v>0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8">
        <v>0</v>
      </c>
      <c r="AB213" s="16">
        <v>0</v>
      </c>
      <c r="AC213" s="16">
        <v>0</v>
      </c>
      <c r="AD213" s="16">
        <v>0</v>
      </c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</row>
    <row r="214" spans="3:224" s="2" customFormat="1" ht="20.100000000000001" customHeight="1">
      <c r="C214" s="10">
        <v>40030638</v>
      </c>
      <c r="D214" s="15" t="s">
        <v>246</v>
      </c>
      <c r="E214" s="12">
        <v>0</v>
      </c>
      <c r="F214" s="15">
        <v>1516</v>
      </c>
      <c r="G214" s="12">
        <v>1</v>
      </c>
      <c r="H214" s="12">
        <v>60</v>
      </c>
      <c r="I214" s="12">
        <v>0.3</v>
      </c>
      <c r="J214" s="16">
        <v>0</v>
      </c>
      <c r="K214" s="16">
        <v>0</v>
      </c>
      <c r="L214" s="15">
        <v>5000</v>
      </c>
      <c r="M214" s="19">
        <v>0</v>
      </c>
      <c r="N214" s="19">
        <v>0</v>
      </c>
      <c r="O214" s="17">
        <v>0</v>
      </c>
      <c r="P214" s="17">
        <v>0</v>
      </c>
      <c r="Q214" s="19">
        <v>0</v>
      </c>
      <c r="R214" s="19">
        <v>0</v>
      </c>
      <c r="S214" s="15">
        <v>0</v>
      </c>
      <c r="T214" s="15">
        <v>0</v>
      </c>
      <c r="U214" s="18">
        <v>0</v>
      </c>
      <c r="V214" s="18">
        <v>0</v>
      </c>
      <c r="W214" s="18">
        <v>0</v>
      </c>
      <c r="X214" s="18">
        <v>0</v>
      </c>
      <c r="Y214" s="18">
        <v>0</v>
      </c>
      <c r="Z214" s="18">
        <v>0</v>
      </c>
      <c r="AA214" s="18">
        <v>0</v>
      </c>
      <c r="AB214" s="16">
        <v>0</v>
      </c>
      <c r="AC214" s="16">
        <v>0</v>
      </c>
      <c r="AD214" s="16">
        <v>0</v>
      </c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</row>
    <row r="215" spans="3:224" s="2" customFormat="1" ht="20.100000000000001" customHeight="1">
      <c r="C215" s="10">
        <v>40030639</v>
      </c>
      <c r="D215" s="15" t="s">
        <v>247</v>
      </c>
      <c r="E215" s="12">
        <v>0</v>
      </c>
      <c r="F215" s="15">
        <v>1514</v>
      </c>
      <c r="G215" s="12">
        <v>1</v>
      </c>
      <c r="H215" s="12">
        <v>60</v>
      </c>
      <c r="I215" s="12">
        <v>0.3</v>
      </c>
      <c r="J215" s="16">
        <v>0</v>
      </c>
      <c r="K215" s="16">
        <v>0</v>
      </c>
      <c r="L215" s="15">
        <v>0</v>
      </c>
      <c r="M215" s="19">
        <v>230</v>
      </c>
      <c r="N215" s="19">
        <v>1880</v>
      </c>
      <c r="O215" s="17">
        <v>0</v>
      </c>
      <c r="P215" s="17">
        <v>0</v>
      </c>
      <c r="Q215" s="19">
        <v>0</v>
      </c>
      <c r="R215" s="19">
        <v>0</v>
      </c>
      <c r="S215" s="15">
        <v>0</v>
      </c>
      <c r="T215" s="15">
        <v>0</v>
      </c>
      <c r="U215" s="18">
        <v>0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16">
        <v>0</v>
      </c>
      <c r="AC215" s="16">
        <v>0</v>
      </c>
      <c r="AD215" s="16">
        <v>0</v>
      </c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</row>
    <row r="216" spans="3:224" s="2" customFormat="1" ht="20.100000000000001" customHeight="1">
      <c r="C216" s="10">
        <v>40030640</v>
      </c>
      <c r="D216" s="15" t="s">
        <v>248</v>
      </c>
      <c r="E216" s="12">
        <v>0</v>
      </c>
      <c r="F216" s="15">
        <v>1514</v>
      </c>
      <c r="G216" s="12">
        <v>1</v>
      </c>
      <c r="H216" s="12">
        <v>60</v>
      </c>
      <c r="I216" s="12">
        <v>0.3</v>
      </c>
      <c r="J216" s="16">
        <v>0</v>
      </c>
      <c r="K216" s="16">
        <v>0</v>
      </c>
      <c r="L216" s="15">
        <v>2100</v>
      </c>
      <c r="M216" s="19">
        <v>0</v>
      </c>
      <c r="N216" s="19">
        <v>0</v>
      </c>
      <c r="O216" s="17">
        <v>0</v>
      </c>
      <c r="P216" s="17">
        <v>0</v>
      </c>
      <c r="Q216" s="19">
        <v>120</v>
      </c>
      <c r="R216" s="19">
        <v>270</v>
      </c>
      <c r="S216" s="15">
        <v>90</v>
      </c>
      <c r="T216" s="15">
        <v>240</v>
      </c>
      <c r="U216" s="18">
        <v>0</v>
      </c>
      <c r="V216" s="18">
        <v>0</v>
      </c>
      <c r="W216" s="18">
        <v>0</v>
      </c>
      <c r="X216" s="18">
        <v>0</v>
      </c>
      <c r="Y216" s="18">
        <v>0</v>
      </c>
      <c r="Z216" s="18">
        <v>0</v>
      </c>
      <c r="AA216" s="18">
        <v>0</v>
      </c>
      <c r="AB216" s="16">
        <v>0</v>
      </c>
      <c r="AC216" s="16">
        <v>0</v>
      </c>
      <c r="AD216" s="16">
        <v>0</v>
      </c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</row>
    <row r="217" spans="3:224" ht="20.100000000000001" customHeight="1">
      <c r="C217" s="24">
        <v>10090101</v>
      </c>
      <c r="D217" s="24" t="s">
        <v>249</v>
      </c>
      <c r="E217" s="25">
        <v>11200003</v>
      </c>
      <c r="F217" s="25">
        <v>0</v>
      </c>
      <c r="G217" s="25">
        <v>1</v>
      </c>
      <c r="H217" s="25">
        <v>20</v>
      </c>
      <c r="I217" s="29">
        <v>0.2</v>
      </c>
      <c r="J217" s="30">
        <v>5</v>
      </c>
      <c r="K217" s="25">
        <v>0</v>
      </c>
      <c r="L217" s="25">
        <v>0</v>
      </c>
      <c r="M217" s="25">
        <v>0</v>
      </c>
      <c r="N217" s="25">
        <v>0</v>
      </c>
      <c r="O217" s="25">
        <v>0</v>
      </c>
      <c r="P217" s="25">
        <v>0</v>
      </c>
      <c r="Q217" s="25">
        <v>0</v>
      </c>
      <c r="R217" s="25">
        <v>0</v>
      </c>
      <c r="S217" s="25">
        <v>0</v>
      </c>
      <c r="T217" s="25">
        <v>0</v>
      </c>
      <c r="U217" s="29">
        <v>0</v>
      </c>
      <c r="V217" s="25">
        <v>0</v>
      </c>
      <c r="W217" s="25">
        <v>0</v>
      </c>
      <c r="X217" s="25">
        <v>0</v>
      </c>
      <c r="Y217" s="29">
        <v>0</v>
      </c>
      <c r="Z217" s="29">
        <v>0</v>
      </c>
      <c r="AA217" s="29">
        <v>0</v>
      </c>
      <c r="AB217" s="50" t="s">
        <v>250</v>
      </c>
      <c r="AC217" s="29" t="s">
        <v>251</v>
      </c>
      <c r="AD217" s="29" t="s">
        <v>252</v>
      </c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</row>
    <row r="218" spans="3:224" ht="20.100000000000001" customHeight="1">
      <c r="C218" s="24">
        <v>10090102</v>
      </c>
      <c r="D218" s="24" t="s">
        <v>253</v>
      </c>
      <c r="E218" s="25">
        <v>11200003</v>
      </c>
      <c r="F218" s="25">
        <v>0</v>
      </c>
      <c r="G218" s="25">
        <v>1</v>
      </c>
      <c r="H218" s="25">
        <v>20</v>
      </c>
      <c r="I218" s="29">
        <v>0.2</v>
      </c>
      <c r="J218" s="30">
        <v>5</v>
      </c>
      <c r="K218" s="25">
        <v>0</v>
      </c>
      <c r="L218" s="25">
        <v>0</v>
      </c>
      <c r="M218" s="25">
        <v>0</v>
      </c>
      <c r="N218" s="25">
        <v>0</v>
      </c>
      <c r="O218" s="25">
        <v>0</v>
      </c>
      <c r="P218" s="25">
        <v>0</v>
      </c>
      <c r="Q218" s="25">
        <v>0</v>
      </c>
      <c r="R218" s="25">
        <v>0</v>
      </c>
      <c r="S218" s="25">
        <v>0</v>
      </c>
      <c r="T218" s="25">
        <v>0</v>
      </c>
      <c r="U218" s="29">
        <v>0</v>
      </c>
      <c r="V218" s="25">
        <v>0</v>
      </c>
      <c r="W218" s="25">
        <v>0</v>
      </c>
      <c r="X218" s="25">
        <v>0</v>
      </c>
      <c r="Y218" s="29">
        <v>0</v>
      </c>
      <c r="Z218" s="29">
        <v>0</v>
      </c>
      <c r="AA218" s="29">
        <v>0</v>
      </c>
      <c r="AB218" s="50" t="s">
        <v>254</v>
      </c>
      <c r="AC218" s="29" t="s">
        <v>251</v>
      </c>
      <c r="AD218" s="29" t="s">
        <v>252</v>
      </c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</row>
    <row r="219" spans="3:224" ht="20.100000000000001" customHeight="1">
      <c r="C219" s="24">
        <v>10090201</v>
      </c>
      <c r="D219" s="24" t="s">
        <v>255</v>
      </c>
      <c r="E219" s="25">
        <v>11200003</v>
      </c>
      <c r="F219" s="25">
        <v>0</v>
      </c>
      <c r="G219" s="25">
        <v>1</v>
      </c>
      <c r="H219" s="25">
        <v>20</v>
      </c>
      <c r="I219" s="29">
        <v>0.2</v>
      </c>
      <c r="J219" s="30">
        <v>5</v>
      </c>
      <c r="K219" s="25">
        <v>0</v>
      </c>
      <c r="L219" s="25">
        <v>0</v>
      </c>
      <c r="M219" s="25">
        <v>0</v>
      </c>
      <c r="N219" s="25">
        <v>0</v>
      </c>
      <c r="O219" s="25">
        <v>0</v>
      </c>
      <c r="P219" s="25">
        <v>0</v>
      </c>
      <c r="Q219" s="25">
        <v>0</v>
      </c>
      <c r="R219" s="25">
        <v>0</v>
      </c>
      <c r="S219" s="25">
        <v>0</v>
      </c>
      <c r="T219" s="25">
        <v>0</v>
      </c>
      <c r="U219" s="29">
        <v>0</v>
      </c>
      <c r="V219" s="25">
        <v>0</v>
      </c>
      <c r="W219" s="25">
        <v>0</v>
      </c>
      <c r="X219" s="25">
        <v>0</v>
      </c>
      <c r="Y219" s="29">
        <v>0</v>
      </c>
      <c r="Z219" s="29">
        <v>0</v>
      </c>
      <c r="AA219" s="29">
        <v>0</v>
      </c>
      <c r="AB219" s="50" t="s">
        <v>250</v>
      </c>
      <c r="AC219" s="29" t="s">
        <v>256</v>
      </c>
      <c r="AD219" s="29" t="s">
        <v>252</v>
      </c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</row>
    <row r="220" spans="3:224" ht="20.100000000000001" customHeight="1">
      <c r="C220" s="24">
        <v>10090202</v>
      </c>
      <c r="D220" s="24" t="s">
        <v>257</v>
      </c>
      <c r="E220" s="25">
        <v>11200003</v>
      </c>
      <c r="F220" s="25">
        <v>0</v>
      </c>
      <c r="G220" s="25">
        <v>1</v>
      </c>
      <c r="H220" s="25">
        <v>20</v>
      </c>
      <c r="I220" s="29">
        <v>0.2</v>
      </c>
      <c r="J220" s="30">
        <v>5</v>
      </c>
      <c r="K220" s="25">
        <v>0</v>
      </c>
      <c r="L220" s="25">
        <v>0</v>
      </c>
      <c r="M220" s="25">
        <v>0</v>
      </c>
      <c r="N220" s="25">
        <v>0</v>
      </c>
      <c r="O220" s="25">
        <v>0</v>
      </c>
      <c r="P220" s="25">
        <v>0</v>
      </c>
      <c r="Q220" s="25">
        <v>0</v>
      </c>
      <c r="R220" s="25">
        <v>0</v>
      </c>
      <c r="S220" s="25">
        <v>0</v>
      </c>
      <c r="T220" s="25">
        <v>0</v>
      </c>
      <c r="U220" s="29">
        <v>0</v>
      </c>
      <c r="V220" s="25">
        <v>0</v>
      </c>
      <c r="W220" s="25">
        <v>0</v>
      </c>
      <c r="X220" s="25">
        <v>0</v>
      </c>
      <c r="Y220" s="29">
        <v>0</v>
      </c>
      <c r="Z220" s="29">
        <v>0</v>
      </c>
      <c r="AA220" s="29">
        <v>0</v>
      </c>
      <c r="AB220" s="50" t="s">
        <v>254</v>
      </c>
      <c r="AC220" s="29" t="s">
        <v>256</v>
      </c>
      <c r="AD220" s="29" t="s">
        <v>252</v>
      </c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</row>
    <row r="221" spans="3:224" ht="20.100000000000001" customHeight="1">
      <c r="C221" s="24">
        <v>10090301</v>
      </c>
      <c r="D221" s="24" t="s">
        <v>258</v>
      </c>
      <c r="E221" s="25">
        <v>11200003</v>
      </c>
      <c r="F221" s="25">
        <v>0</v>
      </c>
      <c r="G221" s="25">
        <v>1</v>
      </c>
      <c r="H221" s="25">
        <v>20</v>
      </c>
      <c r="I221" s="29">
        <v>0.2</v>
      </c>
      <c r="J221" s="30">
        <v>5</v>
      </c>
      <c r="K221" s="25">
        <v>0</v>
      </c>
      <c r="L221" s="25">
        <v>0</v>
      </c>
      <c r="M221" s="25">
        <v>0</v>
      </c>
      <c r="N221" s="25">
        <v>0</v>
      </c>
      <c r="O221" s="25">
        <v>0</v>
      </c>
      <c r="P221" s="25">
        <v>0</v>
      </c>
      <c r="Q221" s="25">
        <v>0</v>
      </c>
      <c r="R221" s="25">
        <v>0</v>
      </c>
      <c r="S221" s="25">
        <v>0</v>
      </c>
      <c r="T221" s="25">
        <v>0</v>
      </c>
      <c r="U221" s="29">
        <v>0</v>
      </c>
      <c r="V221" s="25">
        <v>0</v>
      </c>
      <c r="W221" s="25">
        <v>0</v>
      </c>
      <c r="X221" s="25">
        <v>0</v>
      </c>
      <c r="Y221" s="29">
        <v>0</v>
      </c>
      <c r="Z221" s="29">
        <v>0</v>
      </c>
      <c r="AA221" s="29">
        <v>0</v>
      </c>
      <c r="AB221" s="50" t="s">
        <v>250</v>
      </c>
      <c r="AC221" s="29" t="s">
        <v>259</v>
      </c>
      <c r="AD221" s="29" t="s">
        <v>252</v>
      </c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</row>
    <row r="222" spans="3:224" ht="20.100000000000001" customHeight="1">
      <c r="C222" s="24">
        <v>10090302</v>
      </c>
      <c r="D222" s="24" t="s">
        <v>260</v>
      </c>
      <c r="E222" s="25">
        <v>11200003</v>
      </c>
      <c r="F222" s="25">
        <v>0</v>
      </c>
      <c r="G222" s="25">
        <v>1</v>
      </c>
      <c r="H222" s="25">
        <v>20</v>
      </c>
      <c r="I222" s="29">
        <v>0.2</v>
      </c>
      <c r="J222" s="30">
        <v>5</v>
      </c>
      <c r="K222" s="25">
        <v>0</v>
      </c>
      <c r="L222" s="25">
        <v>0</v>
      </c>
      <c r="M222" s="25">
        <v>0</v>
      </c>
      <c r="N222" s="25">
        <v>0</v>
      </c>
      <c r="O222" s="25">
        <v>0</v>
      </c>
      <c r="P222" s="25">
        <v>0</v>
      </c>
      <c r="Q222" s="25">
        <v>0</v>
      </c>
      <c r="R222" s="25">
        <v>0</v>
      </c>
      <c r="S222" s="25">
        <v>0</v>
      </c>
      <c r="T222" s="25">
        <v>0</v>
      </c>
      <c r="U222" s="29">
        <v>0</v>
      </c>
      <c r="V222" s="25">
        <v>0</v>
      </c>
      <c r="W222" s="25">
        <v>0</v>
      </c>
      <c r="X222" s="25">
        <v>0</v>
      </c>
      <c r="Y222" s="29">
        <v>0</v>
      </c>
      <c r="Z222" s="29">
        <v>0</v>
      </c>
      <c r="AA222" s="29">
        <v>0</v>
      </c>
      <c r="AB222" s="50" t="s">
        <v>254</v>
      </c>
      <c r="AC222" s="29" t="s">
        <v>259</v>
      </c>
      <c r="AD222" s="29" t="s">
        <v>252</v>
      </c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</row>
    <row r="223" spans="3:224" s="67" customFormat="1" ht="20.100000000000001" customHeight="1">
      <c r="C223" s="61">
        <v>14000001</v>
      </c>
      <c r="D223" s="69" t="s">
        <v>666</v>
      </c>
      <c r="E223" s="62">
        <v>11200001</v>
      </c>
      <c r="F223" s="62">
        <v>0</v>
      </c>
      <c r="G223" s="62">
        <v>1</v>
      </c>
      <c r="H223" s="62">
        <v>60</v>
      </c>
      <c r="I223" s="63">
        <v>0.2</v>
      </c>
      <c r="J223" s="64">
        <v>25</v>
      </c>
      <c r="K223" s="62">
        <v>0</v>
      </c>
      <c r="L223" s="62">
        <v>0</v>
      </c>
      <c r="M223" s="62">
        <v>520</v>
      </c>
      <c r="N223" s="62">
        <v>1050</v>
      </c>
      <c r="O223" s="62">
        <v>0</v>
      </c>
      <c r="P223" s="62">
        <v>0</v>
      </c>
      <c r="Q223" s="62">
        <f t="shared" ref="Q223:Q227" si="14">ROUND(R223/2,0)</f>
        <v>0</v>
      </c>
      <c r="R223" s="62">
        <v>0</v>
      </c>
      <c r="S223" s="62">
        <f t="shared" ref="S223:S227" si="15">ROUND(T223/2,0)</f>
        <v>0</v>
      </c>
      <c r="T223" s="62">
        <v>0</v>
      </c>
      <c r="U223" s="63">
        <v>0</v>
      </c>
      <c r="V223" s="62">
        <v>0</v>
      </c>
      <c r="W223" s="62">
        <v>0</v>
      </c>
      <c r="X223" s="62">
        <v>0</v>
      </c>
      <c r="Y223" s="63">
        <v>0</v>
      </c>
      <c r="Z223" s="63">
        <v>0</v>
      </c>
      <c r="AA223" s="63">
        <v>0</v>
      </c>
      <c r="AB223" s="63">
        <v>0</v>
      </c>
      <c r="AC223" s="63">
        <v>0</v>
      </c>
      <c r="AD223" s="63">
        <v>0</v>
      </c>
      <c r="AE223" s="65">
        <v>100009</v>
      </c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66"/>
      <c r="BJ223" s="66"/>
      <c r="BK223" s="66"/>
      <c r="BL223" s="66"/>
      <c r="BM223" s="66"/>
      <c r="BN223" s="66"/>
      <c r="BO223" s="66"/>
      <c r="BP223" s="66"/>
      <c r="BQ223" s="66"/>
      <c r="BR223" s="66"/>
      <c r="BS223" s="66"/>
      <c r="BT223" s="66"/>
      <c r="BU223" s="66"/>
      <c r="BV223" s="66"/>
      <c r="BW223" s="66"/>
      <c r="BX223" s="66"/>
      <c r="BY223" s="66"/>
      <c r="BZ223" s="66"/>
      <c r="CA223" s="66"/>
      <c r="CB223" s="66"/>
      <c r="CC223" s="66"/>
      <c r="CD223" s="66"/>
      <c r="CE223" s="66"/>
      <c r="CF223" s="66"/>
      <c r="CG223" s="66"/>
      <c r="CH223" s="66"/>
      <c r="CI223" s="66"/>
      <c r="CJ223" s="66"/>
      <c r="CK223" s="66"/>
      <c r="CL223" s="66"/>
      <c r="CM223" s="66"/>
      <c r="CN223" s="66"/>
      <c r="CO223" s="66"/>
      <c r="CP223" s="66"/>
      <c r="CQ223" s="66"/>
      <c r="CR223" s="66"/>
      <c r="CS223" s="66"/>
      <c r="CT223" s="66"/>
      <c r="CU223" s="66"/>
      <c r="CV223" s="66"/>
      <c r="CW223" s="66"/>
      <c r="CX223" s="66"/>
      <c r="CY223" s="66"/>
      <c r="CZ223" s="66"/>
      <c r="DA223" s="66"/>
      <c r="DB223" s="66"/>
      <c r="DC223" s="66"/>
      <c r="DD223" s="66"/>
      <c r="DE223" s="66"/>
      <c r="DF223" s="66"/>
      <c r="DG223" s="66"/>
      <c r="DH223" s="66"/>
      <c r="DI223" s="66"/>
      <c r="DJ223" s="66"/>
      <c r="DK223" s="66"/>
      <c r="DL223" s="66"/>
      <c r="DM223" s="66"/>
      <c r="DN223" s="66"/>
      <c r="DO223" s="66"/>
      <c r="DP223" s="66"/>
      <c r="DQ223" s="66"/>
      <c r="DR223" s="66"/>
      <c r="DS223" s="66"/>
      <c r="DT223" s="66"/>
      <c r="DU223" s="66"/>
      <c r="DV223" s="66"/>
      <c r="DW223" s="66"/>
      <c r="DX223" s="66"/>
      <c r="DY223" s="66"/>
      <c r="DZ223" s="66"/>
      <c r="EA223" s="66"/>
      <c r="EB223" s="66"/>
      <c r="EC223" s="66"/>
      <c r="ED223" s="66"/>
      <c r="EE223" s="66"/>
      <c r="EF223" s="66"/>
      <c r="EG223" s="66"/>
      <c r="EH223" s="66"/>
      <c r="EI223" s="66"/>
      <c r="EJ223" s="66"/>
      <c r="EK223" s="66"/>
      <c r="EL223" s="66"/>
      <c r="EM223" s="66"/>
      <c r="EN223" s="66"/>
      <c r="EO223" s="66"/>
      <c r="EP223" s="66"/>
      <c r="EQ223" s="66"/>
      <c r="ER223" s="66"/>
      <c r="ES223" s="66"/>
      <c r="ET223" s="66"/>
      <c r="EU223" s="66"/>
      <c r="EV223" s="66"/>
      <c r="EW223" s="66"/>
      <c r="EX223" s="66"/>
      <c r="EY223" s="66"/>
      <c r="EZ223" s="66"/>
      <c r="FA223" s="66"/>
      <c r="FB223" s="66"/>
      <c r="FC223" s="66"/>
      <c r="FD223" s="66"/>
      <c r="FE223" s="66"/>
      <c r="FF223" s="66"/>
      <c r="FG223" s="66"/>
      <c r="FH223" s="66"/>
      <c r="FI223" s="66"/>
      <c r="FJ223" s="66"/>
      <c r="FK223" s="66"/>
      <c r="FL223" s="66"/>
      <c r="FM223" s="66"/>
      <c r="FN223" s="66"/>
      <c r="FO223" s="66"/>
      <c r="FP223" s="66"/>
      <c r="FQ223" s="66"/>
      <c r="FR223" s="66"/>
      <c r="FS223" s="66"/>
      <c r="FT223" s="66"/>
      <c r="FU223" s="66"/>
      <c r="FV223" s="66"/>
      <c r="FW223" s="66"/>
      <c r="FX223" s="66"/>
      <c r="FY223" s="66"/>
      <c r="FZ223" s="66"/>
      <c r="GA223" s="66"/>
      <c r="GB223" s="66"/>
      <c r="GC223" s="66"/>
      <c r="GD223" s="66"/>
      <c r="GE223" s="66"/>
      <c r="GF223" s="66"/>
      <c r="GG223" s="66"/>
      <c r="GH223" s="66"/>
      <c r="GI223" s="66"/>
      <c r="GJ223" s="66"/>
      <c r="GK223" s="66"/>
      <c r="GL223" s="66"/>
      <c r="GM223" s="66"/>
      <c r="GN223" s="66"/>
      <c r="GO223" s="66"/>
      <c r="GP223" s="66"/>
      <c r="GQ223" s="66"/>
      <c r="GR223" s="66"/>
      <c r="GS223" s="66"/>
      <c r="GT223" s="66"/>
      <c r="GU223" s="66"/>
      <c r="GV223" s="66"/>
      <c r="GW223" s="66"/>
      <c r="GX223" s="66"/>
      <c r="GY223" s="66"/>
      <c r="GZ223" s="66"/>
      <c r="HA223" s="66"/>
      <c r="HB223" s="66"/>
      <c r="HC223" s="66"/>
      <c r="HD223" s="66"/>
      <c r="HE223" s="66"/>
      <c r="HF223" s="66"/>
      <c r="HG223" s="66"/>
      <c r="HH223" s="66"/>
      <c r="HI223" s="66"/>
      <c r="HJ223" s="66"/>
      <c r="HK223" s="66"/>
      <c r="HL223" s="66"/>
      <c r="HM223" s="66"/>
      <c r="HN223" s="66"/>
      <c r="HO223" s="66"/>
      <c r="HP223" s="66"/>
    </row>
    <row r="224" spans="3:224" s="67" customFormat="1" ht="20.100000000000001" customHeight="1">
      <c r="C224" s="61">
        <v>14000002</v>
      </c>
      <c r="D224" s="69" t="s">
        <v>667</v>
      </c>
      <c r="E224" s="62">
        <v>11200001</v>
      </c>
      <c r="F224" s="62">
        <v>0</v>
      </c>
      <c r="G224" s="62">
        <v>1</v>
      </c>
      <c r="H224" s="62">
        <v>60</v>
      </c>
      <c r="I224" s="63">
        <v>0.2</v>
      </c>
      <c r="J224" s="64">
        <v>25</v>
      </c>
      <c r="K224" s="62">
        <v>0</v>
      </c>
      <c r="L224" s="62">
        <v>0</v>
      </c>
      <c r="M224" s="62">
        <v>520</v>
      </c>
      <c r="N224" s="62">
        <v>1050</v>
      </c>
      <c r="O224" s="62">
        <v>0</v>
      </c>
      <c r="P224" s="62">
        <v>0</v>
      </c>
      <c r="Q224" s="62">
        <f t="shared" si="14"/>
        <v>0</v>
      </c>
      <c r="R224" s="62">
        <v>0</v>
      </c>
      <c r="S224" s="62">
        <f t="shared" si="15"/>
        <v>0</v>
      </c>
      <c r="T224" s="62">
        <v>0</v>
      </c>
      <c r="U224" s="63">
        <v>0</v>
      </c>
      <c r="V224" s="62">
        <v>0</v>
      </c>
      <c r="W224" s="62">
        <v>0</v>
      </c>
      <c r="X224" s="62">
        <v>0</v>
      </c>
      <c r="Y224" s="63">
        <v>0</v>
      </c>
      <c r="Z224" s="63">
        <v>0</v>
      </c>
      <c r="AA224" s="63">
        <v>0</v>
      </c>
      <c r="AB224" s="63">
        <v>0</v>
      </c>
      <c r="AC224" s="63">
        <v>0</v>
      </c>
      <c r="AD224" s="63">
        <v>0</v>
      </c>
      <c r="AE224" s="68">
        <v>100008</v>
      </c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66"/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6"/>
      <c r="CA224" s="66"/>
      <c r="CB224" s="66"/>
      <c r="CC224" s="66"/>
      <c r="CD224" s="66"/>
      <c r="CE224" s="66"/>
      <c r="CF224" s="66"/>
      <c r="CG224" s="66"/>
      <c r="CH224" s="66"/>
      <c r="CI224" s="66"/>
      <c r="CJ224" s="66"/>
      <c r="CK224" s="66"/>
      <c r="CL224" s="66"/>
      <c r="CM224" s="66"/>
      <c r="CN224" s="66"/>
      <c r="CO224" s="66"/>
      <c r="CP224" s="66"/>
      <c r="CQ224" s="66"/>
      <c r="CR224" s="66"/>
      <c r="CS224" s="66"/>
      <c r="CT224" s="66"/>
      <c r="CU224" s="66"/>
      <c r="CV224" s="66"/>
      <c r="CW224" s="66"/>
      <c r="CX224" s="66"/>
      <c r="CY224" s="66"/>
      <c r="CZ224" s="66"/>
      <c r="DA224" s="66"/>
      <c r="DB224" s="66"/>
      <c r="DC224" s="66"/>
      <c r="DD224" s="66"/>
      <c r="DE224" s="66"/>
      <c r="DF224" s="66"/>
      <c r="DG224" s="66"/>
      <c r="DH224" s="66"/>
      <c r="DI224" s="66"/>
      <c r="DJ224" s="66"/>
      <c r="DK224" s="66"/>
      <c r="DL224" s="66"/>
      <c r="DM224" s="66"/>
      <c r="DN224" s="66"/>
      <c r="DO224" s="66"/>
      <c r="DP224" s="66"/>
      <c r="DQ224" s="66"/>
      <c r="DR224" s="66"/>
      <c r="DS224" s="66"/>
      <c r="DT224" s="66"/>
      <c r="DU224" s="66"/>
      <c r="DV224" s="66"/>
      <c r="DW224" s="66"/>
      <c r="DX224" s="66"/>
      <c r="DY224" s="66"/>
      <c r="DZ224" s="66"/>
      <c r="EA224" s="66"/>
      <c r="EB224" s="66"/>
      <c r="EC224" s="66"/>
      <c r="ED224" s="66"/>
      <c r="EE224" s="66"/>
      <c r="EF224" s="66"/>
      <c r="EG224" s="66"/>
      <c r="EH224" s="66"/>
      <c r="EI224" s="66"/>
      <c r="EJ224" s="66"/>
      <c r="EK224" s="66"/>
      <c r="EL224" s="66"/>
      <c r="EM224" s="66"/>
      <c r="EN224" s="66"/>
      <c r="EO224" s="66"/>
      <c r="EP224" s="66"/>
      <c r="EQ224" s="66"/>
      <c r="ER224" s="66"/>
      <c r="ES224" s="66"/>
      <c r="ET224" s="66"/>
      <c r="EU224" s="66"/>
      <c r="EV224" s="66"/>
      <c r="EW224" s="66"/>
      <c r="EX224" s="66"/>
      <c r="EY224" s="66"/>
      <c r="EZ224" s="66"/>
      <c r="FA224" s="66"/>
      <c r="FB224" s="66"/>
      <c r="FC224" s="66"/>
      <c r="FD224" s="66"/>
      <c r="FE224" s="66"/>
      <c r="FF224" s="66"/>
      <c r="FG224" s="66"/>
      <c r="FH224" s="66"/>
      <c r="FI224" s="66"/>
      <c r="FJ224" s="66"/>
      <c r="FK224" s="66"/>
      <c r="FL224" s="66"/>
      <c r="FM224" s="66"/>
      <c r="FN224" s="66"/>
      <c r="FO224" s="66"/>
      <c r="FP224" s="66"/>
      <c r="FQ224" s="66"/>
      <c r="FR224" s="66"/>
      <c r="FS224" s="66"/>
      <c r="FT224" s="66"/>
      <c r="FU224" s="66"/>
      <c r="FV224" s="66"/>
      <c r="FW224" s="66"/>
      <c r="FX224" s="66"/>
      <c r="FY224" s="66"/>
      <c r="FZ224" s="66"/>
      <c r="GA224" s="66"/>
      <c r="GB224" s="66"/>
      <c r="GC224" s="66"/>
      <c r="GD224" s="66"/>
      <c r="GE224" s="66"/>
      <c r="GF224" s="66"/>
      <c r="GG224" s="66"/>
      <c r="GH224" s="66"/>
      <c r="GI224" s="66"/>
      <c r="GJ224" s="66"/>
      <c r="GK224" s="66"/>
      <c r="GL224" s="66"/>
      <c r="GM224" s="66"/>
      <c r="GN224" s="66"/>
      <c r="GO224" s="66"/>
      <c r="GP224" s="66"/>
      <c r="GQ224" s="66"/>
      <c r="GR224" s="66"/>
      <c r="GS224" s="66"/>
      <c r="GT224" s="66"/>
      <c r="GU224" s="66"/>
      <c r="GV224" s="66"/>
      <c r="GW224" s="66"/>
      <c r="GX224" s="66"/>
      <c r="GY224" s="66"/>
      <c r="GZ224" s="66"/>
      <c r="HA224" s="66"/>
      <c r="HB224" s="66"/>
      <c r="HC224" s="66"/>
      <c r="HD224" s="66"/>
      <c r="HE224" s="66"/>
      <c r="HF224" s="66"/>
      <c r="HG224" s="66"/>
      <c r="HH224" s="66"/>
      <c r="HI224" s="66"/>
      <c r="HJ224" s="66"/>
      <c r="HK224" s="66"/>
      <c r="HL224" s="66"/>
      <c r="HM224" s="66"/>
      <c r="HN224" s="66"/>
      <c r="HO224" s="66"/>
      <c r="HP224" s="66"/>
    </row>
    <row r="225" spans="3:224" s="67" customFormat="1" ht="20.100000000000001" customHeight="1">
      <c r="C225" s="61">
        <v>14000003</v>
      </c>
      <c r="D225" s="69" t="s">
        <v>668</v>
      </c>
      <c r="E225" s="62">
        <v>11200001</v>
      </c>
      <c r="F225" s="62">
        <v>0</v>
      </c>
      <c r="G225" s="62">
        <v>1</v>
      </c>
      <c r="H225" s="62">
        <v>60</v>
      </c>
      <c r="I225" s="63">
        <v>0.2</v>
      </c>
      <c r="J225" s="64">
        <v>25</v>
      </c>
      <c r="K225" s="62">
        <v>0</v>
      </c>
      <c r="L225" s="62">
        <v>0</v>
      </c>
      <c r="M225" s="62">
        <v>520</v>
      </c>
      <c r="N225" s="62">
        <v>1050</v>
      </c>
      <c r="O225" s="62">
        <v>0</v>
      </c>
      <c r="P225" s="62">
        <v>0</v>
      </c>
      <c r="Q225" s="62">
        <f t="shared" si="14"/>
        <v>0</v>
      </c>
      <c r="R225" s="62">
        <v>0</v>
      </c>
      <c r="S225" s="62">
        <f t="shared" si="15"/>
        <v>0</v>
      </c>
      <c r="T225" s="62">
        <v>0</v>
      </c>
      <c r="U225" s="63">
        <v>0</v>
      </c>
      <c r="V225" s="62">
        <v>0</v>
      </c>
      <c r="W225" s="62">
        <v>0</v>
      </c>
      <c r="X225" s="62">
        <v>0</v>
      </c>
      <c r="Y225" s="63">
        <v>0</v>
      </c>
      <c r="Z225" s="63">
        <v>0</v>
      </c>
      <c r="AA225" s="63">
        <v>0</v>
      </c>
      <c r="AB225" s="63">
        <v>0</v>
      </c>
      <c r="AC225" s="63">
        <v>0</v>
      </c>
      <c r="AD225" s="63">
        <v>0</v>
      </c>
      <c r="AE225" s="68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6"/>
      <c r="BB225" s="66"/>
      <c r="BC225" s="66"/>
      <c r="BD225" s="66"/>
      <c r="BE225" s="66"/>
      <c r="BF225" s="66"/>
      <c r="BG225" s="66"/>
      <c r="BH225" s="66"/>
      <c r="BI225" s="66"/>
      <c r="BJ225" s="66"/>
      <c r="BK225" s="66"/>
      <c r="BL225" s="66"/>
      <c r="BM225" s="66"/>
      <c r="BN225" s="66"/>
      <c r="BO225" s="66"/>
      <c r="BP225" s="66"/>
      <c r="BQ225" s="66"/>
      <c r="BR225" s="66"/>
      <c r="BS225" s="66"/>
      <c r="BT225" s="66"/>
      <c r="BU225" s="66"/>
      <c r="BV225" s="66"/>
      <c r="BW225" s="66"/>
      <c r="BX225" s="66"/>
      <c r="BY225" s="66"/>
      <c r="BZ225" s="66"/>
      <c r="CA225" s="66"/>
      <c r="CB225" s="66"/>
      <c r="CC225" s="66"/>
      <c r="CD225" s="66"/>
      <c r="CE225" s="66"/>
      <c r="CF225" s="66"/>
      <c r="CG225" s="66"/>
      <c r="CH225" s="66"/>
      <c r="CI225" s="66"/>
      <c r="CJ225" s="66"/>
      <c r="CK225" s="66"/>
      <c r="CL225" s="66"/>
      <c r="CM225" s="66"/>
      <c r="CN225" s="66"/>
      <c r="CO225" s="66"/>
      <c r="CP225" s="66"/>
      <c r="CQ225" s="66"/>
      <c r="CR225" s="66"/>
      <c r="CS225" s="66"/>
      <c r="CT225" s="66"/>
      <c r="CU225" s="66"/>
      <c r="CV225" s="66"/>
      <c r="CW225" s="66"/>
      <c r="CX225" s="66"/>
      <c r="CY225" s="66"/>
      <c r="CZ225" s="66"/>
      <c r="DA225" s="66"/>
      <c r="DB225" s="66"/>
      <c r="DC225" s="66"/>
      <c r="DD225" s="66"/>
      <c r="DE225" s="66"/>
      <c r="DF225" s="66"/>
      <c r="DG225" s="66"/>
      <c r="DH225" s="66"/>
      <c r="DI225" s="66"/>
      <c r="DJ225" s="66"/>
      <c r="DK225" s="66"/>
      <c r="DL225" s="66"/>
      <c r="DM225" s="66"/>
      <c r="DN225" s="66"/>
      <c r="DO225" s="66"/>
      <c r="DP225" s="66"/>
      <c r="DQ225" s="66"/>
      <c r="DR225" s="66"/>
      <c r="DS225" s="66"/>
      <c r="DT225" s="66"/>
      <c r="DU225" s="66"/>
      <c r="DV225" s="66"/>
      <c r="DW225" s="66"/>
      <c r="DX225" s="66"/>
      <c r="DY225" s="66"/>
      <c r="DZ225" s="66"/>
      <c r="EA225" s="66"/>
      <c r="EB225" s="66"/>
      <c r="EC225" s="66"/>
      <c r="ED225" s="66"/>
      <c r="EE225" s="66"/>
      <c r="EF225" s="66"/>
      <c r="EG225" s="66"/>
      <c r="EH225" s="66"/>
      <c r="EI225" s="66"/>
      <c r="EJ225" s="66"/>
      <c r="EK225" s="66"/>
      <c r="EL225" s="66"/>
      <c r="EM225" s="66"/>
      <c r="EN225" s="66"/>
      <c r="EO225" s="66"/>
      <c r="EP225" s="66"/>
      <c r="EQ225" s="66"/>
      <c r="ER225" s="66"/>
      <c r="ES225" s="66"/>
      <c r="ET225" s="66"/>
      <c r="EU225" s="66"/>
      <c r="EV225" s="66"/>
      <c r="EW225" s="66"/>
      <c r="EX225" s="66"/>
      <c r="EY225" s="66"/>
      <c r="EZ225" s="66"/>
      <c r="FA225" s="66"/>
      <c r="FB225" s="66"/>
      <c r="FC225" s="66"/>
      <c r="FD225" s="66"/>
      <c r="FE225" s="66"/>
      <c r="FF225" s="66"/>
      <c r="FG225" s="66"/>
      <c r="FH225" s="66"/>
      <c r="FI225" s="66"/>
      <c r="FJ225" s="66"/>
      <c r="FK225" s="66"/>
      <c r="FL225" s="66"/>
      <c r="FM225" s="66"/>
      <c r="FN225" s="66"/>
      <c r="FO225" s="66"/>
      <c r="FP225" s="66"/>
      <c r="FQ225" s="66"/>
      <c r="FR225" s="66"/>
      <c r="FS225" s="66"/>
      <c r="FT225" s="66"/>
      <c r="FU225" s="66"/>
      <c r="FV225" s="66"/>
      <c r="FW225" s="66"/>
      <c r="FX225" s="66"/>
      <c r="FY225" s="66"/>
      <c r="FZ225" s="66"/>
      <c r="GA225" s="66"/>
      <c r="GB225" s="66"/>
      <c r="GC225" s="66"/>
      <c r="GD225" s="66"/>
      <c r="GE225" s="66"/>
      <c r="GF225" s="66"/>
      <c r="GG225" s="66"/>
      <c r="GH225" s="66"/>
      <c r="GI225" s="66"/>
      <c r="GJ225" s="66"/>
      <c r="GK225" s="66"/>
      <c r="GL225" s="66"/>
      <c r="GM225" s="66"/>
      <c r="GN225" s="66"/>
      <c r="GO225" s="66"/>
      <c r="GP225" s="66"/>
      <c r="GQ225" s="66"/>
      <c r="GR225" s="66"/>
      <c r="GS225" s="66"/>
      <c r="GT225" s="66"/>
      <c r="GU225" s="66"/>
      <c r="GV225" s="66"/>
      <c r="GW225" s="66"/>
      <c r="GX225" s="66"/>
      <c r="GY225" s="66"/>
      <c r="GZ225" s="66"/>
      <c r="HA225" s="66"/>
      <c r="HB225" s="66"/>
      <c r="HC225" s="66"/>
      <c r="HD225" s="66"/>
      <c r="HE225" s="66"/>
      <c r="HF225" s="66"/>
      <c r="HG225" s="66"/>
      <c r="HH225" s="66"/>
      <c r="HI225" s="66"/>
      <c r="HJ225" s="66"/>
      <c r="HK225" s="66"/>
      <c r="HL225" s="66"/>
      <c r="HM225" s="66"/>
      <c r="HN225" s="66"/>
      <c r="HO225" s="66"/>
      <c r="HP225" s="66"/>
    </row>
    <row r="226" spans="3:224" s="67" customFormat="1" ht="20.100000000000001" customHeight="1">
      <c r="C226" s="61">
        <v>14000004</v>
      </c>
      <c r="D226" s="69" t="s">
        <v>669</v>
      </c>
      <c r="E226" s="62">
        <v>11200001</v>
      </c>
      <c r="F226" s="62">
        <v>0</v>
      </c>
      <c r="G226" s="62">
        <v>1</v>
      </c>
      <c r="H226" s="62">
        <v>60</v>
      </c>
      <c r="I226" s="63">
        <v>0.2</v>
      </c>
      <c r="J226" s="64">
        <v>25</v>
      </c>
      <c r="K226" s="62">
        <v>0</v>
      </c>
      <c r="L226" s="62">
        <v>0</v>
      </c>
      <c r="M226" s="62">
        <v>520</v>
      </c>
      <c r="N226" s="62">
        <v>1050</v>
      </c>
      <c r="O226" s="62">
        <v>0</v>
      </c>
      <c r="P226" s="62">
        <v>0</v>
      </c>
      <c r="Q226" s="62">
        <f t="shared" si="14"/>
        <v>0</v>
      </c>
      <c r="R226" s="62">
        <v>0</v>
      </c>
      <c r="S226" s="62">
        <f t="shared" si="15"/>
        <v>0</v>
      </c>
      <c r="T226" s="62">
        <v>0</v>
      </c>
      <c r="U226" s="63">
        <v>0</v>
      </c>
      <c r="V226" s="62">
        <v>0</v>
      </c>
      <c r="W226" s="62">
        <v>0</v>
      </c>
      <c r="X226" s="62">
        <v>0</v>
      </c>
      <c r="Y226" s="63">
        <v>0</v>
      </c>
      <c r="Z226" s="63">
        <v>0</v>
      </c>
      <c r="AA226" s="63">
        <v>0</v>
      </c>
      <c r="AB226" s="63">
        <v>0</v>
      </c>
      <c r="AC226" s="63">
        <v>0</v>
      </c>
      <c r="AD226" s="63">
        <v>0</v>
      </c>
      <c r="AE226" s="68">
        <v>100010</v>
      </c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66"/>
      <c r="BP226" s="66"/>
      <c r="BQ226" s="66"/>
      <c r="BR226" s="66"/>
      <c r="BS226" s="66"/>
      <c r="BT226" s="66"/>
      <c r="BU226" s="66"/>
      <c r="BV226" s="66"/>
      <c r="BW226" s="66"/>
      <c r="BX226" s="66"/>
      <c r="BY226" s="66"/>
      <c r="BZ226" s="66"/>
      <c r="CA226" s="66"/>
      <c r="CB226" s="66"/>
      <c r="CC226" s="66"/>
      <c r="CD226" s="66"/>
      <c r="CE226" s="66"/>
      <c r="CF226" s="66"/>
      <c r="CG226" s="66"/>
      <c r="CH226" s="66"/>
      <c r="CI226" s="66"/>
      <c r="CJ226" s="66"/>
      <c r="CK226" s="66"/>
      <c r="CL226" s="66"/>
      <c r="CM226" s="66"/>
      <c r="CN226" s="66"/>
      <c r="CO226" s="66"/>
      <c r="CP226" s="66"/>
      <c r="CQ226" s="66"/>
      <c r="CR226" s="66"/>
      <c r="CS226" s="66"/>
      <c r="CT226" s="66"/>
      <c r="CU226" s="66"/>
      <c r="CV226" s="66"/>
      <c r="CW226" s="66"/>
      <c r="CX226" s="66"/>
      <c r="CY226" s="66"/>
      <c r="CZ226" s="66"/>
      <c r="DA226" s="66"/>
      <c r="DB226" s="66"/>
      <c r="DC226" s="66"/>
      <c r="DD226" s="66"/>
      <c r="DE226" s="66"/>
      <c r="DF226" s="66"/>
      <c r="DG226" s="66"/>
      <c r="DH226" s="66"/>
      <c r="DI226" s="66"/>
      <c r="DJ226" s="66"/>
      <c r="DK226" s="66"/>
      <c r="DL226" s="66"/>
      <c r="DM226" s="66"/>
      <c r="DN226" s="66"/>
      <c r="DO226" s="66"/>
      <c r="DP226" s="66"/>
      <c r="DQ226" s="66"/>
      <c r="DR226" s="66"/>
      <c r="DS226" s="66"/>
      <c r="DT226" s="66"/>
      <c r="DU226" s="66"/>
      <c r="DV226" s="66"/>
      <c r="DW226" s="66"/>
      <c r="DX226" s="66"/>
      <c r="DY226" s="66"/>
      <c r="DZ226" s="66"/>
      <c r="EA226" s="66"/>
      <c r="EB226" s="66"/>
      <c r="EC226" s="66"/>
      <c r="ED226" s="66"/>
      <c r="EE226" s="66"/>
      <c r="EF226" s="66"/>
      <c r="EG226" s="66"/>
      <c r="EH226" s="66"/>
      <c r="EI226" s="66"/>
      <c r="EJ226" s="66"/>
      <c r="EK226" s="66"/>
      <c r="EL226" s="66"/>
      <c r="EM226" s="66"/>
      <c r="EN226" s="66"/>
      <c r="EO226" s="66"/>
      <c r="EP226" s="66"/>
      <c r="EQ226" s="66"/>
      <c r="ER226" s="66"/>
      <c r="ES226" s="66"/>
      <c r="ET226" s="66"/>
      <c r="EU226" s="66"/>
      <c r="EV226" s="66"/>
      <c r="EW226" s="66"/>
      <c r="EX226" s="66"/>
      <c r="EY226" s="66"/>
      <c r="EZ226" s="66"/>
      <c r="FA226" s="66"/>
      <c r="FB226" s="66"/>
      <c r="FC226" s="66"/>
      <c r="FD226" s="66"/>
      <c r="FE226" s="66"/>
      <c r="FF226" s="66"/>
      <c r="FG226" s="66"/>
      <c r="FH226" s="66"/>
      <c r="FI226" s="66"/>
      <c r="FJ226" s="66"/>
      <c r="FK226" s="66"/>
      <c r="FL226" s="66"/>
      <c r="FM226" s="66"/>
      <c r="FN226" s="66"/>
      <c r="FO226" s="66"/>
      <c r="FP226" s="66"/>
      <c r="FQ226" s="66"/>
      <c r="FR226" s="66"/>
      <c r="FS226" s="66"/>
      <c r="FT226" s="66"/>
      <c r="FU226" s="66"/>
      <c r="FV226" s="66"/>
      <c r="FW226" s="66"/>
      <c r="FX226" s="66"/>
      <c r="FY226" s="66"/>
      <c r="FZ226" s="66"/>
      <c r="GA226" s="66"/>
      <c r="GB226" s="66"/>
      <c r="GC226" s="66"/>
      <c r="GD226" s="66"/>
      <c r="GE226" s="66"/>
      <c r="GF226" s="66"/>
      <c r="GG226" s="66"/>
      <c r="GH226" s="66"/>
      <c r="GI226" s="66"/>
      <c r="GJ226" s="66"/>
      <c r="GK226" s="66"/>
      <c r="GL226" s="66"/>
      <c r="GM226" s="66"/>
      <c r="GN226" s="66"/>
      <c r="GO226" s="66"/>
      <c r="GP226" s="66"/>
      <c r="GQ226" s="66"/>
      <c r="GR226" s="66"/>
      <c r="GS226" s="66"/>
      <c r="GT226" s="66"/>
      <c r="GU226" s="66"/>
      <c r="GV226" s="66"/>
      <c r="GW226" s="66"/>
      <c r="GX226" s="66"/>
      <c r="GY226" s="66"/>
      <c r="GZ226" s="66"/>
      <c r="HA226" s="66"/>
      <c r="HB226" s="66"/>
      <c r="HC226" s="66"/>
      <c r="HD226" s="66"/>
      <c r="HE226" s="66"/>
      <c r="HF226" s="66"/>
      <c r="HG226" s="66"/>
      <c r="HH226" s="66"/>
      <c r="HI226" s="66"/>
      <c r="HJ226" s="66"/>
      <c r="HK226" s="66"/>
      <c r="HL226" s="66"/>
      <c r="HM226" s="66"/>
      <c r="HN226" s="66"/>
      <c r="HO226" s="66"/>
      <c r="HP226" s="66"/>
    </row>
    <row r="227" spans="3:224" s="67" customFormat="1" ht="20.100000000000001" customHeight="1">
      <c r="C227" s="61">
        <v>14000005</v>
      </c>
      <c r="D227" s="69" t="s">
        <v>670</v>
      </c>
      <c r="E227" s="62">
        <v>11200001</v>
      </c>
      <c r="F227" s="62">
        <v>0</v>
      </c>
      <c r="G227" s="62">
        <v>1</v>
      </c>
      <c r="H227" s="62">
        <v>60</v>
      </c>
      <c r="I227" s="63">
        <v>0.2</v>
      </c>
      <c r="J227" s="64">
        <v>25</v>
      </c>
      <c r="K227" s="62">
        <v>0</v>
      </c>
      <c r="L227" s="62">
        <v>0</v>
      </c>
      <c r="M227" s="62">
        <v>520</v>
      </c>
      <c r="N227" s="62">
        <v>1050</v>
      </c>
      <c r="O227" s="62">
        <v>0</v>
      </c>
      <c r="P227" s="62">
        <v>0</v>
      </c>
      <c r="Q227" s="62">
        <f t="shared" si="14"/>
        <v>0</v>
      </c>
      <c r="R227" s="62">
        <v>0</v>
      </c>
      <c r="S227" s="62">
        <f t="shared" si="15"/>
        <v>0</v>
      </c>
      <c r="T227" s="62">
        <v>0</v>
      </c>
      <c r="U227" s="63">
        <v>0</v>
      </c>
      <c r="V227" s="62">
        <v>0</v>
      </c>
      <c r="W227" s="62">
        <v>0</v>
      </c>
      <c r="X227" s="62">
        <v>0</v>
      </c>
      <c r="Y227" s="63">
        <v>0</v>
      </c>
      <c r="Z227" s="63">
        <v>0</v>
      </c>
      <c r="AA227" s="63">
        <v>0</v>
      </c>
      <c r="AB227" s="63">
        <v>200103</v>
      </c>
      <c r="AC227" s="63">
        <v>500</v>
      </c>
      <c r="AD227" s="63">
        <v>1</v>
      </c>
      <c r="AE227" s="65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T227" s="66"/>
      <c r="BU227" s="66"/>
      <c r="BV227" s="66"/>
      <c r="BW227" s="66"/>
      <c r="BX227" s="66"/>
      <c r="BY227" s="66"/>
      <c r="BZ227" s="66"/>
      <c r="CA227" s="66"/>
      <c r="CB227" s="66"/>
      <c r="CC227" s="66"/>
      <c r="CD227" s="66"/>
      <c r="CE227" s="66"/>
      <c r="CF227" s="66"/>
      <c r="CG227" s="66"/>
      <c r="CH227" s="66"/>
      <c r="CI227" s="66"/>
      <c r="CJ227" s="66"/>
      <c r="CK227" s="66"/>
      <c r="CL227" s="66"/>
      <c r="CM227" s="66"/>
      <c r="CN227" s="66"/>
      <c r="CO227" s="66"/>
      <c r="CP227" s="66"/>
      <c r="CQ227" s="66"/>
      <c r="CR227" s="66"/>
      <c r="CS227" s="66"/>
      <c r="CT227" s="66"/>
      <c r="CU227" s="66"/>
      <c r="CV227" s="66"/>
      <c r="CW227" s="66"/>
      <c r="CX227" s="66"/>
      <c r="CY227" s="66"/>
      <c r="CZ227" s="66"/>
      <c r="DA227" s="66"/>
      <c r="DB227" s="66"/>
      <c r="DC227" s="66"/>
      <c r="DD227" s="66"/>
      <c r="DE227" s="66"/>
      <c r="DF227" s="66"/>
      <c r="DG227" s="66"/>
      <c r="DH227" s="66"/>
      <c r="DI227" s="66"/>
      <c r="DJ227" s="66"/>
      <c r="DK227" s="66"/>
      <c r="DL227" s="66"/>
      <c r="DM227" s="66"/>
      <c r="DN227" s="66"/>
      <c r="DO227" s="66"/>
      <c r="DP227" s="66"/>
      <c r="DQ227" s="66"/>
      <c r="DR227" s="66"/>
      <c r="DS227" s="66"/>
      <c r="DT227" s="66"/>
      <c r="DU227" s="66"/>
      <c r="DV227" s="66"/>
      <c r="DW227" s="66"/>
      <c r="DX227" s="66"/>
      <c r="DY227" s="66"/>
      <c r="DZ227" s="66"/>
      <c r="EA227" s="66"/>
      <c r="EB227" s="66"/>
      <c r="EC227" s="66"/>
      <c r="ED227" s="66"/>
      <c r="EE227" s="66"/>
      <c r="EF227" s="66"/>
      <c r="EG227" s="66"/>
      <c r="EH227" s="66"/>
      <c r="EI227" s="66"/>
      <c r="EJ227" s="66"/>
      <c r="EK227" s="66"/>
      <c r="EL227" s="66"/>
      <c r="EM227" s="66"/>
      <c r="EN227" s="66"/>
      <c r="EO227" s="66"/>
      <c r="EP227" s="66"/>
      <c r="EQ227" s="66"/>
      <c r="ER227" s="66"/>
      <c r="ES227" s="66"/>
      <c r="ET227" s="66"/>
      <c r="EU227" s="66"/>
      <c r="EV227" s="66"/>
      <c r="EW227" s="66"/>
      <c r="EX227" s="66"/>
      <c r="EY227" s="66"/>
      <c r="EZ227" s="66"/>
      <c r="FA227" s="66"/>
      <c r="FB227" s="66"/>
      <c r="FC227" s="66"/>
      <c r="FD227" s="66"/>
      <c r="FE227" s="66"/>
      <c r="FF227" s="66"/>
      <c r="FG227" s="66"/>
      <c r="FH227" s="66"/>
      <c r="FI227" s="66"/>
      <c r="FJ227" s="66"/>
      <c r="FK227" s="66"/>
      <c r="FL227" s="66"/>
      <c r="FM227" s="66"/>
      <c r="FN227" s="66"/>
      <c r="FO227" s="66"/>
      <c r="FP227" s="66"/>
      <c r="FQ227" s="66"/>
      <c r="FR227" s="66"/>
      <c r="FS227" s="66"/>
      <c r="FT227" s="66"/>
      <c r="FU227" s="66"/>
      <c r="FV227" s="66"/>
      <c r="FW227" s="66"/>
      <c r="FX227" s="66"/>
      <c r="FY227" s="66"/>
      <c r="FZ227" s="66"/>
      <c r="GA227" s="66"/>
      <c r="GB227" s="66"/>
      <c r="GC227" s="66"/>
      <c r="GD227" s="66"/>
      <c r="GE227" s="66"/>
      <c r="GF227" s="66"/>
      <c r="GG227" s="66"/>
      <c r="GH227" s="66"/>
      <c r="GI227" s="66"/>
      <c r="GJ227" s="66"/>
      <c r="GK227" s="66"/>
      <c r="GL227" s="66"/>
      <c r="GM227" s="66"/>
      <c r="GN227" s="66"/>
      <c r="GO227" s="66"/>
      <c r="GP227" s="66"/>
      <c r="GQ227" s="66"/>
      <c r="GR227" s="66"/>
      <c r="GS227" s="66"/>
      <c r="GT227" s="66"/>
      <c r="GU227" s="66"/>
      <c r="GV227" s="66"/>
      <c r="GW227" s="66"/>
      <c r="GX227" s="66"/>
      <c r="GY227" s="66"/>
      <c r="GZ227" s="66"/>
      <c r="HA227" s="66"/>
      <c r="HB227" s="66"/>
      <c r="HC227" s="66"/>
      <c r="HD227" s="66"/>
      <c r="HE227" s="66"/>
      <c r="HF227" s="66"/>
      <c r="HG227" s="66"/>
      <c r="HH227" s="66"/>
      <c r="HI227" s="66"/>
      <c r="HJ227" s="66"/>
      <c r="HK227" s="66"/>
      <c r="HL227" s="66"/>
      <c r="HM227" s="66"/>
      <c r="HN227" s="66"/>
      <c r="HO227" s="66"/>
      <c r="HP227" s="66"/>
    </row>
    <row r="228" spans="3:224" ht="20.100000000000001" customHeight="1">
      <c r="C228" s="24">
        <v>14010001</v>
      </c>
      <c r="D228" s="24" t="s">
        <v>261</v>
      </c>
      <c r="E228" s="25">
        <v>11200003</v>
      </c>
      <c r="F228" s="25">
        <v>0</v>
      </c>
      <c r="G228" s="25">
        <v>1</v>
      </c>
      <c r="H228" s="25">
        <v>20</v>
      </c>
      <c r="I228" s="29">
        <v>0.2</v>
      </c>
      <c r="J228" s="30">
        <v>5</v>
      </c>
      <c r="K228" s="25">
        <v>0</v>
      </c>
      <c r="L228" s="25">
        <v>0</v>
      </c>
      <c r="M228" s="25">
        <f>ROUND(N228/2,0)</f>
        <v>5</v>
      </c>
      <c r="N228" s="25">
        <v>10</v>
      </c>
      <c r="O228" s="25">
        <v>0</v>
      </c>
      <c r="P228" s="25">
        <v>0</v>
      </c>
      <c r="Q228" s="25">
        <f>ROUND(R228/2,0)</f>
        <v>3</v>
      </c>
      <c r="R228" s="25">
        <v>6</v>
      </c>
      <c r="S228" s="25">
        <f>ROUND(T228/2,0)</f>
        <v>3</v>
      </c>
      <c r="T228" s="25">
        <v>6</v>
      </c>
      <c r="U228" s="29">
        <v>0</v>
      </c>
      <c r="V228" s="25">
        <v>0</v>
      </c>
      <c r="W228" s="25">
        <v>0</v>
      </c>
      <c r="X228" s="25">
        <v>0</v>
      </c>
      <c r="Y228" s="29">
        <v>0</v>
      </c>
      <c r="Z228" s="29">
        <v>0</v>
      </c>
      <c r="AA228" s="29">
        <v>0</v>
      </c>
      <c r="AB228" s="29">
        <v>0</v>
      </c>
      <c r="AC228" s="29">
        <v>0</v>
      </c>
      <c r="AD228" s="29">
        <v>0</v>
      </c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</row>
    <row r="229" spans="3:224" ht="20.100000000000001" customHeight="1">
      <c r="C229" s="24">
        <v>14010002</v>
      </c>
      <c r="D229" s="24" t="s">
        <v>262</v>
      </c>
      <c r="E229" s="25">
        <v>11200003</v>
      </c>
      <c r="F229" s="25">
        <v>0</v>
      </c>
      <c r="G229" s="25">
        <v>1</v>
      </c>
      <c r="H229" s="25">
        <v>20</v>
      </c>
      <c r="I229" s="29">
        <v>0.2</v>
      </c>
      <c r="J229" s="30">
        <v>5</v>
      </c>
      <c r="K229" s="25">
        <v>0</v>
      </c>
      <c r="L229" s="25">
        <v>0</v>
      </c>
      <c r="M229" s="25">
        <f t="shared" ref="M229:M296" si="16">ROUND(N229/2,0)</f>
        <v>9</v>
      </c>
      <c r="N229" s="25">
        <v>18</v>
      </c>
      <c r="O229" s="25">
        <v>0</v>
      </c>
      <c r="P229" s="25">
        <v>0</v>
      </c>
      <c r="Q229" s="25">
        <f t="shared" ref="Q229:Q296" si="17">ROUND(R229/2,0)</f>
        <v>5</v>
      </c>
      <c r="R229" s="25">
        <v>10</v>
      </c>
      <c r="S229" s="25">
        <f t="shared" ref="S229:S296" si="18">ROUND(T229/2,0)</f>
        <v>5</v>
      </c>
      <c r="T229" s="25">
        <v>10</v>
      </c>
      <c r="U229" s="29">
        <v>0</v>
      </c>
      <c r="V229" s="25">
        <v>0</v>
      </c>
      <c r="W229" s="25">
        <v>0</v>
      </c>
      <c r="X229" s="25">
        <v>0</v>
      </c>
      <c r="Y229" s="29">
        <v>0</v>
      </c>
      <c r="Z229" s="29">
        <v>0</v>
      </c>
      <c r="AA229" s="29">
        <v>0</v>
      </c>
      <c r="AB229" s="29">
        <v>0</v>
      </c>
      <c r="AC229" s="29">
        <v>0</v>
      </c>
      <c r="AD229" s="29">
        <v>0</v>
      </c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</row>
    <row r="230" spans="3:224" ht="20.100000000000001" customHeight="1">
      <c r="C230" s="24">
        <v>14010003</v>
      </c>
      <c r="D230" s="24" t="s">
        <v>263</v>
      </c>
      <c r="E230" s="25">
        <v>11200003</v>
      </c>
      <c r="F230" s="25">
        <v>11011</v>
      </c>
      <c r="G230" s="25">
        <v>1</v>
      </c>
      <c r="H230" s="25">
        <v>20</v>
      </c>
      <c r="I230" s="29">
        <v>0.2</v>
      </c>
      <c r="J230" s="30">
        <v>5</v>
      </c>
      <c r="K230" s="25">
        <v>0</v>
      </c>
      <c r="L230" s="25">
        <v>0</v>
      </c>
      <c r="M230" s="25">
        <f t="shared" si="16"/>
        <v>10</v>
      </c>
      <c r="N230" s="25">
        <v>20</v>
      </c>
      <c r="O230" s="25">
        <v>0</v>
      </c>
      <c r="P230" s="25">
        <v>0</v>
      </c>
      <c r="Q230" s="25">
        <f t="shared" si="17"/>
        <v>6</v>
      </c>
      <c r="R230" s="25">
        <v>12</v>
      </c>
      <c r="S230" s="25">
        <f t="shared" si="18"/>
        <v>6</v>
      </c>
      <c r="T230" s="25">
        <v>12</v>
      </c>
      <c r="U230" s="29">
        <v>0</v>
      </c>
      <c r="V230" s="25">
        <v>0</v>
      </c>
      <c r="W230" s="25">
        <v>0</v>
      </c>
      <c r="X230" s="25">
        <v>0</v>
      </c>
      <c r="Y230" s="29">
        <v>0</v>
      </c>
      <c r="Z230" s="29">
        <v>0</v>
      </c>
      <c r="AA230" s="29">
        <v>0</v>
      </c>
      <c r="AB230" s="29">
        <v>0</v>
      </c>
      <c r="AC230" s="29">
        <v>0</v>
      </c>
      <c r="AD230" s="29">
        <v>0</v>
      </c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</row>
    <row r="231" spans="3:224" ht="20.100000000000001" customHeight="1">
      <c r="C231" s="24">
        <v>14010004</v>
      </c>
      <c r="D231" s="24" t="s">
        <v>264</v>
      </c>
      <c r="E231" s="25">
        <v>11200003</v>
      </c>
      <c r="F231" s="25">
        <v>11041</v>
      </c>
      <c r="G231" s="25">
        <v>1</v>
      </c>
      <c r="H231" s="25">
        <v>20</v>
      </c>
      <c r="I231" s="29">
        <v>0.2</v>
      </c>
      <c r="J231" s="30">
        <v>10</v>
      </c>
      <c r="K231" s="25">
        <v>0</v>
      </c>
      <c r="L231" s="25">
        <v>0</v>
      </c>
      <c r="M231" s="25">
        <f t="shared" si="16"/>
        <v>13</v>
      </c>
      <c r="N231" s="25">
        <v>25</v>
      </c>
      <c r="O231" s="25">
        <v>0</v>
      </c>
      <c r="P231" s="25">
        <v>0</v>
      </c>
      <c r="Q231" s="25">
        <f t="shared" si="17"/>
        <v>8</v>
      </c>
      <c r="R231" s="25">
        <v>15</v>
      </c>
      <c r="S231" s="25">
        <f t="shared" si="18"/>
        <v>8</v>
      </c>
      <c r="T231" s="25">
        <v>15</v>
      </c>
      <c r="U231" s="29">
        <v>0</v>
      </c>
      <c r="V231" s="25">
        <v>0</v>
      </c>
      <c r="W231" s="25">
        <v>0</v>
      </c>
      <c r="X231" s="25">
        <v>0</v>
      </c>
      <c r="Y231" s="29">
        <v>0</v>
      </c>
      <c r="Z231" s="29">
        <v>0</v>
      </c>
      <c r="AA231" s="29">
        <v>0</v>
      </c>
      <c r="AB231" s="29">
        <v>0</v>
      </c>
      <c r="AC231" s="29">
        <v>0</v>
      </c>
      <c r="AD231" s="29">
        <v>0</v>
      </c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</row>
    <row r="232" spans="3:224" ht="20.100000000000001" customHeight="1">
      <c r="C232" s="24">
        <v>14010005</v>
      </c>
      <c r="D232" s="24" t="s">
        <v>265</v>
      </c>
      <c r="E232" s="25">
        <v>11200003</v>
      </c>
      <c r="F232" s="25">
        <v>0</v>
      </c>
      <c r="G232" s="25">
        <v>1</v>
      </c>
      <c r="H232" s="25">
        <v>20</v>
      </c>
      <c r="I232" s="29">
        <v>0.2</v>
      </c>
      <c r="J232" s="30">
        <v>5</v>
      </c>
      <c r="K232" s="25">
        <v>0</v>
      </c>
      <c r="L232" s="25">
        <v>0</v>
      </c>
      <c r="M232" s="25">
        <f t="shared" si="16"/>
        <v>7</v>
      </c>
      <c r="N232" s="25">
        <v>14</v>
      </c>
      <c r="O232" s="25">
        <v>0</v>
      </c>
      <c r="P232" s="25">
        <v>0</v>
      </c>
      <c r="Q232" s="25">
        <f t="shared" si="17"/>
        <v>3</v>
      </c>
      <c r="R232" s="25">
        <v>5</v>
      </c>
      <c r="S232" s="25">
        <f t="shared" si="18"/>
        <v>3</v>
      </c>
      <c r="T232" s="25">
        <v>5</v>
      </c>
      <c r="U232" s="29">
        <v>0</v>
      </c>
      <c r="V232" s="25">
        <v>0</v>
      </c>
      <c r="W232" s="25">
        <v>0</v>
      </c>
      <c r="X232" s="25">
        <v>0</v>
      </c>
      <c r="Y232" s="29">
        <v>0</v>
      </c>
      <c r="Z232" s="29">
        <v>0</v>
      </c>
      <c r="AA232" s="29">
        <v>0</v>
      </c>
      <c r="AB232" s="29">
        <v>0</v>
      </c>
      <c r="AC232" s="29">
        <v>0</v>
      </c>
      <c r="AD232" s="29">
        <v>0</v>
      </c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</row>
    <row r="233" spans="3:224" ht="20.100000000000001" customHeight="1">
      <c r="C233" s="24">
        <v>14010006</v>
      </c>
      <c r="D233" s="24" t="s">
        <v>266</v>
      </c>
      <c r="E233" s="25">
        <v>11200003</v>
      </c>
      <c r="F233" s="25">
        <v>0</v>
      </c>
      <c r="G233" s="25">
        <v>1</v>
      </c>
      <c r="H233" s="25">
        <v>20</v>
      </c>
      <c r="I233" s="29">
        <v>0.2</v>
      </c>
      <c r="J233" s="30">
        <v>5</v>
      </c>
      <c r="K233" s="25">
        <v>0</v>
      </c>
      <c r="L233" s="25">
        <v>0</v>
      </c>
      <c r="M233" s="25">
        <f t="shared" si="16"/>
        <v>12</v>
      </c>
      <c r="N233" s="25">
        <v>24</v>
      </c>
      <c r="O233" s="25">
        <v>0</v>
      </c>
      <c r="P233" s="25">
        <v>0</v>
      </c>
      <c r="Q233" s="25">
        <f t="shared" si="17"/>
        <v>4</v>
      </c>
      <c r="R233" s="25">
        <v>8</v>
      </c>
      <c r="S233" s="25">
        <f t="shared" si="18"/>
        <v>4</v>
      </c>
      <c r="T233" s="25">
        <v>8</v>
      </c>
      <c r="U233" s="29">
        <v>0</v>
      </c>
      <c r="V233" s="25">
        <v>0</v>
      </c>
      <c r="W233" s="25">
        <v>0</v>
      </c>
      <c r="X233" s="25">
        <v>0</v>
      </c>
      <c r="Y233" s="29">
        <v>0</v>
      </c>
      <c r="Z233" s="29">
        <v>0</v>
      </c>
      <c r="AA233" s="29">
        <v>0</v>
      </c>
      <c r="AB233" s="29">
        <v>0</v>
      </c>
      <c r="AC233" s="29">
        <v>0</v>
      </c>
      <c r="AD233" s="29">
        <v>0</v>
      </c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</row>
    <row r="234" spans="3:224" ht="20.100000000000001" customHeight="1">
      <c r="C234" s="24">
        <v>14010007</v>
      </c>
      <c r="D234" s="24" t="s">
        <v>267</v>
      </c>
      <c r="E234" s="25">
        <v>11200003</v>
      </c>
      <c r="F234" s="25">
        <v>11021</v>
      </c>
      <c r="G234" s="25">
        <v>1</v>
      </c>
      <c r="H234" s="25">
        <v>20</v>
      </c>
      <c r="I234" s="29">
        <v>0.2</v>
      </c>
      <c r="J234" s="30">
        <v>5</v>
      </c>
      <c r="K234" s="25">
        <v>0</v>
      </c>
      <c r="L234" s="25">
        <v>0</v>
      </c>
      <c r="M234" s="25">
        <f t="shared" si="16"/>
        <v>14</v>
      </c>
      <c r="N234" s="25">
        <v>27</v>
      </c>
      <c r="O234" s="25">
        <v>0</v>
      </c>
      <c r="P234" s="25">
        <v>0</v>
      </c>
      <c r="Q234" s="25">
        <f t="shared" si="17"/>
        <v>5</v>
      </c>
      <c r="R234" s="25">
        <v>9</v>
      </c>
      <c r="S234" s="25">
        <f t="shared" si="18"/>
        <v>5</v>
      </c>
      <c r="T234" s="25">
        <v>9</v>
      </c>
      <c r="U234" s="29">
        <v>0</v>
      </c>
      <c r="V234" s="25">
        <v>0</v>
      </c>
      <c r="W234" s="25">
        <v>0</v>
      </c>
      <c r="X234" s="25">
        <v>0</v>
      </c>
      <c r="Y234" s="29">
        <v>0</v>
      </c>
      <c r="Z234" s="29">
        <v>0</v>
      </c>
      <c r="AA234" s="29">
        <v>0</v>
      </c>
      <c r="AB234" s="29">
        <v>0</v>
      </c>
      <c r="AC234" s="29">
        <v>0</v>
      </c>
      <c r="AD234" s="29">
        <v>0</v>
      </c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</row>
    <row r="235" spans="3:224" ht="20.100000000000001" customHeight="1">
      <c r="C235" s="24">
        <v>14010008</v>
      </c>
      <c r="D235" s="24" t="s">
        <v>268</v>
      </c>
      <c r="E235" s="25">
        <v>11200003</v>
      </c>
      <c r="F235" s="25">
        <v>11042</v>
      </c>
      <c r="G235" s="25">
        <v>1</v>
      </c>
      <c r="H235" s="25">
        <v>20</v>
      </c>
      <c r="I235" s="29">
        <v>0.2</v>
      </c>
      <c r="J235" s="30">
        <v>10</v>
      </c>
      <c r="K235" s="25">
        <v>0</v>
      </c>
      <c r="L235" s="25">
        <v>0</v>
      </c>
      <c r="M235" s="25">
        <f t="shared" si="16"/>
        <v>17</v>
      </c>
      <c r="N235" s="25">
        <v>34</v>
      </c>
      <c r="O235" s="25">
        <v>0</v>
      </c>
      <c r="P235" s="25">
        <v>0</v>
      </c>
      <c r="Q235" s="25">
        <f t="shared" si="17"/>
        <v>6</v>
      </c>
      <c r="R235" s="25">
        <v>11</v>
      </c>
      <c r="S235" s="25">
        <f t="shared" si="18"/>
        <v>6</v>
      </c>
      <c r="T235" s="25">
        <v>11</v>
      </c>
      <c r="U235" s="29">
        <v>0</v>
      </c>
      <c r="V235" s="25">
        <v>0</v>
      </c>
      <c r="W235" s="25">
        <v>0</v>
      </c>
      <c r="X235" s="25">
        <v>0</v>
      </c>
      <c r="Y235" s="29">
        <v>0</v>
      </c>
      <c r="Z235" s="29">
        <v>0</v>
      </c>
      <c r="AA235" s="29">
        <v>0</v>
      </c>
      <c r="AB235" s="29">
        <v>0</v>
      </c>
      <c r="AC235" s="29">
        <v>0</v>
      </c>
      <c r="AD235" s="29">
        <v>0</v>
      </c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</row>
    <row r="236" spans="3:224" ht="20.100000000000001" customHeight="1">
      <c r="C236" s="24">
        <v>14010009</v>
      </c>
      <c r="D236" s="24" t="s">
        <v>61</v>
      </c>
      <c r="E236" s="25">
        <v>11200003</v>
      </c>
      <c r="F236" s="25">
        <v>0</v>
      </c>
      <c r="G236" s="25">
        <v>1</v>
      </c>
      <c r="H236" s="25">
        <v>20</v>
      </c>
      <c r="I236" s="29">
        <v>0.2</v>
      </c>
      <c r="J236" s="30">
        <v>5</v>
      </c>
      <c r="K236" s="25">
        <v>0</v>
      </c>
      <c r="L236" s="25">
        <v>0</v>
      </c>
      <c r="M236" s="25">
        <f t="shared" si="16"/>
        <v>4</v>
      </c>
      <c r="N236" s="25">
        <v>8</v>
      </c>
      <c r="O236" s="25">
        <v>0</v>
      </c>
      <c r="P236" s="25">
        <v>0</v>
      </c>
      <c r="Q236" s="25">
        <f t="shared" si="17"/>
        <v>4</v>
      </c>
      <c r="R236" s="25">
        <v>8</v>
      </c>
      <c r="S236" s="25">
        <f t="shared" si="18"/>
        <v>4</v>
      </c>
      <c r="T236" s="25">
        <v>8</v>
      </c>
      <c r="U236" s="29">
        <v>0</v>
      </c>
      <c r="V236" s="25">
        <v>0</v>
      </c>
      <c r="W236" s="25">
        <v>0</v>
      </c>
      <c r="X236" s="25">
        <v>0</v>
      </c>
      <c r="Y236" s="29">
        <v>0</v>
      </c>
      <c r="Z236" s="29">
        <v>0</v>
      </c>
      <c r="AA236" s="29">
        <v>0</v>
      </c>
      <c r="AB236" s="29">
        <v>0</v>
      </c>
      <c r="AC236" s="29">
        <v>0</v>
      </c>
      <c r="AD236" s="29">
        <v>0</v>
      </c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</row>
    <row r="237" spans="3:224" ht="20.100000000000001" customHeight="1">
      <c r="C237" s="24">
        <v>14010010</v>
      </c>
      <c r="D237" s="24" t="s">
        <v>144</v>
      </c>
      <c r="E237" s="25">
        <v>11200003</v>
      </c>
      <c r="F237" s="25">
        <v>0</v>
      </c>
      <c r="G237" s="25">
        <v>1</v>
      </c>
      <c r="H237" s="25">
        <v>20</v>
      </c>
      <c r="I237" s="29">
        <v>0.2</v>
      </c>
      <c r="J237" s="30">
        <v>5</v>
      </c>
      <c r="K237" s="25">
        <v>0</v>
      </c>
      <c r="L237" s="25">
        <v>0</v>
      </c>
      <c r="M237" s="25">
        <f t="shared" si="16"/>
        <v>7</v>
      </c>
      <c r="N237" s="25">
        <v>14</v>
      </c>
      <c r="O237" s="25">
        <v>0</v>
      </c>
      <c r="P237" s="25">
        <v>0</v>
      </c>
      <c r="Q237" s="25">
        <f t="shared" si="17"/>
        <v>7</v>
      </c>
      <c r="R237" s="25">
        <v>13</v>
      </c>
      <c r="S237" s="25">
        <f t="shared" si="18"/>
        <v>7</v>
      </c>
      <c r="T237" s="25">
        <v>13</v>
      </c>
      <c r="U237" s="29">
        <v>0</v>
      </c>
      <c r="V237" s="25">
        <v>0</v>
      </c>
      <c r="W237" s="25">
        <v>0</v>
      </c>
      <c r="X237" s="25">
        <v>0</v>
      </c>
      <c r="Y237" s="29">
        <v>0</v>
      </c>
      <c r="Z237" s="29">
        <v>0</v>
      </c>
      <c r="AA237" s="29">
        <v>0</v>
      </c>
      <c r="AB237" s="29">
        <v>0</v>
      </c>
      <c r="AC237" s="29">
        <v>0</v>
      </c>
      <c r="AD237" s="29">
        <v>0</v>
      </c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</row>
    <row r="238" spans="3:224" ht="20.100000000000001" customHeight="1">
      <c r="C238" s="24">
        <v>14010011</v>
      </c>
      <c r="D238" s="24" t="s">
        <v>269</v>
      </c>
      <c r="E238" s="25">
        <v>11200003</v>
      </c>
      <c r="F238" s="25">
        <v>11031</v>
      </c>
      <c r="G238" s="25">
        <v>1</v>
      </c>
      <c r="H238" s="25">
        <v>20</v>
      </c>
      <c r="I238" s="29">
        <v>0.2</v>
      </c>
      <c r="J238" s="30">
        <v>5</v>
      </c>
      <c r="K238" s="25">
        <v>0</v>
      </c>
      <c r="L238" s="25">
        <v>0</v>
      </c>
      <c r="M238" s="25">
        <f t="shared" si="16"/>
        <v>8</v>
      </c>
      <c r="N238" s="25">
        <v>15</v>
      </c>
      <c r="O238" s="25">
        <v>0</v>
      </c>
      <c r="P238" s="25">
        <v>0</v>
      </c>
      <c r="Q238" s="25">
        <f t="shared" si="17"/>
        <v>8</v>
      </c>
      <c r="R238" s="25">
        <v>15</v>
      </c>
      <c r="S238" s="25">
        <f t="shared" si="18"/>
        <v>8</v>
      </c>
      <c r="T238" s="25">
        <v>15</v>
      </c>
      <c r="U238" s="29">
        <v>0</v>
      </c>
      <c r="V238" s="25">
        <v>0</v>
      </c>
      <c r="W238" s="25">
        <v>0</v>
      </c>
      <c r="X238" s="25">
        <v>0</v>
      </c>
      <c r="Y238" s="29">
        <v>0</v>
      </c>
      <c r="Z238" s="29">
        <v>0</v>
      </c>
      <c r="AA238" s="29">
        <v>0</v>
      </c>
      <c r="AB238" s="29">
        <v>0</v>
      </c>
      <c r="AC238" s="29">
        <v>0</v>
      </c>
      <c r="AD238" s="29">
        <v>0</v>
      </c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</row>
    <row r="239" spans="3:224" ht="20.100000000000001" customHeight="1">
      <c r="C239" s="24">
        <v>14010012</v>
      </c>
      <c r="D239" s="24" t="s">
        <v>270</v>
      </c>
      <c r="E239" s="25">
        <v>11200003</v>
      </c>
      <c r="F239" s="25">
        <v>11043</v>
      </c>
      <c r="G239" s="25">
        <v>1</v>
      </c>
      <c r="H239" s="25">
        <v>20</v>
      </c>
      <c r="I239" s="29">
        <v>0.2</v>
      </c>
      <c r="J239" s="30">
        <v>10</v>
      </c>
      <c r="K239" s="25">
        <v>0</v>
      </c>
      <c r="L239" s="25">
        <v>0</v>
      </c>
      <c r="M239" s="25">
        <f t="shared" si="16"/>
        <v>10</v>
      </c>
      <c r="N239" s="25">
        <v>19</v>
      </c>
      <c r="O239" s="25">
        <v>0</v>
      </c>
      <c r="P239" s="25">
        <v>0</v>
      </c>
      <c r="Q239" s="25">
        <f t="shared" si="17"/>
        <v>10</v>
      </c>
      <c r="R239" s="25">
        <v>19</v>
      </c>
      <c r="S239" s="25">
        <f t="shared" si="18"/>
        <v>10</v>
      </c>
      <c r="T239" s="25">
        <v>19</v>
      </c>
      <c r="U239" s="29">
        <v>0</v>
      </c>
      <c r="V239" s="25">
        <v>0</v>
      </c>
      <c r="W239" s="25">
        <v>0</v>
      </c>
      <c r="X239" s="25">
        <v>0</v>
      </c>
      <c r="Y239" s="29">
        <v>0</v>
      </c>
      <c r="Z239" s="29">
        <v>0</v>
      </c>
      <c r="AA239" s="29">
        <v>0</v>
      </c>
      <c r="AB239" s="29">
        <v>0</v>
      </c>
      <c r="AC239" s="29">
        <v>0</v>
      </c>
      <c r="AD239" s="29">
        <v>0</v>
      </c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</row>
    <row r="240" spans="3:224" ht="20.100000000000001" customHeight="1">
      <c r="C240" s="24">
        <v>14020001</v>
      </c>
      <c r="D240" s="24" t="s">
        <v>271</v>
      </c>
      <c r="E240" s="25">
        <v>11200003</v>
      </c>
      <c r="F240" s="25">
        <v>0</v>
      </c>
      <c r="G240" s="25">
        <v>1</v>
      </c>
      <c r="H240" s="25">
        <v>20</v>
      </c>
      <c r="I240" s="29">
        <v>0.2</v>
      </c>
      <c r="J240" s="30">
        <v>5</v>
      </c>
      <c r="K240" s="25">
        <v>0</v>
      </c>
      <c r="L240" s="25">
        <v>0</v>
      </c>
      <c r="M240" s="25">
        <f t="shared" si="16"/>
        <v>6</v>
      </c>
      <c r="N240" s="25">
        <v>12</v>
      </c>
      <c r="O240" s="25">
        <v>0</v>
      </c>
      <c r="P240" s="25">
        <v>0</v>
      </c>
      <c r="Q240" s="25">
        <f t="shared" si="17"/>
        <v>0</v>
      </c>
      <c r="R240" s="25">
        <v>0</v>
      </c>
      <c r="S240" s="25">
        <f t="shared" si="18"/>
        <v>10</v>
      </c>
      <c r="T240" s="25">
        <v>20</v>
      </c>
      <c r="U240" s="29">
        <v>0</v>
      </c>
      <c r="V240" s="25">
        <v>0</v>
      </c>
      <c r="W240" s="25">
        <v>0</v>
      </c>
      <c r="X240" s="25">
        <v>0</v>
      </c>
      <c r="Y240" s="29">
        <v>0</v>
      </c>
      <c r="Z240" s="29">
        <v>0</v>
      </c>
      <c r="AA240" s="29">
        <v>0</v>
      </c>
      <c r="AB240" s="29">
        <v>0</v>
      </c>
      <c r="AC240" s="29">
        <v>0</v>
      </c>
      <c r="AD240" s="29">
        <v>0</v>
      </c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</row>
    <row r="241" spans="3:224" ht="20.100000000000001" customHeight="1">
      <c r="C241" s="24">
        <v>14020002</v>
      </c>
      <c r="D241" s="24" t="s">
        <v>272</v>
      </c>
      <c r="E241" s="25">
        <v>11200003</v>
      </c>
      <c r="F241" s="25">
        <v>0</v>
      </c>
      <c r="G241" s="25">
        <v>1</v>
      </c>
      <c r="H241" s="25">
        <v>20</v>
      </c>
      <c r="I241" s="29">
        <v>0.2</v>
      </c>
      <c r="J241" s="30">
        <v>5</v>
      </c>
      <c r="K241" s="25">
        <v>0</v>
      </c>
      <c r="L241" s="25">
        <v>0</v>
      </c>
      <c r="M241" s="25">
        <f t="shared" si="16"/>
        <v>12</v>
      </c>
      <c r="N241" s="25">
        <v>24</v>
      </c>
      <c r="O241" s="25">
        <v>0</v>
      </c>
      <c r="P241" s="25">
        <v>0</v>
      </c>
      <c r="Q241" s="25">
        <f t="shared" si="17"/>
        <v>0</v>
      </c>
      <c r="R241" s="25">
        <v>0</v>
      </c>
      <c r="S241" s="25">
        <f t="shared" si="18"/>
        <v>15</v>
      </c>
      <c r="T241" s="25">
        <v>30</v>
      </c>
      <c r="U241" s="29">
        <v>0</v>
      </c>
      <c r="V241" s="25">
        <v>0</v>
      </c>
      <c r="W241" s="25">
        <v>0</v>
      </c>
      <c r="X241" s="25">
        <v>0</v>
      </c>
      <c r="Y241" s="29">
        <v>0</v>
      </c>
      <c r="Z241" s="29">
        <v>0</v>
      </c>
      <c r="AA241" s="29">
        <v>0</v>
      </c>
      <c r="AB241" s="29">
        <v>0</v>
      </c>
      <c r="AC241" s="29">
        <v>0</v>
      </c>
      <c r="AD241" s="29">
        <v>0</v>
      </c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</row>
    <row r="242" spans="3:224" ht="20.100000000000001" customHeight="1">
      <c r="C242" s="24">
        <v>14020003</v>
      </c>
      <c r="D242" s="24" t="s">
        <v>273</v>
      </c>
      <c r="E242" s="25">
        <v>11200003</v>
      </c>
      <c r="F242" s="25">
        <v>11011</v>
      </c>
      <c r="G242" s="25">
        <v>1</v>
      </c>
      <c r="H242" s="25">
        <v>20</v>
      </c>
      <c r="I242" s="29">
        <v>0.2</v>
      </c>
      <c r="J242" s="30">
        <v>5</v>
      </c>
      <c r="K242" s="25">
        <v>0</v>
      </c>
      <c r="L242" s="25">
        <v>0</v>
      </c>
      <c r="M242" s="25">
        <f t="shared" si="16"/>
        <v>14</v>
      </c>
      <c r="N242" s="25">
        <v>27</v>
      </c>
      <c r="O242" s="25">
        <v>0</v>
      </c>
      <c r="P242" s="25">
        <v>0</v>
      </c>
      <c r="Q242" s="25">
        <f t="shared" si="17"/>
        <v>0</v>
      </c>
      <c r="R242" s="25">
        <v>0</v>
      </c>
      <c r="S242" s="25">
        <f t="shared" si="18"/>
        <v>18</v>
      </c>
      <c r="T242" s="25">
        <v>35</v>
      </c>
      <c r="U242" s="29">
        <v>0</v>
      </c>
      <c r="V242" s="25">
        <v>0</v>
      </c>
      <c r="W242" s="25">
        <v>0</v>
      </c>
      <c r="X242" s="25">
        <v>0</v>
      </c>
      <c r="Y242" s="29">
        <v>0</v>
      </c>
      <c r="Z242" s="29">
        <v>0</v>
      </c>
      <c r="AA242" s="29">
        <v>0</v>
      </c>
      <c r="AB242" s="29">
        <v>0</v>
      </c>
      <c r="AC242" s="29">
        <v>0</v>
      </c>
      <c r="AD242" s="29">
        <v>0</v>
      </c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</row>
    <row r="243" spans="3:224" ht="20.100000000000001" customHeight="1">
      <c r="C243" s="24">
        <v>14020004</v>
      </c>
      <c r="D243" s="24" t="s">
        <v>274</v>
      </c>
      <c r="E243" s="25">
        <v>11200003</v>
      </c>
      <c r="F243" s="25">
        <v>11041</v>
      </c>
      <c r="G243" s="25">
        <v>1</v>
      </c>
      <c r="H243" s="25">
        <v>20</v>
      </c>
      <c r="I243" s="29">
        <v>0.2</v>
      </c>
      <c r="J243" s="30">
        <v>10</v>
      </c>
      <c r="K243" s="25">
        <v>0</v>
      </c>
      <c r="L243" s="25">
        <v>0</v>
      </c>
      <c r="M243" s="25">
        <f t="shared" si="16"/>
        <v>17</v>
      </c>
      <c r="N243" s="25">
        <v>33</v>
      </c>
      <c r="O243" s="25">
        <v>0</v>
      </c>
      <c r="P243" s="25">
        <v>0</v>
      </c>
      <c r="Q243" s="25">
        <f t="shared" si="17"/>
        <v>0</v>
      </c>
      <c r="R243" s="25">
        <v>0</v>
      </c>
      <c r="S243" s="25">
        <f t="shared" si="18"/>
        <v>23</v>
      </c>
      <c r="T243" s="25">
        <v>45</v>
      </c>
      <c r="U243" s="29">
        <v>0</v>
      </c>
      <c r="V243" s="25">
        <v>0</v>
      </c>
      <c r="W243" s="25">
        <v>0</v>
      </c>
      <c r="X243" s="25">
        <v>0</v>
      </c>
      <c r="Y243" s="29">
        <v>0</v>
      </c>
      <c r="Z243" s="29">
        <v>0</v>
      </c>
      <c r="AA243" s="29">
        <v>0</v>
      </c>
      <c r="AB243" s="29">
        <v>0</v>
      </c>
      <c r="AC243" s="29">
        <v>0</v>
      </c>
      <c r="AD243" s="29">
        <v>0</v>
      </c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</row>
    <row r="244" spans="3:224" ht="20.100000000000001" customHeight="1">
      <c r="C244" s="24">
        <v>14020005</v>
      </c>
      <c r="D244" s="24" t="s">
        <v>275</v>
      </c>
      <c r="E244" s="25">
        <v>11200003</v>
      </c>
      <c r="F244" s="25">
        <v>0</v>
      </c>
      <c r="G244" s="25">
        <v>1</v>
      </c>
      <c r="H244" s="25">
        <v>20</v>
      </c>
      <c r="I244" s="29">
        <v>0.2</v>
      </c>
      <c r="J244" s="30">
        <v>5</v>
      </c>
      <c r="K244" s="25">
        <v>0</v>
      </c>
      <c r="L244" s="25">
        <v>0</v>
      </c>
      <c r="M244" s="25">
        <f t="shared" si="16"/>
        <v>8</v>
      </c>
      <c r="N244" s="25">
        <v>16</v>
      </c>
      <c r="O244" s="25">
        <v>0</v>
      </c>
      <c r="P244" s="25">
        <v>0</v>
      </c>
      <c r="Q244" s="25">
        <f t="shared" si="17"/>
        <v>0</v>
      </c>
      <c r="R244" s="25">
        <v>0</v>
      </c>
      <c r="S244" s="25">
        <f t="shared" si="18"/>
        <v>8</v>
      </c>
      <c r="T244" s="25">
        <v>15</v>
      </c>
      <c r="U244" s="29">
        <v>0</v>
      </c>
      <c r="V244" s="25">
        <v>0</v>
      </c>
      <c r="W244" s="25">
        <v>0</v>
      </c>
      <c r="X244" s="25">
        <v>0</v>
      </c>
      <c r="Y244" s="29">
        <v>0</v>
      </c>
      <c r="Z244" s="29">
        <v>0</v>
      </c>
      <c r="AA244" s="29">
        <v>0</v>
      </c>
      <c r="AB244" s="29">
        <v>0</v>
      </c>
      <c r="AC244" s="29">
        <v>0</v>
      </c>
      <c r="AD244" s="29">
        <v>0</v>
      </c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</row>
    <row r="245" spans="3:224" ht="20.100000000000001" customHeight="1">
      <c r="C245" s="24">
        <v>14020006</v>
      </c>
      <c r="D245" s="24" t="s">
        <v>276</v>
      </c>
      <c r="E245" s="25">
        <v>11200003</v>
      </c>
      <c r="F245" s="25">
        <v>0</v>
      </c>
      <c r="G245" s="25">
        <v>1</v>
      </c>
      <c r="H245" s="25">
        <v>20</v>
      </c>
      <c r="I245" s="29">
        <v>0.2</v>
      </c>
      <c r="J245" s="30">
        <v>5</v>
      </c>
      <c r="K245" s="25">
        <v>0</v>
      </c>
      <c r="L245" s="25">
        <v>0</v>
      </c>
      <c r="M245" s="25">
        <f t="shared" si="16"/>
        <v>16</v>
      </c>
      <c r="N245" s="25">
        <v>32</v>
      </c>
      <c r="O245" s="25">
        <v>0</v>
      </c>
      <c r="P245" s="25">
        <v>0</v>
      </c>
      <c r="Q245" s="25">
        <f t="shared" si="17"/>
        <v>0</v>
      </c>
      <c r="R245" s="25">
        <v>0</v>
      </c>
      <c r="S245" s="25">
        <f t="shared" si="18"/>
        <v>12</v>
      </c>
      <c r="T245" s="25">
        <v>23</v>
      </c>
      <c r="U245" s="29">
        <v>0</v>
      </c>
      <c r="V245" s="25">
        <v>0</v>
      </c>
      <c r="W245" s="25">
        <v>0</v>
      </c>
      <c r="X245" s="25">
        <v>0</v>
      </c>
      <c r="Y245" s="29">
        <v>0</v>
      </c>
      <c r="Z245" s="29">
        <v>0</v>
      </c>
      <c r="AA245" s="29">
        <v>0</v>
      </c>
      <c r="AB245" s="29">
        <v>0</v>
      </c>
      <c r="AC245" s="29">
        <v>0</v>
      </c>
      <c r="AD245" s="29">
        <v>0</v>
      </c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</row>
    <row r="246" spans="3:224" ht="20.100000000000001" customHeight="1">
      <c r="C246" s="24">
        <v>14020007</v>
      </c>
      <c r="D246" s="24" t="s">
        <v>277</v>
      </c>
      <c r="E246" s="25">
        <v>11200003</v>
      </c>
      <c r="F246" s="25">
        <v>11021</v>
      </c>
      <c r="G246" s="25">
        <v>1</v>
      </c>
      <c r="H246" s="25">
        <v>20</v>
      </c>
      <c r="I246" s="29">
        <v>0.2</v>
      </c>
      <c r="J246" s="30">
        <v>5</v>
      </c>
      <c r="K246" s="25">
        <v>0</v>
      </c>
      <c r="L246" s="25">
        <v>0</v>
      </c>
      <c r="M246" s="25">
        <f t="shared" si="16"/>
        <v>18</v>
      </c>
      <c r="N246" s="25">
        <v>36</v>
      </c>
      <c r="O246" s="25">
        <v>0</v>
      </c>
      <c r="P246" s="25">
        <v>0</v>
      </c>
      <c r="Q246" s="25">
        <f t="shared" si="17"/>
        <v>0</v>
      </c>
      <c r="R246" s="25">
        <v>0</v>
      </c>
      <c r="S246" s="25">
        <f t="shared" si="18"/>
        <v>13</v>
      </c>
      <c r="T246" s="25">
        <v>26</v>
      </c>
      <c r="U246" s="29">
        <v>0</v>
      </c>
      <c r="V246" s="25">
        <v>0</v>
      </c>
      <c r="W246" s="25">
        <v>0</v>
      </c>
      <c r="X246" s="25">
        <v>0</v>
      </c>
      <c r="Y246" s="29">
        <v>0</v>
      </c>
      <c r="Z246" s="29">
        <v>0</v>
      </c>
      <c r="AA246" s="29">
        <v>0</v>
      </c>
      <c r="AB246" s="29">
        <v>0</v>
      </c>
      <c r="AC246" s="29">
        <v>0</v>
      </c>
      <c r="AD246" s="29">
        <v>0</v>
      </c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</row>
    <row r="247" spans="3:224" ht="20.100000000000001" customHeight="1">
      <c r="C247" s="24">
        <v>14020008</v>
      </c>
      <c r="D247" s="24" t="s">
        <v>278</v>
      </c>
      <c r="E247" s="25">
        <v>11200003</v>
      </c>
      <c r="F247" s="25">
        <v>11042</v>
      </c>
      <c r="G247" s="25">
        <v>1</v>
      </c>
      <c r="H247" s="25">
        <v>20</v>
      </c>
      <c r="I247" s="29">
        <v>0.2</v>
      </c>
      <c r="J247" s="30">
        <v>10</v>
      </c>
      <c r="K247" s="25">
        <v>0</v>
      </c>
      <c r="L247" s="25">
        <v>0</v>
      </c>
      <c r="M247" s="25">
        <f t="shared" si="16"/>
        <v>23</v>
      </c>
      <c r="N247" s="25">
        <v>45</v>
      </c>
      <c r="O247" s="25">
        <v>0</v>
      </c>
      <c r="P247" s="25">
        <v>0</v>
      </c>
      <c r="Q247" s="25">
        <f t="shared" si="17"/>
        <v>0</v>
      </c>
      <c r="R247" s="25">
        <v>0</v>
      </c>
      <c r="S247" s="25">
        <f t="shared" si="18"/>
        <v>17</v>
      </c>
      <c r="T247" s="25">
        <v>34</v>
      </c>
      <c r="U247" s="29">
        <v>0</v>
      </c>
      <c r="V247" s="25">
        <v>0</v>
      </c>
      <c r="W247" s="25">
        <v>0</v>
      </c>
      <c r="X247" s="25">
        <v>0</v>
      </c>
      <c r="Y247" s="29">
        <v>0</v>
      </c>
      <c r="Z247" s="29">
        <v>0</v>
      </c>
      <c r="AA247" s="29">
        <v>0</v>
      </c>
      <c r="AB247" s="29">
        <v>0</v>
      </c>
      <c r="AC247" s="29">
        <v>0</v>
      </c>
      <c r="AD247" s="29">
        <v>0</v>
      </c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</row>
    <row r="248" spans="3:224" ht="20.100000000000001" customHeight="1">
      <c r="C248" s="24">
        <v>14020009</v>
      </c>
      <c r="D248" s="24" t="s">
        <v>64</v>
      </c>
      <c r="E248" s="25">
        <v>11200003</v>
      </c>
      <c r="F248" s="25">
        <v>0</v>
      </c>
      <c r="G248" s="25">
        <v>1</v>
      </c>
      <c r="H248" s="25">
        <v>20</v>
      </c>
      <c r="I248" s="29">
        <v>0.2</v>
      </c>
      <c r="J248" s="30">
        <v>5</v>
      </c>
      <c r="K248" s="25">
        <v>0</v>
      </c>
      <c r="L248" s="25">
        <v>0</v>
      </c>
      <c r="M248" s="25">
        <f t="shared" si="16"/>
        <v>5</v>
      </c>
      <c r="N248" s="25">
        <v>9</v>
      </c>
      <c r="O248" s="25">
        <v>0</v>
      </c>
      <c r="P248" s="25">
        <v>0</v>
      </c>
      <c r="Q248" s="25">
        <f t="shared" si="17"/>
        <v>0</v>
      </c>
      <c r="R248" s="25">
        <v>0</v>
      </c>
      <c r="S248" s="25">
        <f t="shared" si="18"/>
        <v>13</v>
      </c>
      <c r="T248" s="25">
        <v>25</v>
      </c>
      <c r="U248" s="29">
        <v>0</v>
      </c>
      <c r="V248" s="25">
        <v>0</v>
      </c>
      <c r="W248" s="25">
        <v>0</v>
      </c>
      <c r="X248" s="25">
        <v>0</v>
      </c>
      <c r="Y248" s="29">
        <v>0</v>
      </c>
      <c r="Z248" s="29">
        <v>0</v>
      </c>
      <c r="AA248" s="29">
        <v>0</v>
      </c>
      <c r="AB248" s="29">
        <v>0</v>
      </c>
      <c r="AC248" s="29">
        <v>0</v>
      </c>
      <c r="AD248" s="29">
        <v>0</v>
      </c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</row>
    <row r="249" spans="3:224" ht="20.100000000000001" customHeight="1">
      <c r="C249" s="24">
        <v>14020010</v>
      </c>
      <c r="D249" s="24" t="s">
        <v>279</v>
      </c>
      <c r="E249" s="25">
        <v>11200003</v>
      </c>
      <c r="F249" s="25">
        <v>0</v>
      </c>
      <c r="G249" s="25">
        <v>1</v>
      </c>
      <c r="H249" s="25">
        <v>20</v>
      </c>
      <c r="I249" s="29">
        <v>0.2</v>
      </c>
      <c r="J249" s="30">
        <v>5</v>
      </c>
      <c r="K249" s="25">
        <v>0</v>
      </c>
      <c r="L249" s="25">
        <v>0</v>
      </c>
      <c r="M249" s="25">
        <f t="shared" si="16"/>
        <v>9</v>
      </c>
      <c r="N249" s="25">
        <v>18</v>
      </c>
      <c r="O249" s="25">
        <v>0</v>
      </c>
      <c r="P249" s="25">
        <v>0</v>
      </c>
      <c r="Q249" s="25">
        <f t="shared" si="17"/>
        <v>0</v>
      </c>
      <c r="R249" s="25">
        <v>0</v>
      </c>
      <c r="S249" s="25">
        <f t="shared" si="18"/>
        <v>19</v>
      </c>
      <c r="T249" s="25">
        <v>38</v>
      </c>
      <c r="U249" s="29">
        <v>0</v>
      </c>
      <c r="V249" s="25">
        <v>0</v>
      </c>
      <c r="W249" s="25">
        <v>0</v>
      </c>
      <c r="X249" s="25">
        <v>0</v>
      </c>
      <c r="Y249" s="29">
        <v>0</v>
      </c>
      <c r="Z249" s="29">
        <v>0</v>
      </c>
      <c r="AA249" s="29">
        <v>0</v>
      </c>
      <c r="AB249" s="29">
        <v>0</v>
      </c>
      <c r="AC249" s="29">
        <v>0</v>
      </c>
      <c r="AD249" s="29">
        <v>0</v>
      </c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</row>
    <row r="250" spans="3:224" ht="20.100000000000001" customHeight="1">
      <c r="C250" s="24">
        <v>14020011</v>
      </c>
      <c r="D250" s="24" t="s">
        <v>280</v>
      </c>
      <c r="E250" s="25">
        <v>11200003</v>
      </c>
      <c r="F250" s="25">
        <v>11031</v>
      </c>
      <c r="G250" s="25">
        <v>1</v>
      </c>
      <c r="H250" s="25">
        <v>20</v>
      </c>
      <c r="I250" s="29">
        <v>0.2</v>
      </c>
      <c r="J250" s="30">
        <v>5</v>
      </c>
      <c r="K250" s="25">
        <v>0</v>
      </c>
      <c r="L250" s="25">
        <v>0</v>
      </c>
      <c r="M250" s="25">
        <f t="shared" si="16"/>
        <v>10</v>
      </c>
      <c r="N250" s="25">
        <v>20</v>
      </c>
      <c r="O250" s="25">
        <v>0</v>
      </c>
      <c r="P250" s="25">
        <v>0</v>
      </c>
      <c r="Q250" s="25">
        <f t="shared" si="17"/>
        <v>0</v>
      </c>
      <c r="R250" s="25">
        <v>0</v>
      </c>
      <c r="S250" s="25">
        <f t="shared" si="18"/>
        <v>22</v>
      </c>
      <c r="T250" s="25">
        <v>44</v>
      </c>
      <c r="U250" s="29">
        <v>0</v>
      </c>
      <c r="V250" s="25">
        <v>0</v>
      </c>
      <c r="W250" s="25">
        <v>0</v>
      </c>
      <c r="X250" s="25">
        <v>0</v>
      </c>
      <c r="Y250" s="29">
        <v>0</v>
      </c>
      <c r="Z250" s="29">
        <v>0</v>
      </c>
      <c r="AA250" s="29">
        <v>0</v>
      </c>
      <c r="AB250" s="29">
        <v>0</v>
      </c>
      <c r="AC250" s="29">
        <v>0</v>
      </c>
      <c r="AD250" s="29">
        <v>0</v>
      </c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</row>
    <row r="251" spans="3:224" ht="20.100000000000001" customHeight="1">
      <c r="C251" s="24">
        <v>14020012</v>
      </c>
      <c r="D251" s="24" t="s">
        <v>281</v>
      </c>
      <c r="E251" s="25">
        <v>11200003</v>
      </c>
      <c r="F251" s="25">
        <v>11043</v>
      </c>
      <c r="G251" s="25">
        <v>1</v>
      </c>
      <c r="H251" s="25">
        <v>20</v>
      </c>
      <c r="I251" s="29">
        <v>0.2</v>
      </c>
      <c r="J251" s="30">
        <v>10</v>
      </c>
      <c r="K251" s="25">
        <v>0</v>
      </c>
      <c r="L251" s="25">
        <v>0</v>
      </c>
      <c r="M251" s="25">
        <f t="shared" si="16"/>
        <v>13</v>
      </c>
      <c r="N251" s="25">
        <v>25</v>
      </c>
      <c r="O251" s="25">
        <v>0</v>
      </c>
      <c r="P251" s="25">
        <v>0</v>
      </c>
      <c r="Q251" s="25">
        <f t="shared" si="17"/>
        <v>0</v>
      </c>
      <c r="R251" s="25">
        <v>0</v>
      </c>
      <c r="S251" s="25">
        <f t="shared" si="18"/>
        <v>28</v>
      </c>
      <c r="T251" s="25">
        <v>56</v>
      </c>
      <c r="U251" s="29">
        <v>0</v>
      </c>
      <c r="V251" s="25">
        <v>0</v>
      </c>
      <c r="W251" s="25">
        <v>0</v>
      </c>
      <c r="X251" s="25">
        <v>0</v>
      </c>
      <c r="Y251" s="29">
        <v>0</v>
      </c>
      <c r="Z251" s="29">
        <v>0</v>
      </c>
      <c r="AA251" s="29">
        <v>0</v>
      </c>
      <c r="AB251" s="29">
        <v>0</v>
      </c>
      <c r="AC251" s="29">
        <v>0</v>
      </c>
      <c r="AD251" s="29">
        <v>0</v>
      </c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</row>
    <row r="252" spans="3:224" s="3" customFormat="1" ht="20.100000000000001" customHeight="1">
      <c r="C252" s="26">
        <v>14020013</v>
      </c>
      <c r="D252" s="27" t="s">
        <v>282</v>
      </c>
      <c r="E252" s="28">
        <v>11200003</v>
      </c>
      <c r="F252" s="28">
        <v>0</v>
      </c>
      <c r="G252" s="28">
        <v>1</v>
      </c>
      <c r="H252" s="28">
        <v>20</v>
      </c>
      <c r="I252" s="31">
        <v>0.2</v>
      </c>
      <c r="J252" s="32">
        <v>10</v>
      </c>
      <c r="K252" s="28">
        <v>0</v>
      </c>
      <c r="L252" s="28">
        <v>0</v>
      </c>
      <c r="M252" s="28">
        <f t="shared" ref="M252" si="19">ROUND(N252/2,0)</f>
        <v>15</v>
      </c>
      <c r="N252" s="28">
        <v>30</v>
      </c>
      <c r="O252" s="28">
        <v>0</v>
      </c>
      <c r="P252" s="28">
        <v>0</v>
      </c>
      <c r="Q252" s="28">
        <f t="shared" ref="Q252" si="20">ROUND(R252/2,0)</f>
        <v>0</v>
      </c>
      <c r="R252" s="28">
        <v>0</v>
      </c>
      <c r="S252" s="28">
        <f t="shared" ref="S252" si="21">ROUND(T252/2,0)</f>
        <v>33</v>
      </c>
      <c r="T252" s="28">
        <v>65</v>
      </c>
      <c r="U252" s="31">
        <v>0</v>
      </c>
      <c r="V252" s="28">
        <v>0</v>
      </c>
      <c r="W252" s="28">
        <v>0</v>
      </c>
      <c r="X252" s="28">
        <v>0</v>
      </c>
      <c r="Y252" s="31">
        <v>0</v>
      </c>
      <c r="Z252" s="31">
        <v>0</v>
      </c>
      <c r="AA252" s="31">
        <v>0</v>
      </c>
      <c r="AB252" s="31">
        <v>120101</v>
      </c>
      <c r="AC252" s="31">
        <v>1</v>
      </c>
      <c r="AD252" s="31">
        <v>1</v>
      </c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3"/>
      <c r="DL252" s="33"/>
      <c r="DM252" s="33"/>
      <c r="DN252" s="33"/>
      <c r="DO252" s="33"/>
      <c r="DP252" s="33"/>
      <c r="DQ252" s="33"/>
      <c r="DR252" s="33"/>
      <c r="DS252" s="33"/>
      <c r="DT252" s="33"/>
      <c r="DU252" s="33"/>
      <c r="DV252" s="33"/>
      <c r="DW252" s="33"/>
      <c r="DX252" s="33"/>
      <c r="DY252" s="33"/>
      <c r="DZ252" s="33"/>
      <c r="EA252" s="33"/>
      <c r="EB252" s="33"/>
      <c r="EC252" s="33"/>
      <c r="ED252" s="33"/>
      <c r="EE252" s="33"/>
      <c r="EF252" s="33"/>
      <c r="EG252" s="33"/>
      <c r="EH252" s="33"/>
      <c r="EI252" s="33"/>
      <c r="EJ252" s="33"/>
      <c r="EK252" s="33"/>
      <c r="EL252" s="33"/>
      <c r="EM252" s="33"/>
      <c r="EN252" s="33"/>
      <c r="EO252" s="33"/>
      <c r="EP252" s="33"/>
      <c r="EQ252" s="33"/>
      <c r="ER252" s="33"/>
      <c r="ES252" s="33"/>
      <c r="ET252" s="33"/>
      <c r="EU252" s="33"/>
      <c r="EV252" s="33"/>
      <c r="EW252" s="33"/>
      <c r="EX252" s="33"/>
      <c r="EY252" s="33"/>
      <c r="EZ252" s="33"/>
      <c r="FA252" s="33"/>
      <c r="FB252" s="33"/>
      <c r="FC252" s="33"/>
      <c r="FD252" s="33"/>
      <c r="FE252" s="33"/>
      <c r="FF252" s="33"/>
      <c r="FG252" s="33"/>
      <c r="FH252" s="33"/>
      <c r="FI252" s="33"/>
      <c r="FJ252" s="33"/>
      <c r="FK252" s="33"/>
      <c r="FL252" s="33"/>
      <c r="FM252" s="33"/>
      <c r="FN252" s="33"/>
      <c r="FO252" s="33"/>
      <c r="FP252" s="33"/>
      <c r="FQ252" s="33"/>
      <c r="FR252" s="33"/>
      <c r="FS252" s="33"/>
      <c r="FT252" s="33"/>
      <c r="FU252" s="33"/>
      <c r="FV252" s="33"/>
      <c r="FW252" s="33"/>
      <c r="FX252" s="33"/>
      <c r="FY252" s="33"/>
      <c r="FZ252" s="33"/>
      <c r="GA252" s="33"/>
      <c r="GB252" s="33"/>
      <c r="GC252" s="33"/>
      <c r="GD252" s="33"/>
      <c r="GE252" s="33"/>
      <c r="GF252" s="33"/>
      <c r="GG252" s="33"/>
      <c r="GH252" s="33"/>
      <c r="GI252" s="33"/>
      <c r="GJ252" s="33"/>
      <c r="GK252" s="33"/>
      <c r="GL252" s="33"/>
      <c r="GM252" s="33"/>
      <c r="GN252" s="33"/>
      <c r="GO252" s="33"/>
      <c r="GP252" s="33"/>
      <c r="GQ252" s="33"/>
      <c r="GR252" s="33"/>
      <c r="GS252" s="33"/>
      <c r="GT252" s="33"/>
      <c r="GU252" s="33"/>
      <c r="GV252" s="33"/>
      <c r="GW252" s="33"/>
      <c r="GX252" s="33"/>
      <c r="GY252" s="33"/>
      <c r="GZ252" s="33"/>
      <c r="HA252" s="33"/>
      <c r="HB252" s="33"/>
      <c r="HC252" s="33"/>
      <c r="HD252" s="33"/>
      <c r="HE252" s="33"/>
      <c r="HF252" s="33"/>
      <c r="HG252" s="33"/>
      <c r="HH252" s="33"/>
      <c r="HI252" s="33"/>
      <c r="HJ252" s="33"/>
      <c r="HK252" s="33"/>
      <c r="HL252" s="33"/>
      <c r="HM252" s="33"/>
      <c r="HN252" s="33"/>
      <c r="HO252" s="33"/>
      <c r="HP252" s="33"/>
    </row>
    <row r="253" spans="3:224" ht="20.100000000000001" customHeight="1">
      <c r="C253" s="24">
        <v>14030001</v>
      </c>
      <c r="D253" s="24" t="s">
        <v>283</v>
      </c>
      <c r="E253" s="25">
        <v>11200003</v>
      </c>
      <c r="F253" s="25">
        <v>0</v>
      </c>
      <c r="G253" s="25">
        <v>1</v>
      </c>
      <c r="H253" s="25">
        <v>20</v>
      </c>
      <c r="I253" s="29">
        <v>0.2</v>
      </c>
      <c r="J253" s="30">
        <v>5</v>
      </c>
      <c r="K253" s="25">
        <v>0</v>
      </c>
      <c r="L253" s="25">
        <v>150</v>
      </c>
      <c r="M253" s="25">
        <f t="shared" si="16"/>
        <v>3</v>
      </c>
      <c r="N253" s="25">
        <v>6</v>
      </c>
      <c r="O253" s="25">
        <v>0</v>
      </c>
      <c r="P253" s="25">
        <v>0</v>
      </c>
      <c r="Q253" s="25">
        <f t="shared" si="17"/>
        <v>5</v>
      </c>
      <c r="R253" s="25">
        <v>10</v>
      </c>
      <c r="S253" s="25">
        <f t="shared" si="18"/>
        <v>0</v>
      </c>
      <c r="T253" s="25">
        <v>0</v>
      </c>
      <c r="U253" s="29">
        <v>0</v>
      </c>
      <c r="V253" s="25">
        <v>0</v>
      </c>
      <c r="W253" s="25">
        <v>0</v>
      </c>
      <c r="X253" s="25">
        <v>0</v>
      </c>
      <c r="Y253" s="29">
        <v>0</v>
      </c>
      <c r="Z253" s="29">
        <v>0</v>
      </c>
      <c r="AA253" s="29">
        <v>0</v>
      </c>
      <c r="AB253" s="29">
        <v>0</v>
      </c>
      <c r="AC253" s="29">
        <v>0</v>
      </c>
      <c r="AD253" s="29">
        <v>0</v>
      </c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</row>
    <row r="254" spans="3:224" ht="20.100000000000001" customHeight="1">
      <c r="C254" s="24">
        <v>14030002</v>
      </c>
      <c r="D254" s="24" t="s">
        <v>284</v>
      </c>
      <c r="E254" s="25">
        <v>11200003</v>
      </c>
      <c r="F254" s="25">
        <v>0</v>
      </c>
      <c r="G254" s="25">
        <v>1</v>
      </c>
      <c r="H254" s="25">
        <v>20</v>
      </c>
      <c r="I254" s="29">
        <v>0.2</v>
      </c>
      <c r="J254" s="30">
        <v>5</v>
      </c>
      <c r="K254" s="25">
        <v>0</v>
      </c>
      <c r="L254" s="25">
        <v>375</v>
      </c>
      <c r="M254" s="25">
        <f t="shared" si="16"/>
        <v>5</v>
      </c>
      <c r="N254" s="25">
        <v>10</v>
      </c>
      <c r="O254" s="25">
        <v>0</v>
      </c>
      <c r="P254" s="25">
        <v>0</v>
      </c>
      <c r="Q254" s="25">
        <f t="shared" si="17"/>
        <v>8</v>
      </c>
      <c r="R254" s="25">
        <v>15</v>
      </c>
      <c r="S254" s="25">
        <f t="shared" si="18"/>
        <v>0</v>
      </c>
      <c r="T254" s="25">
        <v>0</v>
      </c>
      <c r="U254" s="29">
        <v>0</v>
      </c>
      <c r="V254" s="25">
        <v>0</v>
      </c>
      <c r="W254" s="25">
        <v>0</v>
      </c>
      <c r="X254" s="25">
        <v>0</v>
      </c>
      <c r="Y254" s="29">
        <v>0</v>
      </c>
      <c r="Z254" s="29">
        <v>0</v>
      </c>
      <c r="AA254" s="29">
        <v>0</v>
      </c>
      <c r="AB254" s="29">
        <v>0</v>
      </c>
      <c r="AC254" s="29">
        <v>0</v>
      </c>
      <c r="AD254" s="29">
        <v>0</v>
      </c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</row>
    <row r="255" spans="3:224" ht="20.100000000000001" customHeight="1">
      <c r="C255" s="24">
        <v>14030003</v>
      </c>
      <c r="D255" s="24" t="s">
        <v>285</v>
      </c>
      <c r="E255" s="25">
        <v>11200003</v>
      </c>
      <c r="F255" s="25">
        <v>11011</v>
      </c>
      <c r="G255" s="25">
        <v>1</v>
      </c>
      <c r="H255" s="25">
        <v>20</v>
      </c>
      <c r="I255" s="29">
        <v>0.2</v>
      </c>
      <c r="J255" s="30">
        <v>5</v>
      </c>
      <c r="K255" s="25">
        <v>0</v>
      </c>
      <c r="L255" s="25">
        <v>425</v>
      </c>
      <c r="M255" s="25">
        <f t="shared" si="16"/>
        <v>6</v>
      </c>
      <c r="N255" s="25">
        <v>12</v>
      </c>
      <c r="O255" s="25">
        <v>0</v>
      </c>
      <c r="P255" s="25">
        <v>0</v>
      </c>
      <c r="Q255" s="25">
        <f t="shared" si="17"/>
        <v>8</v>
      </c>
      <c r="R255" s="25">
        <v>15</v>
      </c>
      <c r="S255" s="25">
        <f t="shared" si="18"/>
        <v>0</v>
      </c>
      <c r="T255" s="25">
        <v>0</v>
      </c>
      <c r="U255" s="29">
        <v>0</v>
      </c>
      <c r="V255" s="25">
        <v>0</v>
      </c>
      <c r="W255" s="25">
        <v>0</v>
      </c>
      <c r="X255" s="25">
        <v>0</v>
      </c>
      <c r="Y255" s="29">
        <v>0</v>
      </c>
      <c r="Z255" s="29">
        <v>0</v>
      </c>
      <c r="AA255" s="29">
        <v>0</v>
      </c>
      <c r="AB255" s="29">
        <v>0</v>
      </c>
      <c r="AC255" s="29">
        <v>0</v>
      </c>
      <c r="AD255" s="29">
        <v>0</v>
      </c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</row>
    <row r="256" spans="3:224" ht="20.100000000000001" customHeight="1">
      <c r="C256" s="24">
        <v>14030004</v>
      </c>
      <c r="D256" s="24" t="s">
        <v>286</v>
      </c>
      <c r="E256" s="25">
        <v>11200003</v>
      </c>
      <c r="F256" s="25">
        <v>11041</v>
      </c>
      <c r="G256" s="25">
        <v>1</v>
      </c>
      <c r="H256" s="25">
        <v>20</v>
      </c>
      <c r="I256" s="29">
        <v>0.2</v>
      </c>
      <c r="J256" s="30">
        <v>10</v>
      </c>
      <c r="K256" s="25">
        <v>0</v>
      </c>
      <c r="L256" s="25">
        <v>525</v>
      </c>
      <c r="M256" s="25">
        <f t="shared" si="16"/>
        <v>9</v>
      </c>
      <c r="N256" s="25">
        <v>18</v>
      </c>
      <c r="O256" s="25">
        <v>0</v>
      </c>
      <c r="P256" s="25">
        <v>0</v>
      </c>
      <c r="Q256" s="25">
        <f t="shared" si="17"/>
        <v>15</v>
      </c>
      <c r="R256" s="25">
        <v>30</v>
      </c>
      <c r="S256" s="25">
        <f t="shared" si="18"/>
        <v>0</v>
      </c>
      <c r="T256" s="25">
        <v>0</v>
      </c>
      <c r="U256" s="29">
        <v>0</v>
      </c>
      <c r="V256" s="25">
        <v>0</v>
      </c>
      <c r="W256" s="25">
        <v>0</v>
      </c>
      <c r="X256" s="25">
        <v>0</v>
      </c>
      <c r="Y256" s="29">
        <v>0</v>
      </c>
      <c r="Z256" s="29">
        <v>0</v>
      </c>
      <c r="AA256" s="29">
        <v>0</v>
      </c>
      <c r="AB256" s="29">
        <v>0</v>
      </c>
      <c r="AC256" s="29">
        <v>0</v>
      </c>
      <c r="AD256" s="29">
        <v>0</v>
      </c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</row>
    <row r="257" spans="3:224" ht="20.100000000000001" customHeight="1">
      <c r="C257" s="24">
        <v>14030005</v>
      </c>
      <c r="D257" s="24" t="s">
        <v>287</v>
      </c>
      <c r="E257" s="25">
        <v>11200003</v>
      </c>
      <c r="F257" s="25">
        <v>0</v>
      </c>
      <c r="G257" s="25">
        <v>1</v>
      </c>
      <c r="H257" s="25">
        <v>20</v>
      </c>
      <c r="I257" s="29">
        <v>0.2</v>
      </c>
      <c r="J257" s="30">
        <v>5</v>
      </c>
      <c r="K257" s="25">
        <v>0</v>
      </c>
      <c r="L257" s="25">
        <v>80</v>
      </c>
      <c r="M257" s="25">
        <f t="shared" si="16"/>
        <v>4</v>
      </c>
      <c r="N257" s="25">
        <v>8</v>
      </c>
      <c r="O257" s="25">
        <v>0</v>
      </c>
      <c r="P257" s="25">
        <v>0</v>
      </c>
      <c r="Q257" s="25">
        <f t="shared" si="17"/>
        <v>4</v>
      </c>
      <c r="R257" s="25">
        <v>8</v>
      </c>
      <c r="S257" s="25">
        <f t="shared" si="18"/>
        <v>0</v>
      </c>
      <c r="T257" s="25">
        <v>0</v>
      </c>
      <c r="U257" s="29">
        <v>0</v>
      </c>
      <c r="V257" s="25">
        <v>0</v>
      </c>
      <c r="W257" s="25">
        <v>0</v>
      </c>
      <c r="X257" s="25">
        <v>0</v>
      </c>
      <c r="Y257" s="29">
        <v>0</v>
      </c>
      <c r="Z257" s="29">
        <v>0</v>
      </c>
      <c r="AA257" s="29">
        <v>0</v>
      </c>
      <c r="AB257" s="29">
        <v>0</v>
      </c>
      <c r="AC257" s="29">
        <v>0</v>
      </c>
      <c r="AD257" s="29">
        <v>0</v>
      </c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</row>
    <row r="258" spans="3:224" ht="20.100000000000001" customHeight="1">
      <c r="C258" s="24">
        <v>14030006</v>
      </c>
      <c r="D258" s="24" t="s">
        <v>288</v>
      </c>
      <c r="E258" s="25">
        <v>11200003</v>
      </c>
      <c r="F258" s="25">
        <v>0</v>
      </c>
      <c r="G258" s="25">
        <v>1</v>
      </c>
      <c r="H258" s="25">
        <v>20</v>
      </c>
      <c r="I258" s="29">
        <v>0.2</v>
      </c>
      <c r="J258" s="30">
        <v>5</v>
      </c>
      <c r="K258" s="25">
        <v>0</v>
      </c>
      <c r="L258" s="25">
        <v>190</v>
      </c>
      <c r="M258" s="25">
        <f t="shared" si="16"/>
        <v>7</v>
      </c>
      <c r="N258" s="25">
        <v>14</v>
      </c>
      <c r="O258" s="25">
        <v>0</v>
      </c>
      <c r="P258" s="25">
        <v>0</v>
      </c>
      <c r="Q258" s="25">
        <f t="shared" si="17"/>
        <v>6</v>
      </c>
      <c r="R258" s="25">
        <v>11</v>
      </c>
      <c r="S258" s="25">
        <f t="shared" si="18"/>
        <v>0</v>
      </c>
      <c r="T258" s="25">
        <v>0</v>
      </c>
      <c r="U258" s="29">
        <v>0</v>
      </c>
      <c r="V258" s="25">
        <v>0</v>
      </c>
      <c r="W258" s="25">
        <v>0</v>
      </c>
      <c r="X258" s="25">
        <v>0</v>
      </c>
      <c r="Y258" s="29">
        <v>0</v>
      </c>
      <c r="Z258" s="29">
        <v>0</v>
      </c>
      <c r="AA258" s="29">
        <v>0</v>
      </c>
      <c r="AB258" s="29">
        <v>0</v>
      </c>
      <c r="AC258" s="29">
        <v>0</v>
      </c>
      <c r="AD258" s="29">
        <v>0</v>
      </c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</row>
    <row r="259" spans="3:224" ht="20.100000000000001" customHeight="1">
      <c r="C259" s="24">
        <v>14030007</v>
      </c>
      <c r="D259" s="24" t="s">
        <v>289</v>
      </c>
      <c r="E259" s="25">
        <v>11200003</v>
      </c>
      <c r="F259" s="25">
        <v>11021</v>
      </c>
      <c r="G259" s="25">
        <v>1</v>
      </c>
      <c r="H259" s="25">
        <v>20</v>
      </c>
      <c r="I259" s="29">
        <v>0.2</v>
      </c>
      <c r="J259" s="30">
        <v>5</v>
      </c>
      <c r="K259" s="25">
        <v>0</v>
      </c>
      <c r="L259" s="25">
        <v>210</v>
      </c>
      <c r="M259" s="25">
        <f t="shared" si="16"/>
        <v>8</v>
      </c>
      <c r="N259" s="25">
        <v>16</v>
      </c>
      <c r="O259" s="25">
        <v>0</v>
      </c>
      <c r="P259" s="25">
        <v>0</v>
      </c>
      <c r="Q259" s="25">
        <f t="shared" si="17"/>
        <v>6</v>
      </c>
      <c r="R259" s="25">
        <v>11</v>
      </c>
      <c r="S259" s="25">
        <f t="shared" si="18"/>
        <v>0</v>
      </c>
      <c r="T259" s="25">
        <v>0</v>
      </c>
      <c r="U259" s="29">
        <v>0</v>
      </c>
      <c r="V259" s="25">
        <v>0</v>
      </c>
      <c r="W259" s="25">
        <v>0</v>
      </c>
      <c r="X259" s="25">
        <v>0</v>
      </c>
      <c r="Y259" s="29">
        <v>0</v>
      </c>
      <c r="Z259" s="29">
        <v>0</v>
      </c>
      <c r="AA259" s="29">
        <v>0</v>
      </c>
      <c r="AB259" s="29">
        <v>0</v>
      </c>
      <c r="AC259" s="29">
        <v>0</v>
      </c>
      <c r="AD259" s="29">
        <v>0</v>
      </c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</row>
    <row r="260" spans="3:224" ht="20.100000000000001" customHeight="1">
      <c r="C260" s="24">
        <v>14030008</v>
      </c>
      <c r="D260" s="24" t="s">
        <v>290</v>
      </c>
      <c r="E260" s="25">
        <v>11200003</v>
      </c>
      <c r="F260" s="25">
        <v>11042</v>
      </c>
      <c r="G260" s="25">
        <v>1</v>
      </c>
      <c r="H260" s="25">
        <v>20</v>
      </c>
      <c r="I260" s="29">
        <v>0.2</v>
      </c>
      <c r="J260" s="30">
        <v>10</v>
      </c>
      <c r="K260" s="25">
        <v>0</v>
      </c>
      <c r="L260" s="25">
        <v>260</v>
      </c>
      <c r="M260" s="25">
        <f t="shared" si="16"/>
        <v>12</v>
      </c>
      <c r="N260" s="25">
        <v>24</v>
      </c>
      <c r="O260" s="25">
        <v>0</v>
      </c>
      <c r="P260" s="25">
        <v>0</v>
      </c>
      <c r="Q260" s="25">
        <f t="shared" si="17"/>
        <v>12</v>
      </c>
      <c r="R260" s="25">
        <v>23</v>
      </c>
      <c r="S260" s="25">
        <f t="shared" si="18"/>
        <v>0</v>
      </c>
      <c r="T260" s="25">
        <v>0</v>
      </c>
      <c r="U260" s="29">
        <v>0</v>
      </c>
      <c r="V260" s="25">
        <v>0</v>
      </c>
      <c r="W260" s="25">
        <v>0</v>
      </c>
      <c r="X260" s="25">
        <v>0</v>
      </c>
      <c r="Y260" s="29">
        <v>0</v>
      </c>
      <c r="Z260" s="29">
        <v>0</v>
      </c>
      <c r="AA260" s="29">
        <v>0</v>
      </c>
      <c r="AB260" s="29">
        <v>0</v>
      </c>
      <c r="AC260" s="29">
        <v>0</v>
      </c>
      <c r="AD260" s="29">
        <v>0</v>
      </c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</row>
    <row r="261" spans="3:224" ht="20.100000000000001" customHeight="1">
      <c r="C261" s="24">
        <v>14030009</v>
      </c>
      <c r="D261" s="24" t="s">
        <v>291</v>
      </c>
      <c r="E261" s="25">
        <v>11200003</v>
      </c>
      <c r="F261" s="25">
        <v>0</v>
      </c>
      <c r="G261" s="25">
        <v>1</v>
      </c>
      <c r="H261" s="25">
        <v>20</v>
      </c>
      <c r="I261" s="29">
        <v>0.2</v>
      </c>
      <c r="J261" s="30">
        <v>5</v>
      </c>
      <c r="K261" s="25">
        <v>0</v>
      </c>
      <c r="L261" s="25">
        <v>230</v>
      </c>
      <c r="M261" s="25">
        <f t="shared" si="16"/>
        <v>3</v>
      </c>
      <c r="N261" s="25">
        <v>5</v>
      </c>
      <c r="O261" s="25">
        <v>0</v>
      </c>
      <c r="P261" s="25">
        <v>0</v>
      </c>
      <c r="Q261" s="25">
        <f t="shared" si="17"/>
        <v>7</v>
      </c>
      <c r="R261" s="25">
        <v>13</v>
      </c>
      <c r="S261" s="25">
        <f t="shared" si="18"/>
        <v>0</v>
      </c>
      <c r="T261" s="25">
        <v>0</v>
      </c>
      <c r="U261" s="29">
        <v>0</v>
      </c>
      <c r="V261" s="25">
        <v>0</v>
      </c>
      <c r="W261" s="25">
        <v>0</v>
      </c>
      <c r="X261" s="25">
        <v>0</v>
      </c>
      <c r="Y261" s="29">
        <v>0</v>
      </c>
      <c r="Z261" s="29">
        <v>0</v>
      </c>
      <c r="AA261" s="29">
        <v>0</v>
      </c>
      <c r="AB261" s="29">
        <v>0</v>
      </c>
      <c r="AC261" s="29">
        <v>0</v>
      </c>
      <c r="AD261" s="29">
        <v>0</v>
      </c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</row>
    <row r="262" spans="3:224" ht="20.100000000000001" customHeight="1">
      <c r="C262" s="24">
        <v>14030010</v>
      </c>
      <c r="D262" s="24" t="s">
        <v>292</v>
      </c>
      <c r="E262" s="25">
        <v>11200003</v>
      </c>
      <c r="F262" s="25">
        <v>0</v>
      </c>
      <c r="G262" s="25">
        <v>1</v>
      </c>
      <c r="H262" s="25">
        <v>20</v>
      </c>
      <c r="I262" s="29">
        <v>0.2</v>
      </c>
      <c r="J262" s="30">
        <v>5</v>
      </c>
      <c r="K262" s="25">
        <v>0</v>
      </c>
      <c r="L262" s="25">
        <v>560</v>
      </c>
      <c r="M262" s="25">
        <f t="shared" si="16"/>
        <v>4</v>
      </c>
      <c r="N262" s="25">
        <v>8</v>
      </c>
      <c r="O262" s="25">
        <v>0</v>
      </c>
      <c r="P262" s="25">
        <v>0</v>
      </c>
      <c r="Q262" s="25">
        <f t="shared" si="17"/>
        <v>10</v>
      </c>
      <c r="R262" s="25">
        <v>19</v>
      </c>
      <c r="S262" s="25">
        <f t="shared" si="18"/>
        <v>0</v>
      </c>
      <c r="T262" s="25">
        <v>0</v>
      </c>
      <c r="U262" s="29">
        <v>0</v>
      </c>
      <c r="V262" s="25">
        <v>0</v>
      </c>
      <c r="W262" s="25">
        <v>0</v>
      </c>
      <c r="X262" s="25">
        <v>0</v>
      </c>
      <c r="Y262" s="29">
        <v>0</v>
      </c>
      <c r="Z262" s="29">
        <v>0</v>
      </c>
      <c r="AA262" s="29">
        <v>0</v>
      </c>
      <c r="AB262" s="29">
        <v>0</v>
      </c>
      <c r="AC262" s="29">
        <v>0</v>
      </c>
      <c r="AD262" s="29">
        <v>0</v>
      </c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</row>
    <row r="263" spans="3:224" ht="20.100000000000001" customHeight="1">
      <c r="C263" s="24">
        <v>14030011</v>
      </c>
      <c r="D263" s="24" t="s">
        <v>293</v>
      </c>
      <c r="E263" s="25">
        <v>11200003</v>
      </c>
      <c r="F263" s="25">
        <v>11031</v>
      </c>
      <c r="G263" s="25">
        <v>1</v>
      </c>
      <c r="H263" s="25">
        <v>20</v>
      </c>
      <c r="I263" s="29">
        <v>0.2</v>
      </c>
      <c r="J263" s="30">
        <v>5</v>
      </c>
      <c r="K263" s="25">
        <v>0</v>
      </c>
      <c r="L263" s="25">
        <v>640</v>
      </c>
      <c r="M263" s="25">
        <f t="shared" si="16"/>
        <v>5</v>
      </c>
      <c r="N263" s="25">
        <v>9</v>
      </c>
      <c r="O263" s="25">
        <v>0</v>
      </c>
      <c r="P263" s="25">
        <v>0</v>
      </c>
      <c r="Q263" s="25">
        <f t="shared" si="17"/>
        <v>10</v>
      </c>
      <c r="R263" s="25">
        <v>19</v>
      </c>
      <c r="S263" s="25">
        <f t="shared" si="18"/>
        <v>0</v>
      </c>
      <c r="T263" s="25">
        <v>0</v>
      </c>
      <c r="U263" s="29">
        <v>0</v>
      </c>
      <c r="V263" s="25">
        <v>0</v>
      </c>
      <c r="W263" s="25">
        <v>0</v>
      </c>
      <c r="X263" s="25">
        <v>0</v>
      </c>
      <c r="Y263" s="29">
        <v>0</v>
      </c>
      <c r="Z263" s="29">
        <v>0</v>
      </c>
      <c r="AA263" s="29">
        <v>0</v>
      </c>
      <c r="AB263" s="29">
        <v>0</v>
      </c>
      <c r="AC263" s="29">
        <v>0</v>
      </c>
      <c r="AD263" s="29">
        <v>0</v>
      </c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</row>
    <row r="264" spans="3:224" ht="20.100000000000001" customHeight="1">
      <c r="C264" s="24">
        <v>14030012</v>
      </c>
      <c r="D264" s="24" t="s">
        <v>294</v>
      </c>
      <c r="E264" s="25">
        <v>11200003</v>
      </c>
      <c r="F264" s="25">
        <v>11043</v>
      </c>
      <c r="G264" s="25">
        <v>1</v>
      </c>
      <c r="H264" s="25">
        <v>20</v>
      </c>
      <c r="I264" s="29">
        <v>0.2</v>
      </c>
      <c r="J264" s="30">
        <v>10</v>
      </c>
      <c r="K264" s="25">
        <v>0</v>
      </c>
      <c r="L264" s="25">
        <v>790</v>
      </c>
      <c r="M264" s="25">
        <f t="shared" si="16"/>
        <v>7</v>
      </c>
      <c r="N264" s="25">
        <v>14</v>
      </c>
      <c r="O264" s="25">
        <v>0</v>
      </c>
      <c r="P264" s="25">
        <v>0</v>
      </c>
      <c r="Q264" s="25">
        <f t="shared" si="17"/>
        <v>19</v>
      </c>
      <c r="R264" s="25">
        <v>38</v>
      </c>
      <c r="S264" s="25">
        <f t="shared" si="18"/>
        <v>0</v>
      </c>
      <c r="T264" s="25">
        <v>0</v>
      </c>
      <c r="U264" s="29">
        <v>0</v>
      </c>
      <c r="V264" s="25">
        <v>0</v>
      </c>
      <c r="W264" s="25">
        <v>0</v>
      </c>
      <c r="X264" s="25">
        <v>0</v>
      </c>
      <c r="Y264" s="29">
        <v>0</v>
      </c>
      <c r="Z264" s="29">
        <v>0</v>
      </c>
      <c r="AA264" s="29">
        <v>0</v>
      </c>
      <c r="AB264" s="29">
        <v>0</v>
      </c>
      <c r="AC264" s="29">
        <v>0</v>
      </c>
      <c r="AD264" s="29">
        <v>0</v>
      </c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</row>
    <row r="265" spans="3:224" s="3" customFormat="1" ht="20.100000000000001" customHeight="1">
      <c r="C265" s="26">
        <v>14030013</v>
      </c>
      <c r="D265" s="27" t="s">
        <v>295</v>
      </c>
      <c r="E265" s="28">
        <v>11200003</v>
      </c>
      <c r="F265" s="28">
        <v>11043</v>
      </c>
      <c r="G265" s="28">
        <v>1</v>
      </c>
      <c r="H265" s="28">
        <v>20</v>
      </c>
      <c r="I265" s="31">
        <v>0.2</v>
      </c>
      <c r="J265" s="32">
        <v>10</v>
      </c>
      <c r="K265" s="28">
        <v>0</v>
      </c>
      <c r="L265" s="28">
        <v>790</v>
      </c>
      <c r="M265" s="28">
        <f t="shared" ref="M265" si="22">ROUND(N265/2,0)</f>
        <v>7</v>
      </c>
      <c r="N265" s="28">
        <v>14</v>
      </c>
      <c r="O265" s="28">
        <v>0</v>
      </c>
      <c r="P265" s="28">
        <v>0</v>
      </c>
      <c r="Q265" s="28">
        <f t="shared" ref="Q265" si="23">ROUND(R265/2,0)</f>
        <v>19</v>
      </c>
      <c r="R265" s="28">
        <v>38</v>
      </c>
      <c r="S265" s="28">
        <f t="shared" ref="S265" si="24">ROUND(T265/2,0)</f>
        <v>0</v>
      </c>
      <c r="T265" s="28">
        <v>0</v>
      </c>
      <c r="U265" s="31">
        <v>0</v>
      </c>
      <c r="V265" s="28">
        <v>0</v>
      </c>
      <c r="W265" s="28">
        <v>0</v>
      </c>
      <c r="X265" s="28">
        <v>0</v>
      </c>
      <c r="Y265" s="31">
        <v>0</v>
      </c>
      <c r="Z265" s="31">
        <v>0</v>
      </c>
      <c r="AA265" s="31">
        <v>0</v>
      </c>
      <c r="AB265" s="31">
        <v>203601</v>
      </c>
      <c r="AC265" s="31">
        <v>500</v>
      </c>
      <c r="AD265" s="31">
        <v>1</v>
      </c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3"/>
      <c r="CI265" s="33"/>
      <c r="CJ265" s="33"/>
      <c r="CK265" s="33"/>
      <c r="CL265" s="33"/>
      <c r="CM265" s="33"/>
      <c r="CN265" s="33"/>
      <c r="CO265" s="33"/>
      <c r="CP265" s="33"/>
      <c r="CQ265" s="33"/>
      <c r="CR265" s="33"/>
      <c r="CS265" s="33"/>
      <c r="CT265" s="33"/>
      <c r="CU265" s="33"/>
      <c r="CV265" s="33"/>
      <c r="CW265" s="33"/>
      <c r="CX265" s="33"/>
      <c r="CY265" s="33"/>
      <c r="CZ265" s="33"/>
      <c r="DA265" s="33"/>
      <c r="DB265" s="33"/>
      <c r="DC265" s="33"/>
      <c r="DD265" s="33"/>
      <c r="DE265" s="33"/>
      <c r="DF265" s="33"/>
      <c r="DG265" s="33"/>
      <c r="DH265" s="33"/>
      <c r="DI265" s="33"/>
      <c r="DJ265" s="33"/>
      <c r="DK265" s="33"/>
      <c r="DL265" s="33"/>
      <c r="DM265" s="33"/>
      <c r="DN265" s="33"/>
      <c r="DO265" s="33"/>
      <c r="DP265" s="33"/>
      <c r="DQ265" s="33"/>
      <c r="DR265" s="33"/>
      <c r="DS265" s="33"/>
      <c r="DT265" s="33"/>
      <c r="DU265" s="33"/>
      <c r="DV265" s="33"/>
      <c r="DW265" s="33"/>
      <c r="DX265" s="33"/>
      <c r="DY265" s="33"/>
      <c r="DZ265" s="33"/>
      <c r="EA265" s="33"/>
      <c r="EB265" s="33"/>
      <c r="EC265" s="33"/>
      <c r="ED265" s="33"/>
      <c r="EE265" s="33"/>
      <c r="EF265" s="33"/>
      <c r="EG265" s="33"/>
      <c r="EH265" s="33"/>
      <c r="EI265" s="33"/>
      <c r="EJ265" s="33"/>
      <c r="EK265" s="33"/>
      <c r="EL265" s="33"/>
      <c r="EM265" s="33"/>
      <c r="EN265" s="33"/>
      <c r="EO265" s="33"/>
      <c r="EP265" s="33"/>
      <c r="EQ265" s="33"/>
      <c r="ER265" s="33"/>
      <c r="ES265" s="33"/>
      <c r="ET265" s="33"/>
      <c r="EU265" s="33"/>
      <c r="EV265" s="33"/>
      <c r="EW265" s="33"/>
      <c r="EX265" s="33"/>
      <c r="EY265" s="33"/>
      <c r="EZ265" s="33"/>
      <c r="FA265" s="33"/>
      <c r="FB265" s="33"/>
      <c r="FC265" s="33"/>
      <c r="FD265" s="33"/>
      <c r="FE265" s="33"/>
      <c r="FF265" s="33"/>
      <c r="FG265" s="33"/>
      <c r="FH265" s="33"/>
      <c r="FI265" s="33"/>
      <c r="FJ265" s="33"/>
      <c r="FK265" s="33"/>
      <c r="FL265" s="33"/>
      <c r="FM265" s="33"/>
      <c r="FN265" s="33"/>
      <c r="FO265" s="33"/>
      <c r="FP265" s="33"/>
      <c r="FQ265" s="33"/>
      <c r="FR265" s="33"/>
      <c r="FS265" s="33"/>
      <c r="FT265" s="33"/>
      <c r="FU265" s="33"/>
      <c r="FV265" s="33"/>
      <c r="FW265" s="33"/>
      <c r="FX265" s="33"/>
      <c r="FY265" s="33"/>
      <c r="FZ265" s="33"/>
      <c r="GA265" s="33"/>
      <c r="GB265" s="33"/>
      <c r="GC265" s="33"/>
      <c r="GD265" s="33"/>
      <c r="GE265" s="33"/>
      <c r="GF265" s="33"/>
      <c r="GG265" s="33"/>
      <c r="GH265" s="33"/>
      <c r="GI265" s="33"/>
      <c r="GJ265" s="33"/>
      <c r="GK265" s="33"/>
      <c r="GL265" s="33"/>
      <c r="GM265" s="33"/>
      <c r="GN265" s="33"/>
      <c r="GO265" s="33"/>
      <c r="GP265" s="33"/>
      <c r="GQ265" s="33"/>
      <c r="GR265" s="33"/>
      <c r="GS265" s="33"/>
      <c r="GT265" s="33"/>
      <c r="GU265" s="33"/>
      <c r="GV265" s="33"/>
      <c r="GW265" s="33"/>
      <c r="GX265" s="33"/>
      <c r="GY265" s="33"/>
      <c r="GZ265" s="33"/>
      <c r="HA265" s="33"/>
      <c r="HB265" s="33"/>
      <c r="HC265" s="33"/>
      <c r="HD265" s="33"/>
      <c r="HE265" s="33"/>
      <c r="HF265" s="33"/>
      <c r="HG265" s="33"/>
      <c r="HH265" s="33"/>
      <c r="HI265" s="33"/>
      <c r="HJ265" s="33"/>
      <c r="HK265" s="33"/>
      <c r="HL265" s="33"/>
      <c r="HM265" s="33"/>
      <c r="HN265" s="33"/>
      <c r="HO265" s="33"/>
      <c r="HP265" s="33"/>
    </row>
    <row r="266" spans="3:224" ht="20.100000000000001" customHeight="1">
      <c r="C266" s="24">
        <v>14040001</v>
      </c>
      <c r="D266" s="24" t="s">
        <v>296</v>
      </c>
      <c r="E266" s="25">
        <v>11200003</v>
      </c>
      <c r="F266" s="25">
        <v>0</v>
      </c>
      <c r="G266" s="25">
        <v>1</v>
      </c>
      <c r="H266" s="25">
        <v>20</v>
      </c>
      <c r="I266" s="29">
        <v>0.2</v>
      </c>
      <c r="J266" s="30">
        <v>5</v>
      </c>
      <c r="K266" s="25">
        <v>0</v>
      </c>
      <c r="L266" s="25">
        <v>0</v>
      </c>
      <c r="M266" s="25">
        <f t="shared" si="16"/>
        <v>6</v>
      </c>
      <c r="N266" s="25">
        <v>12</v>
      </c>
      <c r="O266" s="25">
        <v>0</v>
      </c>
      <c r="P266" s="25">
        <v>0</v>
      </c>
      <c r="Q266" s="25">
        <f t="shared" si="17"/>
        <v>0</v>
      </c>
      <c r="R266" s="25">
        <v>0</v>
      </c>
      <c r="S266" s="25">
        <f t="shared" si="18"/>
        <v>6</v>
      </c>
      <c r="T266" s="25">
        <v>12</v>
      </c>
      <c r="U266" s="29">
        <v>0</v>
      </c>
      <c r="V266" s="25">
        <v>0</v>
      </c>
      <c r="W266" s="25">
        <v>0</v>
      </c>
      <c r="X266" s="25">
        <v>0</v>
      </c>
      <c r="Y266" s="29">
        <v>0</v>
      </c>
      <c r="Z266" s="29">
        <v>0</v>
      </c>
      <c r="AA266" s="29">
        <v>0</v>
      </c>
      <c r="AB266" s="29">
        <v>0</v>
      </c>
      <c r="AC266" s="29">
        <v>0</v>
      </c>
      <c r="AD266" s="29">
        <v>0</v>
      </c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</row>
    <row r="267" spans="3:224" ht="20.100000000000001" customHeight="1">
      <c r="C267" s="24">
        <v>14040002</v>
      </c>
      <c r="D267" s="24" t="s">
        <v>297</v>
      </c>
      <c r="E267" s="25">
        <v>11200003</v>
      </c>
      <c r="F267" s="25">
        <v>0</v>
      </c>
      <c r="G267" s="25">
        <v>1</v>
      </c>
      <c r="H267" s="25">
        <v>20</v>
      </c>
      <c r="I267" s="29">
        <v>0.2</v>
      </c>
      <c r="J267" s="30">
        <v>5</v>
      </c>
      <c r="K267" s="25">
        <v>0</v>
      </c>
      <c r="L267" s="25">
        <v>0</v>
      </c>
      <c r="M267" s="25">
        <f t="shared" si="16"/>
        <v>10</v>
      </c>
      <c r="N267" s="25">
        <v>20</v>
      </c>
      <c r="O267" s="25">
        <v>0</v>
      </c>
      <c r="P267" s="25">
        <v>0</v>
      </c>
      <c r="Q267" s="25">
        <f t="shared" si="17"/>
        <v>0</v>
      </c>
      <c r="R267" s="25">
        <v>0</v>
      </c>
      <c r="S267" s="25">
        <f t="shared" si="18"/>
        <v>10</v>
      </c>
      <c r="T267" s="25">
        <v>20</v>
      </c>
      <c r="U267" s="29">
        <v>0</v>
      </c>
      <c r="V267" s="25">
        <v>0</v>
      </c>
      <c r="W267" s="25">
        <v>0</v>
      </c>
      <c r="X267" s="25">
        <v>0</v>
      </c>
      <c r="Y267" s="29">
        <v>0</v>
      </c>
      <c r="Z267" s="29">
        <v>0</v>
      </c>
      <c r="AA267" s="29">
        <v>0</v>
      </c>
      <c r="AB267" s="29">
        <v>0</v>
      </c>
      <c r="AC267" s="29">
        <v>0</v>
      </c>
      <c r="AD267" s="29">
        <v>0</v>
      </c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</row>
    <row r="268" spans="3:224" ht="20.100000000000001" customHeight="1">
      <c r="C268" s="24">
        <v>14040003</v>
      </c>
      <c r="D268" s="24" t="s">
        <v>298</v>
      </c>
      <c r="E268" s="25">
        <v>11200003</v>
      </c>
      <c r="F268" s="25">
        <v>11011</v>
      </c>
      <c r="G268" s="25">
        <v>1</v>
      </c>
      <c r="H268" s="25">
        <v>20</v>
      </c>
      <c r="I268" s="29">
        <v>0.2</v>
      </c>
      <c r="J268" s="30">
        <v>5</v>
      </c>
      <c r="K268" s="25">
        <v>0</v>
      </c>
      <c r="L268" s="25">
        <v>0</v>
      </c>
      <c r="M268" s="25">
        <f t="shared" si="16"/>
        <v>11</v>
      </c>
      <c r="N268" s="25">
        <v>22</v>
      </c>
      <c r="O268" s="25">
        <v>0</v>
      </c>
      <c r="P268" s="25">
        <v>0</v>
      </c>
      <c r="Q268" s="25">
        <f t="shared" si="17"/>
        <v>0</v>
      </c>
      <c r="R268" s="25">
        <v>0</v>
      </c>
      <c r="S268" s="25">
        <f t="shared" si="18"/>
        <v>12</v>
      </c>
      <c r="T268" s="25">
        <v>23</v>
      </c>
      <c r="U268" s="29">
        <v>0</v>
      </c>
      <c r="V268" s="25">
        <v>0</v>
      </c>
      <c r="W268" s="25">
        <v>0</v>
      </c>
      <c r="X268" s="25">
        <v>0</v>
      </c>
      <c r="Y268" s="29">
        <v>0</v>
      </c>
      <c r="Z268" s="29">
        <v>0</v>
      </c>
      <c r="AA268" s="29">
        <v>0</v>
      </c>
      <c r="AB268" s="29">
        <v>0</v>
      </c>
      <c r="AC268" s="29">
        <v>0</v>
      </c>
      <c r="AD268" s="29">
        <v>0</v>
      </c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</row>
    <row r="269" spans="3:224" ht="20.100000000000001" customHeight="1">
      <c r="C269" s="24">
        <v>14040004</v>
      </c>
      <c r="D269" s="24" t="s">
        <v>299</v>
      </c>
      <c r="E269" s="25">
        <v>11200003</v>
      </c>
      <c r="F269" s="25">
        <v>11041</v>
      </c>
      <c r="G269" s="25">
        <v>1</v>
      </c>
      <c r="H269" s="25">
        <v>20</v>
      </c>
      <c r="I269" s="29">
        <v>0.2</v>
      </c>
      <c r="J269" s="30">
        <v>10</v>
      </c>
      <c r="K269" s="25">
        <v>0</v>
      </c>
      <c r="L269" s="25">
        <v>0</v>
      </c>
      <c r="M269" s="25">
        <f t="shared" si="16"/>
        <v>14</v>
      </c>
      <c r="N269" s="25">
        <v>28</v>
      </c>
      <c r="O269" s="25">
        <v>0</v>
      </c>
      <c r="P269" s="25">
        <v>0</v>
      </c>
      <c r="Q269" s="25">
        <f t="shared" si="17"/>
        <v>0</v>
      </c>
      <c r="R269" s="25">
        <v>0</v>
      </c>
      <c r="S269" s="25">
        <f t="shared" si="18"/>
        <v>15</v>
      </c>
      <c r="T269" s="25">
        <v>30</v>
      </c>
      <c r="U269" s="29">
        <v>0</v>
      </c>
      <c r="V269" s="25">
        <v>0</v>
      </c>
      <c r="W269" s="25">
        <v>0</v>
      </c>
      <c r="X269" s="25">
        <v>0</v>
      </c>
      <c r="Y269" s="29">
        <v>0</v>
      </c>
      <c r="Z269" s="29">
        <v>0</v>
      </c>
      <c r="AA269" s="29">
        <v>0</v>
      </c>
      <c r="AB269" s="29">
        <v>0</v>
      </c>
      <c r="AC269" s="29">
        <v>0</v>
      </c>
      <c r="AD269" s="29">
        <v>0</v>
      </c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</row>
    <row r="270" spans="3:224" ht="20.100000000000001" customHeight="1">
      <c r="C270" s="24">
        <v>14040005</v>
      </c>
      <c r="D270" s="24" t="s">
        <v>300</v>
      </c>
      <c r="E270" s="25">
        <v>11200003</v>
      </c>
      <c r="F270" s="25">
        <v>0</v>
      </c>
      <c r="G270" s="25">
        <v>1</v>
      </c>
      <c r="H270" s="25">
        <v>20</v>
      </c>
      <c r="I270" s="29">
        <v>0.2</v>
      </c>
      <c r="J270" s="30">
        <v>5</v>
      </c>
      <c r="K270" s="25">
        <v>0</v>
      </c>
      <c r="L270" s="25">
        <v>0</v>
      </c>
      <c r="M270" s="25">
        <f t="shared" si="16"/>
        <v>8</v>
      </c>
      <c r="N270" s="25">
        <v>16</v>
      </c>
      <c r="O270" s="25">
        <v>0</v>
      </c>
      <c r="P270" s="25">
        <v>0</v>
      </c>
      <c r="Q270" s="25">
        <f t="shared" si="17"/>
        <v>0</v>
      </c>
      <c r="R270" s="25">
        <v>0</v>
      </c>
      <c r="S270" s="25">
        <f t="shared" si="18"/>
        <v>5</v>
      </c>
      <c r="T270" s="25">
        <v>9</v>
      </c>
      <c r="U270" s="29">
        <v>0</v>
      </c>
      <c r="V270" s="25">
        <v>0</v>
      </c>
      <c r="W270" s="25">
        <v>0</v>
      </c>
      <c r="X270" s="25">
        <v>0</v>
      </c>
      <c r="Y270" s="29">
        <v>0</v>
      </c>
      <c r="Z270" s="29">
        <v>0</v>
      </c>
      <c r="AA270" s="29">
        <v>0</v>
      </c>
      <c r="AB270" s="29">
        <v>0</v>
      </c>
      <c r="AC270" s="29">
        <v>0</v>
      </c>
      <c r="AD270" s="29">
        <v>0</v>
      </c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</row>
    <row r="271" spans="3:224" ht="20.100000000000001" customHeight="1">
      <c r="C271" s="24">
        <v>14040006</v>
      </c>
      <c r="D271" s="24" t="s">
        <v>301</v>
      </c>
      <c r="E271" s="25">
        <v>11200003</v>
      </c>
      <c r="F271" s="25">
        <v>0</v>
      </c>
      <c r="G271" s="25">
        <v>1</v>
      </c>
      <c r="H271" s="25">
        <v>20</v>
      </c>
      <c r="I271" s="29">
        <v>0.2</v>
      </c>
      <c r="J271" s="30">
        <v>5</v>
      </c>
      <c r="K271" s="25">
        <v>0</v>
      </c>
      <c r="L271" s="25">
        <v>0</v>
      </c>
      <c r="M271" s="25">
        <f t="shared" si="16"/>
        <v>14</v>
      </c>
      <c r="N271" s="25">
        <v>27</v>
      </c>
      <c r="O271" s="25">
        <v>0</v>
      </c>
      <c r="P271" s="25">
        <v>0</v>
      </c>
      <c r="Q271" s="25">
        <f t="shared" si="17"/>
        <v>0</v>
      </c>
      <c r="R271" s="25">
        <v>0</v>
      </c>
      <c r="S271" s="25">
        <f t="shared" si="18"/>
        <v>8</v>
      </c>
      <c r="T271" s="25">
        <v>15</v>
      </c>
      <c r="U271" s="29">
        <v>0</v>
      </c>
      <c r="V271" s="25">
        <v>0</v>
      </c>
      <c r="W271" s="25">
        <v>0</v>
      </c>
      <c r="X271" s="25">
        <v>0</v>
      </c>
      <c r="Y271" s="29">
        <v>0</v>
      </c>
      <c r="Z271" s="29">
        <v>0</v>
      </c>
      <c r="AA271" s="29">
        <v>0</v>
      </c>
      <c r="AB271" s="29">
        <v>0</v>
      </c>
      <c r="AC271" s="29">
        <v>0</v>
      </c>
      <c r="AD271" s="29">
        <v>0</v>
      </c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</row>
    <row r="272" spans="3:224" ht="20.100000000000001" customHeight="1">
      <c r="C272" s="24">
        <v>14040007</v>
      </c>
      <c r="D272" s="24" t="s">
        <v>302</v>
      </c>
      <c r="E272" s="25">
        <v>11200003</v>
      </c>
      <c r="F272" s="25">
        <v>11021</v>
      </c>
      <c r="G272" s="25">
        <v>1</v>
      </c>
      <c r="H272" s="25">
        <v>20</v>
      </c>
      <c r="I272" s="29">
        <v>0.2</v>
      </c>
      <c r="J272" s="30">
        <v>5</v>
      </c>
      <c r="K272" s="25">
        <v>0</v>
      </c>
      <c r="L272" s="25">
        <v>0</v>
      </c>
      <c r="M272" s="25">
        <f t="shared" si="16"/>
        <v>15</v>
      </c>
      <c r="N272" s="25">
        <v>30</v>
      </c>
      <c r="O272" s="25">
        <v>0</v>
      </c>
      <c r="P272" s="25">
        <v>0</v>
      </c>
      <c r="Q272" s="25">
        <f t="shared" si="17"/>
        <v>0</v>
      </c>
      <c r="R272" s="25">
        <v>0</v>
      </c>
      <c r="S272" s="25">
        <f t="shared" si="18"/>
        <v>9</v>
      </c>
      <c r="T272" s="25">
        <v>17</v>
      </c>
      <c r="U272" s="29">
        <v>0</v>
      </c>
      <c r="V272" s="25">
        <v>0</v>
      </c>
      <c r="W272" s="25">
        <v>0</v>
      </c>
      <c r="X272" s="25">
        <v>0</v>
      </c>
      <c r="Y272" s="29">
        <v>0</v>
      </c>
      <c r="Z272" s="29">
        <v>0</v>
      </c>
      <c r="AA272" s="29">
        <v>0</v>
      </c>
      <c r="AB272" s="29">
        <v>0</v>
      </c>
      <c r="AC272" s="29">
        <v>0</v>
      </c>
      <c r="AD272" s="29">
        <v>0</v>
      </c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</row>
    <row r="273" spans="3:224" ht="20.100000000000001" customHeight="1">
      <c r="C273" s="24">
        <v>14040008</v>
      </c>
      <c r="D273" s="24" t="s">
        <v>303</v>
      </c>
      <c r="E273" s="25">
        <v>11200003</v>
      </c>
      <c r="F273" s="25">
        <v>11042</v>
      </c>
      <c r="G273" s="25">
        <v>1</v>
      </c>
      <c r="H273" s="25">
        <v>20</v>
      </c>
      <c r="I273" s="29">
        <v>0.2</v>
      </c>
      <c r="J273" s="30">
        <v>10</v>
      </c>
      <c r="K273" s="25">
        <v>0</v>
      </c>
      <c r="L273" s="25">
        <v>0</v>
      </c>
      <c r="M273" s="25">
        <f t="shared" si="16"/>
        <v>19</v>
      </c>
      <c r="N273" s="25">
        <v>38</v>
      </c>
      <c r="O273" s="25">
        <v>0</v>
      </c>
      <c r="P273" s="25">
        <v>0</v>
      </c>
      <c r="Q273" s="25">
        <f t="shared" si="17"/>
        <v>0</v>
      </c>
      <c r="R273" s="25">
        <v>0</v>
      </c>
      <c r="S273" s="25">
        <f t="shared" si="18"/>
        <v>12</v>
      </c>
      <c r="T273" s="25">
        <v>23</v>
      </c>
      <c r="U273" s="29">
        <v>0</v>
      </c>
      <c r="V273" s="25">
        <v>0</v>
      </c>
      <c r="W273" s="25">
        <v>0</v>
      </c>
      <c r="X273" s="25">
        <v>0</v>
      </c>
      <c r="Y273" s="29">
        <v>0</v>
      </c>
      <c r="Z273" s="29">
        <v>0</v>
      </c>
      <c r="AA273" s="29">
        <v>0</v>
      </c>
      <c r="AB273" s="29">
        <v>0</v>
      </c>
      <c r="AC273" s="29">
        <v>0</v>
      </c>
      <c r="AD273" s="29">
        <v>0</v>
      </c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  <c r="HP273" s="5"/>
    </row>
    <row r="274" spans="3:224" ht="20.100000000000001" customHeight="1">
      <c r="C274" s="24">
        <v>14040009</v>
      </c>
      <c r="D274" s="24" t="s">
        <v>304</v>
      </c>
      <c r="E274" s="25">
        <v>11200003</v>
      </c>
      <c r="F274" s="25">
        <v>0</v>
      </c>
      <c r="G274" s="25">
        <v>1</v>
      </c>
      <c r="H274" s="25">
        <v>20</v>
      </c>
      <c r="I274" s="29">
        <v>0.2</v>
      </c>
      <c r="J274" s="30">
        <v>5</v>
      </c>
      <c r="K274" s="25">
        <v>0</v>
      </c>
      <c r="L274" s="25">
        <v>0</v>
      </c>
      <c r="M274" s="25">
        <f t="shared" si="16"/>
        <v>5</v>
      </c>
      <c r="N274" s="25">
        <v>9</v>
      </c>
      <c r="O274" s="25">
        <v>0</v>
      </c>
      <c r="P274" s="25">
        <v>0</v>
      </c>
      <c r="Q274" s="25">
        <f t="shared" si="17"/>
        <v>0</v>
      </c>
      <c r="R274" s="25">
        <v>0</v>
      </c>
      <c r="S274" s="25">
        <f t="shared" si="18"/>
        <v>8</v>
      </c>
      <c r="T274" s="25">
        <v>15</v>
      </c>
      <c r="U274" s="29">
        <v>0</v>
      </c>
      <c r="V274" s="25">
        <v>0</v>
      </c>
      <c r="W274" s="25">
        <v>0</v>
      </c>
      <c r="X274" s="25">
        <v>0</v>
      </c>
      <c r="Y274" s="29">
        <v>0</v>
      </c>
      <c r="Z274" s="29">
        <v>0</v>
      </c>
      <c r="AA274" s="29">
        <v>0</v>
      </c>
      <c r="AB274" s="29">
        <v>0</v>
      </c>
      <c r="AC274" s="29">
        <v>0</v>
      </c>
      <c r="AD274" s="29">
        <v>0</v>
      </c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</row>
    <row r="275" spans="3:224" ht="20.100000000000001" customHeight="1">
      <c r="C275" s="24">
        <v>14040010</v>
      </c>
      <c r="D275" s="24" t="s">
        <v>305</v>
      </c>
      <c r="E275" s="25">
        <v>11200003</v>
      </c>
      <c r="F275" s="25">
        <v>0</v>
      </c>
      <c r="G275" s="25">
        <v>1</v>
      </c>
      <c r="H275" s="25">
        <v>20</v>
      </c>
      <c r="I275" s="29">
        <v>0.2</v>
      </c>
      <c r="J275" s="30">
        <v>5</v>
      </c>
      <c r="K275" s="25">
        <v>0</v>
      </c>
      <c r="L275" s="25">
        <v>0</v>
      </c>
      <c r="M275" s="25">
        <f t="shared" si="16"/>
        <v>8</v>
      </c>
      <c r="N275" s="25">
        <v>15</v>
      </c>
      <c r="O275" s="25">
        <v>0</v>
      </c>
      <c r="P275" s="25">
        <v>0</v>
      </c>
      <c r="Q275" s="25">
        <f t="shared" si="17"/>
        <v>0</v>
      </c>
      <c r="R275" s="25">
        <v>0</v>
      </c>
      <c r="S275" s="25">
        <f t="shared" si="18"/>
        <v>13</v>
      </c>
      <c r="T275" s="25">
        <v>25</v>
      </c>
      <c r="U275" s="29">
        <v>0</v>
      </c>
      <c r="V275" s="25">
        <v>0</v>
      </c>
      <c r="W275" s="25">
        <v>0</v>
      </c>
      <c r="X275" s="25">
        <v>0</v>
      </c>
      <c r="Y275" s="29">
        <v>0</v>
      </c>
      <c r="Z275" s="29">
        <v>0</v>
      </c>
      <c r="AA275" s="29">
        <v>0</v>
      </c>
      <c r="AB275" s="29">
        <v>0</v>
      </c>
      <c r="AC275" s="29">
        <v>0</v>
      </c>
      <c r="AD275" s="29">
        <v>0</v>
      </c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</row>
    <row r="276" spans="3:224" ht="20.100000000000001" customHeight="1">
      <c r="C276" s="24">
        <v>14040011</v>
      </c>
      <c r="D276" s="24" t="s">
        <v>306</v>
      </c>
      <c r="E276" s="25">
        <v>11200003</v>
      </c>
      <c r="F276" s="25">
        <v>11031</v>
      </c>
      <c r="G276" s="25">
        <v>1</v>
      </c>
      <c r="H276" s="25">
        <v>20</v>
      </c>
      <c r="I276" s="29">
        <v>0.2</v>
      </c>
      <c r="J276" s="30">
        <v>5</v>
      </c>
      <c r="K276" s="25">
        <v>0</v>
      </c>
      <c r="L276" s="25">
        <v>0</v>
      </c>
      <c r="M276" s="25">
        <f t="shared" si="16"/>
        <v>9</v>
      </c>
      <c r="N276" s="25">
        <v>17</v>
      </c>
      <c r="O276" s="25">
        <v>0</v>
      </c>
      <c r="P276" s="25">
        <v>0</v>
      </c>
      <c r="Q276" s="25">
        <f t="shared" si="17"/>
        <v>0</v>
      </c>
      <c r="R276" s="25">
        <v>0</v>
      </c>
      <c r="S276" s="25">
        <f t="shared" si="18"/>
        <v>15</v>
      </c>
      <c r="T276" s="25">
        <v>29</v>
      </c>
      <c r="U276" s="29">
        <v>0</v>
      </c>
      <c r="V276" s="25">
        <v>0</v>
      </c>
      <c r="W276" s="25">
        <v>0</v>
      </c>
      <c r="X276" s="25">
        <v>0</v>
      </c>
      <c r="Y276" s="29">
        <v>0</v>
      </c>
      <c r="Z276" s="29">
        <v>0</v>
      </c>
      <c r="AA276" s="29">
        <v>0</v>
      </c>
      <c r="AB276" s="29">
        <v>0</v>
      </c>
      <c r="AC276" s="29">
        <v>0</v>
      </c>
      <c r="AD276" s="29">
        <v>0</v>
      </c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  <c r="HP276" s="5"/>
    </row>
    <row r="277" spans="3:224" ht="20.100000000000001" customHeight="1">
      <c r="C277" s="24">
        <v>14040012</v>
      </c>
      <c r="D277" s="24" t="s">
        <v>307</v>
      </c>
      <c r="E277" s="25">
        <v>11200003</v>
      </c>
      <c r="F277" s="25">
        <v>11043</v>
      </c>
      <c r="G277" s="25">
        <v>1</v>
      </c>
      <c r="H277" s="25">
        <v>20</v>
      </c>
      <c r="I277" s="29">
        <v>0.2</v>
      </c>
      <c r="J277" s="30">
        <v>10</v>
      </c>
      <c r="K277" s="25">
        <v>0</v>
      </c>
      <c r="L277" s="25">
        <v>0</v>
      </c>
      <c r="M277" s="25">
        <f t="shared" si="16"/>
        <v>11</v>
      </c>
      <c r="N277" s="25">
        <v>21</v>
      </c>
      <c r="O277" s="25">
        <v>0</v>
      </c>
      <c r="P277" s="25">
        <v>0</v>
      </c>
      <c r="Q277" s="25">
        <f t="shared" si="17"/>
        <v>0</v>
      </c>
      <c r="R277" s="25">
        <v>0</v>
      </c>
      <c r="S277" s="25">
        <f t="shared" si="18"/>
        <v>19</v>
      </c>
      <c r="T277" s="25">
        <v>38</v>
      </c>
      <c r="U277" s="29">
        <v>0</v>
      </c>
      <c r="V277" s="25">
        <v>0</v>
      </c>
      <c r="W277" s="25">
        <v>0</v>
      </c>
      <c r="X277" s="25">
        <v>0</v>
      </c>
      <c r="Y277" s="29">
        <v>0</v>
      </c>
      <c r="Z277" s="29">
        <v>0</v>
      </c>
      <c r="AA277" s="29">
        <v>0</v>
      </c>
      <c r="AB277" s="29">
        <v>0</v>
      </c>
      <c r="AC277" s="29">
        <v>0</v>
      </c>
      <c r="AD277" s="29">
        <v>0</v>
      </c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/>
      <c r="HK277" s="5"/>
      <c r="HL277" s="5"/>
      <c r="HM277" s="5"/>
      <c r="HN277" s="5"/>
      <c r="HO277" s="5"/>
      <c r="HP277" s="5"/>
    </row>
    <row r="278" spans="3:224" s="4" customFormat="1" ht="20.100000000000001" customHeight="1">
      <c r="C278" s="34">
        <v>14050001</v>
      </c>
      <c r="D278" s="34" t="s">
        <v>308</v>
      </c>
      <c r="E278" s="35">
        <v>11200003</v>
      </c>
      <c r="F278" s="35">
        <v>0</v>
      </c>
      <c r="G278" s="35">
        <v>1</v>
      </c>
      <c r="H278" s="35">
        <v>20</v>
      </c>
      <c r="I278" s="37">
        <v>0.2</v>
      </c>
      <c r="J278" s="38">
        <v>5</v>
      </c>
      <c r="K278" s="35">
        <v>0</v>
      </c>
      <c r="L278" s="35">
        <v>550</v>
      </c>
      <c r="M278" s="35">
        <f t="shared" si="16"/>
        <v>8</v>
      </c>
      <c r="N278" s="35">
        <v>15</v>
      </c>
      <c r="O278" s="35">
        <v>0</v>
      </c>
      <c r="P278" s="35">
        <v>0</v>
      </c>
      <c r="Q278" s="35">
        <f t="shared" si="17"/>
        <v>3</v>
      </c>
      <c r="R278" s="35">
        <v>5</v>
      </c>
      <c r="S278" s="35">
        <f t="shared" si="18"/>
        <v>3</v>
      </c>
      <c r="T278" s="35">
        <v>5</v>
      </c>
      <c r="U278" s="37">
        <v>0</v>
      </c>
      <c r="V278" s="35">
        <v>0</v>
      </c>
      <c r="W278" s="35">
        <v>0</v>
      </c>
      <c r="X278" s="35">
        <v>0</v>
      </c>
      <c r="Y278" s="37">
        <v>0</v>
      </c>
      <c r="Z278" s="37">
        <v>0</v>
      </c>
      <c r="AA278" s="37">
        <v>0</v>
      </c>
      <c r="AB278" s="37">
        <v>0</v>
      </c>
      <c r="AC278" s="37">
        <v>0</v>
      </c>
      <c r="AD278" s="37">
        <v>0</v>
      </c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39"/>
      <c r="DD278" s="39"/>
      <c r="DE278" s="39"/>
      <c r="DF278" s="39"/>
      <c r="DG278" s="39"/>
      <c r="DH278" s="39"/>
      <c r="DI278" s="39"/>
      <c r="DJ278" s="39"/>
      <c r="DK278" s="39"/>
      <c r="DL278" s="39"/>
      <c r="DM278" s="39"/>
      <c r="DN278" s="39"/>
      <c r="DO278" s="39"/>
      <c r="DP278" s="39"/>
      <c r="DQ278" s="39"/>
      <c r="DR278" s="39"/>
      <c r="DS278" s="39"/>
      <c r="DT278" s="39"/>
      <c r="DU278" s="39"/>
      <c r="DV278" s="39"/>
      <c r="DW278" s="39"/>
      <c r="DX278" s="39"/>
      <c r="DY278" s="39"/>
      <c r="DZ278" s="39"/>
      <c r="EA278" s="39"/>
      <c r="EB278" s="39"/>
      <c r="EC278" s="39"/>
      <c r="ED278" s="39"/>
      <c r="EE278" s="39"/>
      <c r="EF278" s="39"/>
      <c r="EG278" s="39"/>
      <c r="EH278" s="39"/>
      <c r="EI278" s="39"/>
      <c r="EJ278" s="39"/>
      <c r="EK278" s="39"/>
      <c r="EL278" s="39"/>
      <c r="EM278" s="39"/>
      <c r="EN278" s="39"/>
      <c r="EO278" s="39"/>
      <c r="EP278" s="39"/>
      <c r="EQ278" s="39"/>
      <c r="ER278" s="39"/>
      <c r="ES278" s="39"/>
      <c r="ET278" s="39"/>
      <c r="EU278" s="39"/>
      <c r="EV278" s="39"/>
      <c r="EW278" s="39"/>
      <c r="EX278" s="39"/>
      <c r="EY278" s="39"/>
      <c r="EZ278" s="39"/>
      <c r="FA278" s="39"/>
      <c r="FB278" s="39"/>
      <c r="FC278" s="39"/>
      <c r="FD278" s="39"/>
      <c r="FE278" s="39"/>
      <c r="FF278" s="39"/>
      <c r="FG278" s="39"/>
      <c r="FH278" s="39"/>
      <c r="FI278" s="39"/>
      <c r="FJ278" s="39"/>
      <c r="FK278" s="39"/>
      <c r="FL278" s="39"/>
      <c r="FM278" s="39"/>
      <c r="FN278" s="39"/>
      <c r="FO278" s="39"/>
      <c r="FP278" s="39"/>
      <c r="FQ278" s="39"/>
      <c r="FR278" s="39"/>
      <c r="FS278" s="39"/>
      <c r="FT278" s="39"/>
      <c r="FU278" s="39"/>
      <c r="FV278" s="39"/>
      <c r="FW278" s="39"/>
      <c r="FX278" s="39"/>
      <c r="FY278" s="39"/>
      <c r="FZ278" s="39"/>
      <c r="GA278" s="39"/>
      <c r="GB278" s="39"/>
      <c r="GC278" s="39"/>
      <c r="GD278" s="39"/>
      <c r="GE278" s="39"/>
      <c r="GF278" s="39"/>
      <c r="GG278" s="39"/>
      <c r="GH278" s="39"/>
      <c r="GI278" s="39"/>
      <c r="GJ278" s="39"/>
      <c r="GK278" s="39"/>
      <c r="GL278" s="39"/>
      <c r="GM278" s="39"/>
      <c r="GN278" s="39"/>
      <c r="GO278" s="39"/>
      <c r="GP278" s="39"/>
      <c r="GQ278" s="39"/>
      <c r="GR278" s="39"/>
      <c r="GS278" s="39"/>
      <c r="GT278" s="39"/>
      <c r="GU278" s="39"/>
      <c r="GV278" s="39"/>
      <c r="GW278" s="39"/>
      <c r="GX278" s="39"/>
      <c r="GY278" s="39"/>
      <c r="GZ278" s="39"/>
      <c r="HA278" s="39"/>
      <c r="HB278" s="39"/>
      <c r="HC278" s="39"/>
      <c r="HD278" s="39"/>
      <c r="HE278" s="39"/>
      <c r="HF278" s="39"/>
      <c r="HG278" s="39"/>
      <c r="HH278" s="39"/>
      <c r="HI278" s="39"/>
      <c r="HJ278" s="39"/>
      <c r="HK278" s="39"/>
      <c r="HL278" s="39"/>
      <c r="HM278" s="39"/>
      <c r="HN278" s="39"/>
      <c r="HO278" s="39"/>
      <c r="HP278" s="39"/>
    </row>
    <row r="279" spans="3:224" s="4" customFormat="1" ht="20.100000000000001" customHeight="1">
      <c r="C279" s="34">
        <v>14050002</v>
      </c>
      <c r="D279" s="34" t="s">
        <v>309</v>
      </c>
      <c r="E279" s="35">
        <v>11200003</v>
      </c>
      <c r="F279" s="35">
        <v>0</v>
      </c>
      <c r="G279" s="35">
        <v>1</v>
      </c>
      <c r="H279" s="35">
        <v>20</v>
      </c>
      <c r="I279" s="37">
        <v>0.2</v>
      </c>
      <c r="J279" s="38">
        <v>5</v>
      </c>
      <c r="K279" s="35">
        <v>0</v>
      </c>
      <c r="L279" s="35">
        <v>920</v>
      </c>
      <c r="M279" s="35">
        <f t="shared" si="16"/>
        <v>14</v>
      </c>
      <c r="N279" s="35">
        <v>28</v>
      </c>
      <c r="O279" s="35">
        <v>0</v>
      </c>
      <c r="P279" s="35">
        <v>0</v>
      </c>
      <c r="Q279" s="35">
        <f t="shared" si="17"/>
        <v>4</v>
      </c>
      <c r="R279" s="35">
        <v>8</v>
      </c>
      <c r="S279" s="35">
        <f t="shared" si="18"/>
        <v>4</v>
      </c>
      <c r="T279" s="35">
        <v>8</v>
      </c>
      <c r="U279" s="37">
        <v>0</v>
      </c>
      <c r="V279" s="35">
        <v>0</v>
      </c>
      <c r="W279" s="35">
        <v>0</v>
      </c>
      <c r="X279" s="35">
        <v>0</v>
      </c>
      <c r="Y279" s="37">
        <v>0</v>
      </c>
      <c r="Z279" s="37">
        <v>0</v>
      </c>
      <c r="AA279" s="37">
        <v>0</v>
      </c>
      <c r="AB279" s="37">
        <v>0</v>
      </c>
      <c r="AC279" s="37">
        <v>0</v>
      </c>
      <c r="AD279" s="37">
        <v>0</v>
      </c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  <c r="DF279" s="39"/>
      <c r="DG279" s="39"/>
      <c r="DH279" s="39"/>
      <c r="DI279" s="39"/>
      <c r="DJ279" s="39"/>
      <c r="DK279" s="39"/>
      <c r="DL279" s="39"/>
      <c r="DM279" s="39"/>
      <c r="DN279" s="39"/>
      <c r="DO279" s="39"/>
      <c r="DP279" s="39"/>
      <c r="DQ279" s="39"/>
      <c r="DR279" s="39"/>
      <c r="DS279" s="39"/>
      <c r="DT279" s="39"/>
      <c r="DU279" s="39"/>
      <c r="DV279" s="39"/>
      <c r="DW279" s="39"/>
      <c r="DX279" s="39"/>
      <c r="DY279" s="39"/>
      <c r="DZ279" s="39"/>
      <c r="EA279" s="39"/>
      <c r="EB279" s="39"/>
      <c r="EC279" s="39"/>
      <c r="ED279" s="39"/>
      <c r="EE279" s="39"/>
      <c r="EF279" s="39"/>
      <c r="EG279" s="39"/>
      <c r="EH279" s="39"/>
      <c r="EI279" s="39"/>
      <c r="EJ279" s="39"/>
      <c r="EK279" s="39"/>
      <c r="EL279" s="39"/>
      <c r="EM279" s="39"/>
      <c r="EN279" s="39"/>
      <c r="EO279" s="39"/>
      <c r="EP279" s="39"/>
      <c r="EQ279" s="39"/>
      <c r="ER279" s="39"/>
      <c r="ES279" s="39"/>
      <c r="ET279" s="39"/>
      <c r="EU279" s="39"/>
      <c r="EV279" s="39"/>
      <c r="EW279" s="39"/>
      <c r="EX279" s="39"/>
      <c r="EY279" s="39"/>
      <c r="EZ279" s="39"/>
      <c r="FA279" s="39"/>
      <c r="FB279" s="39"/>
      <c r="FC279" s="39"/>
      <c r="FD279" s="39"/>
      <c r="FE279" s="39"/>
      <c r="FF279" s="39"/>
      <c r="FG279" s="39"/>
      <c r="FH279" s="39"/>
      <c r="FI279" s="39"/>
      <c r="FJ279" s="39"/>
      <c r="FK279" s="39"/>
      <c r="FL279" s="39"/>
      <c r="FM279" s="39"/>
      <c r="FN279" s="39"/>
      <c r="FO279" s="39"/>
      <c r="FP279" s="39"/>
      <c r="FQ279" s="39"/>
      <c r="FR279" s="39"/>
      <c r="FS279" s="39"/>
      <c r="FT279" s="39"/>
      <c r="FU279" s="39"/>
      <c r="FV279" s="39"/>
      <c r="FW279" s="39"/>
      <c r="FX279" s="39"/>
      <c r="FY279" s="39"/>
      <c r="FZ279" s="39"/>
      <c r="GA279" s="39"/>
      <c r="GB279" s="39"/>
      <c r="GC279" s="39"/>
      <c r="GD279" s="39"/>
      <c r="GE279" s="39"/>
      <c r="GF279" s="39"/>
      <c r="GG279" s="39"/>
      <c r="GH279" s="39"/>
      <c r="GI279" s="39"/>
      <c r="GJ279" s="39"/>
      <c r="GK279" s="39"/>
      <c r="GL279" s="39"/>
      <c r="GM279" s="39"/>
      <c r="GN279" s="39"/>
      <c r="GO279" s="39"/>
      <c r="GP279" s="39"/>
      <c r="GQ279" s="39"/>
      <c r="GR279" s="39"/>
      <c r="GS279" s="39"/>
      <c r="GT279" s="39"/>
      <c r="GU279" s="39"/>
      <c r="GV279" s="39"/>
      <c r="GW279" s="39"/>
      <c r="GX279" s="39"/>
      <c r="GY279" s="39"/>
      <c r="GZ279" s="39"/>
      <c r="HA279" s="39"/>
      <c r="HB279" s="39"/>
      <c r="HC279" s="39"/>
      <c r="HD279" s="39"/>
      <c r="HE279" s="39"/>
      <c r="HF279" s="39"/>
      <c r="HG279" s="39"/>
      <c r="HH279" s="39"/>
      <c r="HI279" s="39"/>
      <c r="HJ279" s="39"/>
      <c r="HK279" s="39"/>
      <c r="HL279" s="39"/>
      <c r="HM279" s="39"/>
      <c r="HN279" s="39"/>
      <c r="HO279" s="39"/>
      <c r="HP279" s="39"/>
    </row>
    <row r="280" spans="3:224" s="4" customFormat="1" ht="20.100000000000001" customHeight="1">
      <c r="C280" s="34">
        <v>14050003</v>
      </c>
      <c r="D280" s="34" t="s">
        <v>310</v>
      </c>
      <c r="E280" s="35">
        <v>11200003</v>
      </c>
      <c r="F280" s="35">
        <v>11012</v>
      </c>
      <c r="G280" s="35">
        <v>1</v>
      </c>
      <c r="H280" s="35">
        <v>20</v>
      </c>
      <c r="I280" s="37">
        <v>0.2</v>
      </c>
      <c r="J280" s="38">
        <v>5</v>
      </c>
      <c r="K280" s="35">
        <v>0</v>
      </c>
      <c r="L280" s="35">
        <v>1050</v>
      </c>
      <c r="M280" s="35">
        <f t="shared" si="16"/>
        <v>16</v>
      </c>
      <c r="N280" s="35">
        <v>32</v>
      </c>
      <c r="O280" s="35">
        <v>0</v>
      </c>
      <c r="P280" s="35">
        <v>0</v>
      </c>
      <c r="Q280" s="35">
        <f t="shared" si="17"/>
        <v>5</v>
      </c>
      <c r="R280" s="35">
        <v>10</v>
      </c>
      <c r="S280" s="35">
        <f t="shared" si="18"/>
        <v>5</v>
      </c>
      <c r="T280" s="35">
        <v>10</v>
      </c>
      <c r="U280" s="37">
        <v>0</v>
      </c>
      <c r="V280" s="35">
        <v>0</v>
      </c>
      <c r="W280" s="35">
        <v>0</v>
      </c>
      <c r="X280" s="35">
        <v>0</v>
      </c>
      <c r="Y280" s="37">
        <v>0</v>
      </c>
      <c r="Z280" s="37">
        <v>0</v>
      </c>
      <c r="AA280" s="37">
        <v>0</v>
      </c>
      <c r="AB280" s="37">
        <v>0</v>
      </c>
      <c r="AC280" s="37">
        <v>0</v>
      </c>
      <c r="AD280" s="37">
        <v>0</v>
      </c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/>
      <c r="DD280" s="39"/>
      <c r="DE280" s="39"/>
      <c r="DF280" s="39"/>
      <c r="DG280" s="39"/>
      <c r="DH280" s="39"/>
      <c r="DI280" s="39"/>
      <c r="DJ280" s="39"/>
      <c r="DK280" s="39"/>
      <c r="DL280" s="39"/>
      <c r="DM280" s="39"/>
      <c r="DN280" s="39"/>
      <c r="DO280" s="39"/>
      <c r="DP280" s="39"/>
      <c r="DQ280" s="39"/>
      <c r="DR280" s="39"/>
      <c r="DS280" s="39"/>
      <c r="DT280" s="39"/>
      <c r="DU280" s="39"/>
      <c r="DV280" s="39"/>
      <c r="DW280" s="39"/>
      <c r="DX280" s="39"/>
      <c r="DY280" s="39"/>
      <c r="DZ280" s="39"/>
      <c r="EA280" s="39"/>
      <c r="EB280" s="39"/>
      <c r="EC280" s="39"/>
      <c r="ED280" s="39"/>
      <c r="EE280" s="39"/>
      <c r="EF280" s="39"/>
      <c r="EG280" s="39"/>
      <c r="EH280" s="39"/>
      <c r="EI280" s="39"/>
      <c r="EJ280" s="39"/>
      <c r="EK280" s="39"/>
      <c r="EL280" s="39"/>
      <c r="EM280" s="39"/>
      <c r="EN280" s="39"/>
      <c r="EO280" s="39"/>
      <c r="EP280" s="39"/>
      <c r="EQ280" s="39"/>
      <c r="ER280" s="39"/>
      <c r="ES280" s="39"/>
      <c r="ET280" s="39"/>
      <c r="EU280" s="39"/>
      <c r="EV280" s="39"/>
      <c r="EW280" s="39"/>
      <c r="EX280" s="39"/>
      <c r="EY280" s="39"/>
      <c r="EZ280" s="39"/>
      <c r="FA280" s="39"/>
      <c r="FB280" s="39"/>
      <c r="FC280" s="39"/>
      <c r="FD280" s="39"/>
      <c r="FE280" s="39"/>
      <c r="FF280" s="39"/>
      <c r="FG280" s="39"/>
      <c r="FH280" s="39"/>
      <c r="FI280" s="39"/>
      <c r="FJ280" s="39"/>
      <c r="FK280" s="39"/>
      <c r="FL280" s="39"/>
      <c r="FM280" s="39"/>
      <c r="FN280" s="39"/>
      <c r="FO280" s="39"/>
      <c r="FP280" s="39"/>
      <c r="FQ280" s="39"/>
      <c r="FR280" s="39"/>
      <c r="FS280" s="39"/>
      <c r="FT280" s="39"/>
      <c r="FU280" s="39"/>
      <c r="FV280" s="39"/>
      <c r="FW280" s="39"/>
      <c r="FX280" s="39"/>
      <c r="FY280" s="39"/>
      <c r="FZ280" s="39"/>
      <c r="GA280" s="39"/>
      <c r="GB280" s="39"/>
      <c r="GC280" s="39"/>
      <c r="GD280" s="39"/>
      <c r="GE280" s="39"/>
      <c r="GF280" s="39"/>
      <c r="GG280" s="39"/>
      <c r="GH280" s="39"/>
      <c r="GI280" s="39"/>
      <c r="GJ280" s="39"/>
      <c r="GK280" s="39"/>
      <c r="GL280" s="39"/>
      <c r="GM280" s="39"/>
      <c r="GN280" s="39"/>
      <c r="GO280" s="39"/>
      <c r="GP280" s="39"/>
      <c r="GQ280" s="39"/>
      <c r="GR280" s="39"/>
      <c r="GS280" s="39"/>
      <c r="GT280" s="39"/>
      <c r="GU280" s="39"/>
      <c r="GV280" s="39"/>
      <c r="GW280" s="39"/>
      <c r="GX280" s="39"/>
      <c r="GY280" s="39"/>
      <c r="GZ280" s="39"/>
      <c r="HA280" s="39"/>
      <c r="HB280" s="39"/>
      <c r="HC280" s="39"/>
      <c r="HD280" s="39"/>
      <c r="HE280" s="39"/>
      <c r="HF280" s="39"/>
      <c r="HG280" s="39"/>
      <c r="HH280" s="39"/>
      <c r="HI280" s="39"/>
      <c r="HJ280" s="39"/>
      <c r="HK280" s="39"/>
      <c r="HL280" s="39"/>
      <c r="HM280" s="39"/>
      <c r="HN280" s="39"/>
      <c r="HO280" s="39"/>
      <c r="HP280" s="39"/>
    </row>
    <row r="281" spans="3:224" s="4" customFormat="1" ht="20.100000000000001" customHeight="1">
      <c r="C281" s="34">
        <v>14050004</v>
      </c>
      <c r="D281" s="34" t="s">
        <v>311</v>
      </c>
      <c r="E281" s="35">
        <v>11200003</v>
      </c>
      <c r="F281" s="35">
        <v>11041</v>
      </c>
      <c r="G281" s="35">
        <v>1</v>
      </c>
      <c r="H281" s="35">
        <v>20</v>
      </c>
      <c r="I281" s="37">
        <v>0.2</v>
      </c>
      <c r="J281" s="38">
        <v>10</v>
      </c>
      <c r="K281" s="35">
        <v>0</v>
      </c>
      <c r="L281" s="35">
        <v>1315</v>
      </c>
      <c r="M281" s="35">
        <f t="shared" si="16"/>
        <v>19</v>
      </c>
      <c r="N281" s="35">
        <v>38</v>
      </c>
      <c r="O281" s="35">
        <v>0</v>
      </c>
      <c r="P281" s="35">
        <v>0</v>
      </c>
      <c r="Q281" s="35">
        <f t="shared" si="17"/>
        <v>8</v>
      </c>
      <c r="R281" s="35">
        <v>15</v>
      </c>
      <c r="S281" s="35">
        <f t="shared" si="18"/>
        <v>8</v>
      </c>
      <c r="T281" s="35">
        <v>15</v>
      </c>
      <c r="U281" s="37">
        <v>0</v>
      </c>
      <c r="V281" s="35">
        <v>0</v>
      </c>
      <c r="W281" s="35">
        <v>0</v>
      </c>
      <c r="X281" s="35">
        <v>0</v>
      </c>
      <c r="Y281" s="37">
        <v>0</v>
      </c>
      <c r="Z281" s="37">
        <v>0</v>
      </c>
      <c r="AA281" s="37">
        <v>0</v>
      </c>
      <c r="AB281" s="37">
        <v>0</v>
      </c>
      <c r="AC281" s="37">
        <v>0</v>
      </c>
      <c r="AD281" s="37">
        <v>0</v>
      </c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39"/>
      <c r="DD281" s="39"/>
      <c r="DE281" s="39"/>
      <c r="DF281" s="39"/>
      <c r="DG281" s="39"/>
      <c r="DH281" s="39"/>
      <c r="DI281" s="39"/>
      <c r="DJ281" s="39"/>
      <c r="DK281" s="39"/>
      <c r="DL281" s="39"/>
      <c r="DM281" s="39"/>
      <c r="DN281" s="39"/>
      <c r="DO281" s="39"/>
      <c r="DP281" s="39"/>
      <c r="DQ281" s="39"/>
      <c r="DR281" s="39"/>
      <c r="DS281" s="39"/>
      <c r="DT281" s="39"/>
      <c r="DU281" s="39"/>
      <c r="DV281" s="39"/>
      <c r="DW281" s="39"/>
      <c r="DX281" s="39"/>
      <c r="DY281" s="39"/>
      <c r="DZ281" s="39"/>
      <c r="EA281" s="39"/>
      <c r="EB281" s="39"/>
      <c r="EC281" s="39"/>
      <c r="ED281" s="39"/>
      <c r="EE281" s="39"/>
      <c r="EF281" s="39"/>
      <c r="EG281" s="39"/>
      <c r="EH281" s="39"/>
      <c r="EI281" s="39"/>
      <c r="EJ281" s="39"/>
      <c r="EK281" s="39"/>
      <c r="EL281" s="39"/>
      <c r="EM281" s="39"/>
      <c r="EN281" s="39"/>
      <c r="EO281" s="39"/>
      <c r="EP281" s="39"/>
      <c r="EQ281" s="39"/>
      <c r="ER281" s="39"/>
      <c r="ES281" s="39"/>
      <c r="ET281" s="39"/>
      <c r="EU281" s="39"/>
      <c r="EV281" s="39"/>
      <c r="EW281" s="39"/>
      <c r="EX281" s="39"/>
      <c r="EY281" s="39"/>
      <c r="EZ281" s="39"/>
      <c r="FA281" s="39"/>
      <c r="FB281" s="39"/>
      <c r="FC281" s="39"/>
      <c r="FD281" s="39"/>
      <c r="FE281" s="39"/>
      <c r="FF281" s="39"/>
      <c r="FG281" s="39"/>
      <c r="FH281" s="39"/>
      <c r="FI281" s="39"/>
      <c r="FJ281" s="39"/>
      <c r="FK281" s="39"/>
      <c r="FL281" s="39"/>
      <c r="FM281" s="39"/>
      <c r="FN281" s="39"/>
      <c r="FO281" s="39"/>
      <c r="FP281" s="39"/>
      <c r="FQ281" s="39"/>
      <c r="FR281" s="39"/>
      <c r="FS281" s="39"/>
      <c r="FT281" s="39"/>
      <c r="FU281" s="39"/>
      <c r="FV281" s="39"/>
      <c r="FW281" s="39"/>
      <c r="FX281" s="39"/>
      <c r="FY281" s="39"/>
      <c r="FZ281" s="39"/>
      <c r="GA281" s="39"/>
      <c r="GB281" s="39"/>
      <c r="GC281" s="39"/>
      <c r="GD281" s="39"/>
      <c r="GE281" s="39"/>
      <c r="GF281" s="39"/>
      <c r="GG281" s="39"/>
      <c r="GH281" s="39"/>
      <c r="GI281" s="39"/>
      <c r="GJ281" s="39"/>
      <c r="GK281" s="39"/>
      <c r="GL281" s="39"/>
      <c r="GM281" s="39"/>
      <c r="GN281" s="39"/>
      <c r="GO281" s="39"/>
      <c r="GP281" s="39"/>
      <c r="GQ281" s="39"/>
      <c r="GR281" s="39"/>
      <c r="GS281" s="39"/>
      <c r="GT281" s="39"/>
      <c r="GU281" s="39"/>
      <c r="GV281" s="39"/>
      <c r="GW281" s="39"/>
      <c r="GX281" s="39"/>
      <c r="GY281" s="39"/>
      <c r="GZ281" s="39"/>
      <c r="HA281" s="39"/>
      <c r="HB281" s="39"/>
      <c r="HC281" s="39"/>
      <c r="HD281" s="39"/>
      <c r="HE281" s="39"/>
      <c r="HF281" s="39"/>
      <c r="HG281" s="39"/>
      <c r="HH281" s="39"/>
      <c r="HI281" s="39"/>
      <c r="HJ281" s="39"/>
      <c r="HK281" s="39"/>
      <c r="HL281" s="39"/>
      <c r="HM281" s="39"/>
      <c r="HN281" s="39"/>
      <c r="HO281" s="39"/>
      <c r="HP281" s="39"/>
    </row>
    <row r="282" spans="3:224" s="4" customFormat="1" ht="20.100000000000001" customHeight="1">
      <c r="C282" s="34">
        <v>14050005</v>
      </c>
      <c r="D282" s="34" t="s">
        <v>312</v>
      </c>
      <c r="E282" s="35">
        <v>11200003</v>
      </c>
      <c r="F282" s="35">
        <v>0</v>
      </c>
      <c r="G282" s="35">
        <v>1</v>
      </c>
      <c r="H282" s="35">
        <v>20</v>
      </c>
      <c r="I282" s="37">
        <v>0.2</v>
      </c>
      <c r="J282" s="38">
        <v>5</v>
      </c>
      <c r="K282" s="35">
        <v>0</v>
      </c>
      <c r="L282" s="35">
        <v>280</v>
      </c>
      <c r="M282" s="35">
        <f t="shared" si="16"/>
        <v>10</v>
      </c>
      <c r="N282" s="35">
        <v>20</v>
      </c>
      <c r="O282" s="35">
        <v>0</v>
      </c>
      <c r="P282" s="35">
        <v>0</v>
      </c>
      <c r="Q282" s="35">
        <f t="shared" si="17"/>
        <v>2</v>
      </c>
      <c r="R282" s="35">
        <v>4</v>
      </c>
      <c r="S282" s="35">
        <f t="shared" si="18"/>
        <v>2</v>
      </c>
      <c r="T282" s="35">
        <v>4</v>
      </c>
      <c r="U282" s="37">
        <v>0</v>
      </c>
      <c r="V282" s="35">
        <v>0</v>
      </c>
      <c r="W282" s="35">
        <v>0</v>
      </c>
      <c r="X282" s="35">
        <v>0</v>
      </c>
      <c r="Y282" s="37">
        <v>0</v>
      </c>
      <c r="Z282" s="37">
        <v>0</v>
      </c>
      <c r="AA282" s="37">
        <v>0</v>
      </c>
      <c r="AB282" s="37">
        <v>0</v>
      </c>
      <c r="AC282" s="37">
        <v>0</v>
      </c>
      <c r="AD282" s="37">
        <v>0</v>
      </c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39"/>
      <c r="DD282" s="39"/>
      <c r="DE282" s="39"/>
      <c r="DF282" s="39"/>
      <c r="DG282" s="39"/>
      <c r="DH282" s="39"/>
      <c r="DI282" s="39"/>
      <c r="DJ282" s="39"/>
      <c r="DK282" s="39"/>
      <c r="DL282" s="39"/>
      <c r="DM282" s="39"/>
      <c r="DN282" s="39"/>
      <c r="DO282" s="39"/>
      <c r="DP282" s="39"/>
      <c r="DQ282" s="39"/>
      <c r="DR282" s="39"/>
      <c r="DS282" s="39"/>
      <c r="DT282" s="39"/>
      <c r="DU282" s="39"/>
      <c r="DV282" s="39"/>
      <c r="DW282" s="39"/>
      <c r="DX282" s="39"/>
      <c r="DY282" s="39"/>
      <c r="DZ282" s="39"/>
      <c r="EA282" s="39"/>
      <c r="EB282" s="39"/>
      <c r="EC282" s="39"/>
      <c r="ED282" s="39"/>
      <c r="EE282" s="39"/>
      <c r="EF282" s="39"/>
      <c r="EG282" s="39"/>
      <c r="EH282" s="39"/>
      <c r="EI282" s="39"/>
      <c r="EJ282" s="39"/>
      <c r="EK282" s="39"/>
      <c r="EL282" s="39"/>
      <c r="EM282" s="39"/>
      <c r="EN282" s="39"/>
      <c r="EO282" s="39"/>
      <c r="EP282" s="39"/>
      <c r="EQ282" s="39"/>
      <c r="ER282" s="39"/>
      <c r="ES282" s="39"/>
      <c r="ET282" s="39"/>
      <c r="EU282" s="39"/>
      <c r="EV282" s="39"/>
      <c r="EW282" s="39"/>
      <c r="EX282" s="39"/>
      <c r="EY282" s="39"/>
      <c r="EZ282" s="39"/>
      <c r="FA282" s="39"/>
      <c r="FB282" s="39"/>
      <c r="FC282" s="39"/>
      <c r="FD282" s="39"/>
      <c r="FE282" s="39"/>
      <c r="FF282" s="39"/>
      <c r="FG282" s="39"/>
      <c r="FH282" s="39"/>
      <c r="FI282" s="39"/>
      <c r="FJ282" s="39"/>
      <c r="FK282" s="39"/>
      <c r="FL282" s="39"/>
      <c r="FM282" s="39"/>
      <c r="FN282" s="39"/>
      <c r="FO282" s="39"/>
      <c r="FP282" s="39"/>
      <c r="FQ282" s="39"/>
      <c r="FR282" s="39"/>
      <c r="FS282" s="39"/>
      <c r="FT282" s="39"/>
      <c r="FU282" s="39"/>
      <c r="FV282" s="39"/>
      <c r="FW282" s="39"/>
      <c r="FX282" s="39"/>
      <c r="FY282" s="39"/>
      <c r="FZ282" s="39"/>
      <c r="GA282" s="39"/>
      <c r="GB282" s="39"/>
      <c r="GC282" s="39"/>
      <c r="GD282" s="39"/>
      <c r="GE282" s="39"/>
      <c r="GF282" s="39"/>
      <c r="GG282" s="39"/>
      <c r="GH282" s="39"/>
      <c r="GI282" s="39"/>
      <c r="GJ282" s="39"/>
      <c r="GK282" s="39"/>
      <c r="GL282" s="39"/>
      <c r="GM282" s="39"/>
      <c r="GN282" s="39"/>
      <c r="GO282" s="39"/>
      <c r="GP282" s="39"/>
      <c r="GQ282" s="39"/>
      <c r="GR282" s="39"/>
      <c r="GS282" s="39"/>
      <c r="GT282" s="39"/>
      <c r="GU282" s="39"/>
      <c r="GV282" s="39"/>
      <c r="GW282" s="39"/>
      <c r="GX282" s="39"/>
      <c r="GY282" s="39"/>
      <c r="GZ282" s="39"/>
      <c r="HA282" s="39"/>
      <c r="HB282" s="39"/>
      <c r="HC282" s="39"/>
      <c r="HD282" s="39"/>
      <c r="HE282" s="39"/>
      <c r="HF282" s="39"/>
      <c r="HG282" s="39"/>
      <c r="HH282" s="39"/>
      <c r="HI282" s="39"/>
      <c r="HJ282" s="39"/>
      <c r="HK282" s="39"/>
      <c r="HL282" s="39"/>
      <c r="HM282" s="39"/>
      <c r="HN282" s="39"/>
      <c r="HO282" s="39"/>
      <c r="HP282" s="39"/>
    </row>
    <row r="283" spans="3:224" s="4" customFormat="1" ht="20.100000000000001" customHeight="1">
      <c r="C283" s="34">
        <v>14050006</v>
      </c>
      <c r="D283" s="34" t="s">
        <v>313</v>
      </c>
      <c r="E283" s="35">
        <v>11200003</v>
      </c>
      <c r="F283" s="35">
        <v>0</v>
      </c>
      <c r="G283" s="35">
        <v>1</v>
      </c>
      <c r="H283" s="35">
        <v>20</v>
      </c>
      <c r="I283" s="37">
        <v>0.2</v>
      </c>
      <c r="J283" s="38">
        <v>5</v>
      </c>
      <c r="K283" s="35">
        <v>0</v>
      </c>
      <c r="L283" s="35">
        <v>460</v>
      </c>
      <c r="M283" s="35">
        <f t="shared" si="16"/>
        <v>19</v>
      </c>
      <c r="N283" s="35">
        <v>38</v>
      </c>
      <c r="O283" s="35">
        <v>0</v>
      </c>
      <c r="P283" s="35">
        <v>0</v>
      </c>
      <c r="Q283" s="35">
        <f t="shared" si="17"/>
        <v>3</v>
      </c>
      <c r="R283" s="35">
        <v>6</v>
      </c>
      <c r="S283" s="35">
        <f t="shared" si="18"/>
        <v>3</v>
      </c>
      <c r="T283" s="35">
        <v>6</v>
      </c>
      <c r="U283" s="37">
        <v>0</v>
      </c>
      <c r="V283" s="35">
        <v>0</v>
      </c>
      <c r="W283" s="35">
        <v>0</v>
      </c>
      <c r="X283" s="35">
        <v>0</v>
      </c>
      <c r="Y283" s="37">
        <v>0</v>
      </c>
      <c r="Z283" s="37">
        <v>0</v>
      </c>
      <c r="AA283" s="37">
        <v>0</v>
      </c>
      <c r="AB283" s="37">
        <v>0</v>
      </c>
      <c r="AC283" s="37">
        <v>0</v>
      </c>
      <c r="AD283" s="37">
        <v>0</v>
      </c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39"/>
      <c r="DD283" s="39"/>
      <c r="DE283" s="39"/>
      <c r="DF283" s="39"/>
      <c r="DG283" s="39"/>
      <c r="DH283" s="39"/>
      <c r="DI283" s="39"/>
      <c r="DJ283" s="39"/>
      <c r="DK283" s="39"/>
      <c r="DL283" s="39"/>
      <c r="DM283" s="39"/>
      <c r="DN283" s="39"/>
      <c r="DO283" s="39"/>
      <c r="DP283" s="39"/>
      <c r="DQ283" s="39"/>
      <c r="DR283" s="39"/>
      <c r="DS283" s="39"/>
      <c r="DT283" s="39"/>
      <c r="DU283" s="39"/>
      <c r="DV283" s="39"/>
      <c r="DW283" s="39"/>
      <c r="DX283" s="39"/>
      <c r="DY283" s="39"/>
      <c r="DZ283" s="39"/>
      <c r="EA283" s="39"/>
      <c r="EB283" s="39"/>
      <c r="EC283" s="39"/>
      <c r="ED283" s="39"/>
      <c r="EE283" s="39"/>
      <c r="EF283" s="39"/>
      <c r="EG283" s="39"/>
      <c r="EH283" s="39"/>
      <c r="EI283" s="39"/>
      <c r="EJ283" s="39"/>
      <c r="EK283" s="39"/>
      <c r="EL283" s="39"/>
      <c r="EM283" s="39"/>
      <c r="EN283" s="39"/>
      <c r="EO283" s="39"/>
      <c r="EP283" s="39"/>
      <c r="EQ283" s="39"/>
      <c r="ER283" s="39"/>
      <c r="ES283" s="39"/>
      <c r="ET283" s="39"/>
      <c r="EU283" s="39"/>
      <c r="EV283" s="39"/>
      <c r="EW283" s="39"/>
      <c r="EX283" s="39"/>
      <c r="EY283" s="39"/>
      <c r="EZ283" s="39"/>
      <c r="FA283" s="39"/>
      <c r="FB283" s="39"/>
      <c r="FC283" s="39"/>
      <c r="FD283" s="39"/>
      <c r="FE283" s="39"/>
      <c r="FF283" s="39"/>
      <c r="FG283" s="39"/>
      <c r="FH283" s="39"/>
      <c r="FI283" s="39"/>
      <c r="FJ283" s="39"/>
      <c r="FK283" s="39"/>
      <c r="FL283" s="39"/>
      <c r="FM283" s="39"/>
      <c r="FN283" s="39"/>
      <c r="FO283" s="39"/>
      <c r="FP283" s="39"/>
      <c r="FQ283" s="39"/>
      <c r="FR283" s="39"/>
      <c r="FS283" s="39"/>
      <c r="FT283" s="39"/>
      <c r="FU283" s="39"/>
      <c r="FV283" s="39"/>
      <c r="FW283" s="39"/>
      <c r="FX283" s="39"/>
      <c r="FY283" s="39"/>
      <c r="FZ283" s="39"/>
      <c r="GA283" s="39"/>
      <c r="GB283" s="39"/>
      <c r="GC283" s="39"/>
      <c r="GD283" s="39"/>
      <c r="GE283" s="39"/>
      <c r="GF283" s="39"/>
      <c r="GG283" s="39"/>
      <c r="GH283" s="39"/>
      <c r="GI283" s="39"/>
      <c r="GJ283" s="39"/>
      <c r="GK283" s="39"/>
      <c r="GL283" s="39"/>
      <c r="GM283" s="39"/>
      <c r="GN283" s="39"/>
      <c r="GO283" s="39"/>
      <c r="GP283" s="39"/>
      <c r="GQ283" s="39"/>
      <c r="GR283" s="39"/>
      <c r="GS283" s="39"/>
      <c r="GT283" s="39"/>
      <c r="GU283" s="39"/>
      <c r="GV283" s="39"/>
      <c r="GW283" s="39"/>
      <c r="GX283" s="39"/>
      <c r="GY283" s="39"/>
      <c r="GZ283" s="39"/>
      <c r="HA283" s="39"/>
      <c r="HB283" s="39"/>
      <c r="HC283" s="39"/>
      <c r="HD283" s="39"/>
      <c r="HE283" s="39"/>
      <c r="HF283" s="39"/>
      <c r="HG283" s="39"/>
      <c r="HH283" s="39"/>
      <c r="HI283" s="39"/>
      <c r="HJ283" s="39"/>
      <c r="HK283" s="39"/>
      <c r="HL283" s="39"/>
      <c r="HM283" s="39"/>
      <c r="HN283" s="39"/>
      <c r="HO283" s="39"/>
      <c r="HP283" s="39"/>
    </row>
    <row r="284" spans="3:224" s="4" customFormat="1" ht="20.100000000000001" customHeight="1">
      <c r="C284" s="34">
        <v>14050007</v>
      </c>
      <c r="D284" s="34" t="s">
        <v>314</v>
      </c>
      <c r="E284" s="35">
        <v>11200003</v>
      </c>
      <c r="F284" s="35">
        <v>11022</v>
      </c>
      <c r="G284" s="35">
        <v>1</v>
      </c>
      <c r="H284" s="35">
        <v>20</v>
      </c>
      <c r="I284" s="37">
        <v>0.2</v>
      </c>
      <c r="J284" s="38">
        <v>5</v>
      </c>
      <c r="K284" s="35">
        <v>0</v>
      </c>
      <c r="L284" s="35">
        <v>530</v>
      </c>
      <c r="M284" s="35">
        <f t="shared" si="16"/>
        <v>22</v>
      </c>
      <c r="N284" s="35">
        <v>43</v>
      </c>
      <c r="O284" s="35">
        <v>0</v>
      </c>
      <c r="P284" s="35">
        <v>0</v>
      </c>
      <c r="Q284" s="35">
        <f t="shared" si="17"/>
        <v>4</v>
      </c>
      <c r="R284" s="35">
        <v>8</v>
      </c>
      <c r="S284" s="35">
        <f t="shared" si="18"/>
        <v>4</v>
      </c>
      <c r="T284" s="35">
        <v>8</v>
      </c>
      <c r="U284" s="37">
        <v>0</v>
      </c>
      <c r="V284" s="35">
        <v>0</v>
      </c>
      <c r="W284" s="35">
        <v>0</v>
      </c>
      <c r="X284" s="35">
        <v>0</v>
      </c>
      <c r="Y284" s="37">
        <v>0</v>
      </c>
      <c r="Z284" s="37">
        <v>0</v>
      </c>
      <c r="AA284" s="37">
        <v>0</v>
      </c>
      <c r="AB284" s="37">
        <v>0</v>
      </c>
      <c r="AC284" s="37">
        <v>0</v>
      </c>
      <c r="AD284" s="37">
        <v>0</v>
      </c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39"/>
      <c r="DD284" s="39"/>
      <c r="DE284" s="39"/>
      <c r="DF284" s="39"/>
      <c r="DG284" s="39"/>
      <c r="DH284" s="39"/>
      <c r="DI284" s="39"/>
      <c r="DJ284" s="39"/>
      <c r="DK284" s="39"/>
      <c r="DL284" s="39"/>
      <c r="DM284" s="39"/>
      <c r="DN284" s="39"/>
      <c r="DO284" s="39"/>
      <c r="DP284" s="39"/>
      <c r="DQ284" s="39"/>
      <c r="DR284" s="39"/>
      <c r="DS284" s="39"/>
      <c r="DT284" s="39"/>
      <c r="DU284" s="39"/>
      <c r="DV284" s="39"/>
      <c r="DW284" s="39"/>
      <c r="DX284" s="39"/>
      <c r="DY284" s="39"/>
      <c r="DZ284" s="39"/>
      <c r="EA284" s="39"/>
      <c r="EB284" s="39"/>
      <c r="EC284" s="39"/>
      <c r="ED284" s="39"/>
      <c r="EE284" s="39"/>
      <c r="EF284" s="39"/>
      <c r="EG284" s="39"/>
      <c r="EH284" s="39"/>
      <c r="EI284" s="39"/>
      <c r="EJ284" s="39"/>
      <c r="EK284" s="39"/>
      <c r="EL284" s="39"/>
      <c r="EM284" s="39"/>
      <c r="EN284" s="39"/>
      <c r="EO284" s="39"/>
      <c r="EP284" s="39"/>
      <c r="EQ284" s="39"/>
      <c r="ER284" s="39"/>
      <c r="ES284" s="39"/>
      <c r="ET284" s="39"/>
      <c r="EU284" s="39"/>
      <c r="EV284" s="39"/>
      <c r="EW284" s="39"/>
      <c r="EX284" s="39"/>
      <c r="EY284" s="39"/>
      <c r="EZ284" s="39"/>
      <c r="FA284" s="39"/>
      <c r="FB284" s="39"/>
      <c r="FC284" s="39"/>
      <c r="FD284" s="39"/>
      <c r="FE284" s="39"/>
      <c r="FF284" s="39"/>
      <c r="FG284" s="39"/>
      <c r="FH284" s="39"/>
      <c r="FI284" s="39"/>
      <c r="FJ284" s="39"/>
      <c r="FK284" s="39"/>
      <c r="FL284" s="39"/>
      <c r="FM284" s="39"/>
      <c r="FN284" s="39"/>
      <c r="FO284" s="39"/>
      <c r="FP284" s="39"/>
      <c r="FQ284" s="39"/>
      <c r="FR284" s="39"/>
      <c r="FS284" s="39"/>
      <c r="FT284" s="39"/>
      <c r="FU284" s="39"/>
      <c r="FV284" s="39"/>
      <c r="FW284" s="39"/>
      <c r="FX284" s="39"/>
      <c r="FY284" s="39"/>
      <c r="FZ284" s="39"/>
      <c r="GA284" s="39"/>
      <c r="GB284" s="39"/>
      <c r="GC284" s="39"/>
      <c r="GD284" s="39"/>
      <c r="GE284" s="39"/>
      <c r="GF284" s="39"/>
      <c r="GG284" s="39"/>
      <c r="GH284" s="39"/>
      <c r="GI284" s="39"/>
      <c r="GJ284" s="39"/>
      <c r="GK284" s="39"/>
      <c r="GL284" s="39"/>
      <c r="GM284" s="39"/>
      <c r="GN284" s="39"/>
      <c r="GO284" s="39"/>
      <c r="GP284" s="39"/>
      <c r="GQ284" s="39"/>
      <c r="GR284" s="39"/>
      <c r="GS284" s="39"/>
      <c r="GT284" s="39"/>
      <c r="GU284" s="39"/>
      <c r="GV284" s="39"/>
      <c r="GW284" s="39"/>
      <c r="GX284" s="39"/>
      <c r="GY284" s="39"/>
      <c r="GZ284" s="39"/>
      <c r="HA284" s="39"/>
      <c r="HB284" s="39"/>
      <c r="HC284" s="39"/>
      <c r="HD284" s="39"/>
      <c r="HE284" s="39"/>
      <c r="HF284" s="39"/>
      <c r="HG284" s="39"/>
      <c r="HH284" s="39"/>
      <c r="HI284" s="39"/>
      <c r="HJ284" s="39"/>
      <c r="HK284" s="39"/>
      <c r="HL284" s="39"/>
      <c r="HM284" s="39"/>
      <c r="HN284" s="39"/>
      <c r="HO284" s="39"/>
      <c r="HP284" s="39"/>
    </row>
    <row r="285" spans="3:224" s="4" customFormat="1" ht="20.100000000000001" customHeight="1">
      <c r="C285" s="34">
        <v>14050008</v>
      </c>
      <c r="D285" s="34" t="s">
        <v>315</v>
      </c>
      <c r="E285" s="35">
        <v>11200003</v>
      </c>
      <c r="F285" s="35">
        <v>11042</v>
      </c>
      <c r="G285" s="35">
        <v>1</v>
      </c>
      <c r="H285" s="35">
        <v>20</v>
      </c>
      <c r="I285" s="37">
        <v>0.2</v>
      </c>
      <c r="J285" s="38">
        <v>10</v>
      </c>
      <c r="K285" s="35">
        <v>0</v>
      </c>
      <c r="L285" s="35">
        <v>660</v>
      </c>
      <c r="M285" s="35">
        <f t="shared" si="16"/>
        <v>26</v>
      </c>
      <c r="N285" s="35">
        <v>51</v>
      </c>
      <c r="O285" s="35">
        <v>0</v>
      </c>
      <c r="P285" s="35">
        <v>0</v>
      </c>
      <c r="Q285" s="35">
        <f t="shared" si="17"/>
        <v>6</v>
      </c>
      <c r="R285" s="35">
        <v>11</v>
      </c>
      <c r="S285" s="35">
        <f t="shared" si="18"/>
        <v>6</v>
      </c>
      <c r="T285" s="35">
        <v>11</v>
      </c>
      <c r="U285" s="37">
        <v>0</v>
      </c>
      <c r="V285" s="35">
        <v>0</v>
      </c>
      <c r="W285" s="35">
        <v>0</v>
      </c>
      <c r="X285" s="35">
        <v>0</v>
      </c>
      <c r="Y285" s="37">
        <v>0</v>
      </c>
      <c r="Z285" s="37">
        <v>0</v>
      </c>
      <c r="AA285" s="37">
        <v>0</v>
      </c>
      <c r="AB285" s="37">
        <v>0</v>
      </c>
      <c r="AC285" s="37">
        <v>0</v>
      </c>
      <c r="AD285" s="37">
        <v>0</v>
      </c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39"/>
      <c r="DD285" s="39"/>
      <c r="DE285" s="39"/>
      <c r="DF285" s="39"/>
      <c r="DG285" s="39"/>
      <c r="DH285" s="39"/>
      <c r="DI285" s="39"/>
      <c r="DJ285" s="39"/>
      <c r="DK285" s="39"/>
      <c r="DL285" s="39"/>
      <c r="DM285" s="39"/>
      <c r="DN285" s="39"/>
      <c r="DO285" s="39"/>
      <c r="DP285" s="39"/>
      <c r="DQ285" s="39"/>
      <c r="DR285" s="39"/>
      <c r="DS285" s="39"/>
      <c r="DT285" s="39"/>
      <c r="DU285" s="39"/>
      <c r="DV285" s="39"/>
      <c r="DW285" s="39"/>
      <c r="DX285" s="39"/>
      <c r="DY285" s="39"/>
      <c r="DZ285" s="39"/>
      <c r="EA285" s="39"/>
      <c r="EB285" s="39"/>
      <c r="EC285" s="39"/>
      <c r="ED285" s="39"/>
      <c r="EE285" s="39"/>
      <c r="EF285" s="39"/>
      <c r="EG285" s="39"/>
      <c r="EH285" s="39"/>
      <c r="EI285" s="39"/>
      <c r="EJ285" s="39"/>
      <c r="EK285" s="39"/>
      <c r="EL285" s="39"/>
      <c r="EM285" s="39"/>
      <c r="EN285" s="39"/>
      <c r="EO285" s="39"/>
      <c r="EP285" s="39"/>
      <c r="EQ285" s="39"/>
      <c r="ER285" s="39"/>
      <c r="ES285" s="39"/>
      <c r="ET285" s="39"/>
      <c r="EU285" s="39"/>
      <c r="EV285" s="39"/>
      <c r="EW285" s="39"/>
      <c r="EX285" s="39"/>
      <c r="EY285" s="39"/>
      <c r="EZ285" s="39"/>
      <c r="FA285" s="39"/>
      <c r="FB285" s="39"/>
      <c r="FC285" s="39"/>
      <c r="FD285" s="39"/>
      <c r="FE285" s="39"/>
      <c r="FF285" s="39"/>
      <c r="FG285" s="39"/>
      <c r="FH285" s="39"/>
      <c r="FI285" s="39"/>
      <c r="FJ285" s="39"/>
      <c r="FK285" s="39"/>
      <c r="FL285" s="39"/>
      <c r="FM285" s="39"/>
      <c r="FN285" s="39"/>
      <c r="FO285" s="39"/>
      <c r="FP285" s="39"/>
      <c r="FQ285" s="39"/>
      <c r="FR285" s="39"/>
      <c r="FS285" s="39"/>
      <c r="FT285" s="39"/>
      <c r="FU285" s="39"/>
      <c r="FV285" s="39"/>
      <c r="FW285" s="39"/>
      <c r="FX285" s="39"/>
      <c r="FY285" s="39"/>
      <c r="FZ285" s="39"/>
      <c r="GA285" s="39"/>
      <c r="GB285" s="39"/>
      <c r="GC285" s="39"/>
      <c r="GD285" s="39"/>
      <c r="GE285" s="39"/>
      <c r="GF285" s="39"/>
      <c r="GG285" s="39"/>
      <c r="GH285" s="39"/>
      <c r="GI285" s="39"/>
      <c r="GJ285" s="39"/>
      <c r="GK285" s="39"/>
      <c r="GL285" s="39"/>
      <c r="GM285" s="39"/>
      <c r="GN285" s="39"/>
      <c r="GO285" s="39"/>
      <c r="GP285" s="39"/>
      <c r="GQ285" s="39"/>
      <c r="GR285" s="39"/>
      <c r="GS285" s="39"/>
      <c r="GT285" s="39"/>
      <c r="GU285" s="39"/>
      <c r="GV285" s="39"/>
      <c r="GW285" s="39"/>
      <c r="GX285" s="39"/>
      <c r="GY285" s="39"/>
      <c r="GZ285" s="39"/>
      <c r="HA285" s="39"/>
      <c r="HB285" s="39"/>
      <c r="HC285" s="39"/>
      <c r="HD285" s="39"/>
      <c r="HE285" s="39"/>
      <c r="HF285" s="39"/>
      <c r="HG285" s="39"/>
      <c r="HH285" s="39"/>
      <c r="HI285" s="39"/>
      <c r="HJ285" s="39"/>
      <c r="HK285" s="39"/>
      <c r="HL285" s="39"/>
      <c r="HM285" s="39"/>
      <c r="HN285" s="39"/>
      <c r="HO285" s="39"/>
      <c r="HP285" s="39"/>
    </row>
    <row r="286" spans="3:224" s="4" customFormat="1" ht="20.100000000000001" customHeight="1">
      <c r="C286" s="34">
        <v>14050009</v>
      </c>
      <c r="D286" s="34" t="s">
        <v>316</v>
      </c>
      <c r="E286" s="35">
        <v>11200003</v>
      </c>
      <c r="F286" s="35">
        <v>0</v>
      </c>
      <c r="G286" s="35">
        <v>1</v>
      </c>
      <c r="H286" s="35">
        <v>20</v>
      </c>
      <c r="I286" s="37">
        <v>0.2</v>
      </c>
      <c r="J286" s="38">
        <v>5</v>
      </c>
      <c r="K286" s="35">
        <v>0</v>
      </c>
      <c r="L286" s="35">
        <v>830</v>
      </c>
      <c r="M286" s="35">
        <f t="shared" si="16"/>
        <v>6</v>
      </c>
      <c r="N286" s="35">
        <v>11</v>
      </c>
      <c r="O286" s="35">
        <v>0</v>
      </c>
      <c r="P286" s="35">
        <v>0</v>
      </c>
      <c r="Q286" s="35">
        <f t="shared" si="17"/>
        <v>3</v>
      </c>
      <c r="R286" s="35">
        <v>6</v>
      </c>
      <c r="S286" s="35">
        <f t="shared" si="18"/>
        <v>3</v>
      </c>
      <c r="T286" s="35">
        <v>6</v>
      </c>
      <c r="U286" s="37">
        <v>0</v>
      </c>
      <c r="V286" s="35">
        <v>0</v>
      </c>
      <c r="W286" s="35">
        <v>0</v>
      </c>
      <c r="X286" s="35">
        <v>0</v>
      </c>
      <c r="Y286" s="37">
        <v>0</v>
      </c>
      <c r="Z286" s="37">
        <v>0</v>
      </c>
      <c r="AA286" s="37">
        <v>0</v>
      </c>
      <c r="AB286" s="37">
        <v>0</v>
      </c>
      <c r="AC286" s="37">
        <v>0</v>
      </c>
      <c r="AD286" s="37">
        <v>0</v>
      </c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39"/>
      <c r="DD286" s="39"/>
      <c r="DE286" s="39"/>
      <c r="DF286" s="39"/>
      <c r="DG286" s="39"/>
      <c r="DH286" s="39"/>
      <c r="DI286" s="39"/>
      <c r="DJ286" s="39"/>
      <c r="DK286" s="39"/>
      <c r="DL286" s="39"/>
      <c r="DM286" s="39"/>
      <c r="DN286" s="39"/>
      <c r="DO286" s="39"/>
      <c r="DP286" s="39"/>
      <c r="DQ286" s="39"/>
      <c r="DR286" s="39"/>
      <c r="DS286" s="39"/>
      <c r="DT286" s="39"/>
      <c r="DU286" s="39"/>
      <c r="DV286" s="39"/>
      <c r="DW286" s="39"/>
      <c r="DX286" s="39"/>
      <c r="DY286" s="39"/>
      <c r="DZ286" s="39"/>
      <c r="EA286" s="39"/>
      <c r="EB286" s="39"/>
      <c r="EC286" s="39"/>
      <c r="ED286" s="39"/>
      <c r="EE286" s="39"/>
      <c r="EF286" s="39"/>
      <c r="EG286" s="39"/>
      <c r="EH286" s="39"/>
      <c r="EI286" s="39"/>
      <c r="EJ286" s="39"/>
      <c r="EK286" s="39"/>
      <c r="EL286" s="39"/>
      <c r="EM286" s="39"/>
      <c r="EN286" s="39"/>
      <c r="EO286" s="39"/>
      <c r="EP286" s="39"/>
      <c r="EQ286" s="39"/>
      <c r="ER286" s="39"/>
      <c r="ES286" s="39"/>
      <c r="ET286" s="39"/>
      <c r="EU286" s="39"/>
      <c r="EV286" s="39"/>
      <c r="EW286" s="39"/>
      <c r="EX286" s="39"/>
      <c r="EY286" s="39"/>
      <c r="EZ286" s="39"/>
      <c r="FA286" s="39"/>
      <c r="FB286" s="39"/>
      <c r="FC286" s="39"/>
      <c r="FD286" s="39"/>
      <c r="FE286" s="39"/>
      <c r="FF286" s="39"/>
      <c r="FG286" s="39"/>
      <c r="FH286" s="39"/>
      <c r="FI286" s="39"/>
      <c r="FJ286" s="39"/>
      <c r="FK286" s="39"/>
      <c r="FL286" s="39"/>
      <c r="FM286" s="39"/>
      <c r="FN286" s="39"/>
      <c r="FO286" s="39"/>
      <c r="FP286" s="39"/>
      <c r="FQ286" s="39"/>
      <c r="FR286" s="39"/>
      <c r="FS286" s="39"/>
      <c r="FT286" s="39"/>
      <c r="FU286" s="39"/>
      <c r="FV286" s="39"/>
      <c r="FW286" s="39"/>
      <c r="FX286" s="39"/>
      <c r="FY286" s="39"/>
      <c r="FZ286" s="39"/>
      <c r="GA286" s="39"/>
      <c r="GB286" s="39"/>
      <c r="GC286" s="39"/>
      <c r="GD286" s="39"/>
      <c r="GE286" s="39"/>
      <c r="GF286" s="39"/>
      <c r="GG286" s="39"/>
      <c r="GH286" s="39"/>
      <c r="GI286" s="39"/>
      <c r="GJ286" s="39"/>
      <c r="GK286" s="39"/>
      <c r="GL286" s="39"/>
      <c r="GM286" s="39"/>
      <c r="GN286" s="39"/>
      <c r="GO286" s="39"/>
      <c r="GP286" s="39"/>
      <c r="GQ286" s="39"/>
      <c r="GR286" s="39"/>
      <c r="GS286" s="39"/>
      <c r="GT286" s="39"/>
      <c r="GU286" s="39"/>
      <c r="GV286" s="39"/>
      <c r="GW286" s="39"/>
      <c r="GX286" s="39"/>
      <c r="GY286" s="39"/>
      <c r="GZ286" s="39"/>
      <c r="HA286" s="39"/>
      <c r="HB286" s="39"/>
      <c r="HC286" s="39"/>
      <c r="HD286" s="39"/>
      <c r="HE286" s="39"/>
      <c r="HF286" s="39"/>
      <c r="HG286" s="39"/>
      <c r="HH286" s="39"/>
      <c r="HI286" s="39"/>
      <c r="HJ286" s="39"/>
      <c r="HK286" s="39"/>
      <c r="HL286" s="39"/>
      <c r="HM286" s="39"/>
      <c r="HN286" s="39"/>
      <c r="HO286" s="39"/>
      <c r="HP286" s="39"/>
    </row>
    <row r="287" spans="3:224" s="4" customFormat="1" ht="20.100000000000001" customHeight="1">
      <c r="C287" s="34">
        <v>14050010</v>
      </c>
      <c r="D287" s="34" t="s">
        <v>317</v>
      </c>
      <c r="E287" s="35">
        <v>11200003</v>
      </c>
      <c r="F287" s="35">
        <v>0</v>
      </c>
      <c r="G287" s="35">
        <v>1</v>
      </c>
      <c r="H287" s="35">
        <v>20</v>
      </c>
      <c r="I287" s="37">
        <v>0.2</v>
      </c>
      <c r="J287" s="38">
        <v>5</v>
      </c>
      <c r="K287" s="35">
        <v>0</v>
      </c>
      <c r="L287" s="35">
        <v>1380</v>
      </c>
      <c r="M287" s="35">
        <f t="shared" si="16"/>
        <v>11</v>
      </c>
      <c r="N287" s="35">
        <v>21</v>
      </c>
      <c r="O287" s="35">
        <v>0</v>
      </c>
      <c r="P287" s="35">
        <v>0</v>
      </c>
      <c r="Q287" s="35">
        <f t="shared" si="17"/>
        <v>5</v>
      </c>
      <c r="R287" s="35">
        <v>10</v>
      </c>
      <c r="S287" s="35">
        <f t="shared" si="18"/>
        <v>5</v>
      </c>
      <c r="T287" s="35">
        <v>10</v>
      </c>
      <c r="U287" s="37">
        <v>0</v>
      </c>
      <c r="V287" s="35">
        <v>0</v>
      </c>
      <c r="W287" s="35">
        <v>0</v>
      </c>
      <c r="X287" s="35">
        <v>0</v>
      </c>
      <c r="Y287" s="37">
        <v>0</v>
      </c>
      <c r="Z287" s="37">
        <v>0</v>
      </c>
      <c r="AA287" s="37">
        <v>0</v>
      </c>
      <c r="AB287" s="37">
        <v>0</v>
      </c>
      <c r="AC287" s="37">
        <v>0</v>
      </c>
      <c r="AD287" s="37">
        <v>0</v>
      </c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39"/>
      <c r="DD287" s="39"/>
      <c r="DE287" s="39"/>
      <c r="DF287" s="39"/>
      <c r="DG287" s="39"/>
      <c r="DH287" s="39"/>
      <c r="DI287" s="39"/>
      <c r="DJ287" s="39"/>
      <c r="DK287" s="39"/>
      <c r="DL287" s="39"/>
      <c r="DM287" s="39"/>
      <c r="DN287" s="39"/>
      <c r="DO287" s="39"/>
      <c r="DP287" s="39"/>
      <c r="DQ287" s="39"/>
      <c r="DR287" s="39"/>
      <c r="DS287" s="39"/>
      <c r="DT287" s="39"/>
      <c r="DU287" s="39"/>
      <c r="DV287" s="39"/>
      <c r="DW287" s="39"/>
      <c r="DX287" s="39"/>
      <c r="DY287" s="39"/>
      <c r="DZ287" s="39"/>
      <c r="EA287" s="39"/>
      <c r="EB287" s="39"/>
      <c r="EC287" s="39"/>
      <c r="ED287" s="39"/>
      <c r="EE287" s="39"/>
      <c r="EF287" s="39"/>
      <c r="EG287" s="39"/>
      <c r="EH287" s="39"/>
      <c r="EI287" s="39"/>
      <c r="EJ287" s="39"/>
      <c r="EK287" s="39"/>
      <c r="EL287" s="39"/>
      <c r="EM287" s="39"/>
      <c r="EN287" s="39"/>
      <c r="EO287" s="39"/>
      <c r="EP287" s="39"/>
      <c r="EQ287" s="39"/>
      <c r="ER287" s="39"/>
      <c r="ES287" s="39"/>
      <c r="ET287" s="39"/>
      <c r="EU287" s="39"/>
      <c r="EV287" s="39"/>
      <c r="EW287" s="39"/>
      <c r="EX287" s="39"/>
      <c r="EY287" s="39"/>
      <c r="EZ287" s="39"/>
      <c r="FA287" s="39"/>
      <c r="FB287" s="39"/>
      <c r="FC287" s="39"/>
      <c r="FD287" s="39"/>
      <c r="FE287" s="39"/>
      <c r="FF287" s="39"/>
      <c r="FG287" s="39"/>
      <c r="FH287" s="39"/>
      <c r="FI287" s="39"/>
      <c r="FJ287" s="39"/>
      <c r="FK287" s="39"/>
      <c r="FL287" s="39"/>
      <c r="FM287" s="39"/>
      <c r="FN287" s="39"/>
      <c r="FO287" s="39"/>
      <c r="FP287" s="39"/>
      <c r="FQ287" s="39"/>
      <c r="FR287" s="39"/>
      <c r="FS287" s="39"/>
      <c r="FT287" s="39"/>
      <c r="FU287" s="39"/>
      <c r="FV287" s="39"/>
      <c r="FW287" s="39"/>
      <c r="FX287" s="39"/>
      <c r="FY287" s="39"/>
      <c r="FZ287" s="39"/>
      <c r="GA287" s="39"/>
      <c r="GB287" s="39"/>
      <c r="GC287" s="39"/>
      <c r="GD287" s="39"/>
      <c r="GE287" s="39"/>
      <c r="GF287" s="39"/>
      <c r="GG287" s="39"/>
      <c r="GH287" s="39"/>
      <c r="GI287" s="39"/>
      <c r="GJ287" s="39"/>
      <c r="GK287" s="39"/>
      <c r="GL287" s="39"/>
      <c r="GM287" s="39"/>
      <c r="GN287" s="39"/>
      <c r="GO287" s="39"/>
      <c r="GP287" s="39"/>
      <c r="GQ287" s="39"/>
      <c r="GR287" s="39"/>
      <c r="GS287" s="39"/>
      <c r="GT287" s="39"/>
      <c r="GU287" s="39"/>
      <c r="GV287" s="39"/>
      <c r="GW287" s="39"/>
      <c r="GX287" s="39"/>
      <c r="GY287" s="39"/>
      <c r="GZ287" s="39"/>
      <c r="HA287" s="39"/>
      <c r="HB287" s="39"/>
      <c r="HC287" s="39"/>
      <c r="HD287" s="39"/>
      <c r="HE287" s="39"/>
      <c r="HF287" s="39"/>
      <c r="HG287" s="39"/>
      <c r="HH287" s="39"/>
      <c r="HI287" s="39"/>
      <c r="HJ287" s="39"/>
      <c r="HK287" s="39"/>
      <c r="HL287" s="39"/>
      <c r="HM287" s="39"/>
      <c r="HN287" s="39"/>
      <c r="HO287" s="39"/>
      <c r="HP287" s="39"/>
    </row>
    <row r="288" spans="3:224" s="4" customFormat="1" ht="20.100000000000001" customHeight="1">
      <c r="C288" s="34">
        <v>14050011</v>
      </c>
      <c r="D288" s="34" t="s">
        <v>318</v>
      </c>
      <c r="E288" s="35">
        <v>11200003</v>
      </c>
      <c r="F288" s="35">
        <v>11032</v>
      </c>
      <c r="G288" s="35">
        <v>1</v>
      </c>
      <c r="H288" s="35">
        <v>20</v>
      </c>
      <c r="I288" s="37">
        <v>0.2</v>
      </c>
      <c r="J288" s="38">
        <v>5</v>
      </c>
      <c r="K288" s="35">
        <v>0</v>
      </c>
      <c r="L288" s="35">
        <v>1580</v>
      </c>
      <c r="M288" s="35">
        <f t="shared" si="16"/>
        <v>12</v>
      </c>
      <c r="N288" s="35">
        <v>24</v>
      </c>
      <c r="O288" s="35">
        <v>0</v>
      </c>
      <c r="P288" s="35">
        <v>0</v>
      </c>
      <c r="Q288" s="35">
        <f t="shared" si="17"/>
        <v>7</v>
      </c>
      <c r="R288" s="35">
        <v>13</v>
      </c>
      <c r="S288" s="35">
        <f t="shared" si="18"/>
        <v>7</v>
      </c>
      <c r="T288" s="35">
        <v>13</v>
      </c>
      <c r="U288" s="37">
        <v>0</v>
      </c>
      <c r="V288" s="35">
        <v>0</v>
      </c>
      <c r="W288" s="35">
        <v>0</v>
      </c>
      <c r="X288" s="35">
        <v>0</v>
      </c>
      <c r="Y288" s="37">
        <v>0</v>
      </c>
      <c r="Z288" s="37">
        <v>0</v>
      </c>
      <c r="AA288" s="37">
        <v>0</v>
      </c>
      <c r="AB288" s="37">
        <v>0</v>
      </c>
      <c r="AC288" s="37">
        <v>0</v>
      </c>
      <c r="AD288" s="37">
        <v>0</v>
      </c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39"/>
      <c r="DD288" s="39"/>
      <c r="DE288" s="39"/>
      <c r="DF288" s="39"/>
      <c r="DG288" s="39"/>
      <c r="DH288" s="39"/>
      <c r="DI288" s="39"/>
      <c r="DJ288" s="39"/>
      <c r="DK288" s="39"/>
      <c r="DL288" s="39"/>
      <c r="DM288" s="39"/>
      <c r="DN288" s="39"/>
      <c r="DO288" s="39"/>
      <c r="DP288" s="39"/>
      <c r="DQ288" s="39"/>
      <c r="DR288" s="39"/>
      <c r="DS288" s="39"/>
      <c r="DT288" s="39"/>
      <c r="DU288" s="39"/>
      <c r="DV288" s="39"/>
      <c r="DW288" s="39"/>
      <c r="DX288" s="39"/>
      <c r="DY288" s="39"/>
      <c r="DZ288" s="39"/>
      <c r="EA288" s="39"/>
      <c r="EB288" s="39"/>
      <c r="EC288" s="39"/>
      <c r="ED288" s="39"/>
      <c r="EE288" s="39"/>
      <c r="EF288" s="39"/>
      <c r="EG288" s="39"/>
      <c r="EH288" s="39"/>
      <c r="EI288" s="39"/>
      <c r="EJ288" s="39"/>
      <c r="EK288" s="39"/>
      <c r="EL288" s="39"/>
      <c r="EM288" s="39"/>
      <c r="EN288" s="39"/>
      <c r="EO288" s="39"/>
      <c r="EP288" s="39"/>
      <c r="EQ288" s="39"/>
      <c r="ER288" s="39"/>
      <c r="ES288" s="39"/>
      <c r="ET288" s="39"/>
      <c r="EU288" s="39"/>
      <c r="EV288" s="39"/>
      <c r="EW288" s="39"/>
      <c r="EX288" s="39"/>
      <c r="EY288" s="39"/>
      <c r="EZ288" s="39"/>
      <c r="FA288" s="39"/>
      <c r="FB288" s="39"/>
      <c r="FC288" s="39"/>
      <c r="FD288" s="39"/>
      <c r="FE288" s="39"/>
      <c r="FF288" s="39"/>
      <c r="FG288" s="39"/>
      <c r="FH288" s="39"/>
      <c r="FI288" s="39"/>
      <c r="FJ288" s="39"/>
      <c r="FK288" s="39"/>
      <c r="FL288" s="39"/>
      <c r="FM288" s="39"/>
      <c r="FN288" s="39"/>
      <c r="FO288" s="39"/>
      <c r="FP288" s="39"/>
      <c r="FQ288" s="39"/>
      <c r="FR288" s="39"/>
      <c r="FS288" s="39"/>
      <c r="FT288" s="39"/>
      <c r="FU288" s="39"/>
      <c r="FV288" s="39"/>
      <c r="FW288" s="39"/>
      <c r="FX288" s="39"/>
      <c r="FY288" s="39"/>
      <c r="FZ288" s="39"/>
      <c r="GA288" s="39"/>
      <c r="GB288" s="39"/>
      <c r="GC288" s="39"/>
      <c r="GD288" s="39"/>
      <c r="GE288" s="39"/>
      <c r="GF288" s="39"/>
      <c r="GG288" s="39"/>
      <c r="GH288" s="39"/>
      <c r="GI288" s="39"/>
      <c r="GJ288" s="39"/>
      <c r="GK288" s="39"/>
      <c r="GL288" s="39"/>
      <c r="GM288" s="39"/>
      <c r="GN288" s="39"/>
      <c r="GO288" s="39"/>
      <c r="GP288" s="39"/>
      <c r="GQ288" s="39"/>
      <c r="GR288" s="39"/>
      <c r="GS288" s="39"/>
      <c r="GT288" s="39"/>
      <c r="GU288" s="39"/>
      <c r="GV288" s="39"/>
      <c r="GW288" s="39"/>
      <c r="GX288" s="39"/>
      <c r="GY288" s="39"/>
      <c r="GZ288" s="39"/>
      <c r="HA288" s="39"/>
      <c r="HB288" s="39"/>
      <c r="HC288" s="39"/>
      <c r="HD288" s="39"/>
      <c r="HE288" s="39"/>
      <c r="HF288" s="39"/>
      <c r="HG288" s="39"/>
      <c r="HH288" s="39"/>
      <c r="HI288" s="39"/>
      <c r="HJ288" s="39"/>
      <c r="HK288" s="39"/>
      <c r="HL288" s="39"/>
      <c r="HM288" s="39"/>
      <c r="HN288" s="39"/>
      <c r="HO288" s="39"/>
      <c r="HP288" s="39"/>
    </row>
    <row r="289" spans="3:224" s="4" customFormat="1" ht="20.100000000000001" customHeight="1">
      <c r="C289" s="34">
        <v>14050012</v>
      </c>
      <c r="D289" s="34" t="s">
        <v>319</v>
      </c>
      <c r="E289" s="35">
        <v>11200003</v>
      </c>
      <c r="F289" s="35">
        <v>11043</v>
      </c>
      <c r="G289" s="35">
        <v>1</v>
      </c>
      <c r="H289" s="35">
        <v>20</v>
      </c>
      <c r="I289" s="37">
        <v>0.2</v>
      </c>
      <c r="J289" s="38">
        <v>10</v>
      </c>
      <c r="K289" s="35">
        <v>0</v>
      </c>
      <c r="L289" s="35">
        <v>1970</v>
      </c>
      <c r="M289" s="35">
        <f t="shared" si="16"/>
        <v>15</v>
      </c>
      <c r="N289" s="35">
        <v>29</v>
      </c>
      <c r="O289" s="35">
        <v>0</v>
      </c>
      <c r="P289" s="35">
        <v>0</v>
      </c>
      <c r="Q289" s="35">
        <f t="shared" si="17"/>
        <v>10</v>
      </c>
      <c r="R289" s="35">
        <v>19</v>
      </c>
      <c r="S289" s="35">
        <f t="shared" si="18"/>
        <v>10</v>
      </c>
      <c r="T289" s="35">
        <v>19</v>
      </c>
      <c r="U289" s="37">
        <v>0</v>
      </c>
      <c r="V289" s="35">
        <v>0</v>
      </c>
      <c r="W289" s="35">
        <v>0</v>
      </c>
      <c r="X289" s="35">
        <v>0</v>
      </c>
      <c r="Y289" s="37">
        <v>0</v>
      </c>
      <c r="Z289" s="37">
        <v>0</v>
      </c>
      <c r="AA289" s="37">
        <v>0</v>
      </c>
      <c r="AB289" s="37">
        <v>0</v>
      </c>
      <c r="AC289" s="37">
        <v>0</v>
      </c>
      <c r="AD289" s="37">
        <v>0</v>
      </c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39"/>
      <c r="DD289" s="39"/>
      <c r="DE289" s="39"/>
      <c r="DF289" s="39"/>
      <c r="DG289" s="39"/>
      <c r="DH289" s="39"/>
      <c r="DI289" s="39"/>
      <c r="DJ289" s="39"/>
      <c r="DK289" s="39"/>
      <c r="DL289" s="39"/>
      <c r="DM289" s="39"/>
      <c r="DN289" s="39"/>
      <c r="DO289" s="39"/>
      <c r="DP289" s="39"/>
      <c r="DQ289" s="39"/>
      <c r="DR289" s="39"/>
      <c r="DS289" s="39"/>
      <c r="DT289" s="39"/>
      <c r="DU289" s="39"/>
      <c r="DV289" s="39"/>
      <c r="DW289" s="39"/>
      <c r="DX289" s="39"/>
      <c r="DY289" s="39"/>
      <c r="DZ289" s="39"/>
      <c r="EA289" s="39"/>
      <c r="EB289" s="39"/>
      <c r="EC289" s="39"/>
      <c r="ED289" s="39"/>
      <c r="EE289" s="39"/>
      <c r="EF289" s="39"/>
      <c r="EG289" s="39"/>
      <c r="EH289" s="39"/>
      <c r="EI289" s="39"/>
      <c r="EJ289" s="39"/>
      <c r="EK289" s="39"/>
      <c r="EL289" s="39"/>
      <c r="EM289" s="39"/>
      <c r="EN289" s="39"/>
      <c r="EO289" s="39"/>
      <c r="EP289" s="39"/>
      <c r="EQ289" s="39"/>
      <c r="ER289" s="39"/>
      <c r="ES289" s="39"/>
      <c r="ET289" s="39"/>
      <c r="EU289" s="39"/>
      <c r="EV289" s="39"/>
      <c r="EW289" s="39"/>
      <c r="EX289" s="39"/>
      <c r="EY289" s="39"/>
      <c r="EZ289" s="39"/>
      <c r="FA289" s="39"/>
      <c r="FB289" s="39"/>
      <c r="FC289" s="39"/>
      <c r="FD289" s="39"/>
      <c r="FE289" s="39"/>
      <c r="FF289" s="39"/>
      <c r="FG289" s="39"/>
      <c r="FH289" s="39"/>
      <c r="FI289" s="39"/>
      <c r="FJ289" s="39"/>
      <c r="FK289" s="39"/>
      <c r="FL289" s="39"/>
      <c r="FM289" s="39"/>
      <c r="FN289" s="39"/>
      <c r="FO289" s="39"/>
      <c r="FP289" s="39"/>
      <c r="FQ289" s="39"/>
      <c r="FR289" s="39"/>
      <c r="FS289" s="39"/>
      <c r="FT289" s="39"/>
      <c r="FU289" s="39"/>
      <c r="FV289" s="39"/>
      <c r="FW289" s="39"/>
      <c r="FX289" s="39"/>
      <c r="FY289" s="39"/>
      <c r="FZ289" s="39"/>
      <c r="GA289" s="39"/>
      <c r="GB289" s="39"/>
      <c r="GC289" s="39"/>
      <c r="GD289" s="39"/>
      <c r="GE289" s="39"/>
      <c r="GF289" s="39"/>
      <c r="GG289" s="39"/>
      <c r="GH289" s="39"/>
      <c r="GI289" s="39"/>
      <c r="GJ289" s="39"/>
      <c r="GK289" s="39"/>
      <c r="GL289" s="39"/>
      <c r="GM289" s="39"/>
      <c r="GN289" s="39"/>
      <c r="GO289" s="39"/>
      <c r="GP289" s="39"/>
      <c r="GQ289" s="39"/>
      <c r="GR289" s="39"/>
      <c r="GS289" s="39"/>
      <c r="GT289" s="39"/>
      <c r="GU289" s="39"/>
      <c r="GV289" s="39"/>
      <c r="GW289" s="39"/>
      <c r="GX289" s="39"/>
      <c r="GY289" s="39"/>
      <c r="GZ289" s="39"/>
      <c r="HA289" s="39"/>
      <c r="HB289" s="39"/>
      <c r="HC289" s="39"/>
      <c r="HD289" s="39"/>
      <c r="HE289" s="39"/>
      <c r="HF289" s="39"/>
      <c r="HG289" s="39"/>
      <c r="HH289" s="39"/>
      <c r="HI289" s="39"/>
      <c r="HJ289" s="39"/>
      <c r="HK289" s="39"/>
      <c r="HL289" s="39"/>
      <c r="HM289" s="39"/>
      <c r="HN289" s="39"/>
      <c r="HO289" s="39"/>
      <c r="HP289" s="39"/>
    </row>
    <row r="290" spans="3:224" ht="20.100000000000001" customHeight="1">
      <c r="C290" s="24">
        <v>14060001</v>
      </c>
      <c r="D290" s="24" t="s">
        <v>69</v>
      </c>
      <c r="E290" s="25">
        <v>11200002</v>
      </c>
      <c r="F290" s="25">
        <v>0</v>
      </c>
      <c r="G290" s="25">
        <v>1</v>
      </c>
      <c r="H290" s="25">
        <v>20</v>
      </c>
      <c r="I290" s="29">
        <v>0.2</v>
      </c>
      <c r="J290" s="30">
        <v>5</v>
      </c>
      <c r="K290" s="25">
        <v>0</v>
      </c>
      <c r="L290" s="25">
        <v>0</v>
      </c>
      <c r="M290" s="25">
        <f t="shared" si="16"/>
        <v>13</v>
      </c>
      <c r="N290" s="25">
        <v>25</v>
      </c>
      <c r="O290" s="25">
        <v>0</v>
      </c>
      <c r="P290" s="25">
        <v>0</v>
      </c>
      <c r="Q290" s="25">
        <f t="shared" si="17"/>
        <v>4</v>
      </c>
      <c r="R290" s="25">
        <v>8</v>
      </c>
      <c r="S290" s="25">
        <f t="shared" si="18"/>
        <v>0</v>
      </c>
      <c r="T290" s="25">
        <v>0</v>
      </c>
      <c r="U290" s="29">
        <v>0</v>
      </c>
      <c r="V290" s="25">
        <v>0</v>
      </c>
      <c r="W290" s="25">
        <v>0</v>
      </c>
      <c r="X290" s="25">
        <v>0</v>
      </c>
      <c r="Y290" s="29">
        <v>0</v>
      </c>
      <c r="Z290" s="29">
        <v>0</v>
      </c>
      <c r="AA290" s="29">
        <v>0</v>
      </c>
      <c r="AB290" s="29">
        <v>0</v>
      </c>
      <c r="AC290" s="29">
        <v>0</v>
      </c>
      <c r="AD290" s="29">
        <v>0</v>
      </c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</row>
    <row r="291" spans="3:224" ht="20.100000000000001" customHeight="1">
      <c r="C291" s="24">
        <v>14060002</v>
      </c>
      <c r="D291" s="24" t="s">
        <v>320</v>
      </c>
      <c r="E291" s="25">
        <v>11200002</v>
      </c>
      <c r="F291" s="25">
        <v>0</v>
      </c>
      <c r="G291" s="25">
        <v>1</v>
      </c>
      <c r="H291" s="25">
        <v>20</v>
      </c>
      <c r="I291" s="29">
        <v>0.2</v>
      </c>
      <c r="J291" s="30">
        <v>5</v>
      </c>
      <c r="K291" s="25">
        <v>0</v>
      </c>
      <c r="L291" s="25">
        <v>0</v>
      </c>
      <c r="M291" s="25">
        <f t="shared" si="16"/>
        <v>25</v>
      </c>
      <c r="N291" s="25">
        <v>50</v>
      </c>
      <c r="O291" s="25">
        <v>0</v>
      </c>
      <c r="P291" s="25">
        <v>0</v>
      </c>
      <c r="Q291" s="25">
        <f t="shared" si="17"/>
        <v>6</v>
      </c>
      <c r="R291" s="25">
        <v>12</v>
      </c>
      <c r="S291" s="25">
        <f t="shared" si="18"/>
        <v>0</v>
      </c>
      <c r="T291" s="25">
        <v>0</v>
      </c>
      <c r="U291" s="29">
        <v>0</v>
      </c>
      <c r="V291" s="25">
        <v>0</v>
      </c>
      <c r="W291" s="25">
        <v>0</v>
      </c>
      <c r="X291" s="25">
        <v>0</v>
      </c>
      <c r="Y291" s="29">
        <v>0</v>
      </c>
      <c r="Z291" s="29">
        <v>0</v>
      </c>
      <c r="AA291" s="29">
        <v>0</v>
      </c>
      <c r="AB291" s="29">
        <v>0</v>
      </c>
      <c r="AC291" s="29">
        <v>0</v>
      </c>
      <c r="AD291" s="29">
        <v>0</v>
      </c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</row>
    <row r="292" spans="3:224" ht="20.100000000000001" customHeight="1">
      <c r="C292" s="24">
        <v>14060003</v>
      </c>
      <c r="D292" s="24" t="s">
        <v>321</v>
      </c>
      <c r="E292" s="25">
        <v>11200002</v>
      </c>
      <c r="F292" s="25">
        <v>0</v>
      </c>
      <c r="G292" s="25">
        <v>1</v>
      </c>
      <c r="H292" s="25">
        <v>20</v>
      </c>
      <c r="I292" s="29">
        <v>0.2</v>
      </c>
      <c r="J292" s="30">
        <v>5</v>
      </c>
      <c r="K292" s="25">
        <v>0</v>
      </c>
      <c r="L292" s="25">
        <v>0</v>
      </c>
      <c r="M292" s="25">
        <f t="shared" si="16"/>
        <v>30</v>
      </c>
      <c r="N292" s="25">
        <v>60</v>
      </c>
      <c r="O292" s="25">
        <v>0</v>
      </c>
      <c r="P292" s="25">
        <v>0</v>
      </c>
      <c r="Q292" s="25">
        <f t="shared" si="17"/>
        <v>8</v>
      </c>
      <c r="R292" s="25">
        <v>15</v>
      </c>
      <c r="S292" s="25">
        <f t="shared" si="18"/>
        <v>0</v>
      </c>
      <c r="T292" s="25">
        <v>0</v>
      </c>
      <c r="U292" s="29">
        <v>0</v>
      </c>
      <c r="V292" s="25">
        <v>0</v>
      </c>
      <c r="W292" s="25">
        <v>0</v>
      </c>
      <c r="X292" s="25">
        <v>0</v>
      </c>
      <c r="Y292" s="29">
        <v>0</v>
      </c>
      <c r="Z292" s="29">
        <v>0</v>
      </c>
      <c r="AA292" s="29">
        <v>0</v>
      </c>
      <c r="AB292" s="29">
        <v>0</v>
      </c>
      <c r="AC292" s="29">
        <v>0</v>
      </c>
      <c r="AD292" s="29">
        <v>0</v>
      </c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  <c r="HP292" s="5"/>
    </row>
    <row r="293" spans="3:224" ht="20.100000000000001" customHeight="1">
      <c r="C293" s="24">
        <v>14060004</v>
      </c>
      <c r="D293" s="24" t="s">
        <v>322</v>
      </c>
      <c r="E293" s="25">
        <v>11200002</v>
      </c>
      <c r="F293" s="25">
        <v>0</v>
      </c>
      <c r="G293" s="25">
        <v>1</v>
      </c>
      <c r="H293" s="25">
        <v>20</v>
      </c>
      <c r="I293" s="29">
        <v>0.2</v>
      </c>
      <c r="J293" s="30">
        <v>10</v>
      </c>
      <c r="K293" s="25">
        <v>0</v>
      </c>
      <c r="L293" s="25">
        <v>0</v>
      </c>
      <c r="M293" s="25">
        <f t="shared" si="16"/>
        <v>38</v>
      </c>
      <c r="N293" s="25">
        <v>75</v>
      </c>
      <c r="O293" s="25">
        <v>0</v>
      </c>
      <c r="P293" s="25">
        <v>0</v>
      </c>
      <c r="Q293" s="25">
        <f t="shared" si="17"/>
        <v>12</v>
      </c>
      <c r="R293" s="25">
        <v>23</v>
      </c>
      <c r="S293" s="25">
        <f t="shared" si="18"/>
        <v>0</v>
      </c>
      <c r="T293" s="25">
        <v>0</v>
      </c>
      <c r="U293" s="29">
        <v>0</v>
      </c>
      <c r="V293" s="25">
        <v>0</v>
      </c>
      <c r="W293" s="25">
        <v>0</v>
      </c>
      <c r="X293" s="25">
        <v>0</v>
      </c>
      <c r="Y293" s="29">
        <v>0</v>
      </c>
      <c r="Z293" s="29">
        <v>0</v>
      </c>
      <c r="AA293" s="29">
        <v>0</v>
      </c>
      <c r="AB293" s="29">
        <v>0</v>
      </c>
      <c r="AC293" s="29">
        <v>0</v>
      </c>
      <c r="AD293" s="29">
        <v>0</v>
      </c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</row>
    <row r="294" spans="3:224" ht="20.100000000000001" customHeight="1">
      <c r="C294" s="24">
        <v>14060005</v>
      </c>
      <c r="D294" s="36" t="s">
        <v>323</v>
      </c>
      <c r="E294" s="25">
        <v>11200002</v>
      </c>
      <c r="F294" s="25">
        <v>11051</v>
      </c>
      <c r="G294" s="25">
        <v>1</v>
      </c>
      <c r="H294" s="25">
        <v>20</v>
      </c>
      <c r="I294" s="29">
        <v>0.2</v>
      </c>
      <c r="J294" s="30">
        <v>10</v>
      </c>
      <c r="K294" s="25">
        <v>0</v>
      </c>
      <c r="L294" s="25">
        <v>0</v>
      </c>
      <c r="M294" s="25">
        <v>50</v>
      </c>
      <c r="N294" s="25">
        <v>95</v>
      </c>
      <c r="O294" s="25">
        <v>0</v>
      </c>
      <c r="P294" s="25">
        <v>0</v>
      </c>
      <c r="Q294" s="25">
        <v>18</v>
      </c>
      <c r="R294" s="25">
        <v>32</v>
      </c>
      <c r="S294" s="25">
        <f t="shared" ref="S294:S295" si="25">ROUND(T294/2,0)</f>
        <v>0</v>
      </c>
      <c r="T294" s="25">
        <v>0</v>
      </c>
      <c r="U294" s="29">
        <v>0</v>
      </c>
      <c r="V294" s="25">
        <v>0</v>
      </c>
      <c r="W294" s="25">
        <v>0</v>
      </c>
      <c r="X294" s="25">
        <v>0</v>
      </c>
      <c r="Y294" s="29">
        <v>0</v>
      </c>
      <c r="Z294" s="29">
        <v>0</v>
      </c>
      <c r="AA294" s="29">
        <v>0</v>
      </c>
      <c r="AB294" s="29">
        <v>205001</v>
      </c>
      <c r="AC294" s="29">
        <v>500</v>
      </c>
      <c r="AD294" s="29">
        <v>1</v>
      </c>
      <c r="AE294" s="29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</row>
    <row r="295" spans="3:224" ht="20.100000000000001" customHeight="1">
      <c r="C295" s="24">
        <v>14060006</v>
      </c>
      <c r="D295" s="70" t="s">
        <v>672</v>
      </c>
      <c r="E295" s="25">
        <v>11200002</v>
      </c>
      <c r="F295" s="25">
        <v>0</v>
      </c>
      <c r="G295" s="25">
        <v>1</v>
      </c>
      <c r="H295" s="25">
        <v>20</v>
      </c>
      <c r="I295" s="29">
        <v>0.2</v>
      </c>
      <c r="J295" s="30">
        <v>10</v>
      </c>
      <c r="K295" s="25">
        <v>0</v>
      </c>
      <c r="L295" s="25">
        <v>0</v>
      </c>
      <c r="M295" s="25">
        <v>40</v>
      </c>
      <c r="N295" s="25">
        <v>60</v>
      </c>
      <c r="O295" s="25">
        <v>0</v>
      </c>
      <c r="P295" s="25">
        <v>0</v>
      </c>
      <c r="Q295" s="25">
        <f t="shared" ref="Q295" si="26">ROUND(R295/2,0)</f>
        <v>12</v>
      </c>
      <c r="R295" s="25">
        <v>23</v>
      </c>
      <c r="S295" s="25">
        <f t="shared" si="25"/>
        <v>0</v>
      </c>
      <c r="T295" s="25">
        <v>0</v>
      </c>
      <c r="U295" s="29">
        <v>0</v>
      </c>
      <c r="V295" s="25">
        <v>0</v>
      </c>
      <c r="W295" s="25">
        <v>0</v>
      </c>
      <c r="X295" s="25">
        <v>0</v>
      </c>
      <c r="Y295" s="29">
        <v>0</v>
      </c>
      <c r="Z295" s="29">
        <v>0</v>
      </c>
      <c r="AA295" s="29">
        <v>0</v>
      </c>
      <c r="AB295" s="29">
        <v>0</v>
      </c>
      <c r="AC295" s="29">
        <v>0</v>
      </c>
      <c r="AD295" s="29">
        <v>0</v>
      </c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  <c r="HM295" s="5"/>
      <c r="HN295" s="5"/>
      <c r="HO295" s="5"/>
      <c r="HP295" s="5"/>
    </row>
    <row r="296" spans="3:224" ht="20.100000000000001" customHeight="1">
      <c r="C296" s="24">
        <v>14070001</v>
      </c>
      <c r="D296" s="24" t="s">
        <v>324</v>
      </c>
      <c r="E296" s="25">
        <v>11200002</v>
      </c>
      <c r="F296" s="25">
        <v>0</v>
      </c>
      <c r="G296" s="25">
        <v>1</v>
      </c>
      <c r="H296" s="25">
        <v>20</v>
      </c>
      <c r="I296" s="29">
        <v>0.2</v>
      </c>
      <c r="J296" s="30">
        <v>5</v>
      </c>
      <c r="K296" s="25">
        <v>0</v>
      </c>
      <c r="L296" s="25">
        <v>0</v>
      </c>
      <c r="M296" s="25">
        <f t="shared" si="16"/>
        <v>13</v>
      </c>
      <c r="N296" s="25">
        <v>25</v>
      </c>
      <c r="O296" s="25">
        <v>0</v>
      </c>
      <c r="P296" s="25">
        <v>0</v>
      </c>
      <c r="Q296" s="25">
        <f t="shared" si="17"/>
        <v>0</v>
      </c>
      <c r="R296" s="25">
        <v>0</v>
      </c>
      <c r="S296" s="25">
        <f t="shared" si="18"/>
        <v>4</v>
      </c>
      <c r="T296" s="25">
        <v>8</v>
      </c>
      <c r="U296" s="29">
        <v>0</v>
      </c>
      <c r="V296" s="25">
        <v>0</v>
      </c>
      <c r="W296" s="25">
        <v>0</v>
      </c>
      <c r="X296" s="25">
        <v>0</v>
      </c>
      <c r="Y296" s="29">
        <v>0</v>
      </c>
      <c r="Z296" s="29">
        <v>0</v>
      </c>
      <c r="AA296" s="29">
        <v>0</v>
      </c>
      <c r="AB296" s="29">
        <v>0</v>
      </c>
      <c r="AC296" s="29">
        <v>0</v>
      </c>
      <c r="AD296" s="29">
        <v>0</v>
      </c>
      <c r="AE296" s="29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</row>
    <row r="297" spans="3:224" ht="20.100000000000001" customHeight="1">
      <c r="C297" s="24">
        <v>14070002</v>
      </c>
      <c r="D297" s="24" t="s">
        <v>325</v>
      </c>
      <c r="E297" s="25">
        <v>11200002</v>
      </c>
      <c r="F297" s="25">
        <v>0</v>
      </c>
      <c r="G297" s="25">
        <v>1</v>
      </c>
      <c r="H297" s="25">
        <v>20</v>
      </c>
      <c r="I297" s="29">
        <v>0.2</v>
      </c>
      <c r="J297" s="30">
        <v>5</v>
      </c>
      <c r="K297" s="25">
        <v>0</v>
      </c>
      <c r="L297" s="25">
        <v>0</v>
      </c>
      <c r="M297" s="25">
        <f t="shared" ref="M297:M376" si="27">ROUND(N297/2,0)</f>
        <v>25</v>
      </c>
      <c r="N297" s="25">
        <v>50</v>
      </c>
      <c r="O297" s="25">
        <v>0</v>
      </c>
      <c r="P297" s="25">
        <v>0</v>
      </c>
      <c r="Q297" s="25">
        <f t="shared" ref="Q297:Q376" si="28">ROUND(R297/2,0)</f>
        <v>0</v>
      </c>
      <c r="R297" s="25">
        <v>0</v>
      </c>
      <c r="S297" s="25">
        <f t="shared" ref="S297:S376" si="29">ROUND(T297/2,0)</f>
        <v>6</v>
      </c>
      <c r="T297" s="25">
        <v>12</v>
      </c>
      <c r="U297" s="29">
        <v>0</v>
      </c>
      <c r="V297" s="25">
        <v>0</v>
      </c>
      <c r="W297" s="25">
        <v>0</v>
      </c>
      <c r="X297" s="25">
        <v>0</v>
      </c>
      <c r="Y297" s="29">
        <v>0</v>
      </c>
      <c r="Z297" s="29">
        <v>0</v>
      </c>
      <c r="AA297" s="29">
        <v>0</v>
      </c>
      <c r="AB297" s="29">
        <v>0</v>
      </c>
      <c r="AC297" s="29">
        <v>0</v>
      </c>
      <c r="AD297" s="29">
        <v>0</v>
      </c>
      <c r="AE297" s="29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</row>
    <row r="298" spans="3:224" ht="20.100000000000001" customHeight="1">
      <c r="C298" s="24">
        <v>14070003</v>
      </c>
      <c r="D298" s="24" t="s">
        <v>326</v>
      </c>
      <c r="E298" s="25">
        <v>11200002</v>
      </c>
      <c r="F298" s="25">
        <v>0</v>
      </c>
      <c r="G298" s="25">
        <v>1</v>
      </c>
      <c r="H298" s="25">
        <v>20</v>
      </c>
      <c r="I298" s="29">
        <v>0.2</v>
      </c>
      <c r="J298" s="30">
        <v>10</v>
      </c>
      <c r="K298" s="25">
        <v>0</v>
      </c>
      <c r="L298" s="25">
        <v>0</v>
      </c>
      <c r="M298" s="25">
        <f t="shared" si="27"/>
        <v>30</v>
      </c>
      <c r="N298" s="25">
        <v>60</v>
      </c>
      <c r="O298" s="25">
        <v>0</v>
      </c>
      <c r="P298" s="25">
        <v>0</v>
      </c>
      <c r="Q298" s="25">
        <f t="shared" si="28"/>
        <v>0</v>
      </c>
      <c r="R298" s="25">
        <v>0</v>
      </c>
      <c r="S298" s="25">
        <f t="shared" si="29"/>
        <v>8</v>
      </c>
      <c r="T298" s="25">
        <v>15</v>
      </c>
      <c r="U298" s="29">
        <v>0</v>
      </c>
      <c r="V298" s="25">
        <v>0</v>
      </c>
      <c r="W298" s="25">
        <v>0</v>
      </c>
      <c r="X298" s="25">
        <v>0</v>
      </c>
      <c r="Y298" s="29">
        <v>0</v>
      </c>
      <c r="Z298" s="29">
        <v>0</v>
      </c>
      <c r="AA298" s="29">
        <v>0</v>
      </c>
      <c r="AB298" s="29">
        <v>0</v>
      </c>
      <c r="AC298" s="29">
        <v>0</v>
      </c>
      <c r="AD298" s="29">
        <v>0</v>
      </c>
      <c r="AE298" s="29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</row>
    <row r="299" spans="3:224" ht="20.100000000000001" customHeight="1">
      <c r="C299" s="24">
        <v>14070004</v>
      </c>
      <c r="D299" s="24" t="s">
        <v>327</v>
      </c>
      <c r="E299" s="25">
        <v>11200002</v>
      </c>
      <c r="F299" s="25">
        <v>0</v>
      </c>
      <c r="G299" s="25">
        <v>1</v>
      </c>
      <c r="H299" s="25">
        <v>20</v>
      </c>
      <c r="I299" s="29">
        <v>0.2</v>
      </c>
      <c r="J299" s="30">
        <v>10</v>
      </c>
      <c r="K299" s="25">
        <v>0</v>
      </c>
      <c r="L299" s="25">
        <v>0</v>
      </c>
      <c r="M299" s="25">
        <f t="shared" si="27"/>
        <v>38</v>
      </c>
      <c r="N299" s="25">
        <v>75</v>
      </c>
      <c r="O299" s="25">
        <v>0</v>
      </c>
      <c r="P299" s="25">
        <v>0</v>
      </c>
      <c r="Q299" s="25">
        <f t="shared" si="28"/>
        <v>0</v>
      </c>
      <c r="R299" s="25">
        <v>0</v>
      </c>
      <c r="S299" s="25">
        <f t="shared" si="29"/>
        <v>12</v>
      </c>
      <c r="T299" s="25">
        <v>23</v>
      </c>
      <c r="U299" s="29">
        <v>0</v>
      </c>
      <c r="V299" s="25">
        <v>0</v>
      </c>
      <c r="W299" s="25">
        <v>0</v>
      </c>
      <c r="X299" s="25">
        <v>0</v>
      </c>
      <c r="Y299" s="29">
        <v>0</v>
      </c>
      <c r="Z299" s="29">
        <v>0</v>
      </c>
      <c r="AA299" s="29">
        <v>0</v>
      </c>
      <c r="AB299" s="29">
        <v>0</v>
      </c>
      <c r="AC299" s="29">
        <v>0</v>
      </c>
      <c r="AD299" s="29">
        <v>0</v>
      </c>
      <c r="AE299" s="29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</row>
    <row r="300" spans="3:224" ht="20.100000000000001" customHeight="1">
      <c r="C300" s="24">
        <v>14080001</v>
      </c>
      <c r="D300" s="24" t="s">
        <v>328</v>
      </c>
      <c r="E300" s="25">
        <v>11200002</v>
      </c>
      <c r="F300" s="25">
        <v>0</v>
      </c>
      <c r="G300" s="25">
        <v>1</v>
      </c>
      <c r="H300" s="25">
        <v>20</v>
      </c>
      <c r="I300" s="29">
        <v>0.2</v>
      </c>
      <c r="J300" s="30">
        <v>5</v>
      </c>
      <c r="K300" s="25">
        <v>0</v>
      </c>
      <c r="L300" s="25">
        <v>0</v>
      </c>
      <c r="M300" s="25">
        <f t="shared" si="27"/>
        <v>5</v>
      </c>
      <c r="N300" s="25">
        <v>10</v>
      </c>
      <c r="O300" s="25">
        <v>0</v>
      </c>
      <c r="P300" s="25">
        <v>0</v>
      </c>
      <c r="Q300" s="25">
        <f t="shared" si="28"/>
        <v>0</v>
      </c>
      <c r="R300" s="25">
        <v>0</v>
      </c>
      <c r="S300" s="25">
        <f t="shared" si="29"/>
        <v>0</v>
      </c>
      <c r="T300" s="25">
        <v>0</v>
      </c>
      <c r="U300" s="29">
        <v>0</v>
      </c>
      <c r="V300" s="25">
        <v>0</v>
      </c>
      <c r="W300" s="25">
        <v>0</v>
      </c>
      <c r="X300" s="25">
        <v>0</v>
      </c>
      <c r="Y300" s="29">
        <v>0</v>
      </c>
      <c r="Z300" s="29">
        <v>0</v>
      </c>
      <c r="AA300" s="29">
        <v>0</v>
      </c>
      <c r="AB300" s="29">
        <v>0</v>
      </c>
      <c r="AC300" s="29">
        <v>0</v>
      </c>
      <c r="AD300" s="29">
        <v>0</v>
      </c>
      <c r="AE300" s="29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</row>
    <row r="301" spans="3:224" ht="20.100000000000001" customHeight="1">
      <c r="C301" s="24">
        <v>14080002</v>
      </c>
      <c r="D301" s="24" t="s">
        <v>329</v>
      </c>
      <c r="E301" s="25">
        <v>11200002</v>
      </c>
      <c r="F301" s="25">
        <v>0</v>
      </c>
      <c r="G301" s="25">
        <v>1</v>
      </c>
      <c r="H301" s="25">
        <v>20</v>
      </c>
      <c r="I301" s="29">
        <v>0.2</v>
      </c>
      <c r="J301" s="30">
        <v>5</v>
      </c>
      <c r="K301" s="25">
        <v>0</v>
      </c>
      <c r="L301" s="25">
        <v>0</v>
      </c>
      <c r="M301" s="25">
        <f t="shared" si="27"/>
        <v>8</v>
      </c>
      <c r="N301" s="25">
        <v>15</v>
      </c>
      <c r="O301" s="25">
        <v>0</v>
      </c>
      <c r="P301" s="25">
        <v>0</v>
      </c>
      <c r="Q301" s="25">
        <f t="shared" si="28"/>
        <v>0</v>
      </c>
      <c r="R301" s="25">
        <v>0</v>
      </c>
      <c r="S301" s="25">
        <f t="shared" si="29"/>
        <v>0</v>
      </c>
      <c r="T301" s="25">
        <v>0</v>
      </c>
      <c r="U301" s="29">
        <v>0</v>
      </c>
      <c r="V301" s="25">
        <v>0</v>
      </c>
      <c r="W301" s="25">
        <v>0</v>
      </c>
      <c r="X301" s="25">
        <v>0</v>
      </c>
      <c r="Y301" s="29">
        <v>0</v>
      </c>
      <c r="Z301" s="29">
        <v>0</v>
      </c>
      <c r="AA301" s="29">
        <v>0</v>
      </c>
      <c r="AB301" s="29">
        <v>0</v>
      </c>
      <c r="AC301" s="29">
        <v>0</v>
      </c>
      <c r="AD301" s="29">
        <v>0</v>
      </c>
      <c r="AE301" s="29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</row>
    <row r="302" spans="3:224" ht="20.100000000000001" customHeight="1">
      <c r="C302" s="24">
        <v>14080003</v>
      </c>
      <c r="D302" s="24" t="s">
        <v>330</v>
      </c>
      <c r="E302" s="25">
        <v>11200002</v>
      </c>
      <c r="F302" s="25">
        <v>0</v>
      </c>
      <c r="G302" s="25">
        <v>1</v>
      </c>
      <c r="H302" s="25">
        <v>20</v>
      </c>
      <c r="I302" s="29">
        <v>0.2</v>
      </c>
      <c r="J302" s="30">
        <v>10</v>
      </c>
      <c r="K302" s="25">
        <v>0</v>
      </c>
      <c r="L302" s="25">
        <v>0</v>
      </c>
      <c r="M302" s="25">
        <f t="shared" si="27"/>
        <v>10</v>
      </c>
      <c r="N302" s="25">
        <v>20</v>
      </c>
      <c r="O302" s="25">
        <v>0</v>
      </c>
      <c r="P302" s="25">
        <v>0</v>
      </c>
      <c r="Q302" s="25">
        <f t="shared" si="28"/>
        <v>0</v>
      </c>
      <c r="R302" s="25">
        <v>0</v>
      </c>
      <c r="S302" s="25">
        <f t="shared" si="29"/>
        <v>0</v>
      </c>
      <c r="T302" s="25">
        <v>0</v>
      </c>
      <c r="U302" s="29">
        <v>0</v>
      </c>
      <c r="V302" s="25">
        <v>0</v>
      </c>
      <c r="W302" s="25">
        <v>0</v>
      </c>
      <c r="X302" s="25">
        <v>0</v>
      </c>
      <c r="Y302" s="29">
        <v>0</v>
      </c>
      <c r="Z302" s="29">
        <v>0</v>
      </c>
      <c r="AA302" s="29">
        <v>0</v>
      </c>
      <c r="AB302" s="29">
        <v>0</v>
      </c>
      <c r="AC302" s="29">
        <v>0</v>
      </c>
      <c r="AD302" s="29">
        <v>0</v>
      </c>
      <c r="AE302" s="29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/>
      <c r="HK302" s="5"/>
      <c r="HL302" s="5"/>
      <c r="HM302" s="5"/>
      <c r="HN302" s="5"/>
      <c r="HO302" s="5"/>
      <c r="HP302" s="5"/>
    </row>
    <row r="303" spans="3:224" s="3" customFormat="1" ht="20.100000000000001" customHeight="1">
      <c r="C303" s="26">
        <v>14080004</v>
      </c>
      <c r="D303" s="27" t="s">
        <v>331</v>
      </c>
      <c r="E303" s="28">
        <v>11200002</v>
      </c>
      <c r="F303" s="28">
        <v>0</v>
      </c>
      <c r="G303" s="28">
        <v>1</v>
      </c>
      <c r="H303" s="28">
        <v>20</v>
      </c>
      <c r="I303" s="31">
        <v>0.2</v>
      </c>
      <c r="J303" s="32">
        <v>10</v>
      </c>
      <c r="K303" s="28">
        <v>0</v>
      </c>
      <c r="L303" s="28">
        <v>0</v>
      </c>
      <c r="M303" s="28">
        <f t="shared" ref="M303" si="30">ROUND(N303/2,0)</f>
        <v>13</v>
      </c>
      <c r="N303" s="28">
        <v>25</v>
      </c>
      <c r="O303" s="28">
        <v>0</v>
      </c>
      <c r="P303" s="28">
        <v>0</v>
      </c>
      <c r="Q303" s="28">
        <f t="shared" ref="Q303" si="31">ROUND(R303/2,0)</f>
        <v>0</v>
      </c>
      <c r="R303" s="28">
        <v>0</v>
      </c>
      <c r="S303" s="28">
        <f t="shared" ref="S303" si="32">ROUND(T303/2,0)</f>
        <v>0</v>
      </c>
      <c r="T303" s="28">
        <v>0</v>
      </c>
      <c r="U303" s="31">
        <v>0</v>
      </c>
      <c r="V303" s="28">
        <v>0</v>
      </c>
      <c r="W303" s="28">
        <v>0</v>
      </c>
      <c r="X303" s="28">
        <v>0</v>
      </c>
      <c r="Y303" s="31">
        <v>0</v>
      </c>
      <c r="Z303" s="31">
        <v>0</v>
      </c>
      <c r="AA303" s="31">
        <v>0</v>
      </c>
      <c r="AB303" s="31">
        <v>0</v>
      </c>
      <c r="AC303" s="31">
        <v>0</v>
      </c>
      <c r="AD303" s="31">
        <v>0</v>
      </c>
      <c r="AE303" s="31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  <c r="BW303" s="33"/>
      <c r="BX303" s="33"/>
      <c r="BY303" s="33"/>
      <c r="BZ303" s="33"/>
      <c r="CA303" s="33"/>
      <c r="CB303" s="33"/>
      <c r="CC303" s="33"/>
      <c r="CD303" s="33"/>
      <c r="CE303" s="33"/>
      <c r="CF303" s="33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  <c r="CY303" s="33"/>
      <c r="CZ303" s="33"/>
      <c r="DA303" s="33"/>
      <c r="DB303" s="33"/>
      <c r="DC303" s="33"/>
      <c r="DD303" s="33"/>
      <c r="DE303" s="33"/>
      <c r="DF303" s="33"/>
      <c r="DG303" s="33"/>
      <c r="DH303" s="33"/>
      <c r="DI303" s="33"/>
      <c r="DJ303" s="33"/>
      <c r="DK303" s="33"/>
      <c r="DL303" s="33"/>
      <c r="DM303" s="33"/>
      <c r="DN303" s="33"/>
      <c r="DO303" s="33"/>
      <c r="DP303" s="33"/>
      <c r="DQ303" s="33"/>
      <c r="DR303" s="33"/>
      <c r="DS303" s="33"/>
      <c r="DT303" s="33"/>
      <c r="DU303" s="33"/>
      <c r="DV303" s="33"/>
      <c r="DW303" s="33"/>
      <c r="DX303" s="33"/>
      <c r="DY303" s="33"/>
      <c r="DZ303" s="33"/>
      <c r="EA303" s="33"/>
      <c r="EB303" s="33"/>
      <c r="EC303" s="33"/>
      <c r="ED303" s="33"/>
      <c r="EE303" s="33"/>
      <c r="EF303" s="33"/>
      <c r="EG303" s="33"/>
      <c r="EH303" s="33"/>
      <c r="EI303" s="33"/>
      <c r="EJ303" s="33"/>
      <c r="EK303" s="33"/>
      <c r="EL303" s="33"/>
      <c r="EM303" s="33"/>
      <c r="EN303" s="33"/>
      <c r="EO303" s="33"/>
      <c r="EP303" s="33"/>
      <c r="EQ303" s="33"/>
      <c r="ER303" s="33"/>
      <c r="ES303" s="33"/>
      <c r="ET303" s="33"/>
      <c r="EU303" s="33"/>
      <c r="EV303" s="33"/>
      <c r="EW303" s="33"/>
      <c r="EX303" s="33"/>
      <c r="EY303" s="33"/>
      <c r="EZ303" s="33"/>
      <c r="FA303" s="33"/>
      <c r="FB303" s="33"/>
      <c r="FC303" s="33"/>
      <c r="FD303" s="33"/>
      <c r="FE303" s="33"/>
      <c r="FF303" s="33"/>
      <c r="FG303" s="33"/>
      <c r="FH303" s="33"/>
      <c r="FI303" s="33"/>
      <c r="FJ303" s="33"/>
      <c r="FK303" s="33"/>
      <c r="FL303" s="33"/>
      <c r="FM303" s="33"/>
      <c r="FN303" s="33"/>
      <c r="FO303" s="33"/>
      <c r="FP303" s="33"/>
      <c r="FQ303" s="33"/>
      <c r="FR303" s="33"/>
      <c r="FS303" s="33"/>
      <c r="FT303" s="33"/>
      <c r="FU303" s="33"/>
      <c r="FV303" s="33"/>
      <c r="FW303" s="33"/>
      <c r="FX303" s="33"/>
      <c r="FY303" s="33"/>
      <c r="FZ303" s="33"/>
      <c r="GA303" s="33"/>
      <c r="GB303" s="33"/>
      <c r="GC303" s="33"/>
      <c r="GD303" s="33"/>
      <c r="GE303" s="33"/>
      <c r="GF303" s="33"/>
      <c r="GG303" s="33"/>
      <c r="GH303" s="33"/>
      <c r="GI303" s="33"/>
      <c r="GJ303" s="33"/>
      <c r="GK303" s="33"/>
      <c r="GL303" s="33"/>
      <c r="GM303" s="33"/>
      <c r="GN303" s="33"/>
      <c r="GO303" s="33"/>
      <c r="GP303" s="33"/>
      <c r="GQ303" s="33"/>
      <c r="GR303" s="33"/>
      <c r="GS303" s="33"/>
      <c r="GT303" s="33"/>
      <c r="GU303" s="33"/>
      <c r="GV303" s="33"/>
      <c r="GW303" s="33"/>
      <c r="GX303" s="33"/>
      <c r="GY303" s="33"/>
      <c r="GZ303" s="33"/>
      <c r="HA303" s="33"/>
      <c r="HB303" s="33"/>
      <c r="HC303" s="33"/>
      <c r="HD303" s="33"/>
      <c r="HE303" s="33"/>
      <c r="HF303" s="33"/>
      <c r="HG303" s="33"/>
      <c r="HH303" s="33"/>
      <c r="HI303" s="33"/>
      <c r="HJ303" s="33"/>
      <c r="HK303" s="33"/>
      <c r="HL303" s="33"/>
      <c r="HM303" s="33"/>
      <c r="HN303" s="33"/>
      <c r="HO303" s="33"/>
      <c r="HP303" s="33"/>
    </row>
    <row r="304" spans="3:224" ht="20.100000000000001" customHeight="1">
      <c r="C304" s="24">
        <v>14090001</v>
      </c>
      <c r="D304" s="24" t="s">
        <v>332</v>
      </c>
      <c r="E304" s="25">
        <v>11200001</v>
      </c>
      <c r="F304" s="25">
        <v>0</v>
      </c>
      <c r="G304" s="25">
        <v>1</v>
      </c>
      <c r="H304" s="25">
        <v>20</v>
      </c>
      <c r="I304" s="29">
        <v>0.2</v>
      </c>
      <c r="J304" s="30">
        <v>5</v>
      </c>
      <c r="K304" s="25">
        <v>0</v>
      </c>
      <c r="L304" s="25">
        <v>840</v>
      </c>
      <c r="M304" s="25">
        <f t="shared" si="27"/>
        <v>0</v>
      </c>
      <c r="N304" s="25">
        <v>0</v>
      </c>
      <c r="O304" s="25">
        <v>0</v>
      </c>
      <c r="P304" s="25">
        <v>0</v>
      </c>
      <c r="Q304" s="25">
        <f t="shared" si="28"/>
        <v>0</v>
      </c>
      <c r="R304" s="25">
        <v>0</v>
      </c>
      <c r="S304" s="25">
        <f t="shared" si="29"/>
        <v>0</v>
      </c>
      <c r="T304" s="25">
        <v>0</v>
      </c>
      <c r="U304" s="29">
        <v>0</v>
      </c>
      <c r="V304" s="25">
        <v>0</v>
      </c>
      <c r="W304" s="25">
        <v>0</v>
      </c>
      <c r="X304" s="25">
        <v>0</v>
      </c>
      <c r="Y304" s="29">
        <v>0</v>
      </c>
      <c r="Z304" s="29">
        <v>0</v>
      </c>
      <c r="AA304" s="29">
        <v>0</v>
      </c>
      <c r="AB304" s="29">
        <v>0</v>
      </c>
      <c r="AC304" s="29">
        <v>0</v>
      </c>
      <c r="AD304" s="29">
        <v>0</v>
      </c>
      <c r="AE304" s="29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</row>
    <row r="305" spans="3:224" ht="20.100000000000001" customHeight="1">
      <c r="C305" s="24">
        <v>14090002</v>
      </c>
      <c r="D305" s="24" t="s">
        <v>333</v>
      </c>
      <c r="E305" s="25">
        <v>11200001</v>
      </c>
      <c r="F305" s="25">
        <v>0</v>
      </c>
      <c r="G305" s="25">
        <v>1</v>
      </c>
      <c r="H305" s="25">
        <v>20</v>
      </c>
      <c r="I305" s="29">
        <v>0.2</v>
      </c>
      <c r="J305" s="30">
        <v>5</v>
      </c>
      <c r="K305" s="25">
        <v>0</v>
      </c>
      <c r="L305" s="25">
        <v>1580</v>
      </c>
      <c r="M305" s="25">
        <f t="shared" si="27"/>
        <v>0</v>
      </c>
      <c r="N305" s="25">
        <v>0</v>
      </c>
      <c r="O305" s="25">
        <v>0</v>
      </c>
      <c r="P305" s="25">
        <v>0</v>
      </c>
      <c r="Q305" s="25">
        <f t="shared" si="28"/>
        <v>0</v>
      </c>
      <c r="R305" s="25">
        <v>0</v>
      </c>
      <c r="S305" s="25">
        <f t="shared" si="29"/>
        <v>0</v>
      </c>
      <c r="T305" s="25">
        <v>0</v>
      </c>
      <c r="U305" s="29">
        <v>0</v>
      </c>
      <c r="V305" s="25">
        <v>0</v>
      </c>
      <c r="W305" s="25">
        <v>0</v>
      </c>
      <c r="X305" s="25">
        <v>0</v>
      </c>
      <c r="Y305" s="29">
        <v>0</v>
      </c>
      <c r="Z305" s="29">
        <v>0</v>
      </c>
      <c r="AA305" s="29">
        <v>0</v>
      </c>
      <c r="AB305" s="29">
        <v>0</v>
      </c>
      <c r="AC305" s="29">
        <v>0</v>
      </c>
      <c r="AD305" s="29">
        <v>0</v>
      </c>
      <c r="AE305" s="29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</row>
    <row r="306" spans="3:224" ht="20.100000000000001" customHeight="1">
      <c r="C306" s="24">
        <v>14090003</v>
      </c>
      <c r="D306" s="24" t="s">
        <v>334</v>
      </c>
      <c r="E306" s="25">
        <v>11200001</v>
      </c>
      <c r="F306" s="25">
        <v>0</v>
      </c>
      <c r="G306" s="25">
        <v>1</v>
      </c>
      <c r="H306" s="25">
        <v>20</v>
      </c>
      <c r="I306" s="29">
        <v>0.2</v>
      </c>
      <c r="J306" s="30">
        <v>10</v>
      </c>
      <c r="K306" s="25">
        <v>0</v>
      </c>
      <c r="L306" s="25">
        <v>2100</v>
      </c>
      <c r="M306" s="25">
        <f t="shared" si="27"/>
        <v>0</v>
      </c>
      <c r="N306" s="25">
        <v>0</v>
      </c>
      <c r="O306" s="25">
        <v>0</v>
      </c>
      <c r="P306" s="25">
        <v>0</v>
      </c>
      <c r="Q306" s="25">
        <f t="shared" si="28"/>
        <v>0</v>
      </c>
      <c r="R306" s="25">
        <v>0</v>
      </c>
      <c r="S306" s="25">
        <f t="shared" si="29"/>
        <v>0</v>
      </c>
      <c r="T306" s="25">
        <v>0</v>
      </c>
      <c r="U306" s="29">
        <v>0</v>
      </c>
      <c r="V306" s="25">
        <v>0</v>
      </c>
      <c r="W306" s="25">
        <v>0</v>
      </c>
      <c r="X306" s="25">
        <v>0</v>
      </c>
      <c r="Y306" s="29">
        <v>0</v>
      </c>
      <c r="Z306" s="29">
        <v>0</v>
      </c>
      <c r="AA306" s="29">
        <v>0</v>
      </c>
      <c r="AB306" s="29">
        <v>0</v>
      </c>
      <c r="AC306" s="29">
        <v>0</v>
      </c>
      <c r="AD306" s="29">
        <v>0</v>
      </c>
      <c r="AE306" s="29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</row>
    <row r="307" spans="3:224" s="3" customFormat="1" ht="20.100000000000001" customHeight="1">
      <c r="C307" s="26">
        <v>14090004</v>
      </c>
      <c r="D307" s="27" t="s">
        <v>335</v>
      </c>
      <c r="E307" s="28">
        <v>11200001</v>
      </c>
      <c r="F307" s="28">
        <v>0</v>
      </c>
      <c r="G307" s="28">
        <v>1</v>
      </c>
      <c r="H307" s="28">
        <v>20</v>
      </c>
      <c r="I307" s="31">
        <v>0.2</v>
      </c>
      <c r="J307" s="32">
        <v>10</v>
      </c>
      <c r="K307" s="28">
        <v>0</v>
      </c>
      <c r="L307" s="28">
        <v>2500</v>
      </c>
      <c r="M307" s="28">
        <f t="shared" ref="M307" si="33">ROUND(N307/2,0)</f>
        <v>0</v>
      </c>
      <c r="N307" s="28">
        <v>0</v>
      </c>
      <c r="O307" s="28">
        <v>0</v>
      </c>
      <c r="P307" s="28">
        <v>0</v>
      </c>
      <c r="Q307" s="28">
        <f t="shared" ref="Q307" si="34">ROUND(R307/2,0)</f>
        <v>0</v>
      </c>
      <c r="R307" s="28">
        <v>0</v>
      </c>
      <c r="S307" s="28">
        <f t="shared" ref="S307" si="35">ROUND(T307/2,0)</f>
        <v>0</v>
      </c>
      <c r="T307" s="28">
        <v>0</v>
      </c>
      <c r="U307" s="31">
        <v>0</v>
      </c>
      <c r="V307" s="28">
        <v>0</v>
      </c>
      <c r="W307" s="28">
        <v>0</v>
      </c>
      <c r="X307" s="28">
        <v>0</v>
      </c>
      <c r="Y307" s="31">
        <v>0</v>
      </c>
      <c r="Z307" s="31">
        <v>0</v>
      </c>
      <c r="AA307" s="31">
        <v>0</v>
      </c>
      <c r="AB307" s="31">
        <v>100202</v>
      </c>
      <c r="AC307" s="31">
        <v>300</v>
      </c>
      <c r="AD307" s="31">
        <v>1</v>
      </c>
      <c r="AE307" s="31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3"/>
      <c r="CA307" s="33"/>
      <c r="CB307" s="33"/>
      <c r="CC307" s="33"/>
      <c r="CD307" s="33"/>
      <c r="CE307" s="33"/>
      <c r="CF307" s="33"/>
      <c r="CG307" s="33"/>
      <c r="CH307" s="33"/>
      <c r="CI307" s="33"/>
      <c r="CJ307" s="33"/>
      <c r="CK307" s="33"/>
      <c r="CL307" s="33"/>
      <c r="CM307" s="33"/>
      <c r="CN307" s="33"/>
      <c r="CO307" s="33"/>
      <c r="CP307" s="33"/>
      <c r="CQ307" s="33"/>
      <c r="CR307" s="33"/>
      <c r="CS307" s="33"/>
      <c r="CT307" s="33"/>
      <c r="CU307" s="33"/>
      <c r="CV307" s="33"/>
      <c r="CW307" s="33"/>
      <c r="CX307" s="33"/>
      <c r="CY307" s="33"/>
      <c r="CZ307" s="33"/>
      <c r="DA307" s="33"/>
      <c r="DB307" s="33"/>
      <c r="DC307" s="33"/>
      <c r="DD307" s="33"/>
      <c r="DE307" s="33"/>
      <c r="DF307" s="33"/>
      <c r="DG307" s="33"/>
      <c r="DH307" s="33"/>
      <c r="DI307" s="33"/>
      <c r="DJ307" s="33"/>
      <c r="DK307" s="33"/>
      <c r="DL307" s="33"/>
      <c r="DM307" s="33"/>
      <c r="DN307" s="33"/>
      <c r="DO307" s="33"/>
      <c r="DP307" s="33"/>
      <c r="DQ307" s="33"/>
      <c r="DR307" s="33"/>
      <c r="DS307" s="33"/>
      <c r="DT307" s="33"/>
      <c r="DU307" s="33"/>
      <c r="DV307" s="33"/>
      <c r="DW307" s="33"/>
      <c r="DX307" s="33"/>
      <c r="DY307" s="33"/>
      <c r="DZ307" s="33"/>
      <c r="EA307" s="33"/>
      <c r="EB307" s="33"/>
      <c r="EC307" s="33"/>
      <c r="ED307" s="33"/>
      <c r="EE307" s="33"/>
      <c r="EF307" s="33"/>
      <c r="EG307" s="33"/>
      <c r="EH307" s="33"/>
      <c r="EI307" s="33"/>
      <c r="EJ307" s="33"/>
      <c r="EK307" s="33"/>
      <c r="EL307" s="33"/>
      <c r="EM307" s="33"/>
      <c r="EN307" s="33"/>
      <c r="EO307" s="33"/>
      <c r="EP307" s="33"/>
      <c r="EQ307" s="33"/>
      <c r="ER307" s="33"/>
      <c r="ES307" s="33"/>
      <c r="ET307" s="33"/>
      <c r="EU307" s="33"/>
      <c r="EV307" s="33"/>
      <c r="EW307" s="33"/>
      <c r="EX307" s="33"/>
      <c r="EY307" s="33"/>
      <c r="EZ307" s="33"/>
      <c r="FA307" s="33"/>
      <c r="FB307" s="33"/>
      <c r="FC307" s="33"/>
      <c r="FD307" s="33"/>
      <c r="FE307" s="33"/>
      <c r="FF307" s="33"/>
      <c r="FG307" s="33"/>
      <c r="FH307" s="33"/>
      <c r="FI307" s="33"/>
      <c r="FJ307" s="33"/>
      <c r="FK307" s="33"/>
      <c r="FL307" s="33"/>
      <c r="FM307" s="33"/>
      <c r="FN307" s="33"/>
      <c r="FO307" s="33"/>
      <c r="FP307" s="33"/>
      <c r="FQ307" s="33"/>
      <c r="FR307" s="33"/>
      <c r="FS307" s="33"/>
      <c r="FT307" s="33"/>
      <c r="FU307" s="33"/>
      <c r="FV307" s="33"/>
      <c r="FW307" s="33"/>
      <c r="FX307" s="33"/>
      <c r="FY307" s="33"/>
      <c r="FZ307" s="33"/>
      <c r="GA307" s="33"/>
      <c r="GB307" s="33"/>
      <c r="GC307" s="33"/>
      <c r="GD307" s="33"/>
      <c r="GE307" s="33"/>
      <c r="GF307" s="33"/>
      <c r="GG307" s="33"/>
      <c r="GH307" s="33"/>
      <c r="GI307" s="33"/>
      <c r="GJ307" s="33"/>
      <c r="GK307" s="33"/>
      <c r="GL307" s="33"/>
      <c r="GM307" s="33"/>
      <c r="GN307" s="33"/>
      <c r="GO307" s="33"/>
      <c r="GP307" s="33"/>
      <c r="GQ307" s="33"/>
      <c r="GR307" s="33"/>
      <c r="GS307" s="33"/>
      <c r="GT307" s="33"/>
      <c r="GU307" s="33"/>
      <c r="GV307" s="33"/>
      <c r="GW307" s="33"/>
      <c r="GX307" s="33"/>
      <c r="GY307" s="33"/>
      <c r="GZ307" s="33"/>
      <c r="HA307" s="33"/>
      <c r="HB307" s="33"/>
      <c r="HC307" s="33"/>
      <c r="HD307" s="33"/>
      <c r="HE307" s="33"/>
      <c r="HF307" s="33"/>
      <c r="HG307" s="33"/>
      <c r="HH307" s="33"/>
      <c r="HI307" s="33"/>
      <c r="HJ307" s="33"/>
      <c r="HK307" s="33"/>
      <c r="HL307" s="33"/>
      <c r="HM307" s="33"/>
      <c r="HN307" s="33"/>
      <c r="HO307" s="33"/>
      <c r="HP307" s="33"/>
    </row>
    <row r="308" spans="3:224" ht="20.100000000000001" customHeight="1">
      <c r="C308" s="24">
        <v>14100001</v>
      </c>
      <c r="D308" s="24" t="s">
        <v>336</v>
      </c>
      <c r="E308" s="25">
        <v>11200001</v>
      </c>
      <c r="F308" s="25">
        <v>0</v>
      </c>
      <c r="G308" s="25">
        <v>1</v>
      </c>
      <c r="H308" s="25">
        <v>20</v>
      </c>
      <c r="I308" s="29">
        <v>0.2</v>
      </c>
      <c r="J308" s="30">
        <v>5</v>
      </c>
      <c r="K308" s="25">
        <v>0</v>
      </c>
      <c r="L308" s="25">
        <v>0</v>
      </c>
      <c r="M308" s="25">
        <f t="shared" si="27"/>
        <v>35</v>
      </c>
      <c r="N308" s="25">
        <v>70</v>
      </c>
      <c r="O308" s="25">
        <v>0</v>
      </c>
      <c r="P308" s="25">
        <v>0</v>
      </c>
      <c r="Q308" s="25">
        <f t="shared" si="28"/>
        <v>0</v>
      </c>
      <c r="R308" s="25">
        <v>0</v>
      </c>
      <c r="S308" s="25">
        <f t="shared" si="29"/>
        <v>0</v>
      </c>
      <c r="T308" s="25">
        <v>0</v>
      </c>
      <c r="U308" s="29">
        <v>0</v>
      </c>
      <c r="V308" s="25">
        <v>0</v>
      </c>
      <c r="W308" s="25">
        <v>0</v>
      </c>
      <c r="X308" s="25">
        <v>0</v>
      </c>
      <c r="Y308" s="29">
        <v>0</v>
      </c>
      <c r="Z308" s="29">
        <v>0</v>
      </c>
      <c r="AA308" s="29">
        <v>0</v>
      </c>
      <c r="AB308" s="29">
        <v>0</v>
      </c>
      <c r="AC308" s="29">
        <v>0</v>
      </c>
      <c r="AD308" s="29">
        <v>0</v>
      </c>
      <c r="AE308" s="29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/>
      <c r="HK308" s="5"/>
      <c r="HL308" s="5"/>
      <c r="HM308" s="5"/>
      <c r="HN308" s="5"/>
      <c r="HO308" s="5"/>
      <c r="HP308" s="5"/>
    </row>
    <row r="309" spans="3:224" ht="20.100000000000001" customHeight="1">
      <c r="C309" s="24">
        <v>14100002</v>
      </c>
      <c r="D309" s="24" t="s">
        <v>337</v>
      </c>
      <c r="E309" s="25">
        <v>11200001</v>
      </c>
      <c r="F309" s="25">
        <v>0</v>
      </c>
      <c r="G309" s="25">
        <v>1</v>
      </c>
      <c r="H309" s="25">
        <v>20</v>
      </c>
      <c r="I309" s="29">
        <v>0.2</v>
      </c>
      <c r="J309" s="30">
        <v>5</v>
      </c>
      <c r="K309" s="25">
        <v>0</v>
      </c>
      <c r="L309" s="25">
        <v>0</v>
      </c>
      <c r="M309" s="25">
        <f t="shared" si="27"/>
        <v>65</v>
      </c>
      <c r="N309" s="25">
        <v>130</v>
      </c>
      <c r="O309" s="25">
        <v>0</v>
      </c>
      <c r="P309" s="25">
        <v>0</v>
      </c>
      <c r="Q309" s="25">
        <f t="shared" si="28"/>
        <v>0</v>
      </c>
      <c r="R309" s="25">
        <v>0</v>
      </c>
      <c r="S309" s="25">
        <f t="shared" si="29"/>
        <v>0</v>
      </c>
      <c r="T309" s="25">
        <v>0</v>
      </c>
      <c r="U309" s="29">
        <v>0</v>
      </c>
      <c r="V309" s="25">
        <v>0</v>
      </c>
      <c r="W309" s="25">
        <v>0</v>
      </c>
      <c r="X309" s="25">
        <v>0</v>
      </c>
      <c r="Y309" s="29">
        <v>0</v>
      </c>
      <c r="Z309" s="29">
        <v>0</v>
      </c>
      <c r="AA309" s="29">
        <v>0</v>
      </c>
      <c r="AB309" s="29">
        <v>0</v>
      </c>
      <c r="AC309" s="29">
        <v>0</v>
      </c>
      <c r="AD309" s="29">
        <v>0</v>
      </c>
      <c r="AE309" s="29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</row>
    <row r="310" spans="3:224" ht="20.100000000000001" customHeight="1">
      <c r="C310" s="24">
        <v>14100003</v>
      </c>
      <c r="D310" s="24" t="s">
        <v>338</v>
      </c>
      <c r="E310" s="25">
        <v>11200001</v>
      </c>
      <c r="F310" s="25">
        <v>0</v>
      </c>
      <c r="G310" s="25">
        <v>1</v>
      </c>
      <c r="H310" s="25">
        <v>20</v>
      </c>
      <c r="I310" s="29">
        <v>0.2</v>
      </c>
      <c r="J310" s="30">
        <v>5</v>
      </c>
      <c r="K310" s="25">
        <v>0</v>
      </c>
      <c r="L310" s="25">
        <v>0</v>
      </c>
      <c r="M310" s="25">
        <f t="shared" si="27"/>
        <v>88</v>
      </c>
      <c r="N310" s="25">
        <v>175</v>
      </c>
      <c r="O310" s="25">
        <v>0</v>
      </c>
      <c r="P310" s="25">
        <v>0</v>
      </c>
      <c r="Q310" s="25">
        <f t="shared" si="28"/>
        <v>0</v>
      </c>
      <c r="R310" s="25">
        <v>0</v>
      </c>
      <c r="S310" s="25">
        <f t="shared" si="29"/>
        <v>0</v>
      </c>
      <c r="T310" s="25">
        <v>0</v>
      </c>
      <c r="U310" s="29">
        <v>0</v>
      </c>
      <c r="V310" s="25">
        <v>0</v>
      </c>
      <c r="W310" s="25">
        <v>0</v>
      </c>
      <c r="X310" s="25">
        <v>0</v>
      </c>
      <c r="Y310" s="29">
        <v>0</v>
      </c>
      <c r="Z310" s="29">
        <v>0</v>
      </c>
      <c r="AA310" s="29">
        <v>0</v>
      </c>
      <c r="AB310" s="29">
        <v>0</v>
      </c>
      <c r="AC310" s="29">
        <v>0</v>
      </c>
      <c r="AD310" s="29">
        <v>0</v>
      </c>
      <c r="AE310" s="29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  <c r="HP310" s="5"/>
    </row>
    <row r="311" spans="3:224" ht="20.100000000000001" customHeight="1">
      <c r="C311" s="24">
        <v>14100004</v>
      </c>
      <c r="D311" s="24" t="s">
        <v>339</v>
      </c>
      <c r="E311" s="25">
        <v>11200001</v>
      </c>
      <c r="F311" s="25">
        <v>0</v>
      </c>
      <c r="G311" s="25">
        <v>1</v>
      </c>
      <c r="H311" s="25">
        <v>20</v>
      </c>
      <c r="I311" s="29">
        <v>0.2</v>
      </c>
      <c r="J311" s="30">
        <v>10</v>
      </c>
      <c r="K311" s="25">
        <v>0</v>
      </c>
      <c r="L311" s="25">
        <v>0</v>
      </c>
      <c r="M311" s="25">
        <f t="shared" si="27"/>
        <v>105</v>
      </c>
      <c r="N311" s="25">
        <v>210</v>
      </c>
      <c r="O311" s="25">
        <v>0</v>
      </c>
      <c r="P311" s="25">
        <v>0</v>
      </c>
      <c r="Q311" s="25">
        <f t="shared" si="28"/>
        <v>0</v>
      </c>
      <c r="R311" s="25">
        <v>0</v>
      </c>
      <c r="S311" s="25">
        <f t="shared" si="29"/>
        <v>0</v>
      </c>
      <c r="T311" s="25">
        <v>0</v>
      </c>
      <c r="U311" s="29">
        <v>0</v>
      </c>
      <c r="V311" s="25">
        <v>0</v>
      </c>
      <c r="W311" s="25">
        <v>0</v>
      </c>
      <c r="X311" s="25">
        <v>0</v>
      </c>
      <c r="Y311" s="29">
        <v>0</v>
      </c>
      <c r="Z311" s="29">
        <v>0</v>
      </c>
      <c r="AA311" s="29">
        <v>0</v>
      </c>
      <c r="AB311" s="29">
        <v>0</v>
      </c>
      <c r="AC311" s="29">
        <v>0</v>
      </c>
      <c r="AD311" s="29">
        <v>0</v>
      </c>
      <c r="AE311" s="29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  <c r="HP311" s="5"/>
    </row>
    <row r="312" spans="3:224" ht="20.100000000000001" customHeight="1">
      <c r="C312" s="24">
        <v>14100005</v>
      </c>
      <c r="D312" s="24" t="s">
        <v>340</v>
      </c>
      <c r="E312" s="25">
        <v>11200001</v>
      </c>
      <c r="F312" s="25">
        <v>0</v>
      </c>
      <c r="G312" s="25">
        <v>1</v>
      </c>
      <c r="H312" s="25">
        <v>20</v>
      </c>
      <c r="I312" s="29">
        <v>0.2</v>
      </c>
      <c r="J312" s="30">
        <v>5</v>
      </c>
      <c r="K312" s="25">
        <v>0</v>
      </c>
      <c r="L312" s="25">
        <v>0</v>
      </c>
      <c r="M312" s="25">
        <f t="shared" si="27"/>
        <v>35</v>
      </c>
      <c r="N312" s="25">
        <v>70</v>
      </c>
      <c r="O312" s="25">
        <v>0</v>
      </c>
      <c r="P312" s="25">
        <v>0</v>
      </c>
      <c r="Q312" s="25">
        <f t="shared" si="28"/>
        <v>0</v>
      </c>
      <c r="R312" s="25">
        <v>0</v>
      </c>
      <c r="S312" s="25">
        <f t="shared" si="29"/>
        <v>0</v>
      </c>
      <c r="T312" s="25">
        <v>0</v>
      </c>
      <c r="U312" s="29">
        <v>0</v>
      </c>
      <c r="V312" s="25">
        <v>0</v>
      </c>
      <c r="W312" s="25">
        <v>0</v>
      </c>
      <c r="X312" s="25">
        <v>0</v>
      </c>
      <c r="Y312" s="29">
        <v>0</v>
      </c>
      <c r="Z312" s="29">
        <v>0</v>
      </c>
      <c r="AA312" s="29">
        <v>0</v>
      </c>
      <c r="AB312" s="29">
        <v>0</v>
      </c>
      <c r="AC312" s="29">
        <v>0</v>
      </c>
      <c r="AD312" s="29">
        <v>0</v>
      </c>
      <c r="AE312" s="29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5"/>
      <c r="HP312" s="5"/>
    </row>
    <row r="313" spans="3:224" ht="20.100000000000001" customHeight="1">
      <c r="C313" s="24">
        <v>14100006</v>
      </c>
      <c r="D313" s="24" t="s">
        <v>341</v>
      </c>
      <c r="E313" s="25">
        <v>11200001</v>
      </c>
      <c r="F313" s="25">
        <v>0</v>
      </c>
      <c r="G313" s="25">
        <v>1</v>
      </c>
      <c r="H313" s="25">
        <v>20</v>
      </c>
      <c r="I313" s="29">
        <v>0.2</v>
      </c>
      <c r="J313" s="30">
        <v>5</v>
      </c>
      <c r="K313" s="25">
        <v>0</v>
      </c>
      <c r="L313" s="25">
        <v>0</v>
      </c>
      <c r="M313" s="25">
        <f t="shared" si="27"/>
        <v>65</v>
      </c>
      <c r="N313" s="25">
        <v>130</v>
      </c>
      <c r="O313" s="25">
        <v>0</v>
      </c>
      <c r="P313" s="25">
        <v>0</v>
      </c>
      <c r="Q313" s="25">
        <f t="shared" si="28"/>
        <v>0</v>
      </c>
      <c r="R313" s="25">
        <v>0</v>
      </c>
      <c r="S313" s="25">
        <f t="shared" si="29"/>
        <v>0</v>
      </c>
      <c r="T313" s="25">
        <v>0</v>
      </c>
      <c r="U313" s="29">
        <v>0</v>
      </c>
      <c r="V313" s="25">
        <v>0</v>
      </c>
      <c r="W313" s="25">
        <v>0</v>
      </c>
      <c r="X313" s="25">
        <v>0</v>
      </c>
      <c r="Y313" s="29">
        <v>0</v>
      </c>
      <c r="Z313" s="29">
        <v>0</v>
      </c>
      <c r="AA313" s="29">
        <v>0</v>
      </c>
      <c r="AB313" s="29">
        <v>0</v>
      </c>
      <c r="AC313" s="29">
        <v>0</v>
      </c>
      <c r="AD313" s="29">
        <v>0</v>
      </c>
      <c r="AE313" s="29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</row>
    <row r="314" spans="3:224" ht="20.100000000000001" customHeight="1">
      <c r="C314" s="24">
        <v>14100007</v>
      </c>
      <c r="D314" s="24" t="s">
        <v>342</v>
      </c>
      <c r="E314" s="25">
        <v>11200001</v>
      </c>
      <c r="F314" s="25">
        <v>0</v>
      </c>
      <c r="G314" s="25">
        <v>1</v>
      </c>
      <c r="H314" s="25">
        <v>20</v>
      </c>
      <c r="I314" s="29">
        <v>0.2</v>
      </c>
      <c r="J314" s="30">
        <v>5</v>
      </c>
      <c r="K314" s="25">
        <v>0</v>
      </c>
      <c r="L314" s="25">
        <v>0</v>
      </c>
      <c r="M314" s="25">
        <f t="shared" si="27"/>
        <v>88</v>
      </c>
      <c r="N314" s="25">
        <v>175</v>
      </c>
      <c r="O314" s="25">
        <v>0</v>
      </c>
      <c r="P314" s="25">
        <v>0</v>
      </c>
      <c r="Q314" s="25">
        <f t="shared" si="28"/>
        <v>0</v>
      </c>
      <c r="R314" s="25">
        <v>0</v>
      </c>
      <c r="S314" s="25">
        <f t="shared" si="29"/>
        <v>0</v>
      </c>
      <c r="T314" s="25">
        <v>0</v>
      </c>
      <c r="U314" s="29">
        <v>0</v>
      </c>
      <c r="V314" s="25">
        <v>0</v>
      </c>
      <c r="W314" s="25">
        <v>0</v>
      </c>
      <c r="X314" s="25">
        <v>0</v>
      </c>
      <c r="Y314" s="29">
        <v>0</v>
      </c>
      <c r="Z314" s="29">
        <v>0</v>
      </c>
      <c r="AA314" s="29">
        <v>0</v>
      </c>
      <c r="AB314" s="29">
        <v>0</v>
      </c>
      <c r="AC314" s="29">
        <v>0</v>
      </c>
      <c r="AD314" s="29">
        <v>0</v>
      </c>
      <c r="AE314" s="29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5"/>
      <c r="HP314" s="5"/>
    </row>
    <row r="315" spans="3:224" ht="20.100000000000001" customHeight="1">
      <c r="C315" s="24">
        <v>14100008</v>
      </c>
      <c r="D315" s="24" t="s">
        <v>343</v>
      </c>
      <c r="E315" s="25">
        <v>11200001</v>
      </c>
      <c r="F315" s="25">
        <v>0</v>
      </c>
      <c r="G315" s="25">
        <v>1</v>
      </c>
      <c r="H315" s="25">
        <v>20</v>
      </c>
      <c r="I315" s="29">
        <v>0.2</v>
      </c>
      <c r="J315" s="30">
        <v>10</v>
      </c>
      <c r="K315" s="25">
        <v>0</v>
      </c>
      <c r="L315" s="25">
        <v>0</v>
      </c>
      <c r="M315" s="25">
        <f t="shared" si="27"/>
        <v>105</v>
      </c>
      <c r="N315" s="25">
        <v>210</v>
      </c>
      <c r="O315" s="25">
        <v>0</v>
      </c>
      <c r="P315" s="25">
        <v>0</v>
      </c>
      <c r="Q315" s="25">
        <f t="shared" si="28"/>
        <v>0</v>
      </c>
      <c r="R315" s="25">
        <v>0</v>
      </c>
      <c r="S315" s="25">
        <f t="shared" si="29"/>
        <v>0</v>
      </c>
      <c r="T315" s="25">
        <v>0</v>
      </c>
      <c r="U315" s="29">
        <v>0</v>
      </c>
      <c r="V315" s="25">
        <v>0</v>
      </c>
      <c r="W315" s="25">
        <v>0</v>
      </c>
      <c r="X315" s="25">
        <v>0</v>
      </c>
      <c r="Y315" s="29">
        <v>0</v>
      </c>
      <c r="Z315" s="29">
        <v>0</v>
      </c>
      <c r="AA315" s="29">
        <v>0</v>
      </c>
      <c r="AB315" s="29">
        <v>0</v>
      </c>
      <c r="AC315" s="29">
        <v>0</v>
      </c>
      <c r="AD315" s="29">
        <v>0</v>
      </c>
      <c r="AE315" s="29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5"/>
      <c r="HP315" s="5"/>
    </row>
    <row r="316" spans="3:224" ht="20.100000000000001" customHeight="1">
      <c r="C316" s="24">
        <v>14100011</v>
      </c>
      <c r="D316" s="36" t="s">
        <v>344</v>
      </c>
      <c r="E316" s="25">
        <v>11200001</v>
      </c>
      <c r="F316" s="25">
        <v>11051</v>
      </c>
      <c r="G316" s="25">
        <v>1</v>
      </c>
      <c r="H316" s="25">
        <v>20</v>
      </c>
      <c r="I316" s="29">
        <v>0.2</v>
      </c>
      <c r="J316" s="30">
        <v>10</v>
      </c>
      <c r="K316" s="25">
        <v>0</v>
      </c>
      <c r="L316" s="25">
        <v>0</v>
      </c>
      <c r="M316" s="25">
        <v>150</v>
      </c>
      <c r="N316" s="25">
        <v>350</v>
      </c>
      <c r="O316" s="25">
        <v>0</v>
      </c>
      <c r="P316" s="25">
        <v>0</v>
      </c>
      <c r="Q316" s="25">
        <f t="shared" ref="Q316:Q322" si="36">ROUND(R316/2,0)</f>
        <v>0</v>
      </c>
      <c r="R316" s="25">
        <v>0</v>
      </c>
      <c r="S316" s="25">
        <f t="shared" ref="S316:S322" si="37">ROUND(T316/2,0)</f>
        <v>0</v>
      </c>
      <c r="T316" s="25">
        <v>0</v>
      </c>
      <c r="U316" s="29">
        <v>0</v>
      </c>
      <c r="V316" s="25">
        <v>0</v>
      </c>
      <c r="W316" s="25">
        <v>0</v>
      </c>
      <c r="X316" s="25">
        <v>0</v>
      </c>
      <c r="Y316" s="29">
        <v>0</v>
      </c>
      <c r="Z316" s="29">
        <v>0</v>
      </c>
      <c r="AA316" s="29">
        <v>0</v>
      </c>
      <c r="AB316" s="29">
        <v>0</v>
      </c>
      <c r="AC316" s="29">
        <v>0</v>
      </c>
      <c r="AD316" s="29">
        <v>0</v>
      </c>
      <c r="AE316" s="29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5"/>
      <c r="HP316" s="5"/>
    </row>
    <row r="317" spans="3:224" ht="20.100000000000001" customHeight="1">
      <c r="C317" s="24">
        <v>14100012</v>
      </c>
      <c r="D317" s="36" t="s">
        <v>345</v>
      </c>
      <c r="E317" s="25">
        <v>11200001</v>
      </c>
      <c r="F317" s="25">
        <v>11051</v>
      </c>
      <c r="G317" s="25">
        <v>1</v>
      </c>
      <c r="H317" s="25">
        <v>20</v>
      </c>
      <c r="I317" s="29">
        <v>0.2</v>
      </c>
      <c r="J317" s="30">
        <v>10</v>
      </c>
      <c r="K317" s="25">
        <v>0</v>
      </c>
      <c r="L317" s="25">
        <v>0</v>
      </c>
      <c r="M317" s="25">
        <v>150</v>
      </c>
      <c r="N317" s="25">
        <v>350</v>
      </c>
      <c r="O317" s="25">
        <v>0</v>
      </c>
      <c r="P317" s="25">
        <v>0</v>
      </c>
      <c r="Q317" s="25">
        <f t="shared" si="36"/>
        <v>0</v>
      </c>
      <c r="R317" s="25">
        <v>0</v>
      </c>
      <c r="S317" s="25">
        <f t="shared" si="37"/>
        <v>0</v>
      </c>
      <c r="T317" s="25">
        <v>0</v>
      </c>
      <c r="U317" s="29">
        <v>0</v>
      </c>
      <c r="V317" s="25">
        <v>0</v>
      </c>
      <c r="W317" s="25">
        <v>0</v>
      </c>
      <c r="X317" s="25">
        <v>0</v>
      </c>
      <c r="Y317" s="29">
        <v>0</v>
      </c>
      <c r="Z317" s="29">
        <v>0</v>
      </c>
      <c r="AA317" s="29">
        <v>0</v>
      </c>
      <c r="AB317" s="29">
        <v>202403</v>
      </c>
      <c r="AC317" s="29">
        <v>500</v>
      </c>
      <c r="AD317" s="29">
        <v>1</v>
      </c>
      <c r="AE317" s="29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  <c r="HM317" s="5"/>
      <c r="HN317" s="5"/>
      <c r="HO317" s="5"/>
      <c r="HP317" s="5"/>
    </row>
    <row r="318" spans="3:224" ht="20.100000000000001" customHeight="1">
      <c r="C318" s="24">
        <v>14100021</v>
      </c>
      <c r="D318" s="24" t="s">
        <v>342</v>
      </c>
      <c r="E318" s="25">
        <v>11200001</v>
      </c>
      <c r="F318" s="25">
        <v>0</v>
      </c>
      <c r="G318" s="25">
        <v>1</v>
      </c>
      <c r="H318" s="25">
        <v>20</v>
      </c>
      <c r="I318" s="29">
        <v>0.2</v>
      </c>
      <c r="J318" s="30">
        <v>5</v>
      </c>
      <c r="K318" s="25">
        <v>0</v>
      </c>
      <c r="L318" s="25">
        <v>0</v>
      </c>
      <c r="M318" s="25">
        <v>50</v>
      </c>
      <c r="N318" s="25">
        <v>180</v>
      </c>
      <c r="O318" s="25">
        <v>0</v>
      </c>
      <c r="P318" s="25">
        <v>0</v>
      </c>
      <c r="Q318" s="25">
        <f t="shared" si="36"/>
        <v>0</v>
      </c>
      <c r="R318" s="25">
        <v>0</v>
      </c>
      <c r="S318" s="25">
        <f t="shared" si="37"/>
        <v>0</v>
      </c>
      <c r="T318" s="25">
        <v>0</v>
      </c>
      <c r="U318" s="29">
        <v>0</v>
      </c>
      <c r="V318" s="25">
        <v>0</v>
      </c>
      <c r="W318" s="25">
        <v>0</v>
      </c>
      <c r="X318" s="25">
        <v>0</v>
      </c>
      <c r="Y318" s="29">
        <v>0</v>
      </c>
      <c r="Z318" s="29">
        <v>0</v>
      </c>
      <c r="AA318" s="29">
        <v>0</v>
      </c>
      <c r="AB318" s="29">
        <v>0</v>
      </c>
      <c r="AC318" s="29">
        <v>0</v>
      </c>
      <c r="AD318" s="29">
        <v>0</v>
      </c>
      <c r="AE318" s="29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5"/>
      <c r="HP318" s="5"/>
    </row>
    <row r="319" spans="3:224" ht="20.100000000000001" customHeight="1">
      <c r="C319" s="24">
        <v>14100201</v>
      </c>
      <c r="D319" s="24" t="s">
        <v>649</v>
      </c>
      <c r="E319" s="25">
        <v>11200001</v>
      </c>
      <c r="F319" s="25">
        <v>0</v>
      </c>
      <c r="G319" s="25">
        <v>1</v>
      </c>
      <c r="H319" s="25">
        <v>20</v>
      </c>
      <c r="I319" s="29">
        <v>0.2</v>
      </c>
      <c r="J319" s="30">
        <v>5</v>
      </c>
      <c r="K319" s="25">
        <v>0</v>
      </c>
      <c r="L319" s="25">
        <v>0</v>
      </c>
      <c r="M319" s="25">
        <f t="shared" ref="M319:M322" si="38">ROUND(N319/2,0)</f>
        <v>35</v>
      </c>
      <c r="N319" s="25">
        <v>70</v>
      </c>
      <c r="O319" s="25">
        <v>0</v>
      </c>
      <c r="P319" s="25">
        <v>0</v>
      </c>
      <c r="Q319" s="25">
        <f t="shared" si="36"/>
        <v>0</v>
      </c>
      <c r="R319" s="25">
        <v>0</v>
      </c>
      <c r="S319" s="25">
        <f t="shared" si="37"/>
        <v>0</v>
      </c>
      <c r="T319" s="25">
        <v>0</v>
      </c>
      <c r="U319" s="29">
        <v>0</v>
      </c>
      <c r="V319" s="25">
        <v>0</v>
      </c>
      <c r="W319" s="25">
        <v>0</v>
      </c>
      <c r="X319" s="25">
        <v>0</v>
      </c>
      <c r="Y319" s="29">
        <v>0</v>
      </c>
      <c r="Z319" s="29">
        <v>0</v>
      </c>
      <c r="AA319" s="29">
        <v>0</v>
      </c>
      <c r="AB319" s="29">
        <v>0</v>
      </c>
      <c r="AC319" s="29">
        <v>0</v>
      </c>
      <c r="AD319" s="29">
        <v>0</v>
      </c>
      <c r="AE319" s="29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5"/>
      <c r="HP319" s="5"/>
    </row>
    <row r="320" spans="3:224" ht="20.100000000000001" customHeight="1">
      <c r="C320" s="24">
        <v>14100202</v>
      </c>
      <c r="D320" s="24" t="s">
        <v>650</v>
      </c>
      <c r="E320" s="25">
        <v>11200001</v>
      </c>
      <c r="F320" s="25">
        <v>0</v>
      </c>
      <c r="G320" s="25">
        <v>1</v>
      </c>
      <c r="H320" s="25">
        <v>20</v>
      </c>
      <c r="I320" s="29">
        <v>0.2</v>
      </c>
      <c r="J320" s="30">
        <v>5</v>
      </c>
      <c r="K320" s="25">
        <v>0</v>
      </c>
      <c r="L320" s="25">
        <v>0</v>
      </c>
      <c r="M320" s="25">
        <f t="shared" si="38"/>
        <v>65</v>
      </c>
      <c r="N320" s="25">
        <v>130</v>
      </c>
      <c r="O320" s="25">
        <v>0</v>
      </c>
      <c r="P320" s="25">
        <v>0</v>
      </c>
      <c r="Q320" s="25">
        <f t="shared" si="36"/>
        <v>0</v>
      </c>
      <c r="R320" s="25">
        <v>0</v>
      </c>
      <c r="S320" s="25">
        <f t="shared" si="37"/>
        <v>0</v>
      </c>
      <c r="T320" s="25">
        <v>0</v>
      </c>
      <c r="U320" s="29">
        <v>0</v>
      </c>
      <c r="V320" s="25">
        <v>0</v>
      </c>
      <c r="W320" s="25">
        <v>0</v>
      </c>
      <c r="X320" s="25">
        <v>0</v>
      </c>
      <c r="Y320" s="29">
        <v>0</v>
      </c>
      <c r="Z320" s="29">
        <v>0</v>
      </c>
      <c r="AA320" s="29">
        <v>0</v>
      </c>
      <c r="AB320" s="29">
        <v>0</v>
      </c>
      <c r="AC320" s="29">
        <v>0</v>
      </c>
      <c r="AD320" s="29">
        <v>0</v>
      </c>
      <c r="AE320" s="29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/>
      <c r="HK320" s="5"/>
      <c r="HL320" s="5"/>
      <c r="HM320" s="5"/>
      <c r="HN320" s="5"/>
      <c r="HO320" s="5"/>
      <c r="HP320" s="5"/>
    </row>
    <row r="321" spans="3:224" ht="20.100000000000001" customHeight="1">
      <c r="C321" s="24">
        <v>14100203</v>
      </c>
      <c r="D321" s="24" t="s">
        <v>651</v>
      </c>
      <c r="E321" s="25">
        <v>11200001</v>
      </c>
      <c r="F321" s="25">
        <v>0</v>
      </c>
      <c r="G321" s="25">
        <v>1</v>
      </c>
      <c r="H321" s="25">
        <v>20</v>
      </c>
      <c r="I321" s="29">
        <v>0.2</v>
      </c>
      <c r="J321" s="30">
        <v>5</v>
      </c>
      <c r="K321" s="25">
        <v>0</v>
      </c>
      <c r="L321" s="25">
        <v>0</v>
      </c>
      <c r="M321" s="25">
        <f t="shared" si="38"/>
        <v>88</v>
      </c>
      <c r="N321" s="25">
        <v>175</v>
      </c>
      <c r="O321" s="25">
        <v>0</v>
      </c>
      <c r="P321" s="25">
        <v>0</v>
      </c>
      <c r="Q321" s="25">
        <f t="shared" si="36"/>
        <v>0</v>
      </c>
      <c r="R321" s="25">
        <v>0</v>
      </c>
      <c r="S321" s="25">
        <f t="shared" si="37"/>
        <v>0</v>
      </c>
      <c r="T321" s="25">
        <v>0</v>
      </c>
      <c r="U321" s="29">
        <v>0</v>
      </c>
      <c r="V321" s="25">
        <v>0</v>
      </c>
      <c r="W321" s="25">
        <v>0</v>
      </c>
      <c r="X321" s="25">
        <v>0</v>
      </c>
      <c r="Y321" s="29">
        <v>0</v>
      </c>
      <c r="Z321" s="29">
        <v>0</v>
      </c>
      <c r="AA321" s="29">
        <v>0</v>
      </c>
      <c r="AB321" s="29">
        <v>0</v>
      </c>
      <c r="AC321" s="29">
        <v>0</v>
      </c>
      <c r="AD321" s="29">
        <v>0</v>
      </c>
      <c r="AE321" s="29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</row>
    <row r="322" spans="3:224" ht="20.100000000000001" customHeight="1">
      <c r="C322" s="24">
        <v>14100204</v>
      </c>
      <c r="D322" s="24" t="s">
        <v>652</v>
      </c>
      <c r="E322" s="25">
        <v>11200001</v>
      </c>
      <c r="F322" s="25">
        <v>0</v>
      </c>
      <c r="G322" s="25">
        <v>1</v>
      </c>
      <c r="H322" s="25">
        <v>20</v>
      </c>
      <c r="I322" s="29">
        <v>0.2</v>
      </c>
      <c r="J322" s="30">
        <v>10</v>
      </c>
      <c r="K322" s="25">
        <v>0</v>
      </c>
      <c r="L322" s="25">
        <v>0</v>
      </c>
      <c r="M322" s="25">
        <f t="shared" si="38"/>
        <v>105</v>
      </c>
      <c r="N322" s="25">
        <v>210</v>
      </c>
      <c r="O322" s="25">
        <v>0</v>
      </c>
      <c r="P322" s="25">
        <v>0</v>
      </c>
      <c r="Q322" s="25">
        <f t="shared" si="36"/>
        <v>0</v>
      </c>
      <c r="R322" s="25">
        <v>0</v>
      </c>
      <c r="S322" s="25">
        <f t="shared" si="37"/>
        <v>0</v>
      </c>
      <c r="T322" s="25">
        <v>0</v>
      </c>
      <c r="U322" s="29">
        <v>0</v>
      </c>
      <c r="V322" s="25">
        <v>0</v>
      </c>
      <c r="W322" s="25">
        <v>0</v>
      </c>
      <c r="X322" s="25">
        <v>0</v>
      </c>
      <c r="Y322" s="29">
        <v>0</v>
      </c>
      <c r="Z322" s="29">
        <v>0</v>
      </c>
      <c r="AA322" s="29">
        <v>0</v>
      </c>
      <c r="AB322" s="29">
        <v>0</v>
      </c>
      <c r="AC322" s="29">
        <v>0</v>
      </c>
      <c r="AD322" s="29">
        <v>0</v>
      </c>
      <c r="AE322" s="29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  <c r="HM322" s="5"/>
      <c r="HN322" s="5"/>
      <c r="HO322" s="5"/>
      <c r="HP322" s="5"/>
    </row>
    <row r="323" spans="3:224" ht="20.100000000000001" customHeight="1">
      <c r="C323" s="24">
        <v>14100211</v>
      </c>
      <c r="D323" s="36" t="s">
        <v>653</v>
      </c>
      <c r="E323" s="25">
        <v>11200001</v>
      </c>
      <c r="F323" s="25">
        <v>11051</v>
      </c>
      <c r="G323" s="25">
        <v>1</v>
      </c>
      <c r="H323" s="25">
        <v>20</v>
      </c>
      <c r="I323" s="29">
        <v>0.2</v>
      </c>
      <c r="J323" s="30">
        <v>10</v>
      </c>
      <c r="K323" s="25">
        <v>0</v>
      </c>
      <c r="L323" s="25">
        <v>0</v>
      </c>
      <c r="M323" s="25">
        <v>150</v>
      </c>
      <c r="N323" s="25">
        <v>350</v>
      </c>
      <c r="O323" s="25">
        <v>0</v>
      </c>
      <c r="P323" s="25">
        <v>0</v>
      </c>
      <c r="Q323" s="25">
        <f t="shared" ref="Q323" si="39">ROUND(R323/2,0)</f>
        <v>0</v>
      </c>
      <c r="R323" s="25">
        <v>0</v>
      </c>
      <c r="S323" s="25">
        <f t="shared" ref="S323" si="40">ROUND(T323/2,0)</f>
        <v>0</v>
      </c>
      <c r="T323" s="25">
        <v>0</v>
      </c>
      <c r="U323" s="29">
        <v>0</v>
      </c>
      <c r="V323" s="25">
        <v>0</v>
      </c>
      <c r="W323" s="25">
        <v>0</v>
      </c>
      <c r="X323" s="25">
        <v>0</v>
      </c>
      <c r="Y323" s="29">
        <v>0</v>
      </c>
      <c r="Z323" s="29">
        <v>0</v>
      </c>
      <c r="AA323" s="29">
        <v>0</v>
      </c>
      <c r="AB323" s="29">
        <v>202103</v>
      </c>
      <c r="AC323" s="29">
        <v>500</v>
      </c>
      <c r="AD323" s="29">
        <v>1</v>
      </c>
      <c r="AE323" s="29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/>
      <c r="HK323" s="5"/>
      <c r="HL323" s="5"/>
      <c r="HM323" s="5"/>
      <c r="HN323" s="5"/>
      <c r="HO323" s="5"/>
      <c r="HP323" s="5"/>
    </row>
    <row r="324" spans="3:224" s="4" customFormat="1" ht="20.100000000000001" customHeight="1">
      <c r="C324" s="34">
        <v>14110001</v>
      </c>
      <c r="D324" s="34" t="s">
        <v>346</v>
      </c>
      <c r="E324" s="35">
        <v>11200003</v>
      </c>
      <c r="F324" s="35">
        <v>0</v>
      </c>
      <c r="G324" s="35">
        <v>1</v>
      </c>
      <c r="H324" s="35">
        <v>20</v>
      </c>
      <c r="I324" s="37">
        <v>0.2</v>
      </c>
      <c r="J324" s="38">
        <v>5</v>
      </c>
      <c r="K324" s="25">
        <v>0</v>
      </c>
      <c r="L324" s="35">
        <v>620</v>
      </c>
      <c r="M324" s="35">
        <f t="shared" si="27"/>
        <v>0</v>
      </c>
      <c r="N324" s="35">
        <v>0</v>
      </c>
      <c r="O324" s="35">
        <v>0</v>
      </c>
      <c r="P324" s="35">
        <v>0</v>
      </c>
      <c r="Q324" s="35">
        <f t="shared" si="28"/>
        <v>6</v>
      </c>
      <c r="R324" s="35">
        <v>12</v>
      </c>
      <c r="S324" s="35">
        <f t="shared" si="29"/>
        <v>6</v>
      </c>
      <c r="T324" s="35">
        <v>12</v>
      </c>
      <c r="U324" s="37">
        <v>0</v>
      </c>
      <c r="V324" s="35">
        <v>0</v>
      </c>
      <c r="W324" s="35">
        <v>0</v>
      </c>
      <c r="X324" s="35">
        <v>0</v>
      </c>
      <c r="Y324" s="37">
        <v>0</v>
      </c>
      <c r="Z324" s="37">
        <v>0</v>
      </c>
      <c r="AA324" s="37">
        <v>0</v>
      </c>
      <c r="AB324" s="37">
        <v>0</v>
      </c>
      <c r="AC324" s="37">
        <v>0</v>
      </c>
      <c r="AD324" s="37">
        <v>0</v>
      </c>
      <c r="AE324" s="37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39"/>
      <c r="CR324" s="39"/>
      <c r="CS324" s="39"/>
      <c r="CT324" s="39"/>
      <c r="CU324" s="39"/>
      <c r="CV324" s="39"/>
      <c r="CW324" s="39"/>
      <c r="CX324" s="39"/>
      <c r="CY324" s="39"/>
      <c r="CZ324" s="39"/>
      <c r="DA324" s="39"/>
      <c r="DB324" s="39"/>
      <c r="DC324" s="39"/>
      <c r="DD324" s="39"/>
      <c r="DE324" s="39"/>
      <c r="DF324" s="39"/>
      <c r="DG324" s="39"/>
      <c r="DH324" s="39"/>
      <c r="DI324" s="39"/>
      <c r="DJ324" s="39"/>
      <c r="DK324" s="39"/>
      <c r="DL324" s="39"/>
      <c r="DM324" s="39"/>
      <c r="DN324" s="39"/>
      <c r="DO324" s="39"/>
      <c r="DP324" s="39"/>
      <c r="DQ324" s="39"/>
      <c r="DR324" s="39"/>
      <c r="DS324" s="39"/>
      <c r="DT324" s="39"/>
      <c r="DU324" s="39"/>
      <c r="DV324" s="39"/>
      <c r="DW324" s="39"/>
      <c r="DX324" s="39"/>
      <c r="DY324" s="39"/>
      <c r="DZ324" s="39"/>
      <c r="EA324" s="39"/>
      <c r="EB324" s="39"/>
      <c r="EC324" s="39"/>
      <c r="ED324" s="39"/>
      <c r="EE324" s="39"/>
      <c r="EF324" s="39"/>
      <c r="EG324" s="39"/>
      <c r="EH324" s="39"/>
      <c r="EI324" s="39"/>
      <c r="EJ324" s="39"/>
      <c r="EK324" s="39"/>
      <c r="EL324" s="39"/>
      <c r="EM324" s="39"/>
      <c r="EN324" s="39"/>
      <c r="EO324" s="39"/>
      <c r="EP324" s="39"/>
      <c r="EQ324" s="39"/>
      <c r="ER324" s="39"/>
      <c r="ES324" s="39"/>
      <c r="ET324" s="39"/>
      <c r="EU324" s="39"/>
      <c r="EV324" s="39"/>
      <c r="EW324" s="39"/>
      <c r="EX324" s="39"/>
      <c r="EY324" s="39"/>
      <c r="EZ324" s="39"/>
      <c r="FA324" s="39"/>
      <c r="FB324" s="39"/>
      <c r="FC324" s="39"/>
      <c r="FD324" s="39"/>
      <c r="FE324" s="39"/>
      <c r="FF324" s="39"/>
      <c r="FG324" s="39"/>
      <c r="FH324" s="39"/>
      <c r="FI324" s="39"/>
      <c r="FJ324" s="39"/>
      <c r="FK324" s="39"/>
      <c r="FL324" s="39"/>
      <c r="FM324" s="39"/>
      <c r="FN324" s="39"/>
      <c r="FO324" s="39"/>
      <c r="FP324" s="39"/>
      <c r="FQ324" s="39"/>
      <c r="FR324" s="39"/>
      <c r="FS324" s="39"/>
      <c r="FT324" s="39"/>
      <c r="FU324" s="39"/>
      <c r="FV324" s="39"/>
      <c r="FW324" s="39"/>
      <c r="FX324" s="39"/>
      <c r="FY324" s="39"/>
      <c r="FZ324" s="39"/>
      <c r="GA324" s="39"/>
      <c r="GB324" s="39"/>
      <c r="GC324" s="39"/>
      <c r="GD324" s="39"/>
      <c r="GE324" s="39"/>
      <c r="GF324" s="39"/>
      <c r="GG324" s="39"/>
      <c r="GH324" s="39"/>
      <c r="GI324" s="39"/>
      <c r="GJ324" s="39"/>
      <c r="GK324" s="39"/>
      <c r="GL324" s="39"/>
      <c r="GM324" s="39"/>
      <c r="GN324" s="39"/>
      <c r="GO324" s="39"/>
      <c r="GP324" s="39"/>
      <c r="GQ324" s="39"/>
      <c r="GR324" s="39"/>
      <c r="GS324" s="39"/>
      <c r="GT324" s="39"/>
      <c r="GU324" s="39"/>
      <c r="GV324" s="39"/>
      <c r="GW324" s="39"/>
      <c r="GX324" s="39"/>
      <c r="GY324" s="39"/>
      <c r="GZ324" s="39"/>
      <c r="HA324" s="39"/>
      <c r="HB324" s="39"/>
      <c r="HC324" s="39"/>
      <c r="HD324" s="39"/>
      <c r="HE324" s="39"/>
      <c r="HF324" s="39"/>
      <c r="HG324" s="39"/>
      <c r="HH324" s="39"/>
      <c r="HI324" s="39"/>
      <c r="HJ324" s="39"/>
      <c r="HK324" s="39"/>
      <c r="HL324" s="39"/>
      <c r="HM324" s="39"/>
      <c r="HN324" s="39"/>
      <c r="HO324" s="39"/>
      <c r="HP324" s="39"/>
    </row>
    <row r="325" spans="3:224" s="4" customFormat="1" ht="20.100000000000001" customHeight="1">
      <c r="C325" s="34">
        <v>14110002</v>
      </c>
      <c r="D325" s="34" t="s">
        <v>347</v>
      </c>
      <c r="E325" s="35">
        <v>11200003</v>
      </c>
      <c r="F325" s="35">
        <v>0</v>
      </c>
      <c r="G325" s="35">
        <v>1</v>
      </c>
      <c r="H325" s="35">
        <v>20</v>
      </c>
      <c r="I325" s="37">
        <v>0.2</v>
      </c>
      <c r="J325" s="38">
        <v>5</v>
      </c>
      <c r="K325" s="25">
        <v>0</v>
      </c>
      <c r="L325" s="35">
        <v>1100</v>
      </c>
      <c r="M325" s="35">
        <f t="shared" si="27"/>
        <v>0</v>
      </c>
      <c r="N325" s="35">
        <v>0</v>
      </c>
      <c r="O325" s="35">
        <v>0</v>
      </c>
      <c r="P325" s="35">
        <v>0</v>
      </c>
      <c r="Q325" s="35">
        <f t="shared" si="28"/>
        <v>12</v>
      </c>
      <c r="R325" s="35">
        <v>24</v>
      </c>
      <c r="S325" s="35">
        <f t="shared" si="29"/>
        <v>12</v>
      </c>
      <c r="T325" s="35">
        <v>24</v>
      </c>
      <c r="U325" s="37">
        <v>0</v>
      </c>
      <c r="V325" s="35">
        <v>0</v>
      </c>
      <c r="W325" s="35">
        <v>0</v>
      </c>
      <c r="X325" s="35">
        <v>0</v>
      </c>
      <c r="Y325" s="37">
        <v>0</v>
      </c>
      <c r="Z325" s="37">
        <v>0</v>
      </c>
      <c r="AA325" s="37">
        <v>0</v>
      </c>
      <c r="AB325" s="37">
        <v>0</v>
      </c>
      <c r="AC325" s="37">
        <v>0</v>
      </c>
      <c r="AD325" s="37">
        <v>0</v>
      </c>
      <c r="AE325" s="37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  <c r="CS325" s="39"/>
      <c r="CT325" s="39"/>
      <c r="CU325" s="39"/>
      <c r="CV325" s="39"/>
      <c r="CW325" s="39"/>
      <c r="CX325" s="39"/>
      <c r="CY325" s="39"/>
      <c r="CZ325" s="39"/>
      <c r="DA325" s="39"/>
      <c r="DB325" s="39"/>
      <c r="DC325" s="39"/>
      <c r="DD325" s="39"/>
      <c r="DE325" s="39"/>
      <c r="DF325" s="39"/>
      <c r="DG325" s="39"/>
      <c r="DH325" s="39"/>
      <c r="DI325" s="39"/>
      <c r="DJ325" s="39"/>
      <c r="DK325" s="39"/>
      <c r="DL325" s="39"/>
      <c r="DM325" s="39"/>
      <c r="DN325" s="39"/>
      <c r="DO325" s="39"/>
      <c r="DP325" s="39"/>
      <c r="DQ325" s="39"/>
      <c r="DR325" s="39"/>
      <c r="DS325" s="39"/>
      <c r="DT325" s="39"/>
      <c r="DU325" s="39"/>
      <c r="DV325" s="39"/>
      <c r="DW325" s="39"/>
      <c r="DX325" s="39"/>
      <c r="DY325" s="39"/>
      <c r="DZ325" s="39"/>
      <c r="EA325" s="39"/>
      <c r="EB325" s="39"/>
      <c r="EC325" s="39"/>
      <c r="ED325" s="39"/>
      <c r="EE325" s="39"/>
      <c r="EF325" s="39"/>
      <c r="EG325" s="39"/>
      <c r="EH325" s="39"/>
      <c r="EI325" s="39"/>
      <c r="EJ325" s="39"/>
      <c r="EK325" s="39"/>
      <c r="EL325" s="39"/>
      <c r="EM325" s="39"/>
      <c r="EN325" s="39"/>
      <c r="EO325" s="39"/>
      <c r="EP325" s="39"/>
      <c r="EQ325" s="39"/>
      <c r="ER325" s="39"/>
      <c r="ES325" s="39"/>
      <c r="ET325" s="39"/>
      <c r="EU325" s="39"/>
      <c r="EV325" s="39"/>
      <c r="EW325" s="39"/>
      <c r="EX325" s="39"/>
      <c r="EY325" s="39"/>
      <c r="EZ325" s="39"/>
      <c r="FA325" s="39"/>
      <c r="FB325" s="39"/>
      <c r="FC325" s="39"/>
      <c r="FD325" s="39"/>
      <c r="FE325" s="39"/>
      <c r="FF325" s="39"/>
      <c r="FG325" s="39"/>
      <c r="FH325" s="39"/>
      <c r="FI325" s="39"/>
      <c r="FJ325" s="39"/>
      <c r="FK325" s="39"/>
      <c r="FL325" s="39"/>
      <c r="FM325" s="39"/>
      <c r="FN325" s="39"/>
      <c r="FO325" s="39"/>
      <c r="FP325" s="39"/>
      <c r="FQ325" s="39"/>
      <c r="FR325" s="39"/>
      <c r="FS325" s="39"/>
      <c r="FT325" s="39"/>
      <c r="FU325" s="39"/>
      <c r="FV325" s="39"/>
      <c r="FW325" s="39"/>
      <c r="FX325" s="39"/>
      <c r="FY325" s="39"/>
      <c r="FZ325" s="39"/>
      <c r="GA325" s="39"/>
      <c r="GB325" s="39"/>
      <c r="GC325" s="39"/>
      <c r="GD325" s="39"/>
      <c r="GE325" s="39"/>
      <c r="GF325" s="39"/>
      <c r="GG325" s="39"/>
      <c r="GH325" s="39"/>
      <c r="GI325" s="39"/>
      <c r="GJ325" s="39"/>
      <c r="GK325" s="39"/>
      <c r="GL325" s="39"/>
      <c r="GM325" s="39"/>
      <c r="GN325" s="39"/>
      <c r="GO325" s="39"/>
      <c r="GP325" s="39"/>
      <c r="GQ325" s="39"/>
      <c r="GR325" s="39"/>
      <c r="GS325" s="39"/>
      <c r="GT325" s="39"/>
      <c r="GU325" s="39"/>
      <c r="GV325" s="39"/>
      <c r="GW325" s="39"/>
      <c r="GX325" s="39"/>
      <c r="GY325" s="39"/>
      <c r="GZ325" s="39"/>
      <c r="HA325" s="39"/>
      <c r="HB325" s="39"/>
      <c r="HC325" s="39"/>
      <c r="HD325" s="39"/>
      <c r="HE325" s="39"/>
      <c r="HF325" s="39"/>
      <c r="HG325" s="39"/>
      <c r="HH325" s="39"/>
      <c r="HI325" s="39"/>
      <c r="HJ325" s="39"/>
      <c r="HK325" s="39"/>
      <c r="HL325" s="39"/>
      <c r="HM325" s="39"/>
      <c r="HN325" s="39"/>
      <c r="HO325" s="39"/>
      <c r="HP325" s="39"/>
    </row>
    <row r="326" spans="3:224" s="4" customFormat="1" ht="20.100000000000001" customHeight="1">
      <c r="C326" s="34">
        <v>14110003</v>
      </c>
      <c r="D326" s="34" t="s">
        <v>348</v>
      </c>
      <c r="E326" s="35">
        <v>11200003</v>
      </c>
      <c r="F326" s="35">
        <v>11012</v>
      </c>
      <c r="G326" s="35">
        <v>1</v>
      </c>
      <c r="H326" s="35">
        <v>20</v>
      </c>
      <c r="I326" s="37">
        <v>0.2</v>
      </c>
      <c r="J326" s="38">
        <v>5</v>
      </c>
      <c r="K326" s="25">
        <v>0</v>
      </c>
      <c r="L326" s="35">
        <v>1300</v>
      </c>
      <c r="M326" s="35">
        <f t="shared" si="27"/>
        <v>0</v>
      </c>
      <c r="N326" s="35">
        <v>0</v>
      </c>
      <c r="O326" s="35">
        <v>0</v>
      </c>
      <c r="P326" s="35">
        <v>0</v>
      </c>
      <c r="Q326" s="35">
        <f t="shared" si="28"/>
        <v>14</v>
      </c>
      <c r="R326" s="35">
        <v>28</v>
      </c>
      <c r="S326" s="35">
        <f t="shared" si="29"/>
        <v>14</v>
      </c>
      <c r="T326" s="35">
        <v>28</v>
      </c>
      <c r="U326" s="37">
        <v>0</v>
      </c>
      <c r="V326" s="35">
        <v>0</v>
      </c>
      <c r="W326" s="35">
        <v>0</v>
      </c>
      <c r="X326" s="35">
        <v>0</v>
      </c>
      <c r="Y326" s="37">
        <v>0</v>
      </c>
      <c r="Z326" s="37">
        <v>0</v>
      </c>
      <c r="AA326" s="37">
        <v>0</v>
      </c>
      <c r="AB326" s="37">
        <v>0</v>
      </c>
      <c r="AC326" s="37">
        <v>0</v>
      </c>
      <c r="AD326" s="37">
        <v>0</v>
      </c>
      <c r="AE326" s="37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  <c r="CS326" s="39"/>
      <c r="CT326" s="39"/>
      <c r="CU326" s="39"/>
      <c r="CV326" s="39"/>
      <c r="CW326" s="39"/>
      <c r="CX326" s="39"/>
      <c r="CY326" s="39"/>
      <c r="CZ326" s="39"/>
      <c r="DA326" s="39"/>
      <c r="DB326" s="39"/>
      <c r="DC326" s="39"/>
      <c r="DD326" s="39"/>
      <c r="DE326" s="39"/>
      <c r="DF326" s="39"/>
      <c r="DG326" s="39"/>
      <c r="DH326" s="39"/>
      <c r="DI326" s="39"/>
      <c r="DJ326" s="39"/>
      <c r="DK326" s="39"/>
      <c r="DL326" s="39"/>
      <c r="DM326" s="39"/>
      <c r="DN326" s="39"/>
      <c r="DO326" s="39"/>
      <c r="DP326" s="39"/>
      <c r="DQ326" s="39"/>
      <c r="DR326" s="39"/>
      <c r="DS326" s="39"/>
      <c r="DT326" s="39"/>
      <c r="DU326" s="39"/>
      <c r="DV326" s="39"/>
      <c r="DW326" s="39"/>
      <c r="DX326" s="39"/>
      <c r="DY326" s="39"/>
      <c r="DZ326" s="39"/>
      <c r="EA326" s="39"/>
      <c r="EB326" s="39"/>
      <c r="EC326" s="39"/>
      <c r="ED326" s="39"/>
      <c r="EE326" s="39"/>
      <c r="EF326" s="39"/>
      <c r="EG326" s="39"/>
      <c r="EH326" s="39"/>
      <c r="EI326" s="39"/>
      <c r="EJ326" s="39"/>
      <c r="EK326" s="39"/>
      <c r="EL326" s="39"/>
      <c r="EM326" s="39"/>
      <c r="EN326" s="39"/>
      <c r="EO326" s="39"/>
      <c r="EP326" s="39"/>
      <c r="EQ326" s="39"/>
      <c r="ER326" s="39"/>
      <c r="ES326" s="39"/>
      <c r="ET326" s="39"/>
      <c r="EU326" s="39"/>
      <c r="EV326" s="39"/>
      <c r="EW326" s="39"/>
      <c r="EX326" s="39"/>
      <c r="EY326" s="39"/>
      <c r="EZ326" s="39"/>
      <c r="FA326" s="39"/>
      <c r="FB326" s="39"/>
      <c r="FC326" s="39"/>
      <c r="FD326" s="39"/>
      <c r="FE326" s="39"/>
      <c r="FF326" s="39"/>
      <c r="FG326" s="39"/>
      <c r="FH326" s="39"/>
      <c r="FI326" s="39"/>
      <c r="FJ326" s="39"/>
      <c r="FK326" s="39"/>
      <c r="FL326" s="39"/>
      <c r="FM326" s="39"/>
      <c r="FN326" s="39"/>
      <c r="FO326" s="39"/>
      <c r="FP326" s="39"/>
      <c r="FQ326" s="39"/>
      <c r="FR326" s="39"/>
      <c r="FS326" s="39"/>
      <c r="FT326" s="39"/>
      <c r="FU326" s="39"/>
      <c r="FV326" s="39"/>
      <c r="FW326" s="39"/>
      <c r="FX326" s="39"/>
      <c r="FY326" s="39"/>
      <c r="FZ326" s="39"/>
      <c r="GA326" s="39"/>
      <c r="GB326" s="39"/>
      <c r="GC326" s="39"/>
      <c r="GD326" s="39"/>
      <c r="GE326" s="39"/>
      <c r="GF326" s="39"/>
      <c r="GG326" s="39"/>
      <c r="GH326" s="39"/>
      <c r="GI326" s="39"/>
      <c r="GJ326" s="39"/>
      <c r="GK326" s="39"/>
      <c r="GL326" s="39"/>
      <c r="GM326" s="39"/>
      <c r="GN326" s="39"/>
      <c r="GO326" s="39"/>
      <c r="GP326" s="39"/>
      <c r="GQ326" s="39"/>
      <c r="GR326" s="39"/>
      <c r="GS326" s="39"/>
      <c r="GT326" s="39"/>
      <c r="GU326" s="39"/>
      <c r="GV326" s="39"/>
      <c r="GW326" s="39"/>
      <c r="GX326" s="39"/>
      <c r="GY326" s="39"/>
      <c r="GZ326" s="39"/>
      <c r="HA326" s="39"/>
      <c r="HB326" s="39"/>
      <c r="HC326" s="39"/>
      <c r="HD326" s="39"/>
      <c r="HE326" s="39"/>
      <c r="HF326" s="39"/>
      <c r="HG326" s="39"/>
      <c r="HH326" s="39"/>
      <c r="HI326" s="39"/>
      <c r="HJ326" s="39"/>
      <c r="HK326" s="39"/>
      <c r="HL326" s="39"/>
      <c r="HM326" s="39"/>
      <c r="HN326" s="39"/>
      <c r="HO326" s="39"/>
      <c r="HP326" s="39"/>
    </row>
    <row r="327" spans="3:224" s="4" customFormat="1" ht="20.100000000000001" customHeight="1">
      <c r="C327" s="34">
        <v>14110004</v>
      </c>
      <c r="D327" s="34" t="s">
        <v>349</v>
      </c>
      <c r="E327" s="35">
        <v>11200003</v>
      </c>
      <c r="F327" s="35">
        <v>11041</v>
      </c>
      <c r="G327" s="35">
        <v>1</v>
      </c>
      <c r="H327" s="35">
        <v>20</v>
      </c>
      <c r="I327" s="37">
        <v>0.2</v>
      </c>
      <c r="J327" s="38">
        <v>10</v>
      </c>
      <c r="K327" s="25">
        <v>0</v>
      </c>
      <c r="L327" s="35">
        <v>1580</v>
      </c>
      <c r="M327" s="35">
        <f t="shared" si="27"/>
        <v>0</v>
      </c>
      <c r="N327" s="35">
        <v>0</v>
      </c>
      <c r="O327" s="35">
        <v>0</v>
      </c>
      <c r="P327" s="35">
        <v>0</v>
      </c>
      <c r="Q327" s="35">
        <f t="shared" si="28"/>
        <v>19</v>
      </c>
      <c r="R327" s="35">
        <v>38</v>
      </c>
      <c r="S327" s="35">
        <f t="shared" si="29"/>
        <v>19</v>
      </c>
      <c r="T327" s="35">
        <v>38</v>
      </c>
      <c r="U327" s="37">
        <v>0</v>
      </c>
      <c r="V327" s="35">
        <v>0</v>
      </c>
      <c r="W327" s="35">
        <v>0</v>
      </c>
      <c r="X327" s="35">
        <v>0</v>
      </c>
      <c r="Y327" s="37">
        <v>0</v>
      </c>
      <c r="Z327" s="37">
        <v>0</v>
      </c>
      <c r="AA327" s="37">
        <v>0</v>
      </c>
      <c r="AB327" s="37">
        <v>0</v>
      </c>
      <c r="AC327" s="37">
        <v>0</v>
      </c>
      <c r="AD327" s="37">
        <v>0</v>
      </c>
      <c r="AE327" s="37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39"/>
      <c r="CD327" s="39"/>
      <c r="CE327" s="39"/>
      <c r="CF327" s="39"/>
      <c r="CG327" s="39"/>
      <c r="CH327" s="39"/>
      <c r="CI327" s="39"/>
      <c r="CJ327" s="39"/>
      <c r="CK327" s="39"/>
      <c r="CL327" s="39"/>
      <c r="CM327" s="39"/>
      <c r="CN327" s="39"/>
      <c r="CO327" s="39"/>
      <c r="CP327" s="39"/>
      <c r="CQ327" s="39"/>
      <c r="CR327" s="39"/>
      <c r="CS327" s="39"/>
      <c r="CT327" s="39"/>
      <c r="CU327" s="39"/>
      <c r="CV327" s="39"/>
      <c r="CW327" s="39"/>
      <c r="CX327" s="39"/>
      <c r="CY327" s="39"/>
      <c r="CZ327" s="39"/>
      <c r="DA327" s="39"/>
      <c r="DB327" s="39"/>
      <c r="DC327" s="39"/>
      <c r="DD327" s="39"/>
      <c r="DE327" s="39"/>
      <c r="DF327" s="39"/>
      <c r="DG327" s="39"/>
      <c r="DH327" s="39"/>
      <c r="DI327" s="39"/>
      <c r="DJ327" s="39"/>
      <c r="DK327" s="39"/>
      <c r="DL327" s="39"/>
      <c r="DM327" s="39"/>
      <c r="DN327" s="39"/>
      <c r="DO327" s="39"/>
      <c r="DP327" s="39"/>
      <c r="DQ327" s="39"/>
      <c r="DR327" s="39"/>
      <c r="DS327" s="39"/>
      <c r="DT327" s="39"/>
      <c r="DU327" s="39"/>
      <c r="DV327" s="39"/>
      <c r="DW327" s="39"/>
      <c r="DX327" s="39"/>
      <c r="DY327" s="39"/>
      <c r="DZ327" s="39"/>
      <c r="EA327" s="39"/>
      <c r="EB327" s="39"/>
      <c r="EC327" s="39"/>
      <c r="ED327" s="39"/>
      <c r="EE327" s="39"/>
      <c r="EF327" s="39"/>
      <c r="EG327" s="39"/>
      <c r="EH327" s="39"/>
      <c r="EI327" s="39"/>
      <c r="EJ327" s="39"/>
      <c r="EK327" s="39"/>
      <c r="EL327" s="39"/>
      <c r="EM327" s="39"/>
      <c r="EN327" s="39"/>
      <c r="EO327" s="39"/>
      <c r="EP327" s="39"/>
      <c r="EQ327" s="39"/>
      <c r="ER327" s="39"/>
      <c r="ES327" s="39"/>
      <c r="ET327" s="39"/>
      <c r="EU327" s="39"/>
      <c r="EV327" s="39"/>
      <c r="EW327" s="39"/>
      <c r="EX327" s="39"/>
      <c r="EY327" s="39"/>
      <c r="EZ327" s="39"/>
      <c r="FA327" s="39"/>
      <c r="FB327" s="39"/>
      <c r="FC327" s="39"/>
      <c r="FD327" s="39"/>
      <c r="FE327" s="39"/>
      <c r="FF327" s="39"/>
      <c r="FG327" s="39"/>
      <c r="FH327" s="39"/>
      <c r="FI327" s="39"/>
      <c r="FJ327" s="39"/>
      <c r="FK327" s="39"/>
      <c r="FL327" s="39"/>
      <c r="FM327" s="39"/>
      <c r="FN327" s="39"/>
      <c r="FO327" s="39"/>
      <c r="FP327" s="39"/>
      <c r="FQ327" s="39"/>
      <c r="FR327" s="39"/>
      <c r="FS327" s="39"/>
      <c r="FT327" s="39"/>
      <c r="FU327" s="39"/>
      <c r="FV327" s="39"/>
      <c r="FW327" s="39"/>
      <c r="FX327" s="39"/>
      <c r="FY327" s="39"/>
      <c r="FZ327" s="39"/>
      <c r="GA327" s="39"/>
      <c r="GB327" s="39"/>
      <c r="GC327" s="39"/>
      <c r="GD327" s="39"/>
      <c r="GE327" s="39"/>
      <c r="GF327" s="39"/>
      <c r="GG327" s="39"/>
      <c r="GH327" s="39"/>
      <c r="GI327" s="39"/>
      <c r="GJ327" s="39"/>
      <c r="GK327" s="39"/>
      <c r="GL327" s="39"/>
      <c r="GM327" s="39"/>
      <c r="GN327" s="39"/>
      <c r="GO327" s="39"/>
      <c r="GP327" s="39"/>
      <c r="GQ327" s="39"/>
      <c r="GR327" s="39"/>
      <c r="GS327" s="39"/>
      <c r="GT327" s="39"/>
      <c r="GU327" s="39"/>
      <c r="GV327" s="39"/>
      <c r="GW327" s="39"/>
      <c r="GX327" s="39"/>
      <c r="GY327" s="39"/>
      <c r="GZ327" s="39"/>
      <c r="HA327" s="39"/>
      <c r="HB327" s="39"/>
      <c r="HC327" s="39"/>
      <c r="HD327" s="39"/>
      <c r="HE327" s="39"/>
      <c r="HF327" s="39"/>
      <c r="HG327" s="39"/>
      <c r="HH327" s="39"/>
      <c r="HI327" s="39"/>
      <c r="HJ327" s="39"/>
      <c r="HK327" s="39"/>
      <c r="HL327" s="39"/>
      <c r="HM327" s="39"/>
      <c r="HN327" s="39"/>
      <c r="HO327" s="39"/>
      <c r="HP327" s="39"/>
    </row>
    <row r="328" spans="3:224" s="4" customFormat="1" ht="20.100000000000001" customHeight="1">
      <c r="C328" s="34">
        <v>14110005</v>
      </c>
      <c r="D328" s="34" t="s">
        <v>350</v>
      </c>
      <c r="E328" s="35">
        <v>11200003</v>
      </c>
      <c r="F328" s="35">
        <v>0</v>
      </c>
      <c r="G328" s="35">
        <v>1</v>
      </c>
      <c r="H328" s="35">
        <v>20</v>
      </c>
      <c r="I328" s="37">
        <v>0.2</v>
      </c>
      <c r="J328" s="38">
        <v>5</v>
      </c>
      <c r="K328" s="25">
        <v>0</v>
      </c>
      <c r="L328" s="35">
        <v>310</v>
      </c>
      <c r="M328" s="35">
        <f t="shared" si="27"/>
        <v>0</v>
      </c>
      <c r="N328" s="35">
        <v>0</v>
      </c>
      <c r="O328" s="35">
        <v>0</v>
      </c>
      <c r="P328" s="35">
        <v>0</v>
      </c>
      <c r="Q328" s="35">
        <f t="shared" si="28"/>
        <v>5</v>
      </c>
      <c r="R328" s="35">
        <v>9</v>
      </c>
      <c r="S328" s="35">
        <f t="shared" si="29"/>
        <v>5</v>
      </c>
      <c r="T328" s="35">
        <v>9</v>
      </c>
      <c r="U328" s="37">
        <v>0</v>
      </c>
      <c r="V328" s="35">
        <v>0</v>
      </c>
      <c r="W328" s="35">
        <v>0</v>
      </c>
      <c r="X328" s="35">
        <v>0</v>
      </c>
      <c r="Y328" s="37">
        <v>0</v>
      </c>
      <c r="Z328" s="37">
        <v>0</v>
      </c>
      <c r="AA328" s="37">
        <v>0</v>
      </c>
      <c r="AB328" s="37">
        <v>0</v>
      </c>
      <c r="AC328" s="37">
        <v>0</v>
      </c>
      <c r="AD328" s="37">
        <v>0</v>
      </c>
      <c r="AE328" s="37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39"/>
      <c r="CF328" s="39"/>
      <c r="CG328" s="39"/>
      <c r="CH328" s="39"/>
      <c r="CI328" s="39"/>
      <c r="CJ328" s="39"/>
      <c r="CK328" s="39"/>
      <c r="CL328" s="39"/>
      <c r="CM328" s="39"/>
      <c r="CN328" s="39"/>
      <c r="CO328" s="39"/>
      <c r="CP328" s="39"/>
      <c r="CQ328" s="39"/>
      <c r="CR328" s="39"/>
      <c r="CS328" s="39"/>
      <c r="CT328" s="39"/>
      <c r="CU328" s="39"/>
      <c r="CV328" s="39"/>
      <c r="CW328" s="39"/>
      <c r="CX328" s="39"/>
      <c r="CY328" s="39"/>
      <c r="CZ328" s="39"/>
      <c r="DA328" s="39"/>
      <c r="DB328" s="39"/>
      <c r="DC328" s="39"/>
      <c r="DD328" s="39"/>
      <c r="DE328" s="39"/>
      <c r="DF328" s="39"/>
      <c r="DG328" s="39"/>
      <c r="DH328" s="39"/>
      <c r="DI328" s="39"/>
      <c r="DJ328" s="39"/>
      <c r="DK328" s="39"/>
      <c r="DL328" s="39"/>
      <c r="DM328" s="39"/>
      <c r="DN328" s="39"/>
      <c r="DO328" s="39"/>
      <c r="DP328" s="39"/>
      <c r="DQ328" s="39"/>
      <c r="DR328" s="39"/>
      <c r="DS328" s="39"/>
      <c r="DT328" s="39"/>
      <c r="DU328" s="39"/>
      <c r="DV328" s="39"/>
      <c r="DW328" s="39"/>
      <c r="DX328" s="39"/>
      <c r="DY328" s="39"/>
      <c r="DZ328" s="39"/>
      <c r="EA328" s="39"/>
      <c r="EB328" s="39"/>
      <c r="EC328" s="39"/>
      <c r="ED328" s="39"/>
      <c r="EE328" s="39"/>
      <c r="EF328" s="39"/>
      <c r="EG328" s="39"/>
      <c r="EH328" s="39"/>
      <c r="EI328" s="39"/>
      <c r="EJ328" s="39"/>
      <c r="EK328" s="39"/>
      <c r="EL328" s="39"/>
      <c r="EM328" s="39"/>
      <c r="EN328" s="39"/>
      <c r="EO328" s="39"/>
      <c r="EP328" s="39"/>
      <c r="EQ328" s="39"/>
      <c r="ER328" s="39"/>
      <c r="ES328" s="39"/>
      <c r="ET328" s="39"/>
      <c r="EU328" s="39"/>
      <c r="EV328" s="39"/>
      <c r="EW328" s="39"/>
      <c r="EX328" s="39"/>
      <c r="EY328" s="39"/>
      <c r="EZ328" s="39"/>
      <c r="FA328" s="39"/>
      <c r="FB328" s="39"/>
      <c r="FC328" s="39"/>
      <c r="FD328" s="39"/>
      <c r="FE328" s="39"/>
      <c r="FF328" s="39"/>
      <c r="FG328" s="39"/>
      <c r="FH328" s="39"/>
      <c r="FI328" s="39"/>
      <c r="FJ328" s="39"/>
      <c r="FK328" s="39"/>
      <c r="FL328" s="39"/>
      <c r="FM328" s="39"/>
      <c r="FN328" s="39"/>
      <c r="FO328" s="39"/>
      <c r="FP328" s="39"/>
      <c r="FQ328" s="39"/>
      <c r="FR328" s="39"/>
      <c r="FS328" s="39"/>
      <c r="FT328" s="39"/>
      <c r="FU328" s="39"/>
      <c r="FV328" s="39"/>
      <c r="FW328" s="39"/>
      <c r="FX328" s="39"/>
      <c r="FY328" s="39"/>
      <c r="FZ328" s="39"/>
      <c r="GA328" s="39"/>
      <c r="GB328" s="39"/>
      <c r="GC328" s="39"/>
      <c r="GD328" s="39"/>
      <c r="GE328" s="39"/>
      <c r="GF328" s="39"/>
      <c r="GG328" s="39"/>
      <c r="GH328" s="39"/>
      <c r="GI328" s="39"/>
      <c r="GJ328" s="39"/>
      <c r="GK328" s="39"/>
      <c r="GL328" s="39"/>
      <c r="GM328" s="39"/>
      <c r="GN328" s="39"/>
      <c r="GO328" s="39"/>
      <c r="GP328" s="39"/>
      <c r="GQ328" s="39"/>
      <c r="GR328" s="39"/>
      <c r="GS328" s="39"/>
      <c r="GT328" s="39"/>
      <c r="GU328" s="39"/>
      <c r="GV328" s="39"/>
      <c r="GW328" s="39"/>
      <c r="GX328" s="39"/>
      <c r="GY328" s="39"/>
      <c r="GZ328" s="39"/>
      <c r="HA328" s="39"/>
      <c r="HB328" s="39"/>
      <c r="HC328" s="39"/>
      <c r="HD328" s="39"/>
      <c r="HE328" s="39"/>
      <c r="HF328" s="39"/>
      <c r="HG328" s="39"/>
      <c r="HH328" s="39"/>
      <c r="HI328" s="39"/>
      <c r="HJ328" s="39"/>
      <c r="HK328" s="39"/>
      <c r="HL328" s="39"/>
      <c r="HM328" s="39"/>
      <c r="HN328" s="39"/>
      <c r="HO328" s="39"/>
      <c r="HP328" s="39"/>
    </row>
    <row r="329" spans="3:224" s="4" customFormat="1" ht="20.100000000000001" customHeight="1">
      <c r="C329" s="34">
        <v>14110006</v>
      </c>
      <c r="D329" s="34" t="s">
        <v>351</v>
      </c>
      <c r="E329" s="35">
        <v>11200003</v>
      </c>
      <c r="F329" s="35">
        <v>0</v>
      </c>
      <c r="G329" s="35">
        <v>1</v>
      </c>
      <c r="H329" s="35">
        <v>20</v>
      </c>
      <c r="I329" s="37">
        <v>0.2</v>
      </c>
      <c r="J329" s="38">
        <v>5</v>
      </c>
      <c r="K329" s="25">
        <v>0</v>
      </c>
      <c r="L329" s="35">
        <v>550</v>
      </c>
      <c r="M329" s="35">
        <f t="shared" si="27"/>
        <v>0</v>
      </c>
      <c r="N329" s="35">
        <v>0</v>
      </c>
      <c r="O329" s="35">
        <v>0</v>
      </c>
      <c r="P329" s="35">
        <v>0</v>
      </c>
      <c r="Q329" s="35">
        <f t="shared" si="28"/>
        <v>9</v>
      </c>
      <c r="R329" s="35">
        <v>18</v>
      </c>
      <c r="S329" s="35">
        <f t="shared" si="29"/>
        <v>9</v>
      </c>
      <c r="T329" s="35">
        <v>18</v>
      </c>
      <c r="U329" s="37">
        <v>0</v>
      </c>
      <c r="V329" s="35">
        <v>0</v>
      </c>
      <c r="W329" s="35">
        <v>0</v>
      </c>
      <c r="X329" s="35">
        <v>0</v>
      </c>
      <c r="Y329" s="37">
        <v>0</v>
      </c>
      <c r="Z329" s="37">
        <v>0</v>
      </c>
      <c r="AA329" s="37">
        <v>0</v>
      </c>
      <c r="AB329" s="37">
        <v>0</v>
      </c>
      <c r="AC329" s="37">
        <v>0</v>
      </c>
      <c r="AD329" s="37">
        <v>0</v>
      </c>
      <c r="AE329" s="37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  <c r="CS329" s="39"/>
      <c r="CT329" s="39"/>
      <c r="CU329" s="39"/>
      <c r="CV329" s="39"/>
      <c r="CW329" s="39"/>
      <c r="CX329" s="39"/>
      <c r="CY329" s="39"/>
      <c r="CZ329" s="39"/>
      <c r="DA329" s="39"/>
      <c r="DB329" s="39"/>
      <c r="DC329" s="39"/>
      <c r="DD329" s="39"/>
      <c r="DE329" s="39"/>
      <c r="DF329" s="39"/>
      <c r="DG329" s="39"/>
      <c r="DH329" s="39"/>
      <c r="DI329" s="39"/>
      <c r="DJ329" s="39"/>
      <c r="DK329" s="39"/>
      <c r="DL329" s="39"/>
      <c r="DM329" s="39"/>
      <c r="DN329" s="39"/>
      <c r="DO329" s="39"/>
      <c r="DP329" s="39"/>
      <c r="DQ329" s="39"/>
      <c r="DR329" s="39"/>
      <c r="DS329" s="39"/>
      <c r="DT329" s="39"/>
      <c r="DU329" s="39"/>
      <c r="DV329" s="39"/>
      <c r="DW329" s="39"/>
      <c r="DX329" s="39"/>
      <c r="DY329" s="39"/>
      <c r="DZ329" s="39"/>
      <c r="EA329" s="39"/>
      <c r="EB329" s="39"/>
      <c r="EC329" s="39"/>
      <c r="ED329" s="39"/>
      <c r="EE329" s="39"/>
      <c r="EF329" s="39"/>
      <c r="EG329" s="39"/>
      <c r="EH329" s="39"/>
      <c r="EI329" s="39"/>
      <c r="EJ329" s="39"/>
      <c r="EK329" s="39"/>
      <c r="EL329" s="39"/>
      <c r="EM329" s="39"/>
      <c r="EN329" s="39"/>
      <c r="EO329" s="39"/>
      <c r="EP329" s="39"/>
      <c r="EQ329" s="39"/>
      <c r="ER329" s="39"/>
      <c r="ES329" s="39"/>
      <c r="ET329" s="39"/>
      <c r="EU329" s="39"/>
      <c r="EV329" s="39"/>
      <c r="EW329" s="39"/>
      <c r="EX329" s="39"/>
      <c r="EY329" s="39"/>
      <c r="EZ329" s="39"/>
      <c r="FA329" s="39"/>
      <c r="FB329" s="39"/>
      <c r="FC329" s="39"/>
      <c r="FD329" s="39"/>
      <c r="FE329" s="39"/>
      <c r="FF329" s="39"/>
      <c r="FG329" s="39"/>
      <c r="FH329" s="39"/>
      <c r="FI329" s="39"/>
      <c r="FJ329" s="39"/>
      <c r="FK329" s="39"/>
      <c r="FL329" s="39"/>
      <c r="FM329" s="39"/>
      <c r="FN329" s="39"/>
      <c r="FO329" s="39"/>
      <c r="FP329" s="39"/>
      <c r="FQ329" s="39"/>
      <c r="FR329" s="39"/>
      <c r="FS329" s="39"/>
      <c r="FT329" s="39"/>
      <c r="FU329" s="39"/>
      <c r="FV329" s="39"/>
      <c r="FW329" s="39"/>
      <c r="FX329" s="39"/>
      <c r="FY329" s="39"/>
      <c r="FZ329" s="39"/>
      <c r="GA329" s="39"/>
      <c r="GB329" s="39"/>
      <c r="GC329" s="39"/>
      <c r="GD329" s="39"/>
      <c r="GE329" s="39"/>
      <c r="GF329" s="39"/>
      <c r="GG329" s="39"/>
      <c r="GH329" s="39"/>
      <c r="GI329" s="39"/>
      <c r="GJ329" s="39"/>
      <c r="GK329" s="39"/>
      <c r="GL329" s="39"/>
      <c r="GM329" s="39"/>
      <c r="GN329" s="39"/>
      <c r="GO329" s="39"/>
      <c r="GP329" s="39"/>
      <c r="GQ329" s="39"/>
      <c r="GR329" s="39"/>
      <c r="GS329" s="39"/>
      <c r="GT329" s="39"/>
      <c r="GU329" s="39"/>
      <c r="GV329" s="39"/>
      <c r="GW329" s="39"/>
      <c r="GX329" s="39"/>
      <c r="GY329" s="39"/>
      <c r="GZ329" s="39"/>
      <c r="HA329" s="39"/>
      <c r="HB329" s="39"/>
      <c r="HC329" s="39"/>
      <c r="HD329" s="39"/>
      <c r="HE329" s="39"/>
      <c r="HF329" s="39"/>
      <c r="HG329" s="39"/>
      <c r="HH329" s="39"/>
      <c r="HI329" s="39"/>
      <c r="HJ329" s="39"/>
      <c r="HK329" s="39"/>
      <c r="HL329" s="39"/>
      <c r="HM329" s="39"/>
      <c r="HN329" s="39"/>
      <c r="HO329" s="39"/>
      <c r="HP329" s="39"/>
    </row>
    <row r="330" spans="3:224" s="4" customFormat="1" ht="20.100000000000001" customHeight="1">
      <c r="C330" s="34">
        <v>14110007</v>
      </c>
      <c r="D330" s="34" t="s">
        <v>352</v>
      </c>
      <c r="E330" s="35">
        <v>11200003</v>
      </c>
      <c r="F330" s="35">
        <v>11022</v>
      </c>
      <c r="G330" s="35">
        <v>1</v>
      </c>
      <c r="H330" s="35">
        <v>20</v>
      </c>
      <c r="I330" s="37">
        <v>0.2</v>
      </c>
      <c r="J330" s="38">
        <v>5</v>
      </c>
      <c r="K330" s="25">
        <v>0</v>
      </c>
      <c r="L330" s="35">
        <v>650</v>
      </c>
      <c r="M330" s="35">
        <f t="shared" si="27"/>
        <v>0</v>
      </c>
      <c r="N330" s="35">
        <v>0</v>
      </c>
      <c r="O330" s="35">
        <v>0</v>
      </c>
      <c r="P330" s="35">
        <v>0</v>
      </c>
      <c r="Q330" s="35">
        <f t="shared" si="28"/>
        <v>11</v>
      </c>
      <c r="R330" s="35">
        <v>21</v>
      </c>
      <c r="S330" s="35">
        <f t="shared" si="29"/>
        <v>11</v>
      </c>
      <c r="T330" s="35">
        <v>21</v>
      </c>
      <c r="U330" s="37">
        <v>0</v>
      </c>
      <c r="V330" s="35">
        <v>0</v>
      </c>
      <c r="W330" s="35">
        <v>0</v>
      </c>
      <c r="X330" s="35">
        <v>0</v>
      </c>
      <c r="Y330" s="37">
        <v>0</v>
      </c>
      <c r="Z330" s="37">
        <v>0</v>
      </c>
      <c r="AA330" s="37">
        <v>0</v>
      </c>
      <c r="AB330" s="37">
        <v>0</v>
      </c>
      <c r="AC330" s="37">
        <v>0</v>
      </c>
      <c r="AD330" s="37">
        <v>0</v>
      </c>
      <c r="AE330" s="37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39"/>
      <c r="CD330" s="39"/>
      <c r="CE330" s="39"/>
      <c r="CF330" s="39"/>
      <c r="CG330" s="39"/>
      <c r="CH330" s="39"/>
      <c r="CI330" s="39"/>
      <c r="CJ330" s="39"/>
      <c r="CK330" s="39"/>
      <c r="CL330" s="39"/>
      <c r="CM330" s="39"/>
      <c r="CN330" s="39"/>
      <c r="CO330" s="39"/>
      <c r="CP330" s="39"/>
      <c r="CQ330" s="39"/>
      <c r="CR330" s="39"/>
      <c r="CS330" s="39"/>
      <c r="CT330" s="39"/>
      <c r="CU330" s="39"/>
      <c r="CV330" s="39"/>
      <c r="CW330" s="39"/>
      <c r="CX330" s="39"/>
      <c r="CY330" s="39"/>
      <c r="CZ330" s="39"/>
      <c r="DA330" s="39"/>
      <c r="DB330" s="39"/>
      <c r="DC330" s="39"/>
      <c r="DD330" s="39"/>
      <c r="DE330" s="39"/>
      <c r="DF330" s="39"/>
      <c r="DG330" s="39"/>
      <c r="DH330" s="39"/>
      <c r="DI330" s="39"/>
      <c r="DJ330" s="39"/>
      <c r="DK330" s="39"/>
      <c r="DL330" s="39"/>
      <c r="DM330" s="39"/>
      <c r="DN330" s="39"/>
      <c r="DO330" s="39"/>
      <c r="DP330" s="39"/>
      <c r="DQ330" s="39"/>
      <c r="DR330" s="39"/>
      <c r="DS330" s="39"/>
      <c r="DT330" s="39"/>
      <c r="DU330" s="39"/>
      <c r="DV330" s="39"/>
      <c r="DW330" s="39"/>
      <c r="DX330" s="39"/>
      <c r="DY330" s="39"/>
      <c r="DZ330" s="39"/>
      <c r="EA330" s="39"/>
      <c r="EB330" s="39"/>
      <c r="EC330" s="39"/>
      <c r="ED330" s="39"/>
      <c r="EE330" s="39"/>
      <c r="EF330" s="39"/>
      <c r="EG330" s="39"/>
      <c r="EH330" s="39"/>
      <c r="EI330" s="39"/>
      <c r="EJ330" s="39"/>
      <c r="EK330" s="39"/>
      <c r="EL330" s="39"/>
      <c r="EM330" s="39"/>
      <c r="EN330" s="39"/>
      <c r="EO330" s="39"/>
      <c r="EP330" s="39"/>
      <c r="EQ330" s="39"/>
      <c r="ER330" s="39"/>
      <c r="ES330" s="39"/>
      <c r="ET330" s="39"/>
      <c r="EU330" s="39"/>
      <c r="EV330" s="39"/>
      <c r="EW330" s="39"/>
      <c r="EX330" s="39"/>
      <c r="EY330" s="39"/>
      <c r="EZ330" s="39"/>
      <c r="FA330" s="39"/>
      <c r="FB330" s="39"/>
      <c r="FC330" s="39"/>
      <c r="FD330" s="39"/>
      <c r="FE330" s="39"/>
      <c r="FF330" s="39"/>
      <c r="FG330" s="39"/>
      <c r="FH330" s="39"/>
      <c r="FI330" s="39"/>
      <c r="FJ330" s="39"/>
      <c r="FK330" s="39"/>
      <c r="FL330" s="39"/>
      <c r="FM330" s="39"/>
      <c r="FN330" s="39"/>
      <c r="FO330" s="39"/>
      <c r="FP330" s="39"/>
      <c r="FQ330" s="39"/>
      <c r="FR330" s="39"/>
      <c r="FS330" s="39"/>
      <c r="FT330" s="39"/>
      <c r="FU330" s="39"/>
      <c r="FV330" s="39"/>
      <c r="FW330" s="39"/>
      <c r="FX330" s="39"/>
      <c r="FY330" s="39"/>
      <c r="FZ330" s="39"/>
      <c r="GA330" s="39"/>
      <c r="GB330" s="39"/>
      <c r="GC330" s="39"/>
      <c r="GD330" s="39"/>
      <c r="GE330" s="39"/>
      <c r="GF330" s="39"/>
      <c r="GG330" s="39"/>
      <c r="GH330" s="39"/>
      <c r="GI330" s="39"/>
      <c r="GJ330" s="39"/>
      <c r="GK330" s="39"/>
      <c r="GL330" s="39"/>
      <c r="GM330" s="39"/>
      <c r="GN330" s="39"/>
      <c r="GO330" s="39"/>
      <c r="GP330" s="39"/>
      <c r="GQ330" s="39"/>
      <c r="GR330" s="39"/>
      <c r="GS330" s="39"/>
      <c r="GT330" s="39"/>
      <c r="GU330" s="39"/>
      <c r="GV330" s="39"/>
      <c r="GW330" s="39"/>
      <c r="GX330" s="39"/>
      <c r="GY330" s="39"/>
      <c r="GZ330" s="39"/>
      <c r="HA330" s="39"/>
      <c r="HB330" s="39"/>
      <c r="HC330" s="39"/>
      <c r="HD330" s="39"/>
      <c r="HE330" s="39"/>
      <c r="HF330" s="39"/>
      <c r="HG330" s="39"/>
      <c r="HH330" s="39"/>
      <c r="HI330" s="39"/>
      <c r="HJ330" s="39"/>
      <c r="HK330" s="39"/>
      <c r="HL330" s="39"/>
      <c r="HM330" s="39"/>
      <c r="HN330" s="39"/>
      <c r="HO330" s="39"/>
      <c r="HP330" s="39"/>
    </row>
    <row r="331" spans="3:224" s="4" customFormat="1" ht="20.100000000000001" customHeight="1">
      <c r="C331" s="34">
        <v>14110008</v>
      </c>
      <c r="D331" s="34" t="s">
        <v>353</v>
      </c>
      <c r="E331" s="35">
        <v>11200003</v>
      </c>
      <c r="F331" s="35">
        <v>11042</v>
      </c>
      <c r="G331" s="35">
        <v>1</v>
      </c>
      <c r="H331" s="35">
        <v>20</v>
      </c>
      <c r="I331" s="37">
        <v>0.2</v>
      </c>
      <c r="J331" s="38">
        <v>10</v>
      </c>
      <c r="K331" s="25">
        <v>0</v>
      </c>
      <c r="L331" s="35">
        <v>790</v>
      </c>
      <c r="M331" s="35">
        <f t="shared" si="27"/>
        <v>0</v>
      </c>
      <c r="N331" s="35">
        <v>0</v>
      </c>
      <c r="O331" s="35">
        <v>0</v>
      </c>
      <c r="P331" s="35">
        <v>0</v>
      </c>
      <c r="Q331" s="35">
        <f t="shared" si="28"/>
        <v>15</v>
      </c>
      <c r="R331" s="35">
        <v>29</v>
      </c>
      <c r="S331" s="35">
        <f t="shared" si="29"/>
        <v>15</v>
      </c>
      <c r="T331" s="35">
        <v>29</v>
      </c>
      <c r="U331" s="37">
        <v>0</v>
      </c>
      <c r="V331" s="35">
        <v>0</v>
      </c>
      <c r="W331" s="35">
        <v>0</v>
      </c>
      <c r="X331" s="35">
        <v>0</v>
      </c>
      <c r="Y331" s="37">
        <v>0</v>
      </c>
      <c r="Z331" s="37">
        <v>0</v>
      </c>
      <c r="AA331" s="37">
        <v>0</v>
      </c>
      <c r="AB331" s="37">
        <v>0</v>
      </c>
      <c r="AC331" s="37">
        <v>0</v>
      </c>
      <c r="AD331" s="37">
        <v>0</v>
      </c>
      <c r="AE331" s="37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  <c r="CS331" s="39"/>
      <c r="CT331" s="39"/>
      <c r="CU331" s="39"/>
      <c r="CV331" s="39"/>
      <c r="CW331" s="39"/>
      <c r="CX331" s="39"/>
      <c r="CY331" s="39"/>
      <c r="CZ331" s="39"/>
      <c r="DA331" s="39"/>
      <c r="DB331" s="39"/>
      <c r="DC331" s="39"/>
      <c r="DD331" s="39"/>
      <c r="DE331" s="39"/>
      <c r="DF331" s="39"/>
      <c r="DG331" s="39"/>
      <c r="DH331" s="39"/>
      <c r="DI331" s="39"/>
      <c r="DJ331" s="39"/>
      <c r="DK331" s="39"/>
      <c r="DL331" s="39"/>
      <c r="DM331" s="39"/>
      <c r="DN331" s="39"/>
      <c r="DO331" s="39"/>
      <c r="DP331" s="39"/>
      <c r="DQ331" s="39"/>
      <c r="DR331" s="39"/>
      <c r="DS331" s="39"/>
      <c r="DT331" s="39"/>
      <c r="DU331" s="39"/>
      <c r="DV331" s="39"/>
      <c r="DW331" s="39"/>
      <c r="DX331" s="39"/>
      <c r="DY331" s="39"/>
      <c r="DZ331" s="39"/>
      <c r="EA331" s="39"/>
      <c r="EB331" s="39"/>
      <c r="EC331" s="39"/>
      <c r="ED331" s="39"/>
      <c r="EE331" s="39"/>
      <c r="EF331" s="39"/>
      <c r="EG331" s="39"/>
      <c r="EH331" s="39"/>
      <c r="EI331" s="39"/>
      <c r="EJ331" s="39"/>
      <c r="EK331" s="39"/>
      <c r="EL331" s="39"/>
      <c r="EM331" s="39"/>
      <c r="EN331" s="39"/>
      <c r="EO331" s="39"/>
      <c r="EP331" s="39"/>
      <c r="EQ331" s="39"/>
      <c r="ER331" s="39"/>
      <c r="ES331" s="39"/>
      <c r="ET331" s="39"/>
      <c r="EU331" s="39"/>
      <c r="EV331" s="39"/>
      <c r="EW331" s="39"/>
      <c r="EX331" s="39"/>
      <c r="EY331" s="39"/>
      <c r="EZ331" s="39"/>
      <c r="FA331" s="39"/>
      <c r="FB331" s="39"/>
      <c r="FC331" s="39"/>
      <c r="FD331" s="39"/>
      <c r="FE331" s="39"/>
      <c r="FF331" s="39"/>
      <c r="FG331" s="39"/>
      <c r="FH331" s="39"/>
      <c r="FI331" s="39"/>
      <c r="FJ331" s="39"/>
      <c r="FK331" s="39"/>
      <c r="FL331" s="39"/>
      <c r="FM331" s="39"/>
      <c r="FN331" s="39"/>
      <c r="FO331" s="39"/>
      <c r="FP331" s="39"/>
      <c r="FQ331" s="39"/>
      <c r="FR331" s="39"/>
      <c r="FS331" s="39"/>
      <c r="FT331" s="39"/>
      <c r="FU331" s="39"/>
      <c r="FV331" s="39"/>
      <c r="FW331" s="39"/>
      <c r="FX331" s="39"/>
      <c r="FY331" s="39"/>
      <c r="FZ331" s="39"/>
      <c r="GA331" s="39"/>
      <c r="GB331" s="39"/>
      <c r="GC331" s="39"/>
      <c r="GD331" s="39"/>
      <c r="GE331" s="39"/>
      <c r="GF331" s="39"/>
      <c r="GG331" s="39"/>
      <c r="GH331" s="39"/>
      <c r="GI331" s="39"/>
      <c r="GJ331" s="39"/>
      <c r="GK331" s="39"/>
      <c r="GL331" s="39"/>
      <c r="GM331" s="39"/>
      <c r="GN331" s="39"/>
      <c r="GO331" s="39"/>
      <c r="GP331" s="39"/>
      <c r="GQ331" s="39"/>
      <c r="GR331" s="39"/>
      <c r="GS331" s="39"/>
      <c r="GT331" s="39"/>
      <c r="GU331" s="39"/>
      <c r="GV331" s="39"/>
      <c r="GW331" s="39"/>
      <c r="GX331" s="39"/>
      <c r="GY331" s="39"/>
      <c r="GZ331" s="39"/>
      <c r="HA331" s="39"/>
      <c r="HB331" s="39"/>
      <c r="HC331" s="39"/>
      <c r="HD331" s="39"/>
      <c r="HE331" s="39"/>
      <c r="HF331" s="39"/>
      <c r="HG331" s="39"/>
      <c r="HH331" s="39"/>
      <c r="HI331" s="39"/>
      <c r="HJ331" s="39"/>
      <c r="HK331" s="39"/>
      <c r="HL331" s="39"/>
      <c r="HM331" s="39"/>
      <c r="HN331" s="39"/>
      <c r="HO331" s="39"/>
      <c r="HP331" s="39"/>
    </row>
    <row r="332" spans="3:224" s="4" customFormat="1" ht="20.100000000000001" customHeight="1">
      <c r="C332" s="34">
        <v>14110009</v>
      </c>
      <c r="D332" s="34" t="s">
        <v>354</v>
      </c>
      <c r="E332" s="35">
        <v>11200003</v>
      </c>
      <c r="F332" s="35">
        <v>0</v>
      </c>
      <c r="G332" s="35">
        <v>1</v>
      </c>
      <c r="H332" s="35">
        <v>20</v>
      </c>
      <c r="I332" s="37">
        <v>0.2</v>
      </c>
      <c r="J332" s="38">
        <v>5</v>
      </c>
      <c r="K332" s="25">
        <v>0</v>
      </c>
      <c r="L332" s="35">
        <v>750</v>
      </c>
      <c r="M332" s="35">
        <f t="shared" si="27"/>
        <v>0</v>
      </c>
      <c r="N332" s="35">
        <v>0</v>
      </c>
      <c r="O332" s="35">
        <v>0</v>
      </c>
      <c r="P332" s="35">
        <v>0</v>
      </c>
      <c r="Q332" s="35">
        <f t="shared" si="28"/>
        <v>8</v>
      </c>
      <c r="R332" s="35">
        <v>15</v>
      </c>
      <c r="S332" s="35">
        <f t="shared" si="29"/>
        <v>8</v>
      </c>
      <c r="T332" s="35">
        <v>15</v>
      </c>
      <c r="U332" s="37">
        <v>0</v>
      </c>
      <c r="V332" s="35">
        <v>0</v>
      </c>
      <c r="W332" s="35">
        <v>0</v>
      </c>
      <c r="X332" s="35">
        <v>0</v>
      </c>
      <c r="Y332" s="37">
        <v>0</v>
      </c>
      <c r="Z332" s="37">
        <v>0</v>
      </c>
      <c r="AA332" s="37">
        <v>0</v>
      </c>
      <c r="AB332" s="37">
        <v>0</v>
      </c>
      <c r="AC332" s="37">
        <v>0</v>
      </c>
      <c r="AD332" s="37">
        <v>0</v>
      </c>
      <c r="AE332" s="37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39"/>
      <c r="CR332" s="39"/>
      <c r="CS332" s="39"/>
      <c r="CT332" s="39"/>
      <c r="CU332" s="39"/>
      <c r="CV332" s="39"/>
      <c r="CW332" s="39"/>
      <c r="CX332" s="39"/>
      <c r="CY332" s="39"/>
      <c r="CZ332" s="39"/>
      <c r="DA332" s="39"/>
      <c r="DB332" s="39"/>
      <c r="DC332" s="39"/>
      <c r="DD332" s="39"/>
      <c r="DE332" s="39"/>
      <c r="DF332" s="39"/>
      <c r="DG332" s="39"/>
      <c r="DH332" s="39"/>
      <c r="DI332" s="39"/>
      <c r="DJ332" s="39"/>
      <c r="DK332" s="39"/>
      <c r="DL332" s="39"/>
      <c r="DM332" s="39"/>
      <c r="DN332" s="39"/>
      <c r="DO332" s="39"/>
      <c r="DP332" s="39"/>
      <c r="DQ332" s="39"/>
      <c r="DR332" s="39"/>
      <c r="DS332" s="39"/>
      <c r="DT332" s="39"/>
      <c r="DU332" s="39"/>
      <c r="DV332" s="39"/>
      <c r="DW332" s="39"/>
      <c r="DX332" s="39"/>
      <c r="DY332" s="39"/>
      <c r="DZ332" s="39"/>
      <c r="EA332" s="39"/>
      <c r="EB332" s="39"/>
      <c r="EC332" s="39"/>
      <c r="ED332" s="39"/>
      <c r="EE332" s="39"/>
      <c r="EF332" s="39"/>
      <c r="EG332" s="39"/>
      <c r="EH332" s="39"/>
      <c r="EI332" s="39"/>
      <c r="EJ332" s="39"/>
      <c r="EK332" s="39"/>
      <c r="EL332" s="39"/>
      <c r="EM332" s="39"/>
      <c r="EN332" s="39"/>
      <c r="EO332" s="39"/>
      <c r="EP332" s="39"/>
      <c r="EQ332" s="39"/>
      <c r="ER332" s="39"/>
      <c r="ES332" s="39"/>
      <c r="ET332" s="39"/>
      <c r="EU332" s="39"/>
      <c r="EV332" s="39"/>
      <c r="EW332" s="39"/>
      <c r="EX332" s="39"/>
      <c r="EY332" s="39"/>
      <c r="EZ332" s="39"/>
      <c r="FA332" s="39"/>
      <c r="FB332" s="39"/>
      <c r="FC332" s="39"/>
      <c r="FD332" s="39"/>
      <c r="FE332" s="39"/>
      <c r="FF332" s="39"/>
      <c r="FG332" s="39"/>
      <c r="FH332" s="39"/>
      <c r="FI332" s="39"/>
      <c r="FJ332" s="39"/>
      <c r="FK332" s="39"/>
      <c r="FL332" s="39"/>
      <c r="FM332" s="39"/>
      <c r="FN332" s="39"/>
      <c r="FO332" s="39"/>
      <c r="FP332" s="39"/>
      <c r="FQ332" s="39"/>
      <c r="FR332" s="39"/>
      <c r="FS332" s="39"/>
      <c r="FT332" s="39"/>
      <c r="FU332" s="39"/>
      <c r="FV332" s="39"/>
      <c r="FW332" s="39"/>
      <c r="FX332" s="39"/>
      <c r="FY332" s="39"/>
      <c r="FZ332" s="39"/>
      <c r="GA332" s="39"/>
      <c r="GB332" s="39"/>
      <c r="GC332" s="39"/>
      <c r="GD332" s="39"/>
      <c r="GE332" s="39"/>
      <c r="GF332" s="39"/>
      <c r="GG332" s="39"/>
      <c r="GH332" s="39"/>
      <c r="GI332" s="39"/>
      <c r="GJ332" s="39"/>
      <c r="GK332" s="39"/>
      <c r="GL332" s="39"/>
      <c r="GM332" s="39"/>
      <c r="GN332" s="39"/>
      <c r="GO332" s="39"/>
      <c r="GP332" s="39"/>
      <c r="GQ332" s="39"/>
      <c r="GR332" s="39"/>
      <c r="GS332" s="39"/>
      <c r="GT332" s="39"/>
      <c r="GU332" s="39"/>
      <c r="GV332" s="39"/>
      <c r="GW332" s="39"/>
      <c r="GX332" s="39"/>
      <c r="GY332" s="39"/>
      <c r="GZ332" s="39"/>
      <c r="HA332" s="39"/>
      <c r="HB332" s="39"/>
      <c r="HC332" s="39"/>
      <c r="HD332" s="39"/>
      <c r="HE332" s="39"/>
      <c r="HF332" s="39"/>
      <c r="HG332" s="39"/>
      <c r="HH332" s="39"/>
      <c r="HI332" s="39"/>
      <c r="HJ332" s="39"/>
      <c r="HK332" s="39"/>
      <c r="HL332" s="39"/>
      <c r="HM332" s="39"/>
      <c r="HN332" s="39"/>
      <c r="HO332" s="39"/>
      <c r="HP332" s="39"/>
    </row>
    <row r="333" spans="3:224" s="4" customFormat="1" ht="20.100000000000001" customHeight="1">
      <c r="C333" s="34">
        <v>14110010</v>
      </c>
      <c r="D333" s="34" t="s">
        <v>355</v>
      </c>
      <c r="E333" s="35">
        <v>11200003</v>
      </c>
      <c r="F333" s="35">
        <v>0</v>
      </c>
      <c r="G333" s="35">
        <v>1</v>
      </c>
      <c r="H333" s="35">
        <v>20</v>
      </c>
      <c r="I333" s="37">
        <v>0.2</v>
      </c>
      <c r="J333" s="38">
        <v>5</v>
      </c>
      <c r="K333" s="25">
        <v>0</v>
      </c>
      <c r="L333" s="35">
        <v>1320</v>
      </c>
      <c r="M333" s="35">
        <f t="shared" si="27"/>
        <v>0</v>
      </c>
      <c r="N333" s="35">
        <v>0</v>
      </c>
      <c r="O333" s="35">
        <v>0</v>
      </c>
      <c r="P333" s="35">
        <v>0</v>
      </c>
      <c r="Q333" s="35">
        <f t="shared" si="28"/>
        <v>15</v>
      </c>
      <c r="R333" s="35">
        <v>30</v>
      </c>
      <c r="S333" s="35">
        <f t="shared" si="29"/>
        <v>15</v>
      </c>
      <c r="T333" s="35">
        <v>30</v>
      </c>
      <c r="U333" s="37">
        <v>0</v>
      </c>
      <c r="V333" s="35">
        <v>0</v>
      </c>
      <c r="W333" s="35">
        <v>0</v>
      </c>
      <c r="X333" s="35">
        <v>0</v>
      </c>
      <c r="Y333" s="37">
        <v>0</v>
      </c>
      <c r="Z333" s="37">
        <v>0</v>
      </c>
      <c r="AA333" s="37">
        <v>0</v>
      </c>
      <c r="AB333" s="37">
        <v>0</v>
      </c>
      <c r="AC333" s="37">
        <v>0</v>
      </c>
      <c r="AD333" s="37">
        <v>0</v>
      </c>
      <c r="AE333" s="37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  <c r="CI333" s="39"/>
      <c r="CJ333" s="39"/>
      <c r="CK333" s="39"/>
      <c r="CL333" s="39"/>
      <c r="CM333" s="39"/>
      <c r="CN333" s="39"/>
      <c r="CO333" s="39"/>
      <c r="CP333" s="39"/>
      <c r="CQ333" s="39"/>
      <c r="CR333" s="39"/>
      <c r="CS333" s="39"/>
      <c r="CT333" s="39"/>
      <c r="CU333" s="39"/>
      <c r="CV333" s="39"/>
      <c r="CW333" s="39"/>
      <c r="CX333" s="39"/>
      <c r="CY333" s="39"/>
      <c r="CZ333" s="39"/>
      <c r="DA333" s="39"/>
      <c r="DB333" s="39"/>
      <c r="DC333" s="39"/>
      <c r="DD333" s="39"/>
      <c r="DE333" s="39"/>
      <c r="DF333" s="39"/>
      <c r="DG333" s="39"/>
      <c r="DH333" s="39"/>
      <c r="DI333" s="39"/>
      <c r="DJ333" s="39"/>
      <c r="DK333" s="39"/>
      <c r="DL333" s="39"/>
      <c r="DM333" s="39"/>
      <c r="DN333" s="39"/>
      <c r="DO333" s="39"/>
      <c r="DP333" s="39"/>
      <c r="DQ333" s="39"/>
      <c r="DR333" s="39"/>
      <c r="DS333" s="39"/>
      <c r="DT333" s="39"/>
      <c r="DU333" s="39"/>
      <c r="DV333" s="39"/>
      <c r="DW333" s="39"/>
      <c r="DX333" s="39"/>
      <c r="DY333" s="39"/>
      <c r="DZ333" s="39"/>
      <c r="EA333" s="39"/>
      <c r="EB333" s="39"/>
      <c r="EC333" s="39"/>
      <c r="ED333" s="39"/>
      <c r="EE333" s="39"/>
      <c r="EF333" s="39"/>
      <c r="EG333" s="39"/>
      <c r="EH333" s="39"/>
      <c r="EI333" s="39"/>
      <c r="EJ333" s="39"/>
      <c r="EK333" s="39"/>
      <c r="EL333" s="39"/>
      <c r="EM333" s="39"/>
      <c r="EN333" s="39"/>
      <c r="EO333" s="39"/>
      <c r="EP333" s="39"/>
      <c r="EQ333" s="39"/>
      <c r="ER333" s="39"/>
      <c r="ES333" s="39"/>
      <c r="ET333" s="39"/>
      <c r="EU333" s="39"/>
      <c r="EV333" s="39"/>
      <c r="EW333" s="39"/>
      <c r="EX333" s="39"/>
      <c r="EY333" s="39"/>
      <c r="EZ333" s="39"/>
      <c r="FA333" s="39"/>
      <c r="FB333" s="39"/>
      <c r="FC333" s="39"/>
      <c r="FD333" s="39"/>
      <c r="FE333" s="39"/>
      <c r="FF333" s="39"/>
      <c r="FG333" s="39"/>
      <c r="FH333" s="39"/>
      <c r="FI333" s="39"/>
      <c r="FJ333" s="39"/>
      <c r="FK333" s="39"/>
      <c r="FL333" s="39"/>
      <c r="FM333" s="39"/>
      <c r="FN333" s="39"/>
      <c r="FO333" s="39"/>
      <c r="FP333" s="39"/>
      <c r="FQ333" s="39"/>
      <c r="FR333" s="39"/>
      <c r="FS333" s="39"/>
      <c r="FT333" s="39"/>
      <c r="FU333" s="39"/>
      <c r="FV333" s="39"/>
      <c r="FW333" s="39"/>
      <c r="FX333" s="39"/>
      <c r="FY333" s="39"/>
      <c r="FZ333" s="39"/>
      <c r="GA333" s="39"/>
      <c r="GB333" s="39"/>
      <c r="GC333" s="39"/>
      <c r="GD333" s="39"/>
      <c r="GE333" s="39"/>
      <c r="GF333" s="39"/>
      <c r="GG333" s="39"/>
      <c r="GH333" s="39"/>
      <c r="GI333" s="39"/>
      <c r="GJ333" s="39"/>
      <c r="GK333" s="39"/>
      <c r="GL333" s="39"/>
      <c r="GM333" s="39"/>
      <c r="GN333" s="39"/>
      <c r="GO333" s="39"/>
      <c r="GP333" s="39"/>
      <c r="GQ333" s="39"/>
      <c r="GR333" s="39"/>
      <c r="GS333" s="39"/>
      <c r="GT333" s="39"/>
      <c r="GU333" s="39"/>
      <c r="GV333" s="39"/>
      <c r="GW333" s="39"/>
      <c r="GX333" s="39"/>
      <c r="GY333" s="39"/>
      <c r="GZ333" s="39"/>
      <c r="HA333" s="39"/>
      <c r="HB333" s="39"/>
      <c r="HC333" s="39"/>
      <c r="HD333" s="39"/>
      <c r="HE333" s="39"/>
      <c r="HF333" s="39"/>
      <c r="HG333" s="39"/>
      <c r="HH333" s="39"/>
      <c r="HI333" s="39"/>
      <c r="HJ333" s="39"/>
      <c r="HK333" s="39"/>
      <c r="HL333" s="39"/>
      <c r="HM333" s="39"/>
      <c r="HN333" s="39"/>
      <c r="HO333" s="39"/>
      <c r="HP333" s="39"/>
    </row>
    <row r="334" spans="3:224" s="4" customFormat="1" ht="20.100000000000001" customHeight="1">
      <c r="C334" s="34">
        <v>14110011</v>
      </c>
      <c r="D334" s="34" t="s">
        <v>356</v>
      </c>
      <c r="E334" s="35">
        <v>11200003</v>
      </c>
      <c r="F334" s="35">
        <v>11032</v>
      </c>
      <c r="G334" s="35">
        <v>1</v>
      </c>
      <c r="H334" s="35">
        <v>20</v>
      </c>
      <c r="I334" s="37">
        <v>0.2</v>
      </c>
      <c r="J334" s="38">
        <v>5</v>
      </c>
      <c r="K334" s="25">
        <v>0</v>
      </c>
      <c r="L334" s="35">
        <v>1560</v>
      </c>
      <c r="M334" s="35">
        <f t="shared" si="27"/>
        <v>0</v>
      </c>
      <c r="N334" s="35">
        <v>0</v>
      </c>
      <c r="O334" s="35">
        <v>0</v>
      </c>
      <c r="P334" s="35">
        <v>0</v>
      </c>
      <c r="Q334" s="35">
        <f t="shared" si="28"/>
        <v>18</v>
      </c>
      <c r="R334" s="35">
        <v>35</v>
      </c>
      <c r="S334" s="35">
        <f t="shared" si="29"/>
        <v>18</v>
      </c>
      <c r="T334" s="35">
        <v>35</v>
      </c>
      <c r="U334" s="37">
        <v>0</v>
      </c>
      <c r="V334" s="35">
        <v>0</v>
      </c>
      <c r="W334" s="35">
        <v>0</v>
      </c>
      <c r="X334" s="35">
        <v>0</v>
      </c>
      <c r="Y334" s="37">
        <v>0</v>
      </c>
      <c r="Z334" s="37">
        <v>0</v>
      </c>
      <c r="AA334" s="37">
        <v>0</v>
      </c>
      <c r="AB334" s="37">
        <v>0</v>
      </c>
      <c r="AC334" s="37">
        <v>0</v>
      </c>
      <c r="AD334" s="37">
        <v>0</v>
      </c>
      <c r="AE334" s="37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/>
      <c r="CK334" s="39"/>
      <c r="CL334" s="39"/>
      <c r="CM334" s="39"/>
      <c r="CN334" s="39"/>
      <c r="CO334" s="39"/>
      <c r="CP334" s="39"/>
      <c r="CQ334" s="39"/>
      <c r="CR334" s="39"/>
      <c r="CS334" s="39"/>
      <c r="CT334" s="39"/>
      <c r="CU334" s="39"/>
      <c r="CV334" s="39"/>
      <c r="CW334" s="39"/>
      <c r="CX334" s="39"/>
      <c r="CY334" s="39"/>
      <c r="CZ334" s="39"/>
      <c r="DA334" s="39"/>
      <c r="DB334" s="39"/>
      <c r="DC334" s="39"/>
      <c r="DD334" s="39"/>
      <c r="DE334" s="39"/>
      <c r="DF334" s="39"/>
      <c r="DG334" s="39"/>
      <c r="DH334" s="39"/>
      <c r="DI334" s="39"/>
      <c r="DJ334" s="39"/>
      <c r="DK334" s="39"/>
      <c r="DL334" s="39"/>
      <c r="DM334" s="39"/>
      <c r="DN334" s="39"/>
      <c r="DO334" s="39"/>
      <c r="DP334" s="39"/>
      <c r="DQ334" s="39"/>
      <c r="DR334" s="39"/>
      <c r="DS334" s="39"/>
      <c r="DT334" s="39"/>
      <c r="DU334" s="39"/>
      <c r="DV334" s="39"/>
      <c r="DW334" s="39"/>
      <c r="DX334" s="39"/>
      <c r="DY334" s="39"/>
      <c r="DZ334" s="39"/>
      <c r="EA334" s="39"/>
      <c r="EB334" s="39"/>
      <c r="EC334" s="39"/>
      <c r="ED334" s="39"/>
      <c r="EE334" s="39"/>
      <c r="EF334" s="39"/>
      <c r="EG334" s="39"/>
      <c r="EH334" s="39"/>
      <c r="EI334" s="39"/>
      <c r="EJ334" s="39"/>
      <c r="EK334" s="39"/>
      <c r="EL334" s="39"/>
      <c r="EM334" s="39"/>
      <c r="EN334" s="39"/>
      <c r="EO334" s="39"/>
      <c r="EP334" s="39"/>
      <c r="EQ334" s="39"/>
      <c r="ER334" s="39"/>
      <c r="ES334" s="39"/>
      <c r="ET334" s="39"/>
      <c r="EU334" s="39"/>
      <c r="EV334" s="39"/>
      <c r="EW334" s="39"/>
      <c r="EX334" s="39"/>
      <c r="EY334" s="39"/>
      <c r="EZ334" s="39"/>
      <c r="FA334" s="39"/>
      <c r="FB334" s="39"/>
      <c r="FC334" s="39"/>
      <c r="FD334" s="39"/>
      <c r="FE334" s="39"/>
      <c r="FF334" s="39"/>
      <c r="FG334" s="39"/>
      <c r="FH334" s="39"/>
      <c r="FI334" s="39"/>
      <c r="FJ334" s="39"/>
      <c r="FK334" s="39"/>
      <c r="FL334" s="39"/>
      <c r="FM334" s="39"/>
      <c r="FN334" s="39"/>
      <c r="FO334" s="39"/>
      <c r="FP334" s="39"/>
      <c r="FQ334" s="39"/>
      <c r="FR334" s="39"/>
      <c r="FS334" s="39"/>
      <c r="FT334" s="39"/>
      <c r="FU334" s="39"/>
      <c r="FV334" s="39"/>
      <c r="FW334" s="39"/>
      <c r="FX334" s="39"/>
      <c r="FY334" s="39"/>
      <c r="FZ334" s="39"/>
      <c r="GA334" s="39"/>
      <c r="GB334" s="39"/>
      <c r="GC334" s="39"/>
      <c r="GD334" s="39"/>
      <c r="GE334" s="39"/>
      <c r="GF334" s="39"/>
      <c r="GG334" s="39"/>
      <c r="GH334" s="39"/>
      <c r="GI334" s="39"/>
      <c r="GJ334" s="39"/>
      <c r="GK334" s="39"/>
      <c r="GL334" s="39"/>
      <c r="GM334" s="39"/>
      <c r="GN334" s="39"/>
      <c r="GO334" s="39"/>
      <c r="GP334" s="39"/>
      <c r="GQ334" s="39"/>
      <c r="GR334" s="39"/>
      <c r="GS334" s="39"/>
      <c r="GT334" s="39"/>
      <c r="GU334" s="39"/>
      <c r="GV334" s="39"/>
      <c r="GW334" s="39"/>
      <c r="GX334" s="39"/>
      <c r="GY334" s="39"/>
      <c r="GZ334" s="39"/>
      <c r="HA334" s="39"/>
      <c r="HB334" s="39"/>
      <c r="HC334" s="39"/>
      <c r="HD334" s="39"/>
      <c r="HE334" s="39"/>
      <c r="HF334" s="39"/>
      <c r="HG334" s="39"/>
      <c r="HH334" s="39"/>
      <c r="HI334" s="39"/>
      <c r="HJ334" s="39"/>
      <c r="HK334" s="39"/>
      <c r="HL334" s="39"/>
      <c r="HM334" s="39"/>
      <c r="HN334" s="39"/>
      <c r="HO334" s="39"/>
      <c r="HP334" s="39"/>
    </row>
    <row r="335" spans="3:224" s="4" customFormat="1" ht="20.100000000000001" customHeight="1">
      <c r="C335" s="34">
        <v>14110012</v>
      </c>
      <c r="D335" s="34" t="s">
        <v>357</v>
      </c>
      <c r="E335" s="35">
        <v>11200003</v>
      </c>
      <c r="F335" s="35">
        <v>11043</v>
      </c>
      <c r="G335" s="35">
        <v>1</v>
      </c>
      <c r="H335" s="35">
        <v>20</v>
      </c>
      <c r="I335" s="37">
        <v>0.2</v>
      </c>
      <c r="J335" s="38">
        <v>10</v>
      </c>
      <c r="K335" s="25">
        <v>0</v>
      </c>
      <c r="L335" s="35">
        <v>1890</v>
      </c>
      <c r="M335" s="35">
        <f t="shared" si="27"/>
        <v>0</v>
      </c>
      <c r="N335" s="35">
        <v>0</v>
      </c>
      <c r="O335" s="35">
        <v>0</v>
      </c>
      <c r="P335" s="35">
        <v>0</v>
      </c>
      <c r="Q335" s="35">
        <f t="shared" si="28"/>
        <v>24</v>
      </c>
      <c r="R335" s="35">
        <v>48</v>
      </c>
      <c r="S335" s="35">
        <f t="shared" si="29"/>
        <v>24</v>
      </c>
      <c r="T335" s="35">
        <v>48</v>
      </c>
      <c r="U335" s="37">
        <v>0</v>
      </c>
      <c r="V335" s="35">
        <v>0</v>
      </c>
      <c r="W335" s="35">
        <v>0</v>
      </c>
      <c r="X335" s="35">
        <v>0</v>
      </c>
      <c r="Y335" s="37">
        <v>0</v>
      </c>
      <c r="Z335" s="37">
        <v>0</v>
      </c>
      <c r="AA335" s="37">
        <v>0</v>
      </c>
      <c r="AB335" s="37">
        <v>0</v>
      </c>
      <c r="AC335" s="37">
        <v>0</v>
      </c>
      <c r="AD335" s="37">
        <v>0</v>
      </c>
      <c r="AE335" s="37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/>
      <c r="CK335" s="39"/>
      <c r="CL335" s="39"/>
      <c r="CM335" s="39"/>
      <c r="CN335" s="39"/>
      <c r="CO335" s="39"/>
      <c r="CP335" s="39"/>
      <c r="CQ335" s="39"/>
      <c r="CR335" s="39"/>
      <c r="CS335" s="39"/>
      <c r="CT335" s="39"/>
      <c r="CU335" s="39"/>
      <c r="CV335" s="39"/>
      <c r="CW335" s="39"/>
      <c r="CX335" s="39"/>
      <c r="CY335" s="39"/>
      <c r="CZ335" s="39"/>
      <c r="DA335" s="39"/>
      <c r="DB335" s="39"/>
      <c r="DC335" s="39"/>
      <c r="DD335" s="39"/>
      <c r="DE335" s="39"/>
      <c r="DF335" s="39"/>
      <c r="DG335" s="39"/>
      <c r="DH335" s="39"/>
      <c r="DI335" s="39"/>
      <c r="DJ335" s="39"/>
      <c r="DK335" s="39"/>
      <c r="DL335" s="39"/>
      <c r="DM335" s="39"/>
      <c r="DN335" s="39"/>
      <c r="DO335" s="39"/>
      <c r="DP335" s="39"/>
      <c r="DQ335" s="39"/>
      <c r="DR335" s="39"/>
      <c r="DS335" s="39"/>
      <c r="DT335" s="39"/>
      <c r="DU335" s="39"/>
      <c r="DV335" s="39"/>
      <c r="DW335" s="39"/>
      <c r="DX335" s="39"/>
      <c r="DY335" s="39"/>
      <c r="DZ335" s="39"/>
      <c r="EA335" s="39"/>
      <c r="EB335" s="39"/>
      <c r="EC335" s="39"/>
      <c r="ED335" s="39"/>
      <c r="EE335" s="39"/>
      <c r="EF335" s="39"/>
      <c r="EG335" s="39"/>
      <c r="EH335" s="39"/>
      <c r="EI335" s="39"/>
      <c r="EJ335" s="39"/>
      <c r="EK335" s="39"/>
      <c r="EL335" s="39"/>
      <c r="EM335" s="39"/>
      <c r="EN335" s="39"/>
      <c r="EO335" s="39"/>
      <c r="EP335" s="39"/>
      <c r="EQ335" s="39"/>
      <c r="ER335" s="39"/>
      <c r="ES335" s="39"/>
      <c r="ET335" s="39"/>
      <c r="EU335" s="39"/>
      <c r="EV335" s="39"/>
      <c r="EW335" s="39"/>
      <c r="EX335" s="39"/>
      <c r="EY335" s="39"/>
      <c r="EZ335" s="39"/>
      <c r="FA335" s="39"/>
      <c r="FB335" s="39"/>
      <c r="FC335" s="39"/>
      <c r="FD335" s="39"/>
      <c r="FE335" s="39"/>
      <c r="FF335" s="39"/>
      <c r="FG335" s="39"/>
      <c r="FH335" s="39"/>
      <c r="FI335" s="39"/>
      <c r="FJ335" s="39"/>
      <c r="FK335" s="39"/>
      <c r="FL335" s="39"/>
      <c r="FM335" s="39"/>
      <c r="FN335" s="39"/>
      <c r="FO335" s="39"/>
      <c r="FP335" s="39"/>
      <c r="FQ335" s="39"/>
      <c r="FR335" s="39"/>
      <c r="FS335" s="39"/>
      <c r="FT335" s="39"/>
      <c r="FU335" s="39"/>
      <c r="FV335" s="39"/>
      <c r="FW335" s="39"/>
      <c r="FX335" s="39"/>
      <c r="FY335" s="39"/>
      <c r="FZ335" s="39"/>
      <c r="GA335" s="39"/>
      <c r="GB335" s="39"/>
      <c r="GC335" s="39"/>
      <c r="GD335" s="39"/>
      <c r="GE335" s="39"/>
      <c r="GF335" s="39"/>
      <c r="GG335" s="39"/>
      <c r="GH335" s="39"/>
      <c r="GI335" s="39"/>
      <c r="GJ335" s="39"/>
      <c r="GK335" s="39"/>
      <c r="GL335" s="39"/>
      <c r="GM335" s="39"/>
      <c r="GN335" s="39"/>
      <c r="GO335" s="39"/>
      <c r="GP335" s="39"/>
      <c r="GQ335" s="39"/>
      <c r="GR335" s="39"/>
      <c r="GS335" s="39"/>
      <c r="GT335" s="39"/>
      <c r="GU335" s="39"/>
      <c r="GV335" s="39"/>
      <c r="GW335" s="39"/>
      <c r="GX335" s="39"/>
      <c r="GY335" s="39"/>
      <c r="GZ335" s="39"/>
      <c r="HA335" s="39"/>
      <c r="HB335" s="39"/>
      <c r="HC335" s="39"/>
      <c r="HD335" s="39"/>
      <c r="HE335" s="39"/>
      <c r="HF335" s="39"/>
      <c r="HG335" s="39"/>
      <c r="HH335" s="39"/>
      <c r="HI335" s="39"/>
      <c r="HJ335" s="39"/>
      <c r="HK335" s="39"/>
      <c r="HL335" s="39"/>
      <c r="HM335" s="39"/>
      <c r="HN335" s="39"/>
      <c r="HO335" s="39"/>
      <c r="HP335" s="39"/>
    </row>
    <row r="336" spans="3:224" ht="20.100000000000001" customHeight="1">
      <c r="C336" s="24">
        <v>14110021</v>
      </c>
      <c r="D336" s="36" t="s">
        <v>358</v>
      </c>
      <c r="E336" s="25">
        <v>11200003</v>
      </c>
      <c r="F336" s="25">
        <v>11041</v>
      </c>
      <c r="G336" s="25">
        <v>1</v>
      </c>
      <c r="H336" s="25">
        <v>20</v>
      </c>
      <c r="I336" s="29">
        <v>0.2</v>
      </c>
      <c r="J336" s="30">
        <v>10</v>
      </c>
      <c r="K336" s="25">
        <v>0</v>
      </c>
      <c r="L336" s="25">
        <v>2050</v>
      </c>
      <c r="M336" s="25">
        <f t="shared" si="27"/>
        <v>0</v>
      </c>
      <c r="N336" s="25">
        <v>0</v>
      </c>
      <c r="O336" s="25">
        <v>0</v>
      </c>
      <c r="P336" s="25">
        <v>0</v>
      </c>
      <c r="Q336" s="25">
        <v>25</v>
      </c>
      <c r="R336" s="25">
        <v>49</v>
      </c>
      <c r="S336" s="25">
        <v>25</v>
      </c>
      <c r="T336" s="25">
        <v>49</v>
      </c>
      <c r="U336" s="29">
        <v>0</v>
      </c>
      <c r="V336" s="25">
        <v>0</v>
      </c>
      <c r="W336" s="25">
        <v>0</v>
      </c>
      <c r="X336" s="25">
        <v>0</v>
      </c>
      <c r="Y336" s="29">
        <v>0</v>
      </c>
      <c r="Z336" s="29">
        <v>0</v>
      </c>
      <c r="AA336" s="29">
        <v>0</v>
      </c>
      <c r="AB336" s="29">
        <v>204603</v>
      </c>
      <c r="AC336" s="29">
        <v>500</v>
      </c>
      <c r="AD336" s="29">
        <v>1</v>
      </c>
      <c r="AE336" s="29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/>
      <c r="HK336" s="5"/>
      <c r="HL336" s="5"/>
      <c r="HM336" s="5"/>
      <c r="HN336" s="5"/>
      <c r="HO336" s="5"/>
      <c r="HP336" s="5"/>
    </row>
    <row r="337" spans="3:224" ht="20.100000000000001" customHeight="1">
      <c r="C337" s="24">
        <v>14110022</v>
      </c>
      <c r="D337" s="36" t="s">
        <v>359</v>
      </c>
      <c r="E337" s="25">
        <v>11200003</v>
      </c>
      <c r="F337" s="25">
        <v>11042</v>
      </c>
      <c r="G337" s="25">
        <v>1</v>
      </c>
      <c r="H337" s="25">
        <v>20</v>
      </c>
      <c r="I337" s="29">
        <v>0.2</v>
      </c>
      <c r="J337" s="30">
        <v>10</v>
      </c>
      <c r="K337" s="25">
        <v>0</v>
      </c>
      <c r="L337" s="25">
        <v>1030</v>
      </c>
      <c r="M337" s="25">
        <f t="shared" si="27"/>
        <v>0</v>
      </c>
      <c r="N337" s="25">
        <v>0</v>
      </c>
      <c r="O337" s="25">
        <v>0</v>
      </c>
      <c r="P337" s="25">
        <v>0</v>
      </c>
      <c r="Q337" s="25">
        <v>20</v>
      </c>
      <c r="R337" s="25">
        <v>38</v>
      </c>
      <c r="S337" s="25">
        <v>20</v>
      </c>
      <c r="T337" s="25">
        <v>38</v>
      </c>
      <c r="U337" s="29">
        <v>0</v>
      </c>
      <c r="V337" s="25">
        <v>0</v>
      </c>
      <c r="W337" s="25">
        <v>0</v>
      </c>
      <c r="X337" s="25">
        <v>0</v>
      </c>
      <c r="Y337" s="29">
        <v>0</v>
      </c>
      <c r="Z337" s="29">
        <v>0</v>
      </c>
      <c r="AA337" s="29">
        <v>0</v>
      </c>
      <c r="AB337" s="29">
        <v>204903</v>
      </c>
      <c r="AC337" s="29">
        <v>500</v>
      </c>
      <c r="AD337" s="29">
        <v>1</v>
      </c>
      <c r="AE337" s="29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  <c r="HP337" s="5"/>
    </row>
    <row r="338" spans="3:224" ht="20.100000000000001" customHeight="1">
      <c r="C338" s="24">
        <v>14110023</v>
      </c>
      <c r="D338" s="36" t="s">
        <v>360</v>
      </c>
      <c r="E338" s="25">
        <v>11200003</v>
      </c>
      <c r="F338" s="25">
        <v>11043</v>
      </c>
      <c r="G338" s="25">
        <v>1</v>
      </c>
      <c r="H338" s="25">
        <v>20</v>
      </c>
      <c r="I338" s="29">
        <v>0.2</v>
      </c>
      <c r="J338" s="30">
        <v>10</v>
      </c>
      <c r="K338" s="25">
        <v>0</v>
      </c>
      <c r="L338" s="25">
        <v>3080</v>
      </c>
      <c r="M338" s="25">
        <f t="shared" si="27"/>
        <v>0</v>
      </c>
      <c r="N338" s="25">
        <v>0</v>
      </c>
      <c r="O338" s="25">
        <v>0</v>
      </c>
      <c r="P338" s="25">
        <v>0</v>
      </c>
      <c r="Q338" s="25">
        <v>31</v>
      </c>
      <c r="R338" s="25">
        <v>62</v>
      </c>
      <c r="S338" s="25">
        <v>31</v>
      </c>
      <c r="T338" s="25">
        <v>62</v>
      </c>
      <c r="U338" s="29">
        <v>0</v>
      </c>
      <c r="V338" s="25">
        <v>0</v>
      </c>
      <c r="W338" s="25">
        <v>0</v>
      </c>
      <c r="X338" s="25">
        <v>0</v>
      </c>
      <c r="Y338" s="29">
        <v>0</v>
      </c>
      <c r="Z338" s="29">
        <v>0</v>
      </c>
      <c r="AA338" s="29">
        <v>0</v>
      </c>
      <c r="AB338" s="29">
        <v>100202</v>
      </c>
      <c r="AC338" s="29">
        <v>500</v>
      </c>
      <c r="AD338" s="29">
        <v>1</v>
      </c>
      <c r="AE338" s="29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5"/>
      <c r="HP338" s="5"/>
    </row>
    <row r="339" spans="3:224" ht="20.100000000000001" customHeight="1">
      <c r="C339" s="24">
        <v>15201001</v>
      </c>
      <c r="D339" s="25" t="s">
        <v>361</v>
      </c>
      <c r="E339" s="25">
        <v>11200003</v>
      </c>
      <c r="F339" s="25">
        <v>0</v>
      </c>
      <c r="G339" s="25">
        <v>1</v>
      </c>
      <c r="H339" s="25">
        <v>30</v>
      </c>
      <c r="I339" s="29">
        <v>0.2</v>
      </c>
      <c r="J339" s="30">
        <v>10</v>
      </c>
      <c r="K339" s="25">
        <v>0</v>
      </c>
      <c r="L339" s="25">
        <v>0</v>
      </c>
      <c r="M339" s="25">
        <f t="shared" si="27"/>
        <v>15</v>
      </c>
      <c r="N339" s="25">
        <v>30</v>
      </c>
      <c r="O339" s="25">
        <v>0</v>
      </c>
      <c r="P339" s="25">
        <v>0</v>
      </c>
      <c r="Q339" s="25">
        <f t="shared" si="28"/>
        <v>9</v>
      </c>
      <c r="R339" s="25">
        <v>18</v>
      </c>
      <c r="S339" s="25">
        <f t="shared" si="29"/>
        <v>9</v>
      </c>
      <c r="T339" s="25">
        <v>18</v>
      </c>
      <c r="U339" s="29">
        <v>0</v>
      </c>
      <c r="V339" s="25">
        <v>0</v>
      </c>
      <c r="W339" s="25">
        <v>0</v>
      </c>
      <c r="X339" s="25">
        <v>0</v>
      </c>
      <c r="Y339" s="29">
        <v>0</v>
      </c>
      <c r="Z339" s="29">
        <v>0</v>
      </c>
      <c r="AA339" s="29">
        <v>0</v>
      </c>
      <c r="AB339" s="29">
        <v>0</v>
      </c>
      <c r="AC339" s="29">
        <v>0</v>
      </c>
      <c r="AD339" s="29">
        <v>0</v>
      </c>
      <c r="AE339" s="29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  <c r="HP339" s="5"/>
    </row>
    <row r="340" spans="3:224" ht="20.100000000000001" customHeight="1">
      <c r="C340" s="24">
        <v>15201002</v>
      </c>
      <c r="D340" s="25" t="s">
        <v>362</v>
      </c>
      <c r="E340" s="25">
        <v>11200003</v>
      </c>
      <c r="F340" s="25">
        <v>12011</v>
      </c>
      <c r="G340" s="25">
        <v>1</v>
      </c>
      <c r="H340" s="25">
        <v>30</v>
      </c>
      <c r="I340" s="29">
        <v>0.2</v>
      </c>
      <c r="J340" s="30">
        <v>10</v>
      </c>
      <c r="K340" s="25">
        <v>0</v>
      </c>
      <c r="L340" s="25">
        <v>0</v>
      </c>
      <c r="M340" s="25">
        <f t="shared" si="27"/>
        <v>19</v>
      </c>
      <c r="N340" s="25">
        <v>38</v>
      </c>
      <c r="O340" s="25">
        <v>0</v>
      </c>
      <c r="P340" s="25">
        <v>0</v>
      </c>
      <c r="Q340" s="25">
        <f t="shared" si="28"/>
        <v>12</v>
      </c>
      <c r="R340" s="25">
        <v>23</v>
      </c>
      <c r="S340" s="25">
        <f t="shared" si="29"/>
        <v>12</v>
      </c>
      <c r="T340" s="25">
        <v>23</v>
      </c>
      <c r="U340" s="29">
        <v>0</v>
      </c>
      <c r="V340" s="25">
        <v>0</v>
      </c>
      <c r="W340" s="25">
        <v>0</v>
      </c>
      <c r="X340" s="25">
        <v>0</v>
      </c>
      <c r="Y340" s="29">
        <v>0</v>
      </c>
      <c r="Z340" s="29">
        <v>0</v>
      </c>
      <c r="AA340" s="29">
        <v>0</v>
      </c>
      <c r="AB340" s="29">
        <v>0</v>
      </c>
      <c r="AC340" s="29">
        <v>0</v>
      </c>
      <c r="AD340" s="29">
        <v>0</v>
      </c>
      <c r="AE340" s="29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  <c r="HP340" s="5"/>
    </row>
    <row r="341" spans="3:224" ht="20.100000000000001" customHeight="1">
      <c r="C341" s="24">
        <v>15201003</v>
      </c>
      <c r="D341" s="25" t="s">
        <v>363</v>
      </c>
      <c r="E341" s="25">
        <v>11200003</v>
      </c>
      <c r="F341" s="25">
        <v>0</v>
      </c>
      <c r="G341" s="25">
        <v>1</v>
      </c>
      <c r="H341" s="25">
        <v>30</v>
      </c>
      <c r="I341" s="29">
        <v>0.2</v>
      </c>
      <c r="J341" s="30">
        <v>10</v>
      </c>
      <c r="K341" s="25">
        <v>0</v>
      </c>
      <c r="L341" s="25">
        <v>0</v>
      </c>
      <c r="M341" s="25">
        <f t="shared" si="27"/>
        <v>21</v>
      </c>
      <c r="N341" s="25">
        <v>41</v>
      </c>
      <c r="O341" s="25">
        <v>0</v>
      </c>
      <c r="P341" s="25">
        <v>0</v>
      </c>
      <c r="Q341" s="25">
        <f t="shared" si="28"/>
        <v>7</v>
      </c>
      <c r="R341" s="25">
        <v>14</v>
      </c>
      <c r="S341" s="25">
        <f t="shared" si="29"/>
        <v>7</v>
      </c>
      <c r="T341" s="25">
        <v>14</v>
      </c>
      <c r="U341" s="29">
        <v>0</v>
      </c>
      <c r="V341" s="25">
        <v>0</v>
      </c>
      <c r="W341" s="25">
        <v>0</v>
      </c>
      <c r="X341" s="25">
        <v>0</v>
      </c>
      <c r="Y341" s="29">
        <v>0</v>
      </c>
      <c r="Z341" s="29">
        <v>0</v>
      </c>
      <c r="AA341" s="29">
        <v>0</v>
      </c>
      <c r="AB341" s="29">
        <v>0</v>
      </c>
      <c r="AC341" s="29">
        <v>0</v>
      </c>
      <c r="AD341" s="29">
        <v>0</v>
      </c>
      <c r="AE341" s="29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5"/>
      <c r="HP341" s="5"/>
    </row>
    <row r="342" spans="3:224" ht="20.100000000000001" customHeight="1">
      <c r="C342" s="24">
        <v>15201004</v>
      </c>
      <c r="D342" s="25" t="s">
        <v>364</v>
      </c>
      <c r="E342" s="25">
        <v>11200003</v>
      </c>
      <c r="F342" s="25">
        <v>12021</v>
      </c>
      <c r="G342" s="25">
        <v>1</v>
      </c>
      <c r="H342" s="25">
        <v>30</v>
      </c>
      <c r="I342" s="29">
        <v>0.2</v>
      </c>
      <c r="J342" s="30">
        <v>10</v>
      </c>
      <c r="K342" s="25">
        <v>0</v>
      </c>
      <c r="L342" s="25">
        <v>0</v>
      </c>
      <c r="M342" s="25">
        <f t="shared" si="27"/>
        <v>26</v>
      </c>
      <c r="N342" s="25">
        <v>51</v>
      </c>
      <c r="O342" s="25">
        <v>0</v>
      </c>
      <c r="P342" s="25">
        <v>0</v>
      </c>
      <c r="Q342" s="25">
        <f t="shared" si="28"/>
        <v>9</v>
      </c>
      <c r="R342" s="25">
        <v>17</v>
      </c>
      <c r="S342" s="25">
        <f t="shared" si="29"/>
        <v>9</v>
      </c>
      <c r="T342" s="25">
        <v>17</v>
      </c>
      <c r="U342" s="29">
        <v>0</v>
      </c>
      <c r="V342" s="25">
        <v>0</v>
      </c>
      <c r="W342" s="25">
        <v>0</v>
      </c>
      <c r="X342" s="25">
        <v>0</v>
      </c>
      <c r="Y342" s="29">
        <v>0</v>
      </c>
      <c r="Z342" s="29">
        <v>0</v>
      </c>
      <c r="AA342" s="29">
        <v>0</v>
      </c>
      <c r="AB342" s="29">
        <v>0</v>
      </c>
      <c r="AC342" s="29">
        <v>0</v>
      </c>
      <c r="AD342" s="29">
        <v>0</v>
      </c>
      <c r="AE342" s="29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5"/>
      <c r="HP342" s="5"/>
    </row>
    <row r="343" spans="3:224" ht="20.100000000000001" customHeight="1">
      <c r="C343" s="24">
        <v>15201005</v>
      </c>
      <c r="D343" s="25" t="s">
        <v>365</v>
      </c>
      <c r="E343" s="25">
        <v>11200003</v>
      </c>
      <c r="F343" s="25">
        <v>0</v>
      </c>
      <c r="G343" s="25">
        <v>1</v>
      </c>
      <c r="H343" s="25">
        <v>30</v>
      </c>
      <c r="I343" s="29">
        <v>0.2</v>
      </c>
      <c r="J343" s="30">
        <v>10</v>
      </c>
      <c r="K343" s="25">
        <v>0</v>
      </c>
      <c r="L343" s="25">
        <v>0</v>
      </c>
      <c r="M343" s="25">
        <f t="shared" si="27"/>
        <v>12</v>
      </c>
      <c r="N343" s="25">
        <v>23</v>
      </c>
      <c r="O343" s="25">
        <v>0</v>
      </c>
      <c r="P343" s="25">
        <v>0</v>
      </c>
      <c r="Q343" s="25">
        <f t="shared" si="28"/>
        <v>12</v>
      </c>
      <c r="R343" s="25">
        <v>23</v>
      </c>
      <c r="S343" s="25">
        <f t="shared" si="29"/>
        <v>12</v>
      </c>
      <c r="T343" s="25">
        <v>23</v>
      </c>
      <c r="U343" s="29">
        <v>0</v>
      </c>
      <c r="V343" s="25">
        <v>0</v>
      </c>
      <c r="W343" s="25">
        <v>0</v>
      </c>
      <c r="X343" s="25">
        <v>0</v>
      </c>
      <c r="Y343" s="29">
        <v>0</v>
      </c>
      <c r="Z343" s="29">
        <v>0</v>
      </c>
      <c r="AA343" s="29">
        <v>0</v>
      </c>
      <c r="AB343" s="29">
        <v>0</v>
      </c>
      <c r="AC343" s="29">
        <v>0</v>
      </c>
      <c r="AD343" s="29">
        <v>0</v>
      </c>
      <c r="AE343" s="29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5"/>
      <c r="HP343" s="5"/>
    </row>
    <row r="344" spans="3:224" ht="20.100000000000001" customHeight="1">
      <c r="C344" s="24">
        <v>15201006</v>
      </c>
      <c r="D344" s="25" t="s">
        <v>366</v>
      </c>
      <c r="E344" s="25">
        <v>11200003</v>
      </c>
      <c r="F344" s="25">
        <v>12031</v>
      </c>
      <c r="G344" s="25">
        <v>1</v>
      </c>
      <c r="H344" s="25">
        <v>30</v>
      </c>
      <c r="I344" s="29">
        <v>0.2</v>
      </c>
      <c r="J344" s="30">
        <v>10</v>
      </c>
      <c r="K344" s="25">
        <v>0</v>
      </c>
      <c r="L344" s="25">
        <v>0</v>
      </c>
      <c r="M344" s="25">
        <f t="shared" si="27"/>
        <v>15</v>
      </c>
      <c r="N344" s="25">
        <v>29</v>
      </c>
      <c r="O344" s="25">
        <v>0</v>
      </c>
      <c r="P344" s="25">
        <v>0</v>
      </c>
      <c r="Q344" s="25">
        <f t="shared" si="28"/>
        <v>15</v>
      </c>
      <c r="R344" s="25">
        <v>29</v>
      </c>
      <c r="S344" s="25">
        <f t="shared" si="29"/>
        <v>15</v>
      </c>
      <c r="T344" s="25">
        <v>29</v>
      </c>
      <c r="U344" s="29">
        <v>0</v>
      </c>
      <c r="V344" s="25">
        <v>0</v>
      </c>
      <c r="W344" s="25">
        <v>0</v>
      </c>
      <c r="X344" s="25">
        <v>0</v>
      </c>
      <c r="Y344" s="29">
        <v>0</v>
      </c>
      <c r="Z344" s="29">
        <v>0</v>
      </c>
      <c r="AA344" s="29">
        <v>0</v>
      </c>
      <c r="AB344" s="29">
        <v>0</v>
      </c>
      <c r="AC344" s="29">
        <v>0</v>
      </c>
      <c r="AD344" s="29">
        <v>0</v>
      </c>
      <c r="AE344" s="29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5"/>
      <c r="HP344" s="5"/>
    </row>
    <row r="345" spans="3:224" ht="20.100000000000001" customHeight="1">
      <c r="C345" s="24">
        <v>15202001</v>
      </c>
      <c r="D345" s="25" t="s">
        <v>367</v>
      </c>
      <c r="E345" s="25">
        <v>11200003</v>
      </c>
      <c r="F345" s="25">
        <v>0</v>
      </c>
      <c r="G345" s="25">
        <v>1</v>
      </c>
      <c r="H345" s="25">
        <v>30</v>
      </c>
      <c r="I345" s="29">
        <v>0.2</v>
      </c>
      <c r="J345" s="30">
        <v>10</v>
      </c>
      <c r="K345" s="25">
        <v>0</v>
      </c>
      <c r="L345" s="25">
        <v>0</v>
      </c>
      <c r="M345" s="25">
        <f t="shared" si="27"/>
        <v>20</v>
      </c>
      <c r="N345" s="25">
        <v>40</v>
      </c>
      <c r="O345" s="25">
        <v>0</v>
      </c>
      <c r="P345" s="25">
        <v>0</v>
      </c>
      <c r="Q345" s="25">
        <f t="shared" si="28"/>
        <v>0</v>
      </c>
      <c r="R345" s="25">
        <v>0</v>
      </c>
      <c r="S345" s="25">
        <f t="shared" si="29"/>
        <v>28</v>
      </c>
      <c r="T345" s="25">
        <v>55</v>
      </c>
      <c r="U345" s="29">
        <v>0</v>
      </c>
      <c r="V345" s="25">
        <v>0</v>
      </c>
      <c r="W345" s="25">
        <v>0</v>
      </c>
      <c r="X345" s="25">
        <v>0</v>
      </c>
      <c r="Y345" s="29">
        <v>0</v>
      </c>
      <c r="Z345" s="29">
        <v>0</v>
      </c>
      <c r="AA345" s="29">
        <v>0</v>
      </c>
      <c r="AB345" s="29">
        <v>0</v>
      </c>
      <c r="AC345" s="29">
        <v>0</v>
      </c>
      <c r="AD345" s="29">
        <v>0</v>
      </c>
      <c r="AE345" s="29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  <c r="HP345" s="5"/>
    </row>
    <row r="346" spans="3:224" ht="20.100000000000001" customHeight="1">
      <c r="C346" s="24">
        <v>15202002</v>
      </c>
      <c r="D346" s="25" t="s">
        <v>368</v>
      </c>
      <c r="E346" s="25">
        <v>11200003</v>
      </c>
      <c r="F346" s="25">
        <v>12011</v>
      </c>
      <c r="G346" s="25">
        <v>1</v>
      </c>
      <c r="H346" s="25">
        <v>30</v>
      </c>
      <c r="I346" s="29">
        <v>0.2</v>
      </c>
      <c r="J346" s="30">
        <v>10</v>
      </c>
      <c r="K346" s="25">
        <v>0</v>
      </c>
      <c r="L346" s="25">
        <v>0</v>
      </c>
      <c r="M346" s="25">
        <f t="shared" si="27"/>
        <v>25</v>
      </c>
      <c r="N346" s="25">
        <v>49</v>
      </c>
      <c r="O346" s="25">
        <v>0</v>
      </c>
      <c r="P346" s="25">
        <v>0</v>
      </c>
      <c r="Q346" s="25">
        <f t="shared" si="28"/>
        <v>0</v>
      </c>
      <c r="R346" s="25">
        <v>0</v>
      </c>
      <c r="S346" s="25">
        <f t="shared" si="29"/>
        <v>34</v>
      </c>
      <c r="T346" s="25">
        <v>68</v>
      </c>
      <c r="U346" s="29">
        <v>0</v>
      </c>
      <c r="V346" s="25">
        <v>0</v>
      </c>
      <c r="W346" s="25">
        <v>0</v>
      </c>
      <c r="X346" s="25">
        <v>0</v>
      </c>
      <c r="Y346" s="29">
        <v>0</v>
      </c>
      <c r="Z346" s="29">
        <v>0</v>
      </c>
      <c r="AA346" s="29">
        <v>0</v>
      </c>
      <c r="AB346" s="29">
        <v>0</v>
      </c>
      <c r="AC346" s="29">
        <v>0</v>
      </c>
      <c r="AD346" s="29">
        <v>0</v>
      </c>
      <c r="AE346" s="29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/>
      <c r="HK346" s="5"/>
      <c r="HL346" s="5"/>
      <c r="HM346" s="5"/>
      <c r="HN346" s="5"/>
      <c r="HO346" s="5"/>
      <c r="HP346" s="5"/>
    </row>
    <row r="347" spans="3:224" ht="20.100000000000001" customHeight="1">
      <c r="C347" s="24">
        <v>15202003</v>
      </c>
      <c r="D347" s="25" t="s">
        <v>369</v>
      </c>
      <c r="E347" s="25">
        <v>11200003</v>
      </c>
      <c r="F347" s="25">
        <v>0</v>
      </c>
      <c r="G347" s="25">
        <v>1</v>
      </c>
      <c r="H347" s="25">
        <v>30</v>
      </c>
      <c r="I347" s="29">
        <v>0.2</v>
      </c>
      <c r="J347" s="30">
        <v>10</v>
      </c>
      <c r="K347" s="25">
        <v>0</v>
      </c>
      <c r="L347" s="25">
        <v>0</v>
      </c>
      <c r="M347" s="25">
        <f t="shared" si="27"/>
        <v>27</v>
      </c>
      <c r="N347" s="25">
        <v>54</v>
      </c>
      <c r="O347" s="25">
        <v>0</v>
      </c>
      <c r="P347" s="25">
        <v>0</v>
      </c>
      <c r="Q347" s="25">
        <f t="shared" si="28"/>
        <v>0</v>
      </c>
      <c r="R347" s="25">
        <v>0</v>
      </c>
      <c r="S347" s="25">
        <f t="shared" si="29"/>
        <v>21</v>
      </c>
      <c r="T347" s="25">
        <v>41</v>
      </c>
      <c r="U347" s="29">
        <v>0</v>
      </c>
      <c r="V347" s="25">
        <v>0</v>
      </c>
      <c r="W347" s="25">
        <v>0</v>
      </c>
      <c r="X347" s="25">
        <v>0</v>
      </c>
      <c r="Y347" s="29">
        <v>0</v>
      </c>
      <c r="Z347" s="29">
        <v>0</v>
      </c>
      <c r="AA347" s="29">
        <v>0</v>
      </c>
      <c r="AB347" s="29">
        <v>0</v>
      </c>
      <c r="AC347" s="29">
        <v>0</v>
      </c>
      <c r="AD347" s="29">
        <v>0</v>
      </c>
      <c r="AE347" s="29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5"/>
      <c r="HP347" s="5"/>
    </row>
    <row r="348" spans="3:224" ht="20.100000000000001" customHeight="1">
      <c r="C348" s="24">
        <v>15202004</v>
      </c>
      <c r="D348" s="25" t="s">
        <v>370</v>
      </c>
      <c r="E348" s="25">
        <v>11200003</v>
      </c>
      <c r="F348" s="25">
        <v>12021</v>
      </c>
      <c r="G348" s="25">
        <v>1</v>
      </c>
      <c r="H348" s="25">
        <v>30</v>
      </c>
      <c r="I348" s="29">
        <v>0.2</v>
      </c>
      <c r="J348" s="30">
        <v>10</v>
      </c>
      <c r="K348" s="25">
        <v>0</v>
      </c>
      <c r="L348" s="25">
        <v>0</v>
      </c>
      <c r="M348" s="25">
        <f t="shared" si="27"/>
        <v>33</v>
      </c>
      <c r="N348" s="25">
        <v>66</v>
      </c>
      <c r="O348" s="25">
        <v>0</v>
      </c>
      <c r="P348" s="25">
        <v>0</v>
      </c>
      <c r="Q348" s="25">
        <f t="shared" si="28"/>
        <v>0</v>
      </c>
      <c r="R348" s="25">
        <v>0</v>
      </c>
      <c r="S348" s="25">
        <f t="shared" si="29"/>
        <v>26</v>
      </c>
      <c r="T348" s="25">
        <v>51</v>
      </c>
      <c r="U348" s="29">
        <v>0</v>
      </c>
      <c r="V348" s="25">
        <v>0</v>
      </c>
      <c r="W348" s="25">
        <v>0</v>
      </c>
      <c r="X348" s="25">
        <v>0</v>
      </c>
      <c r="Y348" s="29">
        <v>0</v>
      </c>
      <c r="Z348" s="29">
        <v>0</v>
      </c>
      <c r="AA348" s="29">
        <v>0</v>
      </c>
      <c r="AB348" s="29">
        <v>0</v>
      </c>
      <c r="AC348" s="29">
        <v>0</v>
      </c>
      <c r="AD348" s="29">
        <v>0</v>
      </c>
      <c r="AE348" s="29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  <c r="HM348" s="5"/>
      <c r="HN348" s="5"/>
      <c r="HO348" s="5"/>
      <c r="HP348" s="5"/>
    </row>
    <row r="349" spans="3:224" ht="20.100000000000001" customHeight="1">
      <c r="C349" s="24">
        <v>15202005</v>
      </c>
      <c r="D349" s="25" t="s">
        <v>371</v>
      </c>
      <c r="E349" s="25">
        <v>11200003</v>
      </c>
      <c r="F349" s="25">
        <v>0</v>
      </c>
      <c r="G349" s="25">
        <v>1</v>
      </c>
      <c r="H349" s="25">
        <v>30</v>
      </c>
      <c r="I349" s="29">
        <v>0.2</v>
      </c>
      <c r="J349" s="30">
        <v>10</v>
      </c>
      <c r="K349" s="25">
        <v>0</v>
      </c>
      <c r="L349" s="25">
        <v>0</v>
      </c>
      <c r="M349" s="25">
        <f t="shared" si="27"/>
        <v>15</v>
      </c>
      <c r="N349" s="25">
        <v>30</v>
      </c>
      <c r="O349" s="25">
        <v>0</v>
      </c>
      <c r="P349" s="25">
        <v>0</v>
      </c>
      <c r="Q349" s="25">
        <f t="shared" si="28"/>
        <v>0</v>
      </c>
      <c r="R349" s="25">
        <v>0</v>
      </c>
      <c r="S349" s="25">
        <f t="shared" si="29"/>
        <v>35</v>
      </c>
      <c r="T349" s="25">
        <v>69</v>
      </c>
      <c r="U349" s="29">
        <v>0</v>
      </c>
      <c r="V349" s="25">
        <v>0</v>
      </c>
      <c r="W349" s="25">
        <v>0</v>
      </c>
      <c r="X349" s="25">
        <v>0</v>
      </c>
      <c r="Y349" s="29">
        <v>0</v>
      </c>
      <c r="Z349" s="29">
        <v>0</v>
      </c>
      <c r="AA349" s="29">
        <v>0</v>
      </c>
      <c r="AB349" s="29">
        <v>0</v>
      </c>
      <c r="AC349" s="29">
        <v>0</v>
      </c>
      <c r="AD349" s="29">
        <v>0</v>
      </c>
      <c r="AE349" s="29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  <c r="HJ349" s="5"/>
      <c r="HK349" s="5"/>
      <c r="HL349" s="5"/>
      <c r="HM349" s="5"/>
      <c r="HN349" s="5"/>
      <c r="HO349" s="5"/>
      <c r="HP349" s="5"/>
    </row>
    <row r="350" spans="3:224" ht="20.100000000000001" customHeight="1">
      <c r="C350" s="24">
        <v>15202006</v>
      </c>
      <c r="D350" s="25" t="s">
        <v>372</v>
      </c>
      <c r="E350" s="25">
        <v>11200003</v>
      </c>
      <c r="F350" s="25">
        <v>12031</v>
      </c>
      <c r="G350" s="25">
        <v>1</v>
      </c>
      <c r="H350" s="25">
        <v>30</v>
      </c>
      <c r="I350" s="29">
        <v>0.2</v>
      </c>
      <c r="J350" s="30">
        <v>10</v>
      </c>
      <c r="K350" s="25">
        <v>0</v>
      </c>
      <c r="L350" s="25">
        <v>0</v>
      </c>
      <c r="M350" s="25">
        <f t="shared" si="27"/>
        <v>19</v>
      </c>
      <c r="N350" s="25">
        <v>37</v>
      </c>
      <c r="O350" s="25">
        <v>0</v>
      </c>
      <c r="P350" s="25">
        <v>0</v>
      </c>
      <c r="Q350" s="25">
        <f t="shared" si="28"/>
        <v>0</v>
      </c>
      <c r="R350" s="25">
        <v>0</v>
      </c>
      <c r="S350" s="25">
        <f t="shared" si="29"/>
        <v>43</v>
      </c>
      <c r="T350" s="25">
        <v>85</v>
      </c>
      <c r="U350" s="29">
        <v>0</v>
      </c>
      <c r="V350" s="25">
        <v>0</v>
      </c>
      <c r="W350" s="25">
        <v>0</v>
      </c>
      <c r="X350" s="25">
        <v>0</v>
      </c>
      <c r="Y350" s="29">
        <v>0</v>
      </c>
      <c r="Z350" s="29">
        <v>0</v>
      </c>
      <c r="AA350" s="29">
        <v>0</v>
      </c>
      <c r="AB350" s="29">
        <v>0</v>
      </c>
      <c r="AC350" s="29">
        <v>0</v>
      </c>
      <c r="AD350" s="29">
        <v>0</v>
      </c>
      <c r="AE350" s="29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5"/>
      <c r="HP350" s="5"/>
    </row>
    <row r="351" spans="3:224" ht="20.100000000000001" customHeight="1">
      <c r="C351" s="24">
        <v>15203001</v>
      </c>
      <c r="D351" s="25" t="s">
        <v>373</v>
      </c>
      <c r="E351" s="25">
        <v>11200003</v>
      </c>
      <c r="F351" s="25">
        <v>0</v>
      </c>
      <c r="G351" s="25">
        <v>1</v>
      </c>
      <c r="H351" s="25">
        <v>30</v>
      </c>
      <c r="I351" s="29">
        <v>0.2</v>
      </c>
      <c r="J351" s="30">
        <v>10</v>
      </c>
      <c r="K351" s="25">
        <v>0</v>
      </c>
      <c r="L351" s="25">
        <v>650</v>
      </c>
      <c r="M351" s="25">
        <f t="shared" si="27"/>
        <v>11</v>
      </c>
      <c r="N351" s="25">
        <v>22</v>
      </c>
      <c r="O351" s="25">
        <v>0</v>
      </c>
      <c r="P351" s="25">
        <v>0</v>
      </c>
      <c r="Q351" s="25">
        <f t="shared" si="28"/>
        <v>18</v>
      </c>
      <c r="R351" s="25">
        <v>35</v>
      </c>
      <c r="S351" s="25">
        <f t="shared" si="29"/>
        <v>0</v>
      </c>
      <c r="T351" s="25">
        <v>0</v>
      </c>
      <c r="U351" s="29">
        <v>0</v>
      </c>
      <c r="V351" s="25">
        <v>0</v>
      </c>
      <c r="W351" s="25">
        <v>0</v>
      </c>
      <c r="X351" s="25">
        <v>0</v>
      </c>
      <c r="Y351" s="29">
        <v>0</v>
      </c>
      <c r="Z351" s="29">
        <v>0</v>
      </c>
      <c r="AA351" s="29">
        <v>0</v>
      </c>
      <c r="AB351" s="29">
        <v>0</v>
      </c>
      <c r="AC351" s="29">
        <v>0</v>
      </c>
      <c r="AD351" s="29">
        <v>0</v>
      </c>
      <c r="AE351" s="29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5"/>
      <c r="HP351" s="5"/>
    </row>
    <row r="352" spans="3:224" ht="20.100000000000001" customHeight="1">
      <c r="C352" s="24">
        <v>15203002</v>
      </c>
      <c r="D352" s="25" t="s">
        <v>374</v>
      </c>
      <c r="E352" s="25">
        <v>11200003</v>
      </c>
      <c r="F352" s="25">
        <v>12011</v>
      </c>
      <c r="G352" s="25">
        <v>1</v>
      </c>
      <c r="H352" s="25">
        <v>30</v>
      </c>
      <c r="I352" s="29">
        <v>0.2</v>
      </c>
      <c r="J352" s="30">
        <v>10</v>
      </c>
      <c r="K352" s="25">
        <v>0</v>
      </c>
      <c r="L352" s="25">
        <v>780</v>
      </c>
      <c r="M352" s="25">
        <f t="shared" si="27"/>
        <v>13</v>
      </c>
      <c r="N352" s="25">
        <v>26</v>
      </c>
      <c r="O352" s="25">
        <v>0</v>
      </c>
      <c r="P352" s="25">
        <v>0</v>
      </c>
      <c r="Q352" s="25">
        <f t="shared" si="28"/>
        <v>23</v>
      </c>
      <c r="R352" s="25">
        <v>45</v>
      </c>
      <c r="S352" s="25">
        <f t="shared" si="29"/>
        <v>0</v>
      </c>
      <c r="T352" s="25">
        <v>0</v>
      </c>
      <c r="U352" s="29">
        <v>0</v>
      </c>
      <c r="V352" s="25">
        <v>0</v>
      </c>
      <c r="W352" s="25">
        <v>0</v>
      </c>
      <c r="X352" s="25">
        <v>0</v>
      </c>
      <c r="Y352" s="29">
        <v>0</v>
      </c>
      <c r="Z352" s="29">
        <v>0</v>
      </c>
      <c r="AA352" s="29">
        <v>0</v>
      </c>
      <c r="AB352" s="29">
        <v>0</v>
      </c>
      <c r="AC352" s="29">
        <v>0</v>
      </c>
      <c r="AD352" s="29">
        <v>0</v>
      </c>
      <c r="AE352" s="29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/>
      <c r="HK352" s="5"/>
      <c r="HL352" s="5"/>
      <c r="HM352" s="5"/>
      <c r="HN352" s="5"/>
      <c r="HO352" s="5"/>
      <c r="HP352" s="5"/>
    </row>
    <row r="353" spans="3:224" ht="20.100000000000001" customHeight="1">
      <c r="C353" s="24">
        <v>15203003</v>
      </c>
      <c r="D353" s="25" t="s">
        <v>375</v>
      </c>
      <c r="E353" s="25">
        <v>11200003</v>
      </c>
      <c r="F353" s="25">
        <v>0</v>
      </c>
      <c r="G353" s="25">
        <v>1</v>
      </c>
      <c r="H353" s="25">
        <v>30</v>
      </c>
      <c r="I353" s="29">
        <v>0.2</v>
      </c>
      <c r="J353" s="30">
        <v>10</v>
      </c>
      <c r="K353" s="25">
        <v>0</v>
      </c>
      <c r="L353" s="25">
        <v>330</v>
      </c>
      <c r="M353" s="25">
        <f t="shared" si="27"/>
        <v>15</v>
      </c>
      <c r="N353" s="25">
        <v>30</v>
      </c>
      <c r="O353" s="25">
        <v>0</v>
      </c>
      <c r="P353" s="25">
        <v>0</v>
      </c>
      <c r="Q353" s="25">
        <f t="shared" si="28"/>
        <v>13</v>
      </c>
      <c r="R353" s="25">
        <v>26</v>
      </c>
      <c r="S353" s="25">
        <f t="shared" si="29"/>
        <v>0</v>
      </c>
      <c r="T353" s="25">
        <v>0</v>
      </c>
      <c r="U353" s="29">
        <v>0</v>
      </c>
      <c r="V353" s="25">
        <v>0</v>
      </c>
      <c r="W353" s="25">
        <v>0</v>
      </c>
      <c r="X353" s="25">
        <v>0</v>
      </c>
      <c r="Y353" s="29">
        <v>0</v>
      </c>
      <c r="Z353" s="29">
        <v>0</v>
      </c>
      <c r="AA353" s="29">
        <v>0</v>
      </c>
      <c r="AB353" s="29">
        <v>0</v>
      </c>
      <c r="AC353" s="29">
        <v>0</v>
      </c>
      <c r="AD353" s="29">
        <v>0</v>
      </c>
      <c r="AE353" s="29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5"/>
      <c r="HP353" s="5"/>
    </row>
    <row r="354" spans="3:224" ht="20.100000000000001" customHeight="1">
      <c r="C354" s="24">
        <v>15203004</v>
      </c>
      <c r="D354" s="25" t="s">
        <v>376</v>
      </c>
      <c r="E354" s="25">
        <v>11200003</v>
      </c>
      <c r="F354" s="25">
        <v>12021</v>
      </c>
      <c r="G354" s="25">
        <v>1</v>
      </c>
      <c r="H354" s="25">
        <v>30</v>
      </c>
      <c r="I354" s="29">
        <v>0.2</v>
      </c>
      <c r="J354" s="30">
        <v>10</v>
      </c>
      <c r="K354" s="25">
        <v>0</v>
      </c>
      <c r="L354" s="25">
        <v>390</v>
      </c>
      <c r="M354" s="25">
        <f t="shared" si="27"/>
        <v>18</v>
      </c>
      <c r="N354" s="25">
        <v>35</v>
      </c>
      <c r="O354" s="25">
        <v>0</v>
      </c>
      <c r="P354" s="25">
        <v>0</v>
      </c>
      <c r="Q354" s="25">
        <f t="shared" si="28"/>
        <v>17</v>
      </c>
      <c r="R354" s="25">
        <v>34</v>
      </c>
      <c r="S354" s="25">
        <f t="shared" si="29"/>
        <v>0</v>
      </c>
      <c r="T354" s="25">
        <v>0</v>
      </c>
      <c r="U354" s="29">
        <v>0</v>
      </c>
      <c r="V354" s="25">
        <v>0</v>
      </c>
      <c r="W354" s="25">
        <v>0</v>
      </c>
      <c r="X354" s="25">
        <v>0</v>
      </c>
      <c r="Y354" s="29">
        <v>0</v>
      </c>
      <c r="Z354" s="29">
        <v>0</v>
      </c>
      <c r="AA354" s="29">
        <v>0</v>
      </c>
      <c r="AB354" s="29">
        <v>0</v>
      </c>
      <c r="AC354" s="29">
        <v>0</v>
      </c>
      <c r="AD354" s="29">
        <v>0</v>
      </c>
      <c r="AE354" s="29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/>
      <c r="HK354" s="5"/>
      <c r="HL354" s="5"/>
      <c r="HM354" s="5"/>
      <c r="HN354" s="5"/>
      <c r="HO354" s="5"/>
      <c r="HP354" s="5"/>
    </row>
    <row r="355" spans="3:224" ht="20.100000000000001" customHeight="1">
      <c r="C355" s="24">
        <v>15203005</v>
      </c>
      <c r="D355" s="25" t="s">
        <v>377</v>
      </c>
      <c r="E355" s="25">
        <v>11200003</v>
      </c>
      <c r="F355" s="25">
        <v>0</v>
      </c>
      <c r="G355" s="25">
        <v>1</v>
      </c>
      <c r="H355" s="25">
        <v>30</v>
      </c>
      <c r="I355" s="29">
        <v>0.2</v>
      </c>
      <c r="J355" s="30">
        <v>10</v>
      </c>
      <c r="K355" s="25">
        <v>0</v>
      </c>
      <c r="L355" s="25">
        <v>980</v>
      </c>
      <c r="M355" s="25">
        <f t="shared" si="27"/>
        <v>9</v>
      </c>
      <c r="N355" s="25">
        <v>17</v>
      </c>
      <c r="O355" s="25">
        <v>0</v>
      </c>
      <c r="P355" s="25">
        <v>0</v>
      </c>
      <c r="Q355" s="25">
        <f t="shared" si="28"/>
        <v>22</v>
      </c>
      <c r="R355" s="25">
        <v>44</v>
      </c>
      <c r="S355" s="25">
        <f t="shared" si="29"/>
        <v>0</v>
      </c>
      <c r="T355" s="25">
        <v>0</v>
      </c>
      <c r="U355" s="29">
        <v>0</v>
      </c>
      <c r="V355" s="25">
        <v>0</v>
      </c>
      <c r="W355" s="25">
        <v>0</v>
      </c>
      <c r="X355" s="25">
        <v>0</v>
      </c>
      <c r="Y355" s="29">
        <v>0</v>
      </c>
      <c r="Z355" s="29">
        <v>0</v>
      </c>
      <c r="AA355" s="29">
        <v>0</v>
      </c>
      <c r="AB355" s="29">
        <v>0</v>
      </c>
      <c r="AC355" s="29">
        <v>0</v>
      </c>
      <c r="AD355" s="29">
        <v>0</v>
      </c>
      <c r="AE355" s="29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5"/>
      <c r="HP355" s="5"/>
    </row>
    <row r="356" spans="3:224" ht="20.100000000000001" customHeight="1">
      <c r="C356" s="24">
        <v>15203006</v>
      </c>
      <c r="D356" s="25" t="s">
        <v>378</v>
      </c>
      <c r="E356" s="25">
        <v>11200003</v>
      </c>
      <c r="F356" s="25">
        <v>12031</v>
      </c>
      <c r="G356" s="25">
        <v>1</v>
      </c>
      <c r="H356" s="25">
        <v>30</v>
      </c>
      <c r="I356" s="29">
        <v>0.2</v>
      </c>
      <c r="J356" s="30">
        <v>10</v>
      </c>
      <c r="K356" s="25">
        <v>0</v>
      </c>
      <c r="L356" s="25">
        <v>1170</v>
      </c>
      <c r="M356" s="25">
        <f t="shared" si="27"/>
        <v>10</v>
      </c>
      <c r="N356" s="25">
        <v>20</v>
      </c>
      <c r="O356" s="25">
        <v>0</v>
      </c>
      <c r="P356" s="25">
        <v>0</v>
      </c>
      <c r="Q356" s="25">
        <f t="shared" si="28"/>
        <v>28</v>
      </c>
      <c r="R356" s="25">
        <v>56</v>
      </c>
      <c r="S356" s="25">
        <f t="shared" si="29"/>
        <v>0</v>
      </c>
      <c r="T356" s="25">
        <v>0</v>
      </c>
      <c r="U356" s="29">
        <v>0</v>
      </c>
      <c r="V356" s="25">
        <v>0</v>
      </c>
      <c r="W356" s="25">
        <v>0</v>
      </c>
      <c r="X356" s="25">
        <v>0</v>
      </c>
      <c r="Y356" s="29">
        <v>0</v>
      </c>
      <c r="Z356" s="29">
        <v>0</v>
      </c>
      <c r="AA356" s="29">
        <v>0</v>
      </c>
      <c r="AB356" s="29">
        <v>0</v>
      </c>
      <c r="AC356" s="29">
        <v>0</v>
      </c>
      <c r="AD356" s="29">
        <v>0</v>
      </c>
      <c r="AE356" s="29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  <c r="HM356" s="5"/>
      <c r="HN356" s="5"/>
      <c r="HO356" s="5"/>
      <c r="HP356" s="5"/>
    </row>
    <row r="357" spans="3:224" ht="20.100000000000001" customHeight="1">
      <c r="C357" s="24">
        <v>15204001</v>
      </c>
      <c r="D357" s="25" t="s">
        <v>379</v>
      </c>
      <c r="E357" s="25">
        <v>11200003</v>
      </c>
      <c r="F357" s="25">
        <v>0</v>
      </c>
      <c r="G357" s="25">
        <v>1</v>
      </c>
      <c r="H357" s="25">
        <v>30</v>
      </c>
      <c r="I357" s="29">
        <v>0.2</v>
      </c>
      <c r="J357" s="30">
        <v>10</v>
      </c>
      <c r="K357" s="25">
        <v>0</v>
      </c>
      <c r="L357" s="25">
        <v>0</v>
      </c>
      <c r="M357" s="25">
        <f t="shared" si="27"/>
        <v>18</v>
      </c>
      <c r="N357" s="25">
        <v>35</v>
      </c>
      <c r="O357" s="25">
        <v>0</v>
      </c>
      <c r="P357" s="25">
        <v>0</v>
      </c>
      <c r="Q357" s="25">
        <f t="shared" si="28"/>
        <v>18</v>
      </c>
      <c r="R357" s="25">
        <v>35</v>
      </c>
      <c r="S357" s="25">
        <f t="shared" si="29"/>
        <v>18</v>
      </c>
      <c r="T357" s="25">
        <v>35</v>
      </c>
      <c r="U357" s="29">
        <v>0</v>
      </c>
      <c r="V357" s="25">
        <v>0</v>
      </c>
      <c r="W357" s="25">
        <v>0</v>
      </c>
      <c r="X357" s="25">
        <v>0</v>
      </c>
      <c r="Y357" s="29">
        <v>0</v>
      </c>
      <c r="Z357" s="29">
        <v>0</v>
      </c>
      <c r="AA357" s="29">
        <v>0</v>
      </c>
      <c r="AB357" s="29">
        <v>0</v>
      </c>
      <c r="AC357" s="29">
        <v>0</v>
      </c>
      <c r="AD357" s="29">
        <v>0</v>
      </c>
      <c r="AE357" s="29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  <c r="HM357" s="5"/>
      <c r="HN357" s="5"/>
      <c r="HO357" s="5"/>
      <c r="HP357" s="5"/>
    </row>
    <row r="358" spans="3:224" ht="20.100000000000001" customHeight="1">
      <c r="C358" s="24">
        <v>15204002</v>
      </c>
      <c r="D358" s="25" t="s">
        <v>380</v>
      </c>
      <c r="E358" s="25">
        <v>11200003</v>
      </c>
      <c r="F358" s="25">
        <v>12011</v>
      </c>
      <c r="G358" s="25">
        <v>1</v>
      </c>
      <c r="H358" s="25">
        <v>30</v>
      </c>
      <c r="I358" s="29">
        <v>0.2</v>
      </c>
      <c r="J358" s="30">
        <v>10</v>
      </c>
      <c r="K358" s="25">
        <v>0</v>
      </c>
      <c r="L358" s="25">
        <v>0</v>
      </c>
      <c r="M358" s="25">
        <f t="shared" si="27"/>
        <v>21</v>
      </c>
      <c r="N358" s="25">
        <v>41</v>
      </c>
      <c r="O358" s="25">
        <v>0</v>
      </c>
      <c r="P358" s="25">
        <v>0</v>
      </c>
      <c r="Q358" s="25">
        <f t="shared" si="28"/>
        <v>23</v>
      </c>
      <c r="R358" s="25">
        <v>45</v>
      </c>
      <c r="S358" s="25">
        <f t="shared" si="29"/>
        <v>23</v>
      </c>
      <c r="T358" s="25">
        <v>45</v>
      </c>
      <c r="U358" s="29">
        <v>0</v>
      </c>
      <c r="V358" s="25">
        <v>0</v>
      </c>
      <c r="W358" s="25">
        <v>0</v>
      </c>
      <c r="X358" s="25">
        <v>0</v>
      </c>
      <c r="Y358" s="29">
        <v>0</v>
      </c>
      <c r="Z358" s="29">
        <v>0</v>
      </c>
      <c r="AA358" s="29">
        <v>0</v>
      </c>
      <c r="AB358" s="29">
        <v>0</v>
      </c>
      <c r="AC358" s="29">
        <v>0</v>
      </c>
      <c r="AD358" s="29">
        <v>0</v>
      </c>
      <c r="AE358" s="29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  <c r="HJ358" s="5"/>
      <c r="HK358" s="5"/>
      <c r="HL358" s="5"/>
      <c r="HM358" s="5"/>
      <c r="HN358" s="5"/>
      <c r="HO358" s="5"/>
      <c r="HP358" s="5"/>
    </row>
    <row r="359" spans="3:224" ht="20.100000000000001" customHeight="1">
      <c r="C359" s="24">
        <v>15204003</v>
      </c>
      <c r="D359" s="25" t="s">
        <v>381</v>
      </c>
      <c r="E359" s="25">
        <v>11200003</v>
      </c>
      <c r="F359" s="25">
        <v>0</v>
      </c>
      <c r="G359" s="25">
        <v>1</v>
      </c>
      <c r="H359" s="25">
        <v>30</v>
      </c>
      <c r="I359" s="29">
        <v>0.2</v>
      </c>
      <c r="J359" s="30">
        <v>10</v>
      </c>
      <c r="K359" s="25">
        <v>0</v>
      </c>
      <c r="L359" s="25">
        <v>0</v>
      </c>
      <c r="M359" s="25">
        <f t="shared" si="27"/>
        <v>24</v>
      </c>
      <c r="N359" s="25">
        <v>47</v>
      </c>
      <c r="O359" s="25">
        <v>0</v>
      </c>
      <c r="P359" s="25">
        <v>0</v>
      </c>
      <c r="Q359" s="25">
        <f t="shared" si="28"/>
        <v>13</v>
      </c>
      <c r="R359" s="25">
        <v>26</v>
      </c>
      <c r="S359" s="25">
        <f t="shared" si="29"/>
        <v>13</v>
      </c>
      <c r="T359" s="25">
        <v>26</v>
      </c>
      <c r="U359" s="29">
        <v>0</v>
      </c>
      <c r="V359" s="25">
        <v>0</v>
      </c>
      <c r="W359" s="25">
        <v>0</v>
      </c>
      <c r="X359" s="25">
        <v>0</v>
      </c>
      <c r="Y359" s="29">
        <v>0</v>
      </c>
      <c r="Z359" s="29">
        <v>0</v>
      </c>
      <c r="AA359" s="29">
        <v>0</v>
      </c>
      <c r="AB359" s="29">
        <v>0</v>
      </c>
      <c r="AC359" s="29">
        <v>0</v>
      </c>
      <c r="AD359" s="29">
        <v>0</v>
      </c>
      <c r="AE359" s="29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  <c r="HJ359" s="5"/>
      <c r="HK359" s="5"/>
      <c r="HL359" s="5"/>
      <c r="HM359" s="5"/>
      <c r="HN359" s="5"/>
      <c r="HO359" s="5"/>
      <c r="HP359" s="5"/>
    </row>
    <row r="360" spans="3:224" ht="20.100000000000001" customHeight="1">
      <c r="C360" s="24">
        <v>15204004</v>
      </c>
      <c r="D360" s="25" t="s">
        <v>382</v>
      </c>
      <c r="E360" s="25">
        <v>11200003</v>
      </c>
      <c r="F360" s="25">
        <v>12021</v>
      </c>
      <c r="G360" s="25">
        <v>1</v>
      </c>
      <c r="H360" s="25">
        <v>30</v>
      </c>
      <c r="I360" s="29">
        <v>0.2</v>
      </c>
      <c r="J360" s="30">
        <v>10</v>
      </c>
      <c r="K360" s="25">
        <v>0</v>
      </c>
      <c r="L360" s="25">
        <v>0</v>
      </c>
      <c r="M360" s="25">
        <f t="shared" si="27"/>
        <v>28</v>
      </c>
      <c r="N360" s="25">
        <v>55</v>
      </c>
      <c r="O360" s="25">
        <v>0</v>
      </c>
      <c r="P360" s="25">
        <v>0</v>
      </c>
      <c r="Q360" s="25">
        <f t="shared" si="28"/>
        <v>17</v>
      </c>
      <c r="R360" s="25">
        <v>34</v>
      </c>
      <c r="S360" s="25">
        <f t="shared" si="29"/>
        <v>17</v>
      </c>
      <c r="T360" s="25">
        <v>34</v>
      </c>
      <c r="U360" s="29">
        <v>0</v>
      </c>
      <c r="V360" s="25">
        <v>0</v>
      </c>
      <c r="W360" s="25">
        <v>0</v>
      </c>
      <c r="X360" s="25">
        <v>0</v>
      </c>
      <c r="Y360" s="29">
        <v>0</v>
      </c>
      <c r="Z360" s="29">
        <v>0</v>
      </c>
      <c r="AA360" s="29">
        <v>0</v>
      </c>
      <c r="AB360" s="29">
        <v>0</v>
      </c>
      <c r="AC360" s="29">
        <v>0</v>
      </c>
      <c r="AD360" s="29">
        <v>0</v>
      </c>
      <c r="AE360" s="29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/>
      <c r="HK360" s="5"/>
      <c r="HL360" s="5"/>
      <c r="HM360" s="5"/>
      <c r="HN360" s="5"/>
      <c r="HO360" s="5"/>
      <c r="HP360" s="5"/>
    </row>
    <row r="361" spans="3:224" ht="20.100000000000001" customHeight="1">
      <c r="C361" s="24">
        <v>15204005</v>
      </c>
      <c r="D361" s="25" t="s">
        <v>383</v>
      </c>
      <c r="E361" s="25">
        <v>11200003</v>
      </c>
      <c r="F361" s="25">
        <v>0</v>
      </c>
      <c r="G361" s="25">
        <v>1</v>
      </c>
      <c r="H361" s="25">
        <v>30</v>
      </c>
      <c r="I361" s="29">
        <v>0.2</v>
      </c>
      <c r="J361" s="30">
        <v>10</v>
      </c>
      <c r="K361" s="25">
        <v>0</v>
      </c>
      <c r="L361" s="25">
        <v>0</v>
      </c>
      <c r="M361" s="25">
        <f t="shared" si="27"/>
        <v>13</v>
      </c>
      <c r="N361" s="25">
        <v>26</v>
      </c>
      <c r="O361" s="25">
        <v>0</v>
      </c>
      <c r="P361" s="25">
        <v>0</v>
      </c>
      <c r="Q361" s="25">
        <f t="shared" si="28"/>
        <v>22</v>
      </c>
      <c r="R361" s="25">
        <v>44</v>
      </c>
      <c r="S361" s="25">
        <f t="shared" si="29"/>
        <v>22</v>
      </c>
      <c r="T361" s="25">
        <v>44</v>
      </c>
      <c r="U361" s="29">
        <v>0</v>
      </c>
      <c r="V361" s="25">
        <v>0</v>
      </c>
      <c r="W361" s="25">
        <v>0</v>
      </c>
      <c r="X361" s="25">
        <v>0</v>
      </c>
      <c r="Y361" s="29">
        <v>0</v>
      </c>
      <c r="Z361" s="29">
        <v>0</v>
      </c>
      <c r="AA361" s="29">
        <v>0</v>
      </c>
      <c r="AB361" s="29">
        <v>0</v>
      </c>
      <c r="AC361" s="29">
        <v>0</v>
      </c>
      <c r="AD361" s="29">
        <v>0</v>
      </c>
      <c r="AE361" s="29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5"/>
      <c r="HP361" s="5"/>
    </row>
    <row r="362" spans="3:224" ht="20.100000000000001" customHeight="1">
      <c r="C362" s="24">
        <v>15204006</v>
      </c>
      <c r="D362" s="25" t="s">
        <v>384</v>
      </c>
      <c r="E362" s="25">
        <v>11200003</v>
      </c>
      <c r="F362" s="25">
        <v>12031</v>
      </c>
      <c r="G362" s="25">
        <v>1</v>
      </c>
      <c r="H362" s="25">
        <v>30</v>
      </c>
      <c r="I362" s="29">
        <v>0.2</v>
      </c>
      <c r="J362" s="30">
        <v>10</v>
      </c>
      <c r="K362" s="25">
        <v>0</v>
      </c>
      <c r="L362" s="25">
        <v>0</v>
      </c>
      <c r="M362" s="25">
        <f t="shared" si="27"/>
        <v>16</v>
      </c>
      <c r="N362" s="25">
        <v>31</v>
      </c>
      <c r="O362" s="25">
        <v>0</v>
      </c>
      <c r="P362" s="25">
        <v>0</v>
      </c>
      <c r="Q362" s="25">
        <f t="shared" si="28"/>
        <v>28</v>
      </c>
      <c r="R362" s="25">
        <v>56</v>
      </c>
      <c r="S362" s="25">
        <f t="shared" si="29"/>
        <v>28</v>
      </c>
      <c r="T362" s="25">
        <v>56</v>
      </c>
      <c r="U362" s="29">
        <v>0</v>
      </c>
      <c r="V362" s="25">
        <v>0</v>
      </c>
      <c r="W362" s="25">
        <v>0</v>
      </c>
      <c r="X362" s="25">
        <v>0</v>
      </c>
      <c r="Y362" s="29">
        <v>0</v>
      </c>
      <c r="Z362" s="29">
        <v>0</v>
      </c>
      <c r="AA362" s="29">
        <v>0</v>
      </c>
      <c r="AB362" s="29">
        <v>0</v>
      </c>
      <c r="AC362" s="29">
        <v>0</v>
      </c>
      <c r="AD362" s="29">
        <v>0</v>
      </c>
      <c r="AE362" s="29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  <c r="HJ362" s="5"/>
      <c r="HK362" s="5"/>
      <c r="HL362" s="5"/>
      <c r="HM362" s="5"/>
      <c r="HN362" s="5"/>
      <c r="HO362" s="5"/>
      <c r="HP362" s="5"/>
    </row>
    <row r="363" spans="3:224" s="4" customFormat="1" ht="20.100000000000001" customHeight="1">
      <c r="C363" s="34">
        <v>15205001</v>
      </c>
      <c r="D363" s="35" t="s">
        <v>385</v>
      </c>
      <c r="E363" s="35">
        <v>11200003</v>
      </c>
      <c r="F363" s="35">
        <v>0</v>
      </c>
      <c r="G363" s="35">
        <v>1</v>
      </c>
      <c r="H363" s="35">
        <v>30</v>
      </c>
      <c r="I363" s="37">
        <v>0.2</v>
      </c>
      <c r="J363" s="30">
        <v>10</v>
      </c>
      <c r="K363" s="35">
        <v>0</v>
      </c>
      <c r="L363" s="35">
        <v>1560</v>
      </c>
      <c r="M363" s="35">
        <f t="shared" si="27"/>
        <v>23</v>
      </c>
      <c r="N363" s="35">
        <v>45</v>
      </c>
      <c r="O363" s="35">
        <v>0</v>
      </c>
      <c r="P363" s="35">
        <v>0</v>
      </c>
      <c r="Q363" s="35">
        <f t="shared" si="28"/>
        <v>9</v>
      </c>
      <c r="R363" s="35">
        <v>18</v>
      </c>
      <c r="S363" s="35">
        <f t="shared" si="29"/>
        <v>0</v>
      </c>
      <c r="T363" s="35">
        <v>0</v>
      </c>
      <c r="U363" s="37">
        <v>0</v>
      </c>
      <c r="V363" s="35">
        <v>0</v>
      </c>
      <c r="W363" s="35">
        <v>0</v>
      </c>
      <c r="X363" s="35">
        <v>0</v>
      </c>
      <c r="Y363" s="37">
        <v>0</v>
      </c>
      <c r="Z363" s="37">
        <v>0</v>
      </c>
      <c r="AA363" s="37">
        <v>0</v>
      </c>
      <c r="AB363" s="37">
        <v>0</v>
      </c>
      <c r="AC363" s="37">
        <v>0</v>
      </c>
      <c r="AD363" s="37">
        <v>0</v>
      </c>
      <c r="AE363" s="37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39"/>
      <c r="CF363" s="39"/>
      <c r="CG363" s="39"/>
      <c r="CH363" s="39"/>
      <c r="CI363" s="39"/>
      <c r="CJ363" s="39"/>
      <c r="CK363" s="39"/>
      <c r="CL363" s="39"/>
      <c r="CM363" s="39"/>
      <c r="CN363" s="39"/>
      <c r="CO363" s="39"/>
      <c r="CP363" s="39"/>
      <c r="CQ363" s="39"/>
      <c r="CR363" s="39"/>
      <c r="CS363" s="39"/>
      <c r="CT363" s="39"/>
      <c r="CU363" s="39"/>
      <c r="CV363" s="39"/>
      <c r="CW363" s="39"/>
      <c r="CX363" s="39"/>
      <c r="CY363" s="39"/>
      <c r="CZ363" s="39"/>
      <c r="DA363" s="39"/>
      <c r="DB363" s="39"/>
      <c r="DC363" s="39"/>
      <c r="DD363" s="39"/>
      <c r="DE363" s="39"/>
      <c r="DF363" s="39"/>
      <c r="DG363" s="39"/>
      <c r="DH363" s="39"/>
      <c r="DI363" s="39"/>
      <c r="DJ363" s="39"/>
      <c r="DK363" s="39"/>
      <c r="DL363" s="39"/>
      <c r="DM363" s="39"/>
      <c r="DN363" s="39"/>
      <c r="DO363" s="39"/>
      <c r="DP363" s="39"/>
      <c r="DQ363" s="39"/>
      <c r="DR363" s="39"/>
      <c r="DS363" s="39"/>
      <c r="DT363" s="39"/>
      <c r="DU363" s="39"/>
      <c r="DV363" s="39"/>
      <c r="DW363" s="39"/>
      <c r="DX363" s="39"/>
      <c r="DY363" s="39"/>
      <c r="DZ363" s="39"/>
      <c r="EA363" s="39"/>
      <c r="EB363" s="39"/>
      <c r="EC363" s="39"/>
      <c r="ED363" s="39"/>
      <c r="EE363" s="39"/>
      <c r="EF363" s="39"/>
      <c r="EG363" s="39"/>
      <c r="EH363" s="39"/>
      <c r="EI363" s="39"/>
      <c r="EJ363" s="39"/>
      <c r="EK363" s="39"/>
      <c r="EL363" s="39"/>
      <c r="EM363" s="39"/>
      <c r="EN363" s="39"/>
      <c r="EO363" s="39"/>
      <c r="EP363" s="39"/>
      <c r="EQ363" s="39"/>
      <c r="ER363" s="39"/>
      <c r="ES363" s="39"/>
      <c r="ET363" s="39"/>
      <c r="EU363" s="39"/>
      <c r="EV363" s="39"/>
      <c r="EW363" s="39"/>
      <c r="EX363" s="39"/>
      <c r="EY363" s="39"/>
      <c r="EZ363" s="39"/>
      <c r="FA363" s="39"/>
      <c r="FB363" s="39"/>
      <c r="FC363" s="39"/>
      <c r="FD363" s="39"/>
      <c r="FE363" s="39"/>
      <c r="FF363" s="39"/>
      <c r="FG363" s="39"/>
      <c r="FH363" s="39"/>
      <c r="FI363" s="39"/>
      <c r="FJ363" s="39"/>
      <c r="FK363" s="39"/>
      <c r="FL363" s="39"/>
      <c r="FM363" s="39"/>
      <c r="FN363" s="39"/>
      <c r="FO363" s="39"/>
      <c r="FP363" s="39"/>
      <c r="FQ363" s="39"/>
      <c r="FR363" s="39"/>
      <c r="FS363" s="39"/>
      <c r="FT363" s="39"/>
      <c r="FU363" s="39"/>
      <c r="FV363" s="39"/>
      <c r="FW363" s="39"/>
      <c r="FX363" s="39"/>
      <c r="FY363" s="39"/>
      <c r="FZ363" s="39"/>
      <c r="GA363" s="39"/>
      <c r="GB363" s="39"/>
      <c r="GC363" s="39"/>
      <c r="GD363" s="39"/>
      <c r="GE363" s="39"/>
      <c r="GF363" s="39"/>
      <c r="GG363" s="39"/>
      <c r="GH363" s="39"/>
      <c r="GI363" s="39"/>
      <c r="GJ363" s="39"/>
      <c r="GK363" s="39"/>
      <c r="GL363" s="39"/>
      <c r="GM363" s="39"/>
      <c r="GN363" s="39"/>
      <c r="GO363" s="39"/>
      <c r="GP363" s="39"/>
      <c r="GQ363" s="39"/>
      <c r="GR363" s="39"/>
      <c r="GS363" s="39"/>
      <c r="GT363" s="39"/>
      <c r="GU363" s="39"/>
      <c r="GV363" s="39"/>
      <c r="GW363" s="39"/>
      <c r="GX363" s="39"/>
      <c r="GY363" s="39"/>
      <c r="GZ363" s="39"/>
      <c r="HA363" s="39"/>
      <c r="HB363" s="39"/>
      <c r="HC363" s="39"/>
      <c r="HD363" s="39"/>
      <c r="HE363" s="39"/>
      <c r="HF363" s="39"/>
      <c r="HG363" s="39"/>
      <c r="HH363" s="39"/>
      <c r="HI363" s="39"/>
      <c r="HJ363" s="39"/>
      <c r="HK363" s="39"/>
      <c r="HL363" s="39"/>
      <c r="HM363" s="39"/>
      <c r="HN363" s="39"/>
      <c r="HO363" s="39"/>
      <c r="HP363" s="39"/>
    </row>
    <row r="364" spans="3:224" s="4" customFormat="1" ht="20.100000000000001" customHeight="1">
      <c r="C364" s="34">
        <v>15205002</v>
      </c>
      <c r="D364" s="35" t="s">
        <v>386</v>
      </c>
      <c r="E364" s="35">
        <v>11200003</v>
      </c>
      <c r="F364" s="35">
        <v>12011</v>
      </c>
      <c r="G364" s="35">
        <v>1</v>
      </c>
      <c r="H364" s="35">
        <v>30</v>
      </c>
      <c r="I364" s="37">
        <v>0.2</v>
      </c>
      <c r="J364" s="30">
        <v>10</v>
      </c>
      <c r="K364" s="35">
        <v>0</v>
      </c>
      <c r="L364" s="35">
        <v>1950</v>
      </c>
      <c r="M364" s="35">
        <f t="shared" si="27"/>
        <v>28</v>
      </c>
      <c r="N364" s="35">
        <v>56</v>
      </c>
      <c r="O364" s="35">
        <v>0</v>
      </c>
      <c r="P364" s="35">
        <v>0</v>
      </c>
      <c r="Q364" s="35">
        <f t="shared" si="28"/>
        <v>12</v>
      </c>
      <c r="R364" s="35">
        <v>23</v>
      </c>
      <c r="S364" s="35">
        <f t="shared" si="29"/>
        <v>0</v>
      </c>
      <c r="T364" s="35">
        <v>0</v>
      </c>
      <c r="U364" s="37">
        <v>0</v>
      </c>
      <c r="V364" s="35">
        <v>0</v>
      </c>
      <c r="W364" s="35">
        <v>0</v>
      </c>
      <c r="X364" s="35">
        <v>0</v>
      </c>
      <c r="Y364" s="37">
        <v>0</v>
      </c>
      <c r="Z364" s="37">
        <v>0</v>
      </c>
      <c r="AA364" s="37">
        <v>0</v>
      </c>
      <c r="AB364" s="37">
        <v>0</v>
      </c>
      <c r="AC364" s="37">
        <v>0</v>
      </c>
      <c r="AD364" s="37">
        <v>0</v>
      </c>
      <c r="AE364" s="37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39"/>
      <c r="CD364" s="39"/>
      <c r="CE364" s="39"/>
      <c r="CF364" s="39"/>
      <c r="CG364" s="39"/>
      <c r="CH364" s="39"/>
      <c r="CI364" s="39"/>
      <c r="CJ364" s="39"/>
      <c r="CK364" s="39"/>
      <c r="CL364" s="39"/>
      <c r="CM364" s="39"/>
      <c r="CN364" s="39"/>
      <c r="CO364" s="39"/>
      <c r="CP364" s="39"/>
      <c r="CQ364" s="39"/>
      <c r="CR364" s="39"/>
      <c r="CS364" s="39"/>
      <c r="CT364" s="39"/>
      <c r="CU364" s="39"/>
      <c r="CV364" s="39"/>
      <c r="CW364" s="39"/>
      <c r="CX364" s="39"/>
      <c r="CY364" s="39"/>
      <c r="CZ364" s="39"/>
      <c r="DA364" s="39"/>
      <c r="DB364" s="39"/>
      <c r="DC364" s="39"/>
      <c r="DD364" s="39"/>
      <c r="DE364" s="39"/>
      <c r="DF364" s="39"/>
      <c r="DG364" s="39"/>
      <c r="DH364" s="39"/>
      <c r="DI364" s="39"/>
      <c r="DJ364" s="39"/>
      <c r="DK364" s="39"/>
      <c r="DL364" s="39"/>
      <c r="DM364" s="39"/>
      <c r="DN364" s="39"/>
      <c r="DO364" s="39"/>
      <c r="DP364" s="39"/>
      <c r="DQ364" s="39"/>
      <c r="DR364" s="39"/>
      <c r="DS364" s="39"/>
      <c r="DT364" s="39"/>
      <c r="DU364" s="39"/>
      <c r="DV364" s="39"/>
      <c r="DW364" s="39"/>
      <c r="DX364" s="39"/>
      <c r="DY364" s="39"/>
      <c r="DZ364" s="39"/>
      <c r="EA364" s="39"/>
      <c r="EB364" s="39"/>
      <c r="EC364" s="39"/>
      <c r="ED364" s="39"/>
      <c r="EE364" s="39"/>
      <c r="EF364" s="39"/>
      <c r="EG364" s="39"/>
      <c r="EH364" s="39"/>
      <c r="EI364" s="39"/>
      <c r="EJ364" s="39"/>
      <c r="EK364" s="39"/>
      <c r="EL364" s="39"/>
      <c r="EM364" s="39"/>
      <c r="EN364" s="39"/>
      <c r="EO364" s="39"/>
      <c r="EP364" s="39"/>
      <c r="EQ364" s="39"/>
      <c r="ER364" s="39"/>
      <c r="ES364" s="39"/>
      <c r="ET364" s="39"/>
      <c r="EU364" s="39"/>
      <c r="EV364" s="39"/>
      <c r="EW364" s="39"/>
      <c r="EX364" s="39"/>
      <c r="EY364" s="39"/>
      <c r="EZ364" s="39"/>
      <c r="FA364" s="39"/>
      <c r="FB364" s="39"/>
      <c r="FC364" s="39"/>
      <c r="FD364" s="39"/>
      <c r="FE364" s="39"/>
      <c r="FF364" s="39"/>
      <c r="FG364" s="39"/>
      <c r="FH364" s="39"/>
      <c r="FI364" s="39"/>
      <c r="FJ364" s="39"/>
      <c r="FK364" s="39"/>
      <c r="FL364" s="39"/>
      <c r="FM364" s="39"/>
      <c r="FN364" s="39"/>
      <c r="FO364" s="39"/>
      <c r="FP364" s="39"/>
      <c r="FQ364" s="39"/>
      <c r="FR364" s="39"/>
      <c r="FS364" s="39"/>
      <c r="FT364" s="39"/>
      <c r="FU364" s="39"/>
      <c r="FV364" s="39"/>
      <c r="FW364" s="39"/>
      <c r="FX364" s="39"/>
      <c r="FY364" s="39"/>
      <c r="FZ364" s="39"/>
      <c r="GA364" s="39"/>
      <c r="GB364" s="39"/>
      <c r="GC364" s="39"/>
      <c r="GD364" s="39"/>
      <c r="GE364" s="39"/>
      <c r="GF364" s="39"/>
      <c r="GG364" s="39"/>
      <c r="GH364" s="39"/>
      <c r="GI364" s="39"/>
      <c r="GJ364" s="39"/>
      <c r="GK364" s="39"/>
      <c r="GL364" s="39"/>
      <c r="GM364" s="39"/>
      <c r="GN364" s="39"/>
      <c r="GO364" s="39"/>
      <c r="GP364" s="39"/>
      <c r="GQ364" s="39"/>
      <c r="GR364" s="39"/>
      <c r="GS364" s="39"/>
      <c r="GT364" s="39"/>
      <c r="GU364" s="39"/>
      <c r="GV364" s="39"/>
      <c r="GW364" s="39"/>
      <c r="GX364" s="39"/>
      <c r="GY364" s="39"/>
      <c r="GZ364" s="39"/>
      <c r="HA364" s="39"/>
      <c r="HB364" s="39"/>
      <c r="HC364" s="39"/>
      <c r="HD364" s="39"/>
      <c r="HE364" s="39"/>
      <c r="HF364" s="39"/>
      <c r="HG364" s="39"/>
      <c r="HH364" s="39"/>
      <c r="HI364" s="39"/>
      <c r="HJ364" s="39"/>
      <c r="HK364" s="39"/>
      <c r="HL364" s="39"/>
      <c r="HM364" s="39"/>
      <c r="HN364" s="39"/>
      <c r="HO364" s="39"/>
      <c r="HP364" s="39"/>
    </row>
    <row r="365" spans="3:224" s="4" customFormat="1" ht="20.100000000000001" customHeight="1">
      <c r="C365" s="34">
        <v>15205003</v>
      </c>
      <c r="D365" s="35" t="s">
        <v>387</v>
      </c>
      <c r="E365" s="35">
        <v>11200003</v>
      </c>
      <c r="F365" s="35">
        <v>0</v>
      </c>
      <c r="G365" s="35">
        <v>1</v>
      </c>
      <c r="H365" s="35">
        <v>30</v>
      </c>
      <c r="I365" s="37">
        <v>0.2</v>
      </c>
      <c r="J365" s="30">
        <v>10</v>
      </c>
      <c r="K365" s="35">
        <v>0</v>
      </c>
      <c r="L365" s="35">
        <v>784</v>
      </c>
      <c r="M365" s="35">
        <f t="shared" si="27"/>
        <v>31</v>
      </c>
      <c r="N365" s="35">
        <v>61</v>
      </c>
      <c r="O365" s="35">
        <v>0</v>
      </c>
      <c r="P365" s="35">
        <v>0</v>
      </c>
      <c r="Q365" s="35">
        <f t="shared" si="28"/>
        <v>7</v>
      </c>
      <c r="R365" s="35">
        <v>14</v>
      </c>
      <c r="S365" s="35">
        <f t="shared" si="29"/>
        <v>0</v>
      </c>
      <c r="T365" s="35">
        <v>0</v>
      </c>
      <c r="U365" s="37">
        <v>0</v>
      </c>
      <c r="V365" s="35">
        <v>0</v>
      </c>
      <c r="W365" s="35">
        <v>0</v>
      </c>
      <c r="X365" s="35">
        <v>0</v>
      </c>
      <c r="Y365" s="37">
        <v>0</v>
      </c>
      <c r="Z365" s="37">
        <v>0</v>
      </c>
      <c r="AA365" s="37">
        <v>0</v>
      </c>
      <c r="AB365" s="37">
        <v>0</v>
      </c>
      <c r="AC365" s="37">
        <v>0</v>
      </c>
      <c r="AD365" s="37">
        <v>0</v>
      </c>
      <c r="AE365" s="37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  <c r="CG365" s="39"/>
      <c r="CH365" s="39"/>
      <c r="CI365" s="39"/>
      <c r="CJ365" s="39"/>
      <c r="CK365" s="39"/>
      <c r="CL365" s="39"/>
      <c r="CM365" s="39"/>
      <c r="CN365" s="39"/>
      <c r="CO365" s="39"/>
      <c r="CP365" s="39"/>
      <c r="CQ365" s="39"/>
      <c r="CR365" s="39"/>
      <c r="CS365" s="39"/>
      <c r="CT365" s="39"/>
      <c r="CU365" s="39"/>
      <c r="CV365" s="39"/>
      <c r="CW365" s="39"/>
      <c r="CX365" s="39"/>
      <c r="CY365" s="39"/>
      <c r="CZ365" s="39"/>
      <c r="DA365" s="39"/>
      <c r="DB365" s="39"/>
      <c r="DC365" s="39"/>
      <c r="DD365" s="39"/>
      <c r="DE365" s="39"/>
      <c r="DF365" s="39"/>
      <c r="DG365" s="39"/>
      <c r="DH365" s="39"/>
      <c r="DI365" s="39"/>
      <c r="DJ365" s="39"/>
      <c r="DK365" s="39"/>
      <c r="DL365" s="39"/>
      <c r="DM365" s="39"/>
      <c r="DN365" s="39"/>
      <c r="DO365" s="39"/>
      <c r="DP365" s="39"/>
      <c r="DQ365" s="39"/>
      <c r="DR365" s="39"/>
      <c r="DS365" s="39"/>
      <c r="DT365" s="39"/>
      <c r="DU365" s="39"/>
      <c r="DV365" s="39"/>
      <c r="DW365" s="39"/>
      <c r="DX365" s="39"/>
      <c r="DY365" s="39"/>
      <c r="DZ365" s="39"/>
      <c r="EA365" s="39"/>
      <c r="EB365" s="39"/>
      <c r="EC365" s="39"/>
      <c r="ED365" s="39"/>
      <c r="EE365" s="39"/>
      <c r="EF365" s="39"/>
      <c r="EG365" s="39"/>
      <c r="EH365" s="39"/>
      <c r="EI365" s="39"/>
      <c r="EJ365" s="39"/>
      <c r="EK365" s="39"/>
      <c r="EL365" s="39"/>
      <c r="EM365" s="39"/>
      <c r="EN365" s="39"/>
      <c r="EO365" s="39"/>
      <c r="EP365" s="39"/>
      <c r="EQ365" s="39"/>
      <c r="ER365" s="39"/>
      <c r="ES365" s="39"/>
      <c r="ET365" s="39"/>
      <c r="EU365" s="39"/>
      <c r="EV365" s="39"/>
      <c r="EW365" s="39"/>
      <c r="EX365" s="39"/>
      <c r="EY365" s="39"/>
      <c r="EZ365" s="39"/>
      <c r="FA365" s="39"/>
      <c r="FB365" s="39"/>
      <c r="FC365" s="39"/>
      <c r="FD365" s="39"/>
      <c r="FE365" s="39"/>
      <c r="FF365" s="39"/>
      <c r="FG365" s="39"/>
      <c r="FH365" s="39"/>
      <c r="FI365" s="39"/>
      <c r="FJ365" s="39"/>
      <c r="FK365" s="39"/>
      <c r="FL365" s="39"/>
      <c r="FM365" s="39"/>
      <c r="FN365" s="39"/>
      <c r="FO365" s="39"/>
      <c r="FP365" s="39"/>
      <c r="FQ365" s="39"/>
      <c r="FR365" s="39"/>
      <c r="FS365" s="39"/>
      <c r="FT365" s="39"/>
      <c r="FU365" s="39"/>
      <c r="FV365" s="39"/>
      <c r="FW365" s="39"/>
      <c r="FX365" s="39"/>
      <c r="FY365" s="39"/>
      <c r="FZ365" s="39"/>
      <c r="GA365" s="39"/>
      <c r="GB365" s="39"/>
      <c r="GC365" s="39"/>
      <c r="GD365" s="39"/>
      <c r="GE365" s="39"/>
      <c r="GF365" s="39"/>
      <c r="GG365" s="39"/>
      <c r="GH365" s="39"/>
      <c r="GI365" s="39"/>
      <c r="GJ365" s="39"/>
      <c r="GK365" s="39"/>
      <c r="GL365" s="39"/>
      <c r="GM365" s="39"/>
      <c r="GN365" s="39"/>
      <c r="GO365" s="39"/>
      <c r="GP365" s="39"/>
      <c r="GQ365" s="39"/>
      <c r="GR365" s="39"/>
      <c r="GS365" s="39"/>
      <c r="GT365" s="39"/>
      <c r="GU365" s="39"/>
      <c r="GV365" s="39"/>
      <c r="GW365" s="39"/>
      <c r="GX365" s="39"/>
      <c r="GY365" s="39"/>
      <c r="GZ365" s="39"/>
      <c r="HA365" s="39"/>
      <c r="HB365" s="39"/>
      <c r="HC365" s="39"/>
      <c r="HD365" s="39"/>
      <c r="HE365" s="39"/>
      <c r="HF365" s="39"/>
      <c r="HG365" s="39"/>
      <c r="HH365" s="39"/>
      <c r="HI365" s="39"/>
      <c r="HJ365" s="39"/>
      <c r="HK365" s="39"/>
      <c r="HL365" s="39"/>
      <c r="HM365" s="39"/>
      <c r="HN365" s="39"/>
      <c r="HO365" s="39"/>
      <c r="HP365" s="39"/>
    </row>
    <row r="366" spans="3:224" s="4" customFormat="1" ht="20.100000000000001" customHeight="1">
      <c r="C366" s="34">
        <v>15205004</v>
      </c>
      <c r="D366" s="35" t="s">
        <v>388</v>
      </c>
      <c r="E366" s="35">
        <v>11200003</v>
      </c>
      <c r="F366" s="35">
        <v>12021</v>
      </c>
      <c r="G366" s="35">
        <v>1</v>
      </c>
      <c r="H366" s="35">
        <v>30</v>
      </c>
      <c r="I366" s="37">
        <v>0.2</v>
      </c>
      <c r="J366" s="30">
        <v>10</v>
      </c>
      <c r="K366" s="35">
        <v>0</v>
      </c>
      <c r="L366" s="35">
        <v>980</v>
      </c>
      <c r="M366" s="35">
        <f t="shared" si="27"/>
        <v>38</v>
      </c>
      <c r="N366" s="35">
        <v>76</v>
      </c>
      <c r="O366" s="35">
        <v>0</v>
      </c>
      <c r="P366" s="35">
        <v>0</v>
      </c>
      <c r="Q366" s="35">
        <f t="shared" si="28"/>
        <v>9</v>
      </c>
      <c r="R366" s="35">
        <v>17</v>
      </c>
      <c r="S366" s="35">
        <f t="shared" si="29"/>
        <v>0</v>
      </c>
      <c r="T366" s="35">
        <v>0</v>
      </c>
      <c r="U366" s="37">
        <v>0</v>
      </c>
      <c r="V366" s="35">
        <v>0</v>
      </c>
      <c r="W366" s="35">
        <v>0</v>
      </c>
      <c r="X366" s="35">
        <v>0</v>
      </c>
      <c r="Y366" s="37">
        <v>0</v>
      </c>
      <c r="Z366" s="37">
        <v>0</v>
      </c>
      <c r="AA366" s="37">
        <v>0</v>
      </c>
      <c r="AB366" s="37">
        <v>0</v>
      </c>
      <c r="AC366" s="37">
        <v>0</v>
      </c>
      <c r="AD366" s="37">
        <v>0</v>
      </c>
      <c r="AE366" s="37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  <c r="CC366" s="39"/>
      <c r="CD366" s="39"/>
      <c r="CE366" s="39"/>
      <c r="CF366" s="39"/>
      <c r="CG366" s="39"/>
      <c r="CH366" s="39"/>
      <c r="CI366" s="39"/>
      <c r="CJ366" s="39"/>
      <c r="CK366" s="39"/>
      <c r="CL366" s="39"/>
      <c r="CM366" s="39"/>
      <c r="CN366" s="39"/>
      <c r="CO366" s="39"/>
      <c r="CP366" s="39"/>
      <c r="CQ366" s="39"/>
      <c r="CR366" s="39"/>
      <c r="CS366" s="39"/>
      <c r="CT366" s="39"/>
      <c r="CU366" s="39"/>
      <c r="CV366" s="39"/>
      <c r="CW366" s="39"/>
      <c r="CX366" s="39"/>
      <c r="CY366" s="39"/>
      <c r="CZ366" s="39"/>
      <c r="DA366" s="39"/>
      <c r="DB366" s="39"/>
      <c r="DC366" s="39"/>
      <c r="DD366" s="39"/>
      <c r="DE366" s="39"/>
      <c r="DF366" s="39"/>
      <c r="DG366" s="39"/>
      <c r="DH366" s="39"/>
      <c r="DI366" s="39"/>
      <c r="DJ366" s="39"/>
      <c r="DK366" s="39"/>
      <c r="DL366" s="39"/>
      <c r="DM366" s="39"/>
      <c r="DN366" s="39"/>
      <c r="DO366" s="39"/>
      <c r="DP366" s="39"/>
      <c r="DQ366" s="39"/>
      <c r="DR366" s="39"/>
      <c r="DS366" s="39"/>
      <c r="DT366" s="39"/>
      <c r="DU366" s="39"/>
      <c r="DV366" s="39"/>
      <c r="DW366" s="39"/>
      <c r="DX366" s="39"/>
      <c r="DY366" s="39"/>
      <c r="DZ366" s="39"/>
      <c r="EA366" s="39"/>
      <c r="EB366" s="39"/>
      <c r="EC366" s="39"/>
      <c r="ED366" s="39"/>
      <c r="EE366" s="39"/>
      <c r="EF366" s="39"/>
      <c r="EG366" s="39"/>
      <c r="EH366" s="39"/>
      <c r="EI366" s="39"/>
      <c r="EJ366" s="39"/>
      <c r="EK366" s="39"/>
      <c r="EL366" s="39"/>
      <c r="EM366" s="39"/>
      <c r="EN366" s="39"/>
      <c r="EO366" s="39"/>
      <c r="EP366" s="39"/>
      <c r="EQ366" s="39"/>
      <c r="ER366" s="39"/>
      <c r="ES366" s="39"/>
      <c r="ET366" s="39"/>
      <c r="EU366" s="39"/>
      <c r="EV366" s="39"/>
      <c r="EW366" s="39"/>
      <c r="EX366" s="39"/>
      <c r="EY366" s="39"/>
      <c r="EZ366" s="39"/>
      <c r="FA366" s="39"/>
      <c r="FB366" s="39"/>
      <c r="FC366" s="39"/>
      <c r="FD366" s="39"/>
      <c r="FE366" s="39"/>
      <c r="FF366" s="39"/>
      <c r="FG366" s="39"/>
      <c r="FH366" s="39"/>
      <c r="FI366" s="39"/>
      <c r="FJ366" s="39"/>
      <c r="FK366" s="39"/>
      <c r="FL366" s="39"/>
      <c r="FM366" s="39"/>
      <c r="FN366" s="39"/>
      <c r="FO366" s="39"/>
      <c r="FP366" s="39"/>
      <c r="FQ366" s="39"/>
      <c r="FR366" s="39"/>
      <c r="FS366" s="39"/>
      <c r="FT366" s="39"/>
      <c r="FU366" s="39"/>
      <c r="FV366" s="39"/>
      <c r="FW366" s="39"/>
      <c r="FX366" s="39"/>
      <c r="FY366" s="39"/>
      <c r="FZ366" s="39"/>
      <c r="GA366" s="39"/>
      <c r="GB366" s="39"/>
      <c r="GC366" s="39"/>
      <c r="GD366" s="39"/>
      <c r="GE366" s="39"/>
      <c r="GF366" s="39"/>
      <c r="GG366" s="39"/>
      <c r="GH366" s="39"/>
      <c r="GI366" s="39"/>
      <c r="GJ366" s="39"/>
      <c r="GK366" s="39"/>
      <c r="GL366" s="39"/>
      <c r="GM366" s="39"/>
      <c r="GN366" s="39"/>
      <c r="GO366" s="39"/>
      <c r="GP366" s="39"/>
      <c r="GQ366" s="39"/>
      <c r="GR366" s="39"/>
      <c r="GS366" s="39"/>
      <c r="GT366" s="39"/>
      <c r="GU366" s="39"/>
      <c r="GV366" s="39"/>
      <c r="GW366" s="39"/>
      <c r="GX366" s="39"/>
      <c r="GY366" s="39"/>
      <c r="GZ366" s="39"/>
      <c r="HA366" s="39"/>
      <c r="HB366" s="39"/>
      <c r="HC366" s="39"/>
      <c r="HD366" s="39"/>
      <c r="HE366" s="39"/>
      <c r="HF366" s="39"/>
      <c r="HG366" s="39"/>
      <c r="HH366" s="39"/>
      <c r="HI366" s="39"/>
      <c r="HJ366" s="39"/>
      <c r="HK366" s="39"/>
      <c r="HL366" s="39"/>
      <c r="HM366" s="39"/>
      <c r="HN366" s="39"/>
      <c r="HO366" s="39"/>
      <c r="HP366" s="39"/>
    </row>
    <row r="367" spans="3:224" s="4" customFormat="1" ht="19.5" customHeight="1">
      <c r="C367" s="34">
        <v>15205005</v>
      </c>
      <c r="D367" s="35" t="s">
        <v>389</v>
      </c>
      <c r="E367" s="35">
        <v>11200003</v>
      </c>
      <c r="F367" s="35">
        <v>0</v>
      </c>
      <c r="G367" s="35">
        <v>1</v>
      </c>
      <c r="H367" s="35">
        <v>30</v>
      </c>
      <c r="I367" s="37">
        <v>0.2</v>
      </c>
      <c r="J367" s="30">
        <v>10</v>
      </c>
      <c r="K367" s="35">
        <v>0</v>
      </c>
      <c r="L367" s="35">
        <f>L363*1.5</f>
        <v>2340</v>
      </c>
      <c r="M367" s="35">
        <f t="shared" si="27"/>
        <v>17</v>
      </c>
      <c r="N367" s="35">
        <v>34</v>
      </c>
      <c r="O367" s="35">
        <v>0</v>
      </c>
      <c r="P367" s="35">
        <v>0</v>
      </c>
      <c r="Q367" s="35">
        <f t="shared" si="28"/>
        <v>12</v>
      </c>
      <c r="R367" s="35">
        <v>23</v>
      </c>
      <c r="S367" s="35">
        <f t="shared" si="29"/>
        <v>0</v>
      </c>
      <c r="T367" s="35">
        <v>0</v>
      </c>
      <c r="U367" s="37">
        <v>0</v>
      </c>
      <c r="V367" s="35">
        <v>0</v>
      </c>
      <c r="W367" s="35">
        <v>0</v>
      </c>
      <c r="X367" s="35">
        <v>0</v>
      </c>
      <c r="Y367" s="37">
        <v>0</v>
      </c>
      <c r="Z367" s="37">
        <v>0</v>
      </c>
      <c r="AA367" s="37">
        <v>0</v>
      </c>
      <c r="AB367" s="37">
        <v>0</v>
      </c>
      <c r="AC367" s="37">
        <v>0</v>
      </c>
      <c r="AD367" s="37">
        <v>0</v>
      </c>
      <c r="AE367" s="37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39"/>
      <c r="DD367" s="39"/>
      <c r="DE367" s="39"/>
      <c r="DF367" s="39"/>
      <c r="DG367" s="39"/>
      <c r="DH367" s="39"/>
      <c r="DI367" s="39"/>
      <c r="DJ367" s="39"/>
      <c r="DK367" s="39"/>
      <c r="DL367" s="39"/>
      <c r="DM367" s="39"/>
      <c r="DN367" s="39"/>
      <c r="DO367" s="39"/>
      <c r="DP367" s="39"/>
      <c r="DQ367" s="39"/>
      <c r="DR367" s="39"/>
      <c r="DS367" s="39"/>
      <c r="DT367" s="39"/>
      <c r="DU367" s="39"/>
      <c r="DV367" s="39"/>
      <c r="DW367" s="39"/>
      <c r="DX367" s="39"/>
      <c r="DY367" s="39"/>
      <c r="DZ367" s="39"/>
      <c r="EA367" s="39"/>
      <c r="EB367" s="39"/>
      <c r="EC367" s="39"/>
      <c r="ED367" s="39"/>
      <c r="EE367" s="39"/>
      <c r="EF367" s="39"/>
      <c r="EG367" s="39"/>
      <c r="EH367" s="39"/>
      <c r="EI367" s="39"/>
      <c r="EJ367" s="39"/>
      <c r="EK367" s="39"/>
      <c r="EL367" s="39"/>
      <c r="EM367" s="39"/>
      <c r="EN367" s="39"/>
      <c r="EO367" s="39"/>
      <c r="EP367" s="39"/>
      <c r="EQ367" s="39"/>
      <c r="ER367" s="39"/>
      <c r="ES367" s="39"/>
      <c r="ET367" s="39"/>
      <c r="EU367" s="39"/>
      <c r="EV367" s="39"/>
      <c r="EW367" s="39"/>
      <c r="EX367" s="39"/>
      <c r="EY367" s="39"/>
      <c r="EZ367" s="39"/>
      <c r="FA367" s="39"/>
      <c r="FB367" s="39"/>
      <c r="FC367" s="39"/>
      <c r="FD367" s="39"/>
      <c r="FE367" s="39"/>
      <c r="FF367" s="39"/>
      <c r="FG367" s="39"/>
      <c r="FH367" s="39"/>
      <c r="FI367" s="39"/>
      <c r="FJ367" s="39"/>
      <c r="FK367" s="39"/>
      <c r="FL367" s="39"/>
      <c r="FM367" s="39"/>
      <c r="FN367" s="39"/>
      <c r="FO367" s="39"/>
      <c r="FP367" s="39"/>
      <c r="FQ367" s="39"/>
      <c r="FR367" s="39"/>
      <c r="FS367" s="39"/>
      <c r="FT367" s="39"/>
      <c r="FU367" s="39"/>
      <c r="FV367" s="39"/>
      <c r="FW367" s="39"/>
      <c r="FX367" s="39"/>
      <c r="FY367" s="39"/>
      <c r="FZ367" s="39"/>
      <c r="GA367" s="39"/>
      <c r="GB367" s="39"/>
      <c r="GC367" s="39"/>
      <c r="GD367" s="39"/>
      <c r="GE367" s="39"/>
      <c r="GF367" s="39"/>
      <c r="GG367" s="39"/>
      <c r="GH367" s="39"/>
      <c r="GI367" s="39"/>
      <c r="GJ367" s="39"/>
      <c r="GK367" s="39"/>
      <c r="GL367" s="39"/>
      <c r="GM367" s="39"/>
      <c r="GN367" s="39"/>
      <c r="GO367" s="39"/>
      <c r="GP367" s="39"/>
      <c r="GQ367" s="39"/>
      <c r="GR367" s="39"/>
      <c r="GS367" s="39"/>
      <c r="GT367" s="39"/>
      <c r="GU367" s="39"/>
      <c r="GV367" s="39"/>
      <c r="GW367" s="39"/>
      <c r="GX367" s="39"/>
      <c r="GY367" s="39"/>
      <c r="GZ367" s="39"/>
      <c r="HA367" s="39"/>
      <c r="HB367" s="39"/>
      <c r="HC367" s="39"/>
      <c r="HD367" s="39"/>
      <c r="HE367" s="39"/>
      <c r="HF367" s="39"/>
      <c r="HG367" s="39"/>
      <c r="HH367" s="39"/>
      <c r="HI367" s="39"/>
      <c r="HJ367" s="39"/>
      <c r="HK367" s="39"/>
      <c r="HL367" s="39"/>
      <c r="HM367" s="39"/>
      <c r="HN367" s="39"/>
      <c r="HO367" s="39"/>
      <c r="HP367" s="39"/>
    </row>
    <row r="368" spans="3:224" s="4" customFormat="1" ht="20.100000000000001" customHeight="1">
      <c r="C368" s="34">
        <v>15205006</v>
      </c>
      <c r="D368" s="35" t="s">
        <v>390</v>
      </c>
      <c r="E368" s="35">
        <v>11200003</v>
      </c>
      <c r="F368" s="35">
        <v>12031</v>
      </c>
      <c r="G368" s="35">
        <v>1</v>
      </c>
      <c r="H368" s="35">
        <v>30</v>
      </c>
      <c r="I368" s="37">
        <v>0.2</v>
      </c>
      <c r="J368" s="30">
        <v>10</v>
      </c>
      <c r="K368" s="35">
        <v>0</v>
      </c>
      <c r="L368" s="35">
        <v>2930</v>
      </c>
      <c r="M368" s="35">
        <f t="shared" si="27"/>
        <v>21</v>
      </c>
      <c r="N368" s="35">
        <v>42</v>
      </c>
      <c r="O368" s="35">
        <v>0</v>
      </c>
      <c r="P368" s="35">
        <v>0</v>
      </c>
      <c r="Q368" s="35">
        <f t="shared" si="28"/>
        <v>15</v>
      </c>
      <c r="R368" s="35">
        <v>29</v>
      </c>
      <c r="S368" s="35">
        <f t="shared" si="29"/>
        <v>0</v>
      </c>
      <c r="T368" s="35">
        <v>0</v>
      </c>
      <c r="U368" s="37">
        <v>0</v>
      </c>
      <c r="V368" s="35">
        <v>0</v>
      </c>
      <c r="W368" s="35">
        <v>0</v>
      </c>
      <c r="X368" s="35">
        <v>0</v>
      </c>
      <c r="Y368" s="37">
        <v>0</v>
      </c>
      <c r="Z368" s="37">
        <v>0</v>
      </c>
      <c r="AA368" s="37">
        <v>0</v>
      </c>
      <c r="AB368" s="37">
        <v>0</v>
      </c>
      <c r="AC368" s="37">
        <v>0</v>
      </c>
      <c r="AD368" s="37">
        <v>0</v>
      </c>
      <c r="AE368" s="37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39"/>
      <c r="DD368" s="39"/>
      <c r="DE368" s="39"/>
      <c r="DF368" s="39"/>
      <c r="DG368" s="39"/>
      <c r="DH368" s="39"/>
      <c r="DI368" s="39"/>
      <c r="DJ368" s="39"/>
      <c r="DK368" s="39"/>
      <c r="DL368" s="39"/>
      <c r="DM368" s="39"/>
      <c r="DN368" s="39"/>
      <c r="DO368" s="39"/>
      <c r="DP368" s="39"/>
      <c r="DQ368" s="39"/>
      <c r="DR368" s="39"/>
      <c r="DS368" s="39"/>
      <c r="DT368" s="39"/>
      <c r="DU368" s="39"/>
      <c r="DV368" s="39"/>
      <c r="DW368" s="39"/>
      <c r="DX368" s="39"/>
      <c r="DY368" s="39"/>
      <c r="DZ368" s="39"/>
      <c r="EA368" s="39"/>
      <c r="EB368" s="39"/>
      <c r="EC368" s="39"/>
      <c r="ED368" s="39"/>
      <c r="EE368" s="39"/>
      <c r="EF368" s="39"/>
      <c r="EG368" s="39"/>
      <c r="EH368" s="39"/>
      <c r="EI368" s="39"/>
      <c r="EJ368" s="39"/>
      <c r="EK368" s="39"/>
      <c r="EL368" s="39"/>
      <c r="EM368" s="39"/>
      <c r="EN368" s="39"/>
      <c r="EO368" s="39"/>
      <c r="EP368" s="39"/>
      <c r="EQ368" s="39"/>
      <c r="ER368" s="39"/>
      <c r="ES368" s="39"/>
      <c r="ET368" s="39"/>
      <c r="EU368" s="39"/>
      <c r="EV368" s="39"/>
      <c r="EW368" s="39"/>
      <c r="EX368" s="39"/>
      <c r="EY368" s="39"/>
      <c r="EZ368" s="39"/>
      <c r="FA368" s="39"/>
      <c r="FB368" s="39"/>
      <c r="FC368" s="39"/>
      <c r="FD368" s="39"/>
      <c r="FE368" s="39"/>
      <c r="FF368" s="39"/>
      <c r="FG368" s="39"/>
      <c r="FH368" s="39"/>
      <c r="FI368" s="39"/>
      <c r="FJ368" s="39"/>
      <c r="FK368" s="39"/>
      <c r="FL368" s="39"/>
      <c r="FM368" s="39"/>
      <c r="FN368" s="39"/>
      <c r="FO368" s="39"/>
      <c r="FP368" s="39"/>
      <c r="FQ368" s="39"/>
      <c r="FR368" s="39"/>
      <c r="FS368" s="39"/>
      <c r="FT368" s="39"/>
      <c r="FU368" s="39"/>
      <c r="FV368" s="39"/>
      <c r="FW368" s="39"/>
      <c r="FX368" s="39"/>
      <c r="FY368" s="39"/>
      <c r="FZ368" s="39"/>
      <c r="GA368" s="39"/>
      <c r="GB368" s="39"/>
      <c r="GC368" s="39"/>
      <c r="GD368" s="39"/>
      <c r="GE368" s="39"/>
      <c r="GF368" s="39"/>
      <c r="GG368" s="39"/>
      <c r="GH368" s="39"/>
      <c r="GI368" s="39"/>
      <c r="GJ368" s="39"/>
      <c r="GK368" s="39"/>
      <c r="GL368" s="39"/>
      <c r="GM368" s="39"/>
      <c r="GN368" s="39"/>
      <c r="GO368" s="39"/>
      <c r="GP368" s="39"/>
      <c r="GQ368" s="39"/>
      <c r="GR368" s="39"/>
      <c r="GS368" s="39"/>
      <c r="GT368" s="39"/>
      <c r="GU368" s="39"/>
      <c r="GV368" s="39"/>
      <c r="GW368" s="39"/>
      <c r="GX368" s="39"/>
      <c r="GY368" s="39"/>
      <c r="GZ368" s="39"/>
      <c r="HA368" s="39"/>
      <c r="HB368" s="39"/>
      <c r="HC368" s="39"/>
      <c r="HD368" s="39"/>
      <c r="HE368" s="39"/>
      <c r="HF368" s="39"/>
      <c r="HG368" s="39"/>
      <c r="HH368" s="39"/>
      <c r="HI368" s="39"/>
      <c r="HJ368" s="39"/>
      <c r="HK368" s="39"/>
      <c r="HL368" s="39"/>
      <c r="HM368" s="39"/>
      <c r="HN368" s="39"/>
      <c r="HO368" s="39"/>
      <c r="HP368" s="39"/>
    </row>
    <row r="369" spans="3:224" s="3" customFormat="1" ht="20.100000000000001" customHeight="1">
      <c r="C369" s="26">
        <v>15205007</v>
      </c>
      <c r="D369" s="40" t="s">
        <v>391</v>
      </c>
      <c r="E369" s="28">
        <v>11200003</v>
      </c>
      <c r="F369" s="28">
        <v>0</v>
      </c>
      <c r="G369" s="28">
        <v>1</v>
      </c>
      <c r="H369" s="28">
        <v>30</v>
      </c>
      <c r="I369" s="31">
        <v>0.2</v>
      </c>
      <c r="J369" s="30">
        <v>10</v>
      </c>
      <c r="K369" s="28">
        <v>0</v>
      </c>
      <c r="L369" s="28">
        <v>3350</v>
      </c>
      <c r="M369" s="28">
        <f t="shared" ref="M369" si="41">ROUND(N369/2,0)</f>
        <v>25</v>
      </c>
      <c r="N369" s="28">
        <v>50</v>
      </c>
      <c r="O369" s="28">
        <v>0</v>
      </c>
      <c r="P369" s="28">
        <v>0</v>
      </c>
      <c r="Q369" s="28">
        <f t="shared" ref="Q369" si="42">ROUND(R369/2,0)</f>
        <v>18</v>
      </c>
      <c r="R369" s="28">
        <v>36</v>
      </c>
      <c r="S369" s="28">
        <f t="shared" ref="S369" si="43">ROUND(T369/2,0)</f>
        <v>0</v>
      </c>
      <c r="T369" s="28">
        <v>0</v>
      </c>
      <c r="U369" s="31">
        <v>0</v>
      </c>
      <c r="V369" s="28">
        <v>0</v>
      </c>
      <c r="W369" s="28">
        <v>0</v>
      </c>
      <c r="X369" s="28">
        <v>0</v>
      </c>
      <c r="Y369" s="31">
        <v>0</v>
      </c>
      <c r="Z369" s="31">
        <v>0</v>
      </c>
      <c r="AA369" s="31">
        <v>0</v>
      </c>
      <c r="AB369" s="31">
        <v>120501</v>
      </c>
      <c r="AC369" s="31">
        <v>1</v>
      </c>
      <c r="AD369" s="31">
        <v>1</v>
      </c>
      <c r="AE369" s="31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3"/>
      <c r="CA369" s="33"/>
      <c r="CB369" s="33"/>
      <c r="CC369" s="33"/>
      <c r="CD369" s="33"/>
      <c r="CE369" s="33"/>
      <c r="CF369" s="33"/>
      <c r="CG369" s="33"/>
      <c r="CH369" s="33"/>
      <c r="CI369" s="33"/>
      <c r="CJ369" s="33"/>
      <c r="CK369" s="33"/>
      <c r="CL369" s="33"/>
      <c r="CM369" s="33"/>
      <c r="CN369" s="33"/>
      <c r="CO369" s="33"/>
      <c r="CP369" s="33"/>
      <c r="CQ369" s="33"/>
      <c r="CR369" s="33"/>
      <c r="CS369" s="33"/>
      <c r="CT369" s="33"/>
      <c r="CU369" s="33"/>
      <c r="CV369" s="33"/>
      <c r="CW369" s="33"/>
      <c r="CX369" s="33"/>
      <c r="CY369" s="33"/>
      <c r="CZ369" s="33"/>
      <c r="DA369" s="33"/>
      <c r="DB369" s="33"/>
      <c r="DC369" s="33"/>
      <c r="DD369" s="33"/>
      <c r="DE369" s="33"/>
      <c r="DF369" s="33"/>
      <c r="DG369" s="33"/>
      <c r="DH369" s="33"/>
      <c r="DI369" s="33"/>
      <c r="DJ369" s="33"/>
      <c r="DK369" s="33"/>
      <c r="DL369" s="33"/>
      <c r="DM369" s="33"/>
      <c r="DN369" s="33"/>
      <c r="DO369" s="33"/>
      <c r="DP369" s="33"/>
      <c r="DQ369" s="33"/>
      <c r="DR369" s="33"/>
      <c r="DS369" s="33"/>
      <c r="DT369" s="33"/>
      <c r="DU369" s="33"/>
      <c r="DV369" s="33"/>
      <c r="DW369" s="33"/>
      <c r="DX369" s="33"/>
      <c r="DY369" s="33"/>
      <c r="DZ369" s="33"/>
      <c r="EA369" s="33"/>
      <c r="EB369" s="33"/>
      <c r="EC369" s="33"/>
      <c r="ED369" s="33"/>
      <c r="EE369" s="33"/>
      <c r="EF369" s="33"/>
      <c r="EG369" s="33"/>
      <c r="EH369" s="33"/>
      <c r="EI369" s="33"/>
      <c r="EJ369" s="33"/>
      <c r="EK369" s="33"/>
      <c r="EL369" s="33"/>
      <c r="EM369" s="33"/>
      <c r="EN369" s="33"/>
      <c r="EO369" s="33"/>
      <c r="EP369" s="33"/>
      <c r="EQ369" s="33"/>
      <c r="ER369" s="33"/>
      <c r="ES369" s="33"/>
      <c r="ET369" s="33"/>
      <c r="EU369" s="33"/>
      <c r="EV369" s="33"/>
      <c r="EW369" s="33"/>
      <c r="EX369" s="33"/>
      <c r="EY369" s="33"/>
      <c r="EZ369" s="33"/>
      <c r="FA369" s="33"/>
      <c r="FB369" s="33"/>
      <c r="FC369" s="33"/>
      <c r="FD369" s="33"/>
      <c r="FE369" s="33"/>
      <c r="FF369" s="33"/>
      <c r="FG369" s="33"/>
      <c r="FH369" s="33"/>
      <c r="FI369" s="33"/>
      <c r="FJ369" s="33"/>
      <c r="FK369" s="33"/>
      <c r="FL369" s="33"/>
      <c r="FM369" s="33"/>
      <c r="FN369" s="33"/>
      <c r="FO369" s="33"/>
      <c r="FP369" s="33"/>
      <c r="FQ369" s="33"/>
      <c r="FR369" s="33"/>
      <c r="FS369" s="33"/>
      <c r="FT369" s="33"/>
      <c r="FU369" s="33"/>
      <c r="FV369" s="33"/>
      <c r="FW369" s="33"/>
      <c r="FX369" s="33"/>
      <c r="FY369" s="33"/>
      <c r="FZ369" s="33"/>
      <c r="GA369" s="33"/>
      <c r="GB369" s="33"/>
      <c r="GC369" s="33"/>
      <c r="GD369" s="33"/>
      <c r="GE369" s="33"/>
      <c r="GF369" s="33"/>
      <c r="GG369" s="33"/>
      <c r="GH369" s="33"/>
      <c r="GI369" s="33"/>
      <c r="GJ369" s="33"/>
      <c r="GK369" s="33"/>
      <c r="GL369" s="33"/>
      <c r="GM369" s="33"/>
      <c r="GN369" s="33"/>
      <c r="GO369" s="33"/>
      <c r="GP369" s="33"/>
      <c r="GQ369" s="33"/>
      <c r="GR369" s="33"/>
      <c r="GS369" s="33"/>
      <c r="GT369" s="33"/>
      <c r="GU369" s="33"/>
      <c r="GV369" s="33"/>
      <c r="GW369" s="33"/>
      <c r="GX369" s="33"/>
      <c r="GY369" s="33"/>
      <c r="GZ369" s="33"/>
      <c r="HA369" s="33"/>
      <c r="HB369" s="33"/>
      <c r="HC369" s="33"/>
      <c r="HD369" s="33"/>
      <c r="HE369" s="33"/>
      <c r="HF369" s="33"/>
      <c r="HG369" s="33"/>
      <c r="HH369" s="33"/>
      <c r="HI369" s="33"/>
      <c r="HJ369" s="33"/>
      <c r="HK369" s="33"/>
      <c r="HL369" s="33"/>
      <c r="HM369" s="33"/>
      <c r="HN369" s="33"/>
      <c r="HO369" s="33"/>
      <c r="HP369" s="33"/>
    </row>
    <row r="370" spans="3:224" ht="20.100000000000001" customHeight="1">
      <c r="C370" s="24">
        <v>15206001</v>
      </c>
      <c r="D370" s="25" t="s">
        <v>392</v>
      </c>
      <c r="E370" s="25">
        <v>11200002</v>
      </c>
      <c r="F370" s="25">
        <v>0</v>
      </c>
      <c r="G370" s="25">
        <v>1</v>
      </c>
      <c r="H370" s="25">
        <v>30</v>
      </c>
      <c r="I370" s="29">
        <v>0.2</v>
      </c>
      <c r="J370" s="30">
        <v>10</v>
      </c>
      <c r="K370" s="25">
        <v>0</v>
      </c>
      <c r="L370" s="25">
        <v>0</v>
      </c>
      <c r="M370" s="25">
        <f t="shared" si="27"/>
        <v>45</v>
      </c>
      <c r="N370" s="25">
        <v>90</v>
      </c>
      <c r="O370" s="25">
        <v>0</v>
      </c>
      <c r="P370" s="25">
        <v>0</v>
      </c>
      <c r="Q370" s="25">
        <f t="shared" si="28"/>
        <v>13</v>
      </c>
      <c r="R370" s="25">
        <v>25</v>
      </c>
      <c r="S370" s="25">
        <f t="shared" si="29"/>
        <v>0</v>
      </c>
      <c r="T370" s="25">
        <v>0</v>
      </c>
      <c r="U370" s="29">
        <v>0</v>
      </c>
      <c r="V370" s="25">
        <v>0</v>
      </c>
      <c r="W370" s="25">
        <v>0</v>
      </c>
      <c r="X370" s="25">
        <v>0</v>
      </c>
      <c r="Y370" s="29">
        <v>0</v>
      </c>
      <c r="Z370" s="29">
        <v>0</v>
      </c>
      <c r="AA370" s="29">
        <v>0</v>
      </c>
      <c r="AB370" s="29">
        <v>0</v>
      </c>
      <c r="AC370" s="29">
        <v>0</v>
      </c>
      <c r="AD370" s="29">
        <v>0</v>
      </c>
      <c r="AE370" s="29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/>
      <c r="HK370" s="5"/>
      <c r="HL370" s="5"/>
      <c r="HM370" s="5"/>
      <c r="HN370" s="5"/>
      <c r="HO370" s="5"/>
      <c r="HP370" s="5"/>
    </row>
    <row r="371" spans="3:224" ht="20.100000000000001" customHeight="1">
      <c r="C371" s="24">
        <v>15206002</v>
      </c>
      <c r="D371" s="25" t="s">
        <v>393</v>
      </c>
      <c r="E371" s="25">
        <v>11200002</v>
      </c>
      <c r="F371" s="25">
        <v>0</v>
      </c>
      <c r="G371" s="25">
        <v>1</v>
      </c>
      <c r="H371" s="25">
        <v>30</v>
      </c>
      <c r="I371" s="29">
        <v>0.2</v>
      </c>
      <c r="J371" s="30">
        <v>10</v>
      </c>
      <c r="K371" s="25">
        <v>0</v>
      </c>
      <c r="L371" s="25">
        <v>0</v>
      </c>
      <c r="M371" s="25">
        <f t="shared" si="27"/>
        <v>55</v>
      </c>
      <c r="N371" s="25">
        <v>110</v>
      </c>
      <c r="O371" s="25">
        <v>0</v>
      </c>
      <c r="P371" s="25">
        <v>0</v>
      </c>
      <c r="Q371" s="25">
        <f t="shared" si="28"/>
        <v>17</v>
      </c>
      <c r="R371" s="25">
        <v>34</v>
      </c>
      <c r="S371" s="25">
        <f t="shared" si="29"/>
        <v>0</v>
      </c>
      <c r="T371" s="25">
        <v>0</v>
      </c>
      <c r="U371" s="29">
        <v>0</v>
      </c>
      <c r="V371" s="25">
        <v>0</v>
      </c>
      <c r="W371" s="25">
        <v>0</v>
      </c>
      <c r="X371" s="25">
        <v>0</v>
      </c>
      <c r="Y371" s="29">
        <v>0</v>
      </c>
      <c r="Z371" s="29">
        <v>0</v>
      </c>
      <c r="AA371" s="29">
        <v>0</v>
      </c>
      <c r="AB371" s="29">
        <v>0</v>
      </c>
      <c r="AC371" s="29">
        <v>0</v>
      </c>
      <c r="AD371" s="29">
        <v>0</v>
      </c>
      <c r="AE371" s="29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  <c r="HJ371" s="5"/>
      <c r="HK371" s="5"/>
      <c r="HL371" s="5"/>
      <c r="HM371" s="5"/>
      <c r="HN371" s="5"/>
      <c r="HO371" s="5"/>
      <c r="HP371" s="5"/>
    </row>
    <row r="372" spans="3:224" ht="20.100000000000001" customHeight="1">
      <c r="C372" s="24">
        <v>15206003</v>
      </c>
      <c r="D372" s="36" t="s">
        <v>394</v>
      </c>
      <c r="E372" s="25">
        <v>11200002</v>
      </c>
      <c r="F372" s="25">
        <v>12051</v>
      </c>
      <c r="G372" s="25">
        <v>1</v>
      </c>
      <c r="H372" s="25">
        <v>30</v>
      </c>
      <c r="I372" s="29">
        <v>0.2</v>
      </c>
      <c r="J372" s="30">
        <v>10</v>
      </c>
      <c r="K372" s="25">
        <v>0</v>
      </c>
      <c r="L372" s="25">
        <v>0</v>
      </c>
      <c r="M372" s="25">
        <f t="shared" ref="M372" si="44">ROUND(N372/2,0)</f>
        <v>75</v>
      </c>
      <c r="N372" s="25">
        <v>150</v>
      </c>
      <c r="O372" s="25">
        <v>0</v>
      </c>
      <c r="P372" s="25">
        <v>0</v>
      </c>
      <c r="Q372" s="25">
        <f t="shared" ref="Q372" si="45">ROUND(R372/2,0)</f>
        <v>23</v>
      </c>
      <c r="R372" s="25">
        <v>45</v>
      </c>
      <c r="S372" s="25">
        <f t="shared" ref="S372" si="46">ROUND(T372/2,0)</f>
        <v>0</v>
      </c>
      <c r="T372" s="25">
        <v>0</v>
      </c>
      <c r="U372" s="29">
        <v>0</v>
      </c>
      <c r="V372" s="25">
        <v>0</v>
      </c>
      <c r="W372" s="25">
        <v>0</v>
      </c>
      <c r="X372" s="25">
        <v>0</v>
      </c>
      <c r="Y372" s="29">
        <v>0</v>
      </c>
      <c r="Z372" s="29">
        <v>0</v>
      </c>
      <c r="AA372" s="29">
        <v>0</v>
      </c>
      <c r="AB372" s="29">
        <v>100403</v>
      </c>
      <c r="AC372" s="29">
        <v>100</v>
      </c>
      <c r="AD372" s="29">
        <v>1</v>
      </c>
      <c r="AE372" s="29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  <c r="HJ372" s="5"/>
      <c r="HK372" s="5"/>
      <c r="HL372" s="5"/>
      <c r="HM372" s="5"/>
      <c r="HN372" s="5"/>
      <c r="HO372" s="5"/>
      <c r="HP372" s="5"/>
    </row>
    <row r="373" spans="3:224" ht="20.100000000000001" customHeight="1">
      <c r="C373" s="24">
        <v>15207001</v>
      </c>
      <c r="D373" s="25" t="s">
        <v>395</v>
      </c>
      <c r="E373" s="25">
        <v>11200002</v>
      </c>
      <c r="F373" s="25">
        <v>0</v>
      </c>
      <c r="G373" s="25">
        <v>1</v>
      </c>
      <c r="H373" s="25">
        <v>30</v>
      </c>
      <c r="I373" s="29">
        <v>0.2</v>
      </c>
      <c r="J373" s="30">
        <v>10</v>
      </c>
      <c r="K373" s="25">
        <v>0</v>
      </c>
      <c r="L373" s="25">
        <v>0</v>
      </c>
      <c r="M373" s="25">
        <f t="shared" si="27"/>
        <v>45</v>
      </c>
      <c r="N373" s="25">
        <v>90</v>
      </c>
      <c r="O373" s="25">
        <v>0</v>
      </c>
      <c r="P373" s="25">
        <v>0</v>
      </c>
      <c r="Q373" s="25">
        <f t="shared" si="28"/>
        <v>0</v>
      </c>
      <c r="R373" s="25">
        <v>0</v>
      </c>
      <c r="S373" s="25">
        <f t="shared" si="29"/>
        <v>13</v>
      </c>
      <c r="T373" s="25">
        <v>25</v>
      </c>
      <c r="U373" s="29">
        <v>0</v>
      </c>
      <c r="V373" s="25">
        <v>0</v>
      </c>
      <c r="W373" s="25">
        <v>0</v>
      </c>
      <c r="X373" s="25">
        <v>0</v>
      </c>
      <c r="Y373" s="29">
        <v>0</v>
      </c>
      <c r="Z373" s="29">
        <v>0</v>
      </c>
      <c r="AA373" s="29">
        <v>0</v>
      </c>
      <c r="AB373" s="29">
        <v>0</v>
      </c>
      <c r="AC373" s="29">
        <v>0</v>
      </c>
      <c r="AD373" s="29">
        <v>0</v>
      </c>
      <c r="AE373" s="29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  <c r="HJ373" s="5"/>
      <c r="HK373" s="5"/>
      <c r="HL373" s="5"/>
      <c r="HM373" s="5"/>
      <c r="HN373" s="5"/>
      <c r="HO373" s="5"/>
      <c r="HP373" s="5"/>
    </row>
    <row r="374" spans="3:224" ht="20.100000000000001" customHeight="1">
      <c r="C374" s="24">
        <v>15207002</v>
      </c>
      <c r="D374" s="25" t="s">
        <v>396</v>
      </c>
      <c r="E374" s="25">
        <v>11200002</v>
      </c>
      <c r="F374" s="25">
        <v>0</v>
      </c>
      <c r="G374" s="25">
        <v>1</v>
      </c>
      <c r="H374" s="25">
        <v>30</v>
      </c>
      <c r="I374" s="29">
        <v>0.2</v>
      </c>
      <c r="J374" s="30">
        <v>10</v>
      </c>
      <c r="K374" s="25">
        <v>0</v>
      </c>
      <c r="L374" s="25">
        <v>0</v>
      </c>
      <c r="M374" s="25">
        <f t="shared" si="27"/>
        <v>55</v>
      </c>
      <c r="N374" s="25">
        <v>110</v>
      </c>
      <c r="O374" s="25">
        <v>0</v>
      </c>
      <c r="P374" s="25">
        <v>0</v>
      </c>
      <c r="Q374" s="25">
        <f t="shared" si="28"/>
        <v>0</v>
      </c>
      <c r="R374" s="25">
        <v>0</v>
      </c>
      <c r="S374" s="25">
        <f t="shared" si="29"/>
        <v>17</v>
      </c>
      <c r="T374" s="25">
        <v>34</v>
      </c>
      <c r="U374" s="29">
        <v>0</v>
      </c>
      <c r="V374" s="25">
        <v>0</v>
      </c>
      <c r="W374" s="25">
        <v>0</v>
      </c>
      <c r="X374" s="25">
        <v>0</v>
      </c>
      <c r="Y374" s="29">
        <v>0</v>
      </c>
      <c r="Z374" s="29">
        <v>0</v>
      </c>
      <c r="AA374" s="29">
        <v>0</v>
      </c>
      <c r="AB374" s="29">
        <v>0</v>
      </c>
      <c r="AC374" s="29">
        <v>0</v>
      </c>
      <c r="AD374" s="29">
        <v>0</v>
      </c>
      <c r="AE374" s="29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  <c r="HM374" s="5"/>
      <c r="HN374" s="5"/>
      <c r="HO374" s="5"/>
      <c r="HP374" s="5"/>
    </row>
    <row r="375" spans="3:224" s="3" customFormat="1" ht="20.100000000000001" customHeight="1">
      <c r="C375" s="26">
        <v>15207003</v>
      </c>
      <c r="D375" s="28" t="s">
        <v>397</v>
      </c>
      <c r="E375" s="28">
        <v>11200002</v>
      </c>
      <c r="F375" s="28">
        <v>0</v>
      </c>
      <c r="G375" s="28">
        <v>1</v>
      </c>
      <c r="H375" s="28">
        <v>30</v>
      </c>
      <c r="I375" s="31">
        <v>0.2</v>
      </c>
      <c r="J375" s="30">
        <v>10</v>
      </c>
      <c r="K375" s="28">
        <v>0</v>
      </c>
      <c r="L375" s="28">
        <v>0</v>
      </c>
      <c r="M375" s="28">
        <f t="shared" ref="M375" si="47">ROUND(N375/2,0)</f>
        <v>65</v>
      </c>
      <c r="N375" s="28">
        <v>130</v>
      </c>
      <c r="O375" s="28">
        <v>0</v>
      </c>
      <c r="P375" s="28">
        <v>0</v>
      </c>
      <c r="Q375" s="28">
        <f t="shared" ref="Q375" si="48">ROUND(R375/2,0)</f>
        <v>0</v>
      </c>
      <c r="R375" s="28">
        <v>0</v>
      </c>
      <c r="S375" s="28">
        <f t="shared" ref="S375" si="49">ROUND(T375/2,0)</f>
        <v>23</v>
      </c>
      <c r="T375" s="28">
        <v>46</v>
      </c>
      <c r="U375" s="31">
        <v>0</v>
      </c>
      <c r="V375" s="28">
        <v>0</v>
      </c>
      <c r="W375" s="28">
        <v>0</v>
      </c>
      <c r="X375" s="28">
        <v>0</v>
      </c>
      <c r="Y375" s="31">
        <v>0</v>
      </c>
      <c r="Z375" s="31">
        <v>0</v>
      </c>
      <c r="AA375" s="31">
        <v>0</v>
      </c>
      <c r="AB375" s="31">
        <v>100902</v>
      </c>
      <c r="AC375" s="31">
        <v>300</v>
      </c>
      <c r="AD375" s="31">
        <v>1</v>
      </c>
      <c r="AE375" s="31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T375" s="33"/>
      <c r="BU375" s="33"/>
      <c r="BV375" s="33"/>
      <c r="BW375" s="33"/>
      <c r="BX375" s="33"/>
      <c r="BY375" s="33"/>
      <c r="BZ375" s="33"/>
      <c r="CA375" s="33"/>
      <c r="CB375" s="33"/>
      <c r="CC375" s="33"/>
      <c r="CD375" s="33"/>
      <c r="CE375" s="33"/>
      <c r="CF375" s="33"/>
      <c r="CG375" s="33"/>
      <c r="CH375" s="33"/>
      <c r="CI375" s="33"/>
      <c r="CJ375" s="33"/>
      <c r="CK375" s="33"/>
      <c r="CL375" s="33"/>
      <c r="CM375" s="33"/>
      <c r="CN375" s="33"/>
      <c r="CO375" s="33"/>
      <c r="CP375" s="33"/>
      <c r="CQ375" s="33"/>
      <c r="CR375" s="33"/>
      <c r="CS375" s="33"/>
      <c r="CT375" s="33"/>
      <c r="CU375" s="33"/>
      <c r="CV375" s="33"/>
      <c r="CW375" s="33"/>
      <c r="CX375" s="33"/>
      <c r="CY375" s="33"/>
      <c r="CZ375" s="33"/>
      <c r="DA375" s="33"/>
      <c r="DB375" s="33"/>
      <c r="DC375" s="33"/>
      <c r="DD375" s="33"/>
      <c r="DE375" s="33"/>
      <c r="DF375" s="33"/>
      <c r="DG375" s="33"/>
      <c r="DH375" s="33"/>
      <c r="DI375" s="33"/>
      <c r="DJ375" s="33"/>
      <c r="DK375" s="33"/>
      <c r="DL375" s="33"/>
      <c r="DM375" s="33"/>
      <c r="DN375" s="33"/>
      <c r="DO375" s="33"/>
      <c r="DP375" s="33"/>
      <c r="DQ375" s="33"/>
      <c r="DR375" s="33"/>
      <c r="DS375" s="33"/>
      <c r="DT375" s="33"/>
      <c r="DU375" s="33"/>
      <c r="DV375" s="33"/>
      <c r="DW375" s="33"/>
      <c r="DX375" s="33"/>
      <c r="DY375" s="33"/>
      <c r="DZ375" s="33"/>
      <c r="EA375" s="33"/>
      <c r="EB375" s="33"/>
      <c r="EC375" s="33"/>
      <c r="ED375" s="33"/>
      <c r="EE375" s="33"/>
      <c r="EF375" s="33"/>
      <c r="EG375" s="33"/>
      <c r="EH375" s="33"/>
      <c r="EI375" s="33"/>
      <c r="EJ375" s="33"/>
      <c r="EK375" s="33"/>
      <c r="EL375" s="33"/>
      <c r="EM375" s="33"/>
      <c r="EN375" s="33"/>
      <c r="EO375" s="33"/>
      <c r="EP375" s="33"/>
      <c r="EQ375" s="33"/>
      <c r="ER375" s="33"/>
      <c r="ES375" s="33"/>
      <c r="ET375" s="33"/>
      <c r="EU375" s="33"/>
      <c r="EV375" s="33"/>
      <c r="EW375" s="33"/>
      <c r="EX375" s="33"/>
      <c r="EY375" s="33"/>
      <c r="EZ375" s="33"/>
      <c r="FA375" s="33"/>
      <c r="FB375" s="33"/>
      <c r="FC375" s="33"/>
      <c r="FD375" s="33"/>
      <c r="FE375" s="33"/>
      <c r="FF375" s="33"/>
      <c r="FG375" s="33"/>
      <c r="FH375" s="33"/>
      <c r="FI375" s="33"/>
      <c r="FJ375" s="33"/>
      <c r="FK375" s="33"/>
      <c r="FL375" s="33"/>
      <c r="FM375" s="33"/>
      <c r="FN375" s="33"/>
      <c r="FO375" s="33"/>
      <c r="FP375" s="33"/>
      <c r="FQ375" s="33"/>
      <c r="FR375" s="33"/>
      <c r="FS375" s="33"/>
      <c r="FT375" s="33"/>
      <c r="FU375" s="33"/>
      <c r="FV375" s="33"/>
      <c r="FW375" s="33"/>
      <c r="FX375" s="33"/>
      <c r="FY375" s="33"/>
      <c r="FZ375" s="33"/>
      <c r="GA375" s="33"/>
      <c r="GB375" s="33"/>
      <c r="GC375" s="33"/>
      <c r="GD375" s="33"/>
      <c r="GE375" s="33"/>
      <c r="GF375" s="33"/>
      <c r="GG375" s="33"/>
      <c r="GH375" s="33"/>
      <c r="GI375" s="33"/>
      <c r="GJ375" s="33"/>
      <c r="GK375" s="33"/>
      <c r="GL375" s="33"/>
      <c r="GM375" s="33"/>
      <c r="GN375" s="33"/>
      <c r="GO375" s="33"/>
      <c r="GP375" s="33"/>
      <c r="GQ375" s="33"/>
      <c r="GR375" s="33"/>
      <c r="GS375" s="33"/>
      <c r="GT375" s="33"/>
      <c r="GU375" s="33"/>
      <c r="GV375" s="33"/>
      <c r="GW375" s="33"/>
      <c r="GX375" s="33"/>
      <c r="GY375" s="33"/>
      <c r="GZ375" s="33"/>
      <c r="HA375" s="33"/>
      <c r="HB375" s="33"/>
      <c r="HC375" s="33"/>
      <c r="HD375" s="33"/>
      <c r="HE375" s="33"/>
      <c r="HF375" s="33"/>
      <c r="HG375" s="33"/>
      <c r="HH375" s="33"/>
      <c r="HI375" s="33"/>
      <c r="HJ375" s="33"/>
      <c r="HK375" s="33"/>
      <c r="HL375" s="33"/>
      <c r="HM375" s="33"/>
      <c r="HN375" s="33"/>
      <c r="HO375" s="33"/>
      <c r="HP375" s="33"/>
    </row>
    <row r="376" spans="3:224" ht="20.100000000000001" customHeight="1">
      <c r="C376" s="24">
        <v>15208001</v>
      </c>
      <c r="D376" s="25" t="s">
        <v>329</v>
      </c>
      <c r="E376" s="25">
        <v>11200002</v>
      </c>
      <c r="F376" s="25">
        <v>0</v>
      </c>
      <c r="G376" s="25">
        <v>1</v>
      </c>
      <c r="H376" s="25">
        <v>30</v>
      </c>
      <c r="I376" s="29">
        <v>0.2</v>
      </c>
      <c r="J376" s="30">
        <v>10</v>
      </c>
      <c r="K376" s="25">
        <v>0</v>
      </c>
      <c r="L376" s="25">
        <v>0</v>
      </c>
      <c r="M376" s="25">
        <f t="shared" si="27"/>
        <v>10</v>
      </c>
      <c r="N376" s="25">
        <v>20</v>
      </c>
      <c r="O376" s="25">
        <v>0</v>
      </c>
      <c r="P376" s="25">
        <v>0</v>
      </c>
      <c r="Q376" s="25">
        <f t="shared" si="28"/>
        <v>0</v>
      </c>
      <c r="R376" s="25">
        <v>0</v>
      </c>
      <c r="S376" s="25">
        <f t="shared" si="29"/>
        <v>0</v>
      </c>
      <c r="T376" s="25">
        <v>0</v>
      </c>
      <c r="U376" s="29">
        <v>0</v>
      </c>
      <c r="V376" s="25">
        <v>0</v>
      </c>
      <c r="W376" s="25">
        <v>0</v>
      </c>
      <c r="X376" s="25">
        <v>0</v>
      </c>
      <c r="Y376" s="29">
        <v>0</v>
      </c>
      <c r="Z376" s="29">
        <v>0</v>
      </c>
      <c r="AA376" s="29">
        <v>0</v>
      </c>
      <c r="AB376" s="29">
        <v>0</v>
      </c>
      <c r="AC376" s="29">
        <v>0</v>
      </c>
      <c r="AD376" s="29">
        <v>0</v>
      </c>
      <c r="AE376" s="29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/>
      <c r="HK376" s="5"/>
      <c r="HL376" s="5"/>
      <c r="HM376" s="5"/>
      <c r="HN376" s="5"/>
      <c r="HO376" s="5"/>
      <c r="HP376" s="5"/>
    </row>
    <row r="377" spans="3:224" ht="20.100000000000001" customHeight="1">
      <c r="C377" s="24">
        <v>15208002</v>
      </c>
      <c r="D377" s="25" t="s">
        <v>398</v>
      </c>
      <c r="E377" s="25">
        <v>11200002</v>
      </c>
      <c r="F377" s="25">
        <v>0</v>
      </c>
      <c r="G377" s="25">
        <v>1</v>
      </c>
      <c r="H377" s="25">
        <v>30</v>
      </c>
      <c r="I377" s="29">
        <v>0.2</v>
      </c>
      <c r="J377" s="30">
        <v>10</v>
      </c>
      <c r="K377" s="25">
        <v>0</v>
      </c>
      <c r="L377" s="25">
        <v>0</v>
      </c>
      <c r="M377" s="25">
        <f t="shared" ref="M377:M466" si="50">ROUND(N377/2,0)</f>
        <v>13</v>
      </c>
      <c r="N377" s="25">
        <v>25</v>
      </c>
      <c r="O377" s="25">
        <v>0</v>
      </c>
      <c r="P377" s="25">
        <v>0</v>
      </c>
      <c r="Q377" s="25">
        <f t="shared" ref="Q377:Q466" si="51">ROUND(R377/2,0)</f>
        <v>0</v>
      </c>
      <c r="R377" s="25">
        <v>0</v>
      </c>
      <c r="S377" s="25">
        <f t="shared" ref="S377:S466" si="52">ROUND(T377/2,0)</f>
        <v>0</v>
      </c>
      <c r="T377" s="25">
        <v>0</v>
      </c>
      <c r="U377" s="29">
        <v>0</v>
      </c>
      <c r="V377" s="25">
        <v>0</v>
      </c>
      <c r="W377" s="25">
        <v>0</v>
      </c>
      <c r="X377" s="25">
        <v>0</v>
      </c>
      <c r="Y377" s="29">
        <v>0</v>
      </c>
      <c r="Z377" s="29">
        <v>0</v>
      </c>
      <c r="AA377" s="29">
        <v>0</v>
      </c>
      <c r="AB377" s="29">
        <v>0</v>
      </c>
      <c r="AC377" s="29">
        <v>0</v>
      </c>
      <c r="AD377" s="29">
        <v>0</v>
      </c>
      <c r="AE377" s="29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/>
      <c r="HK377" s="5"/>
      <c r="HL377" s="5"/>
      <c r="HM377" s="5"/>
      <c r="HN377" s="5"/>
      <c r="HO377" s="5"/>
      <c r="HP377" s="5"/>
    </row>
    <row r="378" spans="3:224" s="3" customFormat="1" ht="20.100000000000001" customHeight="1">
      <c r="C378" s="26">
        <v>15208003</v>
      </c>
      <c r="D378" s="40" t="s">
        <v>399</v>
      </c>
      <c r="E378" s="28">
        <v>11200002</v>
      </c>
      <c r="F378" s="28">
        <v>0</v>
      </c>
      <c r="G378" s="28">
        <v>1</v>
      </c>
      <c r="H378" s="28">
        <v>30</v>
      </c>
      <c r="I378" s="31">
        <v>0.2</v>
      </c>
      <c r="J378" s="30">
        <v>10</v>
      </c>
      <c r="K378" s="28">
        <v>0</v>
      </c>
      <c r="L378" s="28">
        <v>0</v>
      </c>
      <c r="M378" s="28">
        <f t="shared" ref="M378" si="53">ROUND(N378/2,0)</f>
        <v>15</v>
      </c>
      <c r="N378" s="28">
        <v>30</v>
      </c>
      <c r="O378" s="28">
        <v>0</v>
      </c>
      <c r="P378" s="28">
        <v>0</v>
      </c>
      <c r="Q378" s="28">
        <f t="shared" ref="Q378" si="54">ROUND(R378/2,0)</f>
        <v>0</v>
      </c>
      <c r="R378" s="28">
        <v>0</v>
      </c>
      <c r="S378" s="28">
        <f t="shared" ref="S378" si="55">ROUND(T378/2,0)</f>
        <v>0</v>
      </c>
      <c r="T378" s="28">
        <v>0</v>
      </c>
      <c r="U378" s="31">
        <v>0</v>
      </c>
      <c r="V378" s="28">
        <v>0</v>
      </c>
      <c r="W378" s="28">
        <v>0</v>
      </c>
      <c r="X378" s="28">
        <v>0</v>
      </c>
      <c r="Y378" s="31">
        <v>0</v>
      </c>
      <c r="Z378" s="31">
        <v>0</v>
      </c>
      <c r="AA378" s="31">
        <v>0</v>
      </c>
      <c r="AB378" s="31">
        <v>0</v>
      </c>
      <c r="AC378" s="31">
        <v>0</v>
      </c>
      <c r="AD378" s="31">
        <v>0</v>
      </c>
      <c r="AE378" s="31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  <c r="BU378" s="33"/>
      <c r="BV378" s="33"/>
      <c r="BW378" s="33"/>
      <c r="BX378" s="33"/>
      <c r="BY378" s="33"/>
      <c r="BZ378" s="33"/>
      <c r="CA378" s="33"/>
      <c r="CB378" s="33"/>
      <c r="CC378" s="33"/>
      <c r="CD378" s="33"/>
      <c r="CE378" s="33"/>
      <c r="CF378" s="33"/>
      <c r="CG378" s="33"/>
      <c r="CH378" s="33"/>
      <c r="CI378" s="33"/>
      <c r="CJ378" s="33"/>
      <c r="CK378" s="33"/>
      <c r="CL378" s="33"/>
      <c r="CM378" s="33"/>
      <c r="CN378" s="33"/>
      <c r="CO378" s="33"/>
      <c r="CP378" s="33"/>
      <c r="CQ378" s="33"/>
      <c r="CR378" s="33"/>
      <c r="CS378" s="33"/>
      <c r="CT378" s="33"/>
      <c r="CU378" s="33"/>
      <c r="CV378" s="33"/>
      <c r="CW378" s="33"/>
      <c r="CX378" s="33"/>
      <c r="CY378" s="33"/>
      <c r="CZ378" s="33"/>
      <c r="DA378" s="33"/>
      <c r="DB378" s="33"/>
      <c r="DC378" s="33"/>
      <c r="DD378" s="33"/>
      <c r="DE378" s="33"/>
      <c r="DF378" s="33"/>
      <c r="DG378" s="33"/>
      <c r="DH378" s="33"/>
      <c r="DI378" s="33"/>
      <c r="DJ378" s="33"/>
      <c r="DK378" s="33"/>
      <c r="DL378" s="33"/>
      <c r="DM378" s="33"/>
      <c r="DN378" s="33"/>
      <c r="DO378" s="33"/>
      <c r="DP378" s="33"/>
      <c r="DQ378" s="33"/>
      <c r="DR378" s="33"/>
      <c r="DS378" s="33"/>
      <c r="DT378" s="33"/>
      <c r="DU378" s="33"/>
      <c r="DV378" s="33"/>
      <c r="DW378" s="33"/>
      <c r="DX378" s="33"/>
      <c r="DY378" s="33"/>
      <c r="DZ378" s="33"/>
      <c r="EA378" s="33"/>
      <c r="EB378" s="33"/>
      <c r="EC378" s="33"/>
      <c r="ED378" s="33"/>
      <c r="EE378" s="33"/>
      <c r="EF378" s="33"/>
      <c r="EG378" s="33"/>
      <c r="EH378" s="33"/>
      <c r="EI378" s="33"/>
      <c r="EJ378" s="33"/>
      <c r="EK378" s="33"/>
      <c r="EL378" s="33"/>
      <c r="EM378" s="33"/>
      <c r="EN378" s="33"/>
      <c r="EO378" s="33"/>
      <c r="EP378" s="33"/>
      <c r="EQ378" s="33"/>
      <c r="ER378" s="33"/>
      <c r="ES378" s="33"/>
      <c r="ET378" s="33"/>
      <c r="EU378" s="33"/>
      <c r="EV378" s="33"/>
      <c r="EW378" s="33"/>
      <c r="EX378" s="33"/>
      <c r="EY378" s="33"/>
      <c r="EZ378" s="33"/>
      <c r="FA378" s="33"/>
      <c r="FB378" s="33"/>
      <c r="FC378" s="33"/>
      <c r="FD378" s="33"/>
      <c r="FE378" s="33"/>
      <c r="FF378" s="33"/>
      <c r="FG378" s="33"/>
      <c r="FH378" s="33"/>
      <c r="FI378" s="33"/>
      <c r="FJ378" s="33"/>
      <c r="FK378" s="33"/>
      <c r="FL378" s="33"/>
      <c r="FM378" s="33"/>
      <c r="FN378" s="33"/>
      <c r="FO378" s="33"/>
      <c r="FP378" s="33"/>
      <c r="FQ378" s="33"/>
      <c r="FR378" s="33"/>
      <c r="FS378" s="33"/>
      <c r="FT378" s="33"/>
      <c r="FU378" s="33"/>
      <c r="FV378" s="33"/>
      <c r="FW378" s="33"/>
      <c r="FX378" s="33"/>
      <c r="FY378" s="33"/>
      <c r="FZ378" s="33"/>
      <c r="GA378" s="33"/>
      <c r="GB378" s="33"/>
      <c r="GC378" s="33"/>
      <c r="GD378" s="33"/>
      <c r="GE378" s="33"/>
      <c r="GF378" s="33"/>
      <c r="GG378" s="33"/>
      <c r="GH378" s="33"/>
      <c r="GI378" s="33"/>
      <c r="GJ378" s="33"/>
      <c r="GK378" s="33"/>
      <c r="GL378" s="33"/>
      <c r="GM378" s="33"/>
      <c r="GN378" s="33"/>
      <c r="GO378" s="33"/>
      <c r="GP378" s="33"/>
      <c r="GQ378" s="33"/>
      <c r="GR378" s="33"/>
      <c r="GS378" s="33"/>
      <c r="GT378" s="33"/>
      <c r="GU378" s="33"/>
      <c r="GV378" s="33"/>
      <c r="GW378" s="33"/>
      <c r="GX378" s="33"/>
      <c r="GY378" s="33"/>
      <c r="GZ378" s="33"/>
      <c r="HA378" s="33"/>
      <c r="HB378" s="33"/>
      <c r="HC378" s="33"/>
      <c r="HD378" s="33"/>
      <c r="HE378" s="33"/>
      <c r="HF378" s="33"/>
      <c r="HG378" s="33"/>
      <c r="HH378" s="33"/>
      <c r="HI378" s="33"/>
      <c r="HJ378" s="33"/>
      <c r="HK378" s="33"/>
      <c r="HL378" s="33"/>
      <c r="HM378" s="33"/>
      <c r="HN378" s="33"/>
      <c r="HO378" s="33"/>
      <c r="HP378" s="33"/>
    </row>
    <row r="379" spans="3:224" ht="20.100000000000001" customHeight="1">
      <c r="C379" s="24">
        <v>15209001</v>
      </c>
      <c r="D379" s="25" t="s">
        <v>400</v>
      </c>
      <c r="E379" s="25">
        <v>11200001</v>
      </c>
      <c r="F379" s="25">
        <v>0</v>
      </c>
      <c r="G379" s="25">
        <v>1</v>
      </c>
      <c r="H379" s="25">
        <v>30</v>
      </c>
      <c r="I379" s="29">
        <v>0.2</v>
      </c>
      <c r="J379" s="30">
        <v>10</v>
      </c>
      <c r="K379" s="25">
        <v>0</v>
      </c>
      <c r="L379" s="25">
        <v>2650</v>
      </c>
      <c r="M379" s="25">
        <f t="shared" si="50"/>
        <v>0</v>
      </c>
      <c r="N379" s="25">
        <v>0</v>
      </c>
      <c r="O379" s="25">
        <v>0</v>
      </c>
      <c r="P379" s="25">
        <v>0</v>
      </c>
      <c r="Q379" s="25">
        <f t="shared" si="51"/>
        <v>0</v>
      </c>
      <c r="R379" s="25">
        <v>0</v>
      </c>
      <c r="S379" s="25">
        <f t="shared" si="52"/>
        <v>0</v>
      </c>
      <c r="T379" s="25">
        <v>0</v>
      </c>
      <c r="U379" s="29">
        <v>0</v>
      </c>
      <c r="V379" s="25">
        <v>0</v>
      </c>
      <c r="W379" s="25">
        <v>0</v>
      </c>
      <c r="X379" s="25">
        <v>0</v>
      </c>
      <c r="Y379" s="29">
        <v>0</v>
      </c>
      <c r="Z379" s="29">
        <v>0</v>
      </c>
      <c r="AA379" s="29">
        <v>0</v>
      </c>
      <c r="AB379" s="29">
        <v>0</v>
      </c>
      <c r="AC379" s="29">
        <v>0</v>
      </c>
      <c r="AD379" s="29">
        <v>0</v>
      </c>
      <c r="AE379" s="29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  <c r="HJ379" s="5"/>
      <c r="HK379" s="5"/>
      <c r="HL379" s="5"/>
      <c r="HM379" s="5"/>
      <c r="HN379" s="5"/>
      <c r="HO379" s="5"/>
      <c r="HP379" s="5"/>
    </row>
    <row r="380" spans="3:224" ht="20.100000000000001" customHeight="1">
      <c r="C380" s="24">
        <v>15209002</v>
      </c>
      <c r="D380" s="25" t="s">
        <v>401</v>
      </c>
      <c r="E380" s="25">
        <v>11200001</v>
      </c>
      <c r="F380" s="25">
        <v>0</v>
      </c>
      <c r="G380" s="25">
        <v>1</v>
      </c>
      <c r="H380" s="25">
        <v>30</v>
      </c>
      <c r="I380" s="29">
        <v>0.2</v>
      </c>
      <c r="J380" s="30">
        <v>10</v>
      </c>
      <c r="K380" s="25">
        <v>0</v>
      </c>
      <c r="L380" s="25">
        <v>3150</v>
      </c>
      <c r="M380" s="25">
        <f t="shared" si="50"/>
        <v>0</v>
      </c>
      <c r="N380" s="25">
        <v>0</v>
      </c>
      <c r="O380" s="25">
        <v>0</v>
      </c>
      <c r="P380" s="25">
        <v>0</v>
      </c>
      <c r="Q380" s="25">
        <f t="shared" si="51"/>
        <v>0</v>
      </c>
      <c r="R380" s="25">
        <v>0</v>
      </c>
      <c r="S380" s="25">
        <f t="shared" si="52"/>
        <v>0</v>
      </c>
      <c r="T380" s="25">
        <v>0</v>
      </c>
      <c r="U380" s="29">
        <v>0</v>
      </c>
      <c r="V380" s="25">
        <v>0</v>
      </c>
      <c r="W380" s="25">
        <v>0</v>
      </c>
      <c r="X380" s="25">
        <v>0</v>
      </c>
      <c r="Y380" s="29">
        <v>0</v>
      </c>
      <c r="Z380" s="29">
        <v>0</v>
      </c>
      <c r="AA380" s="29">
        <v>0</v>
      </c>
      <c r="AB380" s="29">
        <v>0</v>
      </c>
      <c r="AC380" s="29">
        <v>0</v>
      </c>
      <c r="AD380" s="29">
        <v>0</v>
      </c>
      <c r="AE380" s="29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  <c r="HJ380" s="5"/>
      <c r="HK380" s="5"/>
      <c r="HL380" s="5"/>
      <c r="HM380" s="5"/>
      <c r="HN380" s="5"/>
      <c r="HO380" s="5"/>
      <c r="HP380" s="5"/>
    </row>
    <row r="381" spans="3:224" s="3" customFormat="1" ht="20.100000000000001" customHeight="1">
      <c r="C381" s="26">
        <v>15209003</v>
      </c>
      <c r="D381" s="28" t="s">
        <v>402</v>
      </c>
      <c r="E381" s="28">
        <v>11200001</v>
      </c>
      <c r="F381" s="28">
        <v>0</v>
      </c>
      <c r="G381" s="28">
        <v>1</v>
      </c>
      <c r="H381" s="28">
        <v>30</v>
      </c>
      <c r="I381" s="31">
        <v>0.2</v>
      </c>
      <c r="J381" s="30">
        <v>10</v>
      </c>
      <c r="K381" s="28">
        <v>0</v>
      </c>
      <c r="L381" s="28">
        <v>5250</v>
      </c>
      <c r="M381" s="28">
        <f t="shared" ref="M381" si="56">ROUND(N381/2,0)</f>
        <v>0</v>
      </c>
      <c r="N381" s="28">
        <v>0</v>
      </c>
      <c r="O381" s="28">
        <v>0</v>
      </c>
      <c r="P381" s="28">
        <v>0</v>
      </c>
      <c r="Q381" s="28">
        <f t="shared" ref="Q381" si="57">ROUND(R381/2,0)</f>
        <v>0</v>
      </c>
      <c r="R381" s="28">
        <v>0</v>
      </c>
      <c r="S381" s="28">
        <f t="shared" ref="S381" si="58">ROUND(T381/2,0)</f>
        <v>0</v>
      </c>
      <c r="T381" s="28">
        <v>0</v>
      </c>
      <c r="U381" s="31">
        <v>0</v>
      </c>
      <c r="V381" s="28">
        <v>0</v>
      </c>
      <c r="W381" s="28">
        <v>0</v>
      </c>
      <c r="X381" s="28">
        <v>0</v>
      </c>
      <c r="Y381" s="31">
        <v>0</v>
      </c>
      <c r="Z381" s="31">
        <v>0</v>
      </c>
      <c r="AA381" s="31">
        <v>0</v>
      </c>
      <c r="AB381" s="31">
        <v>200301</v>
      </c>
      <c r="AC381" s="31">
        <v>300</v>
      </c>
      <c r="AD381" s="31">
        <v>1</v>
      </c>
      <c r="AE381" s="31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  <c r="BV381" s="33"/>
      <c r="BW381" s="33"/>
      <c r="BX381" s="33"/>
      <c r="BY381" s="33"/>
      <c r="BZ381" s="33"/>
      <c r="CA381" s="33"/>
      <c r="CB381" s="33"/>
      <c r="CC381" s="33"/>
      <c r="CD381" s="33"/>
      <c r="CE381" s="33"/>
      <c r="CF381" s="33"/>
      <c r="CG381" s="33"/>
      <c r="CH381" s="33"/>
      <c r="CI381" s="33"/>
      <c r="CJ381" s="33"/>
      <c r="CK381" s="33"/>
      <c r="CL381" s="33"/>
      <c r="CM381" s="33"/>
      <c r="CN381" s="33"/>
      <c r="CO381" s="33"/>
      <c r="CP381" s="33"/>
      <c r="CQ381" s="33"/>
      <c r="CR381" s="33"/>
      <c r="CS381" s="33"/>
      <c r="CT381" s="33"/>
      <c r="CU381" s="33"/>
      <c r="CV381" s="33"/>
      <c r="CW381" s="33"/>
      <c r="CX381" s="33"/>
      <c r="CY381" s="33"/>
      <c r="CZ381" s="33"/>
      <c r="DA381" s="33"/>
      <c r="DB381" s="33"/>
      <c r="DC381" s="33"/>
      <c r="DD381" s="33"/>
      <c r="DE381" s="33"/>
      <c r="DF381" s="33"/>
      <c r="DG381" s="33"/>
      <c r="DH381" s="33"/>
      <c r="DI381" s="33"/>
      <c r="DJ381" s="33"/>
      <c r="DK381" s="33"/>
      <c r="DL381" s="33"/>
      <c r="DM381" s="33"/>
      <c r="DN381" s="33"/>
      <c r="DO381" s="33"/>
      <c r="DP381" s="33"/>
      <c r="DQ381" s="33"/>
      <c r="DR381" s="33"/>
      <c r="DS381" s="33"/>
      <c r="DT381" s="33"/>
      <c r="DU381" s="33"/>
      <c r="DV381" s="33"/>
      <c r="DW381" s="33"/>
      <c r="DX381" s="33"/>
      <c r="DY381" s="33"/>
      <c r="DZ381" s="33"/>
      <c r="EA381" s="33"/>
      <c r="EB381" s="33"/>
      <c r="EC381" s="33"/>
      <c r="ED381" s="33"/>
      <c r="EE381" s="33"/>
      <c r="EF381" s="33"/>
      <c r="EG381" s="33"/>
      <c r="EH381" s="33"/>
      <c r="EI381" s="33"/>
      <c r="EJ381" s="33"/>
      <c r="EK381" s="33"/>
      <c r="EL381" s="33"/>
      <c r="EM381" s="33"/>
      <c r="EN381" s="33"/>
      <c r="EO381" s="33"/>
      <c r="EP381" s="33"/>
      <c r="EQ381" s="33"/>
      <c r="ER381" s="33"/>
      <c r="ES381" s="33"/>
      <c r="ET381" s="33"/>
      <c r="EU381" s="33"/>
      <c r="EV381" s="33"/>
      <c r="EW381" s="33"/>
      <c r="EX381" s="33"/>
      <c r="EY381" s="33"/>
      <c r="EZ381" s="33"/>
      <c r="FA381" s="33"/>
      <c r="FB381" s="33"/>
      <c r="FC381" s="33"/>
      <c r="FD381" s="33"/>
      <c r="FE381" s="33"/>
      <c r="FF381" s="33"/>
      <c r="FG381" s="33"/>
      <c r="FH381" s="33"/>
      <c r="FI381" s="33"/>
      <c r="FJ381" s="33"/>
      <c r="FK381" s="33"/>
      <c r="FL381" s="33"/>
      <c r="FM381" s="33"/>
      <c r="FN381" s="33"/>
      <c r="FO381" s="33"/>
      <c r="FP381" s="33"/>
      <c r="FQ381" s="33"/>
      <c r="FR381" s="33"/>
      <c r="FS381" s="33"/>
      <c r="FT381" s="33"/>
      <c r="FU381" s="33"/>
      <c r="FV381" s="33"/>
      <c r="FW381" s="33"/>
      <c r="FX381" s="33"/>
      <c r="FY381" s="33"/>
      <c r="FZ381" s="33"/>
      <c r="GA381" s="33"/>
      <c r="GB381" s="33"/>
      <c r="GC381" s="33"/>
      <c r="GD381" s="33"/>
      <c r="GE381" s="33"/>
      <c r="GF381" s="33"/>
      <c r="GG381" s="33"/>
      <c r="GH381" s="33"/>
      <c r="GI381" s="33"/>
      <c r="GJ381" s="33"/>
      <c r="GK381" s="33"/>
      <c r="GL381" s="33"/>
      <c r="GM381" s="33"/>
      <c r="GN381" s="33"/>
      <c r="GO381" s="33"/>
      <c r="GP381" s="33"/>
      <c r="GQ381" s="33"/>
      <c r="GR381" s="33"/>
      <c r="GS381" s="33"/>
      <c r="GT381" s="33"/>
      <c r="GU381" s="33"/>
      <c r="GV381" s="33"/>
      <c r="GW381" s="33"/>
      <c r="GX381" s="33"/>
      <c r="GY381" s="33"/>
      <c r="GZ381" s="33"/>
      <c r="HA381" s="33"/>
      <c r="HB381" s="33"/>
      <c r="HC381" s="33"/>
      <c r="HD381" s="33"/>
      <c r="HE381" s="33"/>
      <c r="HF381" s="33"/>
      <c r="HG381" s="33"/>
      <c r="HH381" s="33"/>
      <c r="HI381" s="33"/>
      <c r="HJ381" s="33"/>
      <c r="HK381" s="33"/>
      <c r="HL381" s="33"/>
      <c r="HM381" s="33"/>
      <c r="HN381" s="33"/>
      <c r="HO381" s="33"/>
      <c r="HP381" s="33"/>
    </row>
    <row r="382" spans="3:224" ht="20.100000000000001" customHeight="1">
      <c r="C382" s="24">
        <v>15210001</v>
      </c>
      <c r="D382" s="25" t="s">
        <v>403</v>
      </c>
      <c r="E382" s="25">
        <v>11200001</v>
      </c>
      <c r="F382" s="25">
        <v>0</v>
      </c>
      <c r="G382" s="25">
        <v>1</v>
      </c>
      <c r="H382" s="25">
        <v>30</v>
      </c>
      <c r="I382" s="29">
        <v>0.2</v>
      </c>
      <c r="J382" s="30">
        <v>10</v>
      </c>
      <c r="K382" s="25">
        <v>0</v>
      </c>
      <c r="L382" s="25">
        <v>0</v>
      </c>
      <c r="M382" s="25">
        <f t="shared" si="50"/>
        <v>128</v>
      </c>
      <c r="N382" s="25">
        <v>255</v>
      </c>
      <c r="O382" s="25">
        <v>0</v>
      </c>
      <c r="P382" s="25">
        <v>0</v>
      </c>
      <c r="Q382" s="25">
        <f t="shared" si="51"/>
        <v>0</v>
      </c>
      <c r="R382" s="25">
        <v>0</v>
      </c>
      <c r="S382" s="25">
        <f t="shared" si="52"/>
        <v>0</v>
      </c>
      <c r="T382" s="25">
        <v>0</v>
      </c>
      <c r="U382" s="29">
        <v>0</v>
      </c>
      <c r="V382" s="25">
        <v>0</v>
      </c>
      <c r="W382" s="25">
        <v>0</v>
      </c>
      <c r="X382" s="25">
        <v>0</v>
      </c>
      <c r="Y382" s="29">
        <v>0</v>
      </c>
      <c r="Z382" s="29">
        <v>0</v>
      </c>
      <c r="AA382" s="29">
        <v>0</v>
      </c>
      <c r="AB382" s="29">
        <v>0</v>
      </c>
      <c r="AC382" s="29">
        <v>0</v>
      </c>
      <c r="AD382" s="29">
        <v>0</v>
      </c>
      <c r="AE382" s="29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/>
      <c r="HK382" s="5"/>
      <c r="HL382" s="5"/>
      <c r="HM382" s="5"/>
      <c r="HN382" s="5"/>
      <c r="HO382" s="5"/>
      <c r="HP382" s="5"/>
    </row>
    <row r="383" spans="3:224" ht="20.100000000000001" customHeight="1">
      <c r="C383" s="24">
        <v>15210002</v>
      </c>
      <c r="D383" s="25" t="s">
        <v>404</v>
      </c>
      <c r="E383" s="25">
        <v>11200001</v>
      </c>
      <c r="F383" s="25">
        <v>0</v>
      </c>
      <c r="G383" s="25">
        <v>1</v>
      </c>
      <c r="H383" s="25">
        <v>30</v>
      </c>
      <c r="I383" s="29">
        <v>0.2</v>
      </c>
      <c r="J383" s="30">
        <v>10</v>
      </c>
      <c r="K383" s="25">
        <v>0</v>
      </c>
      <c r="L383" s="25">
        <v>0</v>
      </c>
      <c r="M383" s="25">
        <f t="shared" si="50"/>
        <v>158</v>
      </c>
      <c r="N383" s="25">
        <v>315</v>
      </c>
      <c r="O383" s="25">
        <v>0</v>
      </c>
      <c r="P383" s="25">
        <v>0</v>
      </c>
      <c r="Q383" s="25">
        <f t="shared" si="51"/>
        <v>0</v>
      </c>
      <c r="R383" s="25">
        <v>0</v>
      </c>
      <c r="S383" s="25">
        <f t="shared" si="52"/>
        <v>0</v>
      </c>
      <c r="T383" s="25">
        <v>0</v>
      </c>
      <c r="U383" s="29">
        <v>0</v>
      </c>
      <c r="V383" s="25">
        <v>0</v>
      </c>
      <c r="W383" s="25">
        <v>0</v>
      </c>
      <c r="X383" s="25">
        <v>0</v>
      </c>
      <c r="Y383" s="29">
        <v>0</v>
      </c>
      <c r="Z383" s="29">
        <v>0</v>
      </c>
      <c r="AA383" s="29">
        <v>0</v>
      </c>
      <c r="AB383" s="29">
        <v>0</v>
      </c>
      <c r="AC383" s="29">
        <v>0</v>
      </c>
      <c r="AD383" s="29">
        <v>0</v>
      </c>
      <c r="AE383" s="29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  <c r="HJ383" s="5"/>
      <c r="HK383" s="5"/>
      <c r="HL383" s="5"/>
      <c r="HM383" s="5"/>
      <c r="HN383" s="5"/>
      <c r="HO383" s="5"/>
      <c r="HP383" s="5"/>
    </row>
    <row r="384" spans="3:224" ht="20.100000000000001" customHeight="1">
      <c r="C384" s="24">
        <v>15210003</v>
      </c>
      <c r="D384" s="25" t="s">
        <v>405</v>
      </c>
      <c r="E384" s="25">
        <v>11200001</v>
      </c>
      <c r="F384" s="25">
        <v>0</v>
      </c>
      <c r="G384" s="25">
        <v>1</v>
      </c>
      <c r="H384" s="25">
        <v>30</v>
      </c>
      <c r="I384" s="29">
        <v>0.2</v>
      </c>
      <c r="J384" s="30">
        <v>10</v>
      </c>
      <c r="K384" s="25">
        <v>0</v>
      </c>
      <c r="L384" s="25">
        <v>0</v>
      </c>
      <c r="M384" s="25">
        <f t="shared" si="50"/>
        <v>128</v>
      </c>
      <c r="N384" s="25">
        <v>255</v>
      </c>
      <c r="O384" s="25">
        <v>0</v>
      </c>
      <c r="P384" s="25">
        <v>0</v>
      </c>
      <c r="Q384" s="25">
        <f t="shared" si="51"/>
        <v>0</v>
      </c>
      <c r="R384" s="25">
        <v>0</v>
      </c>
      <c r="S384" s="25">
        <f t="shared" si="52"/>
        <v>0</v>
      </c>
      <c r="T384" s="25">
        <v>0</v>
      </c>
      <c r="U384" s="29">
        <v>0</v>
      </c>
      <c r="V384" s="25">
        <v>0</v>
      </c>
      <c r="W384" s="25">
        <v>0</v>
      </c>
      <c r="X384" s="25">
        <v>0</v>
      </c>
      <c r="Y384" s="29">
        <v>0</v>
      </c>
      <c r="Z384" s="29">
        <v>0</v>
      </c>
      <c r="AA384" s="29">
        <v>0</v>
      </c>
      <c r="AB384" s="29">
        <v>0</v>
      </c>
      <c r="AC384" s="29">
        <v>0</v>
      </c>
      <c r="AD384" s="29">
        <v>0</v>
      </c>
      <c r="AE384" s="29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  <c r="HJ384" s="5"/>
      <c r="HK384" s="5"/>
      <c r="HL384" s="5"/>
      <c r="HM384" s="5"/>
      <c r="HN384" s="5"/>
      <c r="HO384" s="5"/>
      <c r="HP384" s="5"/>
    </row>
    <row r="385" spans="3:224" ht="20.100000000000001" customHeight="1">
      <c r="C385" s="24">
        <v>15210004</v>
      </c>
      <c r="D385" s="25" t="s">
        <v>406</v>
      </c>
      <c r="E385" s="25">
        <v>11200001</v>
      </c>
      <c r="F385" s="25">
        <v>0</v>
      </c>
      <c r="G385" s="25">
        <v>1</v>
      </c>
      <c r="H385" s="25">
        <v>30</v>
      </c>
      <c r="I385" s="29">
        <v>0.2</v>
      </c>
      <c r="J385" s="30">
        <v>10</v>
      </c>
      <c r="K385" s="25">
        <v>0</v>
      </c>
      <c r="L385" s="25">
        <v>0</v>
      </c>
      <c r="M385" s="25">
        <f t="shared" si="50"/>
        <v>158</v>
      </c>
      <c r="N385" s="25">
        <v>315</v>
      </c>
      <c r="O385" s="25">
        <v>0</v>
      </c>
      <c r="P385" s="25">
        <v>0</v>
      </c>
      <c r="Q385" s="25">
        <f t="shared" si="51"/>
        <v>0</v>
      </c>
      <c r="R385" s="25">
        <v>0</v>
      </c>
      <c r="S385" s="25">
        <f t="shared" si="52"/>
        <v>0</v>
      </c>
      <c r="T385" s="25">
        <v>0</v>
      </c>
      <c r="U385" s="29">
        <v>0</v>
      </c>
      <c r="V385" s="25">
        <v>0</v>
      </c>
      <c r="W385" s="25">
        <v>0</v>
      </c>
      <c r="X385" s="25">
        <v>0</v>
      </c>
      <c r="Y385" s="29">
        <v>0</v>
      </c>
      <c r="Z385" s="29">
        <v>0</v>
      </c>
      <c r="AA385" s="29">
        <v>0</v>
      </c>
      <c r="AB385" s="29">
        <v>0</v>
      </c>
      <c r="AC385" s="29">
        <v>0</v>
      </c>
      <c r="AD385" s="29">
        <v>0</v>
      </c>
      <c r="AE385" s="29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  <c r="HJ385" s="5"/>
      <c r="HK385" s="5"/>
      <c r="HL385" s="5"/>
      <c r="HM385" s="5"/>
      <c r="HN385" s="5"/>
      <c r="HO385" s="5"/>
      <c r="HP385" s="5"/>
    </row>
    <row r="386" spans="3:224" ht="20.100000000000001" customHeight="1">
      <c r="C386" s="24">
        <v>15210011</v>
      </c>
      <c r="D386" s="36" t="s">
        <v>407</v>
      </c>
      <c r="E386" s="25">
        <v>11200001</v>
      </c>
      <c r="F386" s="25">
        <v>12051</v>
      </c>
      <c r="G386" s="25">
        <v>1</v>
      </c>
      <c r="H386" s="25">
        <v>30</v>
      </c>
      <c r="I386" s="29">
        <v>0.2</v>
      </c>
      <c r="J386" s="30">
        <v>10</v>
      </c>
      <c r="K386" s="25">
        <v>0</v>
      </c>
      <c r="L386" s="25">
        <v>0</v>
      </c>
      <c r="M386" s="25">
        <f t="shared" ref="M386:M387" si="59">ROUND(N386/2,0)</f>
        <v>200</v>
      </c>
      <c r="N386" s="25">
        <v>400</v>
      </c>
      <c r="O386" s="25">
        <v>0</v>
      </c>
      <c r="P386" s="25">
        <v>0</v>
      </c>
      <c r="Q386" s="25">
        <f t="shared" ref="Q386:Q387" si="60">ROUND(R386/2,0)</f>
        <v>0</v>
      </c>
      <c r="R386" s="25">
        <v>0</v>
      </c>
      <c r="S386" s="25">
        <f t="shared" ref="S386:S387" si="61">ROUND(T386/2,0)</f>
        <v>0</v>
      </c>
      <c r="T386" s="25">
        <v>0</v>
      </c>
      <c r="U386" s="29">
        <v>0</v>
      </c>
      <c r="V386" s="25">
        <v>0</v>
      </c>
      <c r="W386" s="25">
        <v>0</v>
      </c>
      <c r="X386" s="25">
        <v>0</v>
      </c>
      <c r="Y386" s="29">
        <v>0</v>
      </c>
      <c r="Z386" s="29">
        <v>0</v>
      </c>
      <c r="AA386" s="29">
        <v>0</v>
      </c>
      <c r="AB386" s="29">
        <v>0</v>
      </c>
      <c r="AC386" s="29">
        <v>0</v>
      </c>
      <c r="AD386" s="29">
        <v>1</v>
      </c>
      <c r="AE386" s="29">
        <v>100001</v>
      </c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  <c r="HJ386" s="5"/>
      <c r="HK386" s="5"/>
      <c r="HL386" s="5"/>
      <c r="HM386" s="5"/>
      <c r="HN386" s="5"/>
      <c r="HO386" s="5"/>
      <c r="HP386" s="5"/>
    </row>
    <row r="387" spans="3:224" ht="20.100000000000001" customHeight="1">
      <c r="C387" s="24">
        <v>15210012</v>
      </c>
      <c r="D387" s="36" t="s">
        <v>408</v>
      </c>
      <c r="E387" s="25">
        <v>11200001</v>
      </c>
      <c r="F387" s="25">
        <v>12051</v>
      </c>
      <c r="G387" s="25">
        <v>1</v>
      </c>
      <c r="H387" s="25">
        <v>30</v>
      </c>
      <c r="I387" s="29">
        <v>0.2</v>
      </c>
      <c r="J387" s="30">
        <v>10</v>
      </c>
      <c r="K387" s="25">
        <v>0</v>
      </c>
      <c r="L387" s="25">
        <v>0</v>
      </c>
      <c r="M387" s="25">
        <f t="shared" si="59"/>
        <v>200</v>
      </c>
      <c r="N387" s="25">
        <v>400</v>
      </c>
      <c r="O387" s="25">
        <v>0</v>
      </c>
      <c r="P387" s="25">
        <v>0</v>
      </c>
      <c r="Q387" s="25">
        <f t="shared" si="60"/>
        <v>0</v>
      </c>
      <c r="R387" s="25">
        <v>0</v>
      </c>
      <c r="S387" s="25">
        <f t="shared" si="61"/>
        <v>0</v>
      </c>
      <c r="T387" s="25">
        <v>0</v>
      </c>
      <c r="U387" s="29">
        <v>0</v>
      </c>
      <c r="V387" s="25">
        <v>0</v>
      </c>
      <c r="W387" s="25">
        <v>0</v>
      </c>
      <c r="X387" s="25">
        <v>0</v>
      </c>
      <c r="Y387" s="29">
        <v>0</v>
      </c>
      <c r="Z387" s="29">
        <v>0</v>
      </c>
      <c r="AA387" s="29">
        <v>0</v>
      </c>
      <c r="AB387" s="29">
        <v>200103</v>
      </c>
      <c r="AC387" s="29">
        <v>500</v>
      </c>
      <c r="AD387" s="29">
        <v>0</v>
      </c>
      <c r="AE387" s="29">
        <v>0</v>
      </c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  <c r="HJ387" s="5"/>
      <c r="HK387" s="5"/>
      <c r="HL387" s="5"/>
      <c r="HM387" s="5"/>
      <c r="HN387" s="5"/>
      <c r="HO387" s="5"/>
      <c r="HP387" s="5"/>
    </row>
    <row r="388" spans="3:224" ht="20.100000000000001" customHeight="1">
      <c r="C388" s="24">
        <v>15210111</v>
      </c>
      <c r="D388" s="36" t="s">
        <v>407</v>
      </c>
      <c r="E388" s="25">
        <v>11200001</v>
      </c>
      <c r="F388" s="25">
        <v>12051</v>
      </c>
      <c r="G388" s="25">
        <v>1</v>
      </c>
      <c r="H388" s="25">
        <v>30</v>
      </c>
      <c r="I388" s="29">
        <v>0.2</v>
      </c>
      <c r="J388" s="30">
        <v>10</v>
      </c>
      <c r="K388" s="25">
        <v>0</v>
      </c>
      <c r="L388" s="25">
        <v>0</v>
      </c>
      <c r="M388" s="25">
        <f t="shared" ref="M388:M392" si="62">ROUND(N388/2,0)</f>
        <v>200</v>
      </c>
      <c r="N388" s="25">
        <v>400</v>
      </c>
      <c r="O388" s="25">
        <v>0</v>
      </c>
      <c r="P388" s="25">
        <v>0</v>
      </c>
      <c r="Q388" s="25">
        <f t="shared" ref="Q388:Q392" si="63">ROUND(R388/2,0)</f>
        <v>0</v>
      </c>
      <c r="R388" s="25">
        <v>0</v>
      </c>
      <c r="S388" s="25">
        <f t="shared" ref="S388:S392" si="64">ROUND(T388/2,0)</f>
        <v>0</v>
      </c>
      <c r="T388" s="25">
        <v>0</v>
      </c>
      <c r="U388" s="29">
        <v>0</v>
      </c>
      <c r="V388" s="25">
        <v>0</v>
      </c>
      <c r="W388" s="25">
        <v>0</v>
      </c>
      <c r="X388" s="25">
        <v>0</v>
      </c>
      <c r="Y388" s="29">
        <v>0</v>
      </c>
      <c r="Z388" s="29">
        <v>0</v>
      </c>
      <c r="AA388" s="29">
        <v>0</v>
      </c>
      <c r="AB388" s="29">
        <v>200103</v>
      </c>
      <c r="AC388" s="29">
        <v>500</v>
      </c>
      <c r="AD388" s="29">
        <v>1</v>
      </c>
      <c r="AE388" s="29">
        <v>100002</v>
      </c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  <c r="HP388" s="5"/>
    </row>
    <row r="389" spans="3:224" ht="20.100000000000001" customHeight="1">
      <c r="C389" s="24">
        <v>15210112</v>
      </c>
      <c r="D389" s="36" t="s">
        <v>408</v>
      </c>
      <c r="E389" s="25">
        <v>11200001</v>
      </c>
      <c r="F389" s="25">
        <v>12051</v>
      </c>
      <c r="G389" s="25">
        <v>1</v>
      </c>
      <c r="H389" s="25">
        <v>30</v>
      </c>
      <c r="I389" s="29">
        <v>0.2</v>
      </c>
      <c r="J389" s="30">
        <v>10</v>
      </c>
      <c r="K389" s="25">
        <v>0</v>
      </c>
      <c r="L389" s="25">
        <v>0</v>
      </c>
      <c r="M389" s="25">
        <f t="shared" si="62"/>
        <v>200</v>
      </c>
      <c r="N389" s="25">
        <v>400</v>
      </c>
      <c r="O389" s="25">
        <v>0</v>
      </c>
      <c r="P389" s="25">
        <v>0</v>
      </c>
      <c r="Q389" s="25">
        <f t="shared" si="63"/>
        <v>0</v>
      </c>
      <c r="R389" s="25">
        <v>0</v>
      </c>
      <c r="S389" s="25">
        <f t="shared" si="64"/>
        <v>0</v>
      </c>
      <c r="T389" s="25">
        <v>0</v>
      </c>
      <c r="U389" s="29">
        <v>0</v>
      </c>
      <c r="V389" s="25">
        <v>0</v>
      </c>
      <c r="W389" s="25">
        <v>0</v>
      </c>
      <c r="X389" s="25">
        <v>0</v>
      </c>
      <c r="Y389" s="29">
        <v>0</v>
      </c>
      <c r="Z389" s="29">
        <v>0</v>
      </c>
      <c r="AA389" s="29">
        <v>0</v>
      </c>
      <c r="AB389" s="29">
        <v>202203</v>
      </c>
      <c r="AC389" s="29">
        <v>500</v>
      </c>
      <c r="AD389" s="29">
        <v>1</v>
      </c>
      <c r="AE389" s="43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  <c r="HJ389" s="5"/>
      <c r="HK389" s="5"/>
      <c r="HL389" s="5"/>
      <c r="HM389" s="5"/>
      <c r="HN389" s="5"/>
      <c r="HO389" s="5"/>
      <c r="HP389" s="5"/>
    </row>
    <row r="390" spans="3:224" ht="20.100000000000001" customHeight="1">
      <c r="C390" s="24">
        <v>15210201</v>
      </c>
      <c r="D390" s="25" t="s">
        <v>654</v>
      </c>
      <c r="E390" s="25">
        <v>11200001</v>
      </c>
      <c r="F390" s="25">
        <v>0</v>
      </c>
      <c r="G390" s="25">
        <v>1</v>
      </c>
      <c r="H390" s="25">
        <v>30</v>
      </c>
      <c r="I390" s="29">
        <v>0.2</v>
      </c>
      <c r="J390" s="30">
        <v>10</v>
      </c>
      <c r="K390" s="25">
        <v>0</v>
      </c>
      <c r="L390" s="25">
        <v>0</v>
      </c>
      <c r="M390" s="25">
        <f t="shared" si="62"/>
        <v>128</v>
      </c>
      <c r="N390" s="25">
        <v>255</v>
      </c>
      <c r="O390" s="25">
        <v>0</v>
      </c>
      <c r="P390" s="25">
        <v>0</v>
      </c>
      <c r="Q390" s="25">
        <f t="shared" si="63"/>
        <v>0</v>
      </c>
      <c r="R390" s="25">
        <v>0</v>
      </c>
      <c r="S390" s="25">
        <f t="shared" si="64"/>
        <v>0</v>
      </c>
      <c r="T390" s="25">
        <v>0</v>
      </c>
      <c r="U390" s="29">
        <v>0</v>
      </c>
      <c r="V390" s="25">
        <v>0</v>
      </c>
      <c r="W390" s="25">
        <v>0</v>
      </c>
      <c r="X390" s="25">
        <v>0</v>
      </c>
      <c r="Y390" s="29">
        <v>0</v>
      </c>
      <c r="Z390" s="29">
        <v>0</v>
      </c>
      <c r="AA390" s="29">
        <v>0</v>
      </c>
      <c r="AB390" s="29">
        <v>0</v>
      </c>
      <c r="AC390" s="29">
        <v>0</v>
      </c>
      <c r="AD390" s="29">
        <v>0</v>
      </c>
      <c r="AE390" s="29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/>
      <c r="HK390" s="5"/>
      <c r="HL390" s="5"/>
      <c r="HM390" s="5"/>
      <c r="HN390" s="5"/>
      <c r="HO390" s="5"/>
      <c r="HP390" s="5"/>
    </row>
    <row r="391" spans="3:224" ht="20.100000000000001" customHeight="1">
      <c r="C391" s="24">
        <v>15210202</v>
      </c>
      <c r="D391" s="25" t="s">
        <v>655</v>
      </c>
      <c r="E391" s="25">
        <v>11200001</v>
      </c>
      <c r="F391" s="25">
        <v>0</v>
      </c>
      <c r="G391" s="25">
        <v>1</v>
      </c>
      <c r="H391" s="25">
        <v>30</v>
      </c>
      <c r="I391" s="29">
        <v>0.2</v>
      </c>
      <c r="J391" s="30">
        <v>10</v>
      </c>
      <c r="K391" s="25">
        <v>0</v>
      </c>
      <c r="L391" s="25">
        <v>0</v>
      </c>
      <c r="M391" s="25">
        <f t="shared" si="62"/>
        <v>158</v>
      </c>
      <c r="N391" s="25">
        <v>315</v>
      </c>
      <c r="O391" s="25">
        <v>0</v>
      </c>
      <c r="P391" s="25">
        <v>0</v>
      </c>
      <c r="Q391" s="25">
        <f t="shared" si="63"/>
        <v>0</v>
      </c>
      <c r="R391" s="25">
        <v>0</v>
      </c>
      <c r="S391" s="25">
        <f t="shared" si="64"/>
        <v>0</v>
      </c>
      <c r="T391" s="25">
        <v>0</v>
      </c>
      <c r="U391" s="29">
        <v>0</v>
      </c>
      <c r="V391" s="25">
        <v>0</v>
      </c>
      <c r="W391" s="25">
        <v>0</v>
      </c>
      <c r="X391" s="25">
        <v>0</v>
      </c>
      <c r="Y391" s="29">
        <v>0</v>
      </c>
      <c r="Z391" s="29">
        <v>0</v>
      </c>
      <c r="AA391" s="29">
        <v>0</v>
      </c>
      <c r="AB391" s="29">
        <v>0</v>
      </c>
      <c r="AC391" s="29">
        <v>0</v>
      </c>
      <c r="AD391" s="29">
        <v>0</v>
      </c>
      <c r="AE391" s="29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  <c r="HJ391" s="5"/>
      <c r="HK391" s="5"/>
      <c r="HL391" s="5"/>
      <c r="HM391" s="5"/>
      <c r="HN391" s="5"/>
      <c r="HO391" s="5"/>
      <c r="HP391" s="5"/>
    </row>
    <row r="392" spans="3:224" ht="20.100000000000001" customHeight="1">
      <c r="C392" s="24">
        <v>15210211</v>
      </c>
      <c r="D392" s="36" t="s">
        <v>656</v>
      </c>
      <c r="E392" s="25">
        <v>11200001</v>
      </c>
      <c r="F392" s="25">
        <v>12051</v>
      </c>
      <c r="G392" s="25">
        <v>1</v>
      </c>
      <c r="H392" s="25">
        <v>30</v>
      </c>
      <c r="I392" s="29">
        <v>0.2</v>
      </c>
      <c r="J392" s="30">
        <v>10</v>
      </c>
      <c r="K392" s="25">
        <v>0</v>
      </c>
      <c r="L392" s="25">
        <v>0</v>
      </c>
      <c r="M392" s="25">
        <f t="shared" si="62"/>
        <v>200</v>
      </c>
      <c r="N392" s="25">
        <v>400</v>
      </c>
      <c r="O392" s="25">
        <v>0</v>
      </c>
      <c r="P392" s="25">
        <v>0</v>
      </c>
      <c r="Q392" s="25">
        <f t="shared" si="63"/>
        <v>0</v>
      </c>
      <c r="R392" s="25">
        <v>0</v>
      </c>
      <c r="S392" s="25">
        <f t="shared" si="64"/>
        <v>0</v>
      </c>
      <c r="T392" s="25">
        <v>0</v>
      </c>
      <c r="U392" s="29">
        <v>0</v>
      </c>
      <c r="V392" s="25">
        <v>0</v>
      </c>
      <c r="W392" s="25">
        <v>0</v>
      </c>
      <c r="X392" s="25">
        <v>0</v>
      </c>
      <c r="Y392" s="29">
        <v>0</v>
      </c>
      <c r="Z392" s="29">
        <v>0</v>
      </c>
      <c r="AA392" s="29">
        <v>0</v>
      </c>
      <c r="AB392" s="29">
        <v>0</v>
      </c>
      <c r="AC392" s="29">
        <v>0</v>
      </c>
      <c r="AD392" s="29">
        <v>1</v>
      </c>
      <c r="AE392" s="29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  <c r="HJ392" s="5"/>
      <c r="HK392" s="5"/>
      <c r="HL392" s="5"/>
      <c r="HM392" s="5"/>
      <c r="HN392" s="5"/>
      <c r="HO392" s="5"/>
      <c r="HP392" s="5"/>
    </row>
    <row r="393" spans="3:224" s="4" customFormat="1" ht="20.100000000000001" customHeight="1">
      <c r="C393" s="34">
        <v>15211001</v>
      </c>
      <c r="D393" s="35" t="s">
        <v>409</v>
      </c>
      <c r="E393" s="35">
        <v>11200003</v>
      </c>
      <c r="F393" s="35">
        <v>0</v>
      </c>
      <c r="G393" s="35">
        <v>1</v>
      </c>
      <c r="H393" s="35">
        <v>30</v>
      </c>
      <c r="I393" s="37">
        <v>0.2</v>
      </c>
      <c r="J393" s="30">
        <v>10</v>
      </c>
      <c r="K393" s="25">
        <v>0</v>
      </c>
      <c r="L393" s="35">
        <v>1940</v>
      </c>
      <c r="M393" s="35">
        <f t="shared" si="50"/>
        <v>0</v>
      </c>
      <c r="N393" s="35">
        <v>0</v>
      </c>
      <c r="O393" s="35">
        <v>0</v>
      </c>
      <c r="P393" s="35">
        <v>0</v>
      </c>
      <c r="Q393" s="35">
        <f t="shared" si="51"/>
        <v>23</v>
      </c>
      <c r="R393" s="35">
        <v>45</v>
      </c>
      <c r="S393" s="35">
        <f t="shared" si="52"/>
        <v>23</v>
      </c>
      <c r="T393" s="35">
        <v>45</v>
      </c>
      <c r="U393" s="37">
        <v>0</v>
      </c>
      <c r="V393" s="35">
        <v>0</v>
      </c>
      <c r="W393" s="35">
        <v>0</v>
      </c>
      <c r="X393" s="35">
        <v>0</v>
      </c>
      <c r="Y393" s="37">
        <v>0</v>
      </c>
      <c r="Z393" s="37">
        <v>0</v>
      </c>
      <c r="AA393" s="37">
        <v>0</v>
      </c>
      <c r="AB393" s="37">
        <v>0</v>
      </c>
      <c r="AC393" s="37">
        <v>0</v>
      </c>
      <c r="AD393" s="37">
        <v>0</v>
      </c>
      <c r="AE393" s="44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39"/>
      <c r="CF393" s="39"/>
      <c r="CG393" s="39"/>
      <c r="CH393" s="39"/>
      <c r="CI393" s="39"/>
      <c r="CJ393" s="39"/>
      <c r="CK393" s="39"/>
      <c r="CL393" s="39"/>
      <c r="CM393" s="39"/>
      <c r="CN393" s="39"/>
      <c r="CO393" s="39"/>
      <c r="CP393" s="39"/>
      <c r="CQ393" s="39"/>
      <c r="CR393" s="39"/>
      <c r="CS393" s="39"/>
      <c r="CT393" s="39"/>
      <c r="CU393" s="39"/>
      <c r="CV393" s="39"/>
      <c r="CW393" s="39"/>
      <c r="CX393" s="39"/>
      <c r="CY393" s="39"/>
      <c r="CZ393" s="39"/>
      <c r="DA393" s="39"/>
      <c r="DB393" s="39"/>
      <c r="DC393" s="39"/>
      <c r="DD393" s="39"/>
      <c r="DE393" s="39"/>
      <c r="DF393" s="39"/>
      <c r="DG393" s="39"/>
      <c r="DH393" s="39"/>
      <c r="DI393" s="39"/>
      <c r="DJ393" s="39"/>
      <c r="DK393" s="39"/>
      <c r="DL393" s="39"/>
      <c r="DM393" s="39"/>
      <c r="DN393" s="39"/>
      <c r="DO393" s="39"/>
      <c r="DP393" s="39"/>
      <c r="DQ393" s="39"/>
      <c r="DR393" s="39"/>
      <c r="DS393" s="39"/>
      <c r="DT393" s="39"/>
      <c r="DU393" s="39"/>
      <c r="DV393" s="39"/>
      <c r="DW393" s="39"/>
      <c r="DX393" s="39"/>
      <c r="DY393" s="39"/>
      <c r="DZ393" s="39"/>
      <c r="EA393" s="39"/>
      <c r="EB393" s="39"/>
      <c r="EC393" s="39"/>
      <c r="ED393" s="39"/>
      <c r="EE393" s="39"/>
      <c r="EF393" s="39"/>
      <c r="EG393" s="39"/>
      <c r="EH393" s="39"/>
      <c r="EI393" s="39"/>
      <c r="EJ393" s="39"/>
      <c r="EK393" s="39"/>
      <c r="EL393" s="39"/>
      <c r="EM393" s="39"/>
      <c r="EN393" s="39"/>
      <c r="EO393" s="39"/>
      <c r="EP393" s="39"/>
      <c r="EQ393" s="39"/>
      <c r="ER393" s="39"/>
      <c r="ES393" s="39"/>
      <c r="ET393" s="39"/>
      <c r="EU393" s="39"/>
      <c r="EV393" s="39"/>
      <c r="EW393" s="39"/>
      <c r="EX393" s="39"/>
      <c r="EY393" s="39"/>
      <c r="EZ393" s="39"/>
      <c r="FA393" s="39"/>
      <c r="FB393" s="39"/>
      <c r="FC393" s="39"/>
      <c r="FD393" s="39"/>
      <c r="FE393" s="39"/>
      <c r="FF393" s="39"/>
      <c r="FG393" s="39"/>
      <c r="FH393" s="39"/>
      <c r="FI393" s="39"/>
      <c r="FJ393" s="39"/>
      <c r="FK393" s="39"/>
      <c r="FL393" s="39"/>
      <c r="FM393" s="39"/>
      <c r="FN393" s="39"/>
      <c r="FO393" s="39"/>
      <c r="FP393" s="39"/>
      <c r="FQ393" s="39"/>
      <c r="FR393" s="39"/>
      <c r="FS393" s="39"/>
      <c r="FT393" s="39"/>
      <c r="FU393" s="39"/>
      <c r="FV393" s="39"/>
      <c r="FW393" s="39"/>
      <c r="FX393" s="39"/>
      <c r="FY393" s="39"/>
      <c r="FZ393" s="39"/>
      <c r="GA393" s="39"/>
      <c r="GB393" s="39"/>
      <c r="GC393" s="39"/>
      <c r="GD393" s="39"/>
      <c r="GE393" s="39"/>
      <c r="GF393" s="39"/>
      <c r="GG393" s="39"/>
      <c r="GH393" s="39"/>
      <c r="GI393" s="39"/>
      <c r="GJ393" s="39"/>
      <c r="GK393" s="39"/>
      <c r="GL393" s="39"/>
      <c r="GM393" s="39"/>
      <c r="GN393" s="39"/>
      <c r="GO393" s="39"/>
      <c r="GP393" s="39"/>
      <c r="GQ393" s="39"/>
      <c r="GR393" s="39"/>
      <c r="GS393" s="39"/>
      <c r="GT393" s="39"/>
      <c r="GU393" s="39"/>
      <c r="GV393" s="39"/>
      <c r="GW393" s="39"/>
      <c r="GX393" s="39"/>
      <c r="GY393" s="39"/>
      <c r="GZ393" s="39"/>
      <c r="HA393" s="39"/>
      <c r="HB393" s="39"/>
      <c r="HC393" s="39"/>
      <c r="HD393" s="39"/>
      <c r="HE393" s="39"/>
      <c r="HF393" s="39"/>
      <c r="HG393" s="39"/>
      <c r="HH393" s="39"/>
      <c r="HI393" s="39"/>
      <c r="HJ393" s="39"/>
      <c r="HK393" s="39"/>
      <c r="HL393" s="39"/>
      <c r="HM393" s="39"/>
      <c r="HN393" s="39"/>
      <c r="HO393" s="39"/>
      <c r="HP393" s="39"/>
    </row>
    <row r="394" spans="3:224" s="4" customFormat="1" ht="20.100000000000001" customHeight="1">
      <c r="C394" s="34">
        <v>15211002</v>
      </c>
      <c r="D394" s="35" t="s">
        <v>410</v>
      </c>
      <c r="E394" s="35">
        <v>11200003</v>
      </c>
      <c r="F394" s="35">
        <v>12011</v>
      </c>
      <c r="G394" s="35">
        <v>1</v>
      </c>
      <c r="H394" s="35">
        <v>30</v>
      </c>
      <c r="I394" s="37">
        <v>0.2</v>
      </c>
      <c r="J394" s="30">
        <v>10</v>
      </c>
      <c r="K394" s="25">
        <v>0</v>
      </c>
      <c r="L394" s="35">
        <v>2340</v>
      </c>
      <c r="M394" s="35">
        <f t="shared" si="50"/>
        <v>0</v>
      </c>
      <c r="N394" s="35">
        <v>0</v>
      </c>
      <c r="O394" s="35">
        <v>0</v>
      </c>
      <c r="P394" s="35">
        <v>0</v>
      </c>
      <c r="Q394" s="35">
        <f t="shared" si="51"/>
        <v>28</v>
      </c>
      <c r="R394" s="35">
        <v>56</v>
      </c>
      <c r="S394" s="35">
        <f t="shared" si="52"/>
        <v>28</v>
      </c>
      <c r="T394" s="35">
        <v>56</v>
      </c>
      <c r="U394" s="37">
        <v>0</v>
      </c>
      <c r="V394" s="35">
        <v>0</v>
      </c>
      <c r="W394" s="35">
        <v>0</v>
      </c>
      <c r="X394" s="35">
        <v>0</v>
      </c>
      <c r="Y394" s="37">
        <v>0</v>
      </c>
      <c r="Z394" s="37">
        <v>0</v>
      </c>
      <c r="AA394" s="37">
        <v>0</v>
      </c>
      <c r="AB394" s="37">
        <v>0</v>
      </c>
      <c r="AC394" s="37">
        <v>0</v>
      </c>
      <c r="AD394" s="37">
        <v>0</v>
      </c>
      <c r="AE394" s="44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BY394" s="39"/>
      <c r="BZ394" s="39"/>
      <c r="CA394" s="39"/>
      <c r="CB394" s="39"/>
      <c r="CC394" s="39"/>
      <c r="CD394" s="39"/>
      <c r="CE394" s="39"/>
      <c r="CF394" s="39"/>
      <c r="CG394" s="39"/>
      <c r="CH394" s="39"/>
      <c r="CI394" s="39"/>
      <c r="CJ394" s="39"/>
      <c r="CK394" s="39"/>
      <c r="CL394" s="39"/>
      <c r="CM394" s="39"/>
      <c r="CN394" s="39"/>
      <c r="CO394" s="39"/>
      <c r="CP394" s="39"/>
      <c r="CQ394" s="39"/>
      <c r="CR394" s="39"/>
      <c r="CS394" s="39"/>
      <c r="CT394" s="39"/>
      <c r="CU394" s="39"/>
      <c r="CV394" s="39"/>
      <c r="CW394" s="39"/>
      <c r="CX394" s="39"/>
      <c r="CY394" s="39"/>
      <c r="CZ394" s="39"/>
      <c r="DA394" s="39"/>
      <c r="DB394" s="39"/>
      <c r="DC394" s="39"/>
      <c r="DD394" s="39"/>
      <c r="DE394" s="39"/>
      <c r="DF394" s="39"/>
      <c r="DG394" s="39"/>
      <c r="DH394" s="39"/>
      <c r="DI394" s="39"/>
      <c r="DJ394" s="39"/>
      <c r="DK394" s="39"/>
      <c r="DL394" s="39"/>
      <c r="DM394" s="39"/>
      <c r="DN394" s="39"/>
      <c r="DO394" s="39"/>
      <c r="DP394" s="39"/>
      <c r="DQ394" s="39"/>
      <c r="DR394" s="39"/>
      <c r="DS394" s="39"/>
      <c r="DT394" s="39"/>
      <c r="DU394" s="39"/>
      <c r="DV394" s="39"/>
      <c r="DW394" s="39"/>
      <c r="DX394" s="39"/>
      <c r="DY394" s="39"/>
      <c r="DZ394" s="39"/>
      <c r="EA394" s="39"/>
      <c r="EB394" s="39"/>
      <c r="EC394" s="39"/>
      <c r="ED394" s="39"/>
      <c r="EE394" s="39"/>
      <c r="EF394" s="39"/>
      <c r="EG394" s="39"/>
      <c r="EH394" s="39"/>
      <c r="EI394" s="39"/>
      <c r="EJ394" s="39"/>
      <c r="EK394" s="39"/>
      <c r="EL394" s="39"/>
      <c r="EM394" s="39"/>
      <c r="EN394" s="39"/>
      <c r="EO394" s="39"/>
      <c r="EP394" s="39"/>
      <c r="EQ394" s="39"/>
      <c r="ER394" s="39"/>
      <c r="ES394" s="39"/>
      <c r="ET394" s="39"/>
      <c r="EU394" s="39"/>
      <c r="EV394" s="39"/>
      <c r="EW394" s="39"/>
      <c r="EX394" s="39"/>
      <c r="EY394" s="39"/>
      <c r="EZ394" s="39"/>
      <c r="FA394" s="39"/>
      <c r="FB394" s="39"/>
      <c r="FC394" s="39"/>
      <c r="FD394" s="39"/>
      <c r="FE394" s="39"/>
      <c r="FF394" s="39"/>
      <c r="FG394" s="39"/>
      <c r="FH394" s="39"/>
      <c r="FI394" s="39"/>
      <c r="FJ394" s="39"/>
      <c r="FK394" s="39"/>
      <c r="FL394" s="39"/>
      <c r="FM394" s="39"/>
      <c r="FN394" s="39"/>
      <c r="FO394" s="39"/>
      <c r="FP394" s="39"/>
      <c r="FQ394" s="39"/>
      <c r="FR394" s="39"/>
      <c r="FS394" s="39"/>
      <c r="FT394" s="39"/>
      <c r="FU394" s="39"/>
      <c r="FV394" s="39"/>
      <c r="FW394" s="39"/>
      <c r="FX394" s="39"/>
      <c r="FY394" s="39"/>
      <c r="FZ394" s="39"/>
      <c r="GA394" s="39"/>
      <c r="GB394" s="39"/>
      <c r="GC394" s="39"/>
      <c r="GD394" s="39"/>
      <c r="GE394" s="39"/>
      <c r="GF394" s="39"/>
      <c r="GG394" s="39"/>
      <c r="GH394" s="39"/>
      <c r="GI394" s="39"/>
      <c r="GJ394" s="39"/>
      <c r="GK394" s="39"/>
      <c r="GL394" s="39"/>
      <c r="GM394" s="39"/>
      <c r="GN394" s="39"/>
      <c r="GO394" s="39"/>
      <c r="GP394" s="39"/>
      <c r="GQ394" s="39"/>
      <c r="GR394" s="39"/>
      <c r="GS394" s="39"/>
      <c r="GT394" s="39"/>
      <c r="GU394" s="39"/>
      <c r="GV394" s="39"/>
      <c r="GW394" s="39"/>
      <c r="GX394" s="39"/>
      <c r="GY394" s="39"/>
      <c r="GZ394" s="39"/>
      <c r="HA394" s="39"/>
      <c r="HB394" s="39"/>
      <c r="HC394" s="39"/>
      <c r="HD394" s="39"/>
      <c r="HE394" s="39"/>
      <c r="HF394" s="39"/>
      <c r="HG394" s="39"/>
      <c r="HH394" s="39"/>
      <c r="HI394" s="39"/>
      <c r="HJ394" s="39"/>
      <c r="HK394" s="39"/>
      <c r="HL394" s="39"/>
      <c r="HM394" s="39"/>
      <c r="HN394" s="39"/>
      <c r="HO394" s="39"/>
      <c r="HP394" s="39"/>
    </row>
    <row r="395" spans="3:224" s="4" customFormat="1" ht="20.100000000000001" customHeight="1">
      <c r="C395" s="34">
        <v>15211003</v>
      </c>
      <c r="D395" s="35" t="s">
        <v>411</v>
      </c>
      <c r="E395" s="35">
        <v>11200003</v>
      </c>
      <c r="F395" s="35">
        <v>0</v>
      </c>
      <c r="G395" s="35">
        <v>1</v>
      </c>
      <c r="H395" s="35">
        <v>30</v>
      </c>
      <c r="I395" s="37">
        <v>0.2</v>
      </c>
      <c r="J395" s="30">
        <v>10</v>
      </c>
      <c r="K395" s="25">
        <v>0</v>
      </c>
      <c r="L395" s="35">
        <v>970</v>
      </c>
      <c r="M395" s="35">
        <f t="shared" si="50"/>
        <v>0</v>
      </c>
      <c r="N395" s="35">
        <v>0</v>
      </c>
      <c r="O395" s="35">
        <v>0</v>
      </c>
      <c r="P395" s="35">
        <v>0</v>
      </c>
      <c r="Q395" s="35">
        <f t="shared" si="51"/>
        <v>17</v>
      </c>
      <c r="R395" s="35">
        <v>34</v>
      </c>
      <c r="S395" s="35">
        <f t="shared" si="52"/>
        <v>17</v>
      </c>
      <c r="T395" s="35">
        <v>34</v>
      </c>
      <c r="U395" s="37">
        <v>0</v>
      </c>
      <c r="V395" s="35">
        <v>0</v>
      </c>
      <c r="W395" s="35">
        <v>0</v>
      </c>
      <c r="X395" s="35">
        <v>0</v>
      </c>
      <c r="Y395" s="37">
        <v>0</v>
      </c>
      <c r="Z395" s="37">
        <v>0</v>
      </c>
      <c r="AA395" s="37">
        <v>0</v>
      </c>
      <c r="AB395" s="37">
        <v>0</v>
      </c>
      <c r="AC395" s="37">
        <v>0</v>
      </c>
      <c r="AD395" s="37">
        <v>0</v>
      </c>
      <c r="AE395" s="44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  <c r="CM395" s="39"/>
      <c r="CN395" s="39"/>
      <c r="CO395" s="39"/>
      <c r="CP395" s="39"/>
      <c r="CQ395" s="39"/>
      <c r="CR395" s="39"/>
      <c r="CS395" s="39"/>
      <c r="CT395" s="39"/>
      <c r="CU395" s="39"/>
      <c r="CV395" s="39"/>
      <c r="CW395" s="39"/>
      <c r="CX395" s="39"/>
      <c r="CY395" s="39"/>
      <c r="CZ395" s="39"/>
      <c r="DA395" s="39"/>
      <c r="DB395" s="39"/>
      <c r="DC395" s="39"/>
      <c r="DD395" s="39"/>
      <c r="DE395" s="39"/>
      <c r="DF395" s="39"/>
      <c r="DG395" s="39"/>
      <c r="DH395" s="39"/>
      <c r="DI395" s="39"/>
      <c r="DJ395" s="39"/>
      <c r="DK395" s="39"/>
      <c r="DL395" s="39"/>
      <c r="DM395" s="39"/>
      <c r="DN395" s="39"/>
      <c r="DO395" s="39"/>
      <c r="DP395" s="39"/>
      <c r="DQ395" s="39"/>
      <c r="DR395" s="39"/>
      <c r="DS395" s="39"/>
      <c r="DT395" s="39"/>
      <c r="DU395" s="39"/>
      <c r="DV395" s="39"/>
      <c r="DW395" s="39"/>
      <c r="DX395" s="39"/>
      <c r="DY395" s="39"/>
      <c r="DZ395" s="39"/>
      <c r="EA395" s="39"/>
      <c r="EB395" s="39"/>
      <c r="EC395" s="39"/>
      <c r="ED395" s="39"/>
      <c r="EE395" s="39"/>
      <c r="EF395" s="39"/>
      <c r="EG395" s="39"/>
      <c r="EH395" s="39"/>
      <c r="EI395" s="39"/>
      <c r="EJ395" s="39"/>
      <c r="EK395" s="39"/>
      <c r="EL395" s="39"/>
      <c r="EM395" s="39"/>
      <c r="EN395" s="39"/>
      <c r="EO395" s="39"/>
      <c r="EP395" s="39"/>
      <c r="EQ395" s="39"/>
      <c r="ER395" s="39"/>
      <c r="ES395" s="39"/>
      <c r="ET395" s="39"/>
      <c r="EU395" s="39"/>
      <c r="EV395" s="39"/>
      <c r="EW395" s="39"/>
      <c r="EX395" s="39"/>
      <c r="EY395" s="39"/>
      <c r="EZ395" s="39"/>
      <c r="FA395" s="39"/>
      <c r="FB395" s="39"/>
      <c r="FC395" s="39"/>
      <c r="FD395" s="39"/>
      <c r="FE395" s="39"/>
      <c r="FF395" s="39"/>
      <c r="FG395" s="39"/>
      <c r="FH395" s="39"/>
      <c r="FI395" s="39"/>
      <c r="FJ395" s="39"/>
      <c r="FK395" s="39"/>
      <c r="FL395" s="39"/>
      <c r="FM395" s="39"/>
      <c r="FN395" s="39"/>
      <c r="FO395" s="39"/>
      <c r="FP395" s="39"/>
      <c r="FQ395" s="39"/>
      <c r="FR395" s="39"/>
      <c r="FS395" s="39"/>
      <c r="FT395" s="39"/>
      <c r="FU395" s="39"/>
      <c r="FV395" s="39"/>
      <c r="FW395" s="39"/>
      <c r="FX395" s="39"/>
      <c r="FY395" s="39"/>
      <c r="FZ395" s="39"/>
      <c r="GA395" s="39"/>
      <c r="GB395" s="39"/>
      <c r="GC395" s="39"/>
      <c r="GD395" s="39"/>
      <c r="GE395" s="39"/>
      <c r="GF395" s="39"/>
      <c r="GG395" s="39"/>
      <c r="GH395" s="39"/>
      <c r="GI395" s="39"/>
      <c r="GJ395" s="39"/>
      <c r="GK395" s="39"/>
      <c r="GL395" s="39"/>
      <c r="GM395" s="39"/>
      <c r="GN395" s="39"/>
      <c r="GO395" s="39"/>
      <c r="GP395" s="39"/>
      <c r="GQ395" s="39"/>
      <c r="GR395" s="39"/>
      <c r="GS395" s="39"/>
      <c r="GT395" s="39"/>
      <c r="GU395" s="39"/>
      <c r="GV395" s="39"/>
      <c r="GW395" s="39"/>
      <c r="GX395" s="39"/>
      <c r="GY395" s="39"/>
      <c r="GZ395" s="39"/>
      <c r="HA395" s="39"/>
      <c r="HB395" s="39"/>
      <c r="HC395" s="39"/>
      <c r="HD395" s="39"/>
      <c r="HE395" s="39"/>
      <c r="HF395" s="39"/>
      <c r="HG395" s="39"/>
      <c r="HH395" s="39"/>
      <c r="HI395" s="39"/>
      <c r="HJ395" s="39"/>
      <c r="HK395" s="39"/>
      <c r="HL395" s="39"/>
      <c r="HM395" s="39"/>
      <c r="HN395" s="39"/>
      <c r="HO395" s="39"/>
      <c r="HP395" s="39"/>
    </row>
    <row r="396" spans="3:224" s="4" customFormat="1" ht="20.100000000000001" customHeight="1">
      <c r="C396" s="34">
        <v>15211004</v>
      </c>
      <c r="D396" s="35" t="s">
        <v>412</v>
      </c>
      <c r="E396" s="35">
        <v>11200003</v>
      </c>
      <c r="F396" s="35">
        <v>12021</v>
      </c>
      <c r="G396" s="35">
        <v>1</v>
      </c>
      <c r="H396" s="35">
        <v>30</v>
      </c>
      <c r="I396" s="37">
        <v>0.2</v>
      </c>
      <c r="J396" s="30">
        <v>10</v>
      </c>
      <c r="K396" s="25">
        <v>0</v>
      </c>
      <c r="L396" s="35">
        <v>1180</v>
      </c>
      <c r="M396" s="35">
        <f t="shared" si="50"/>
        <v>0</v>
      </c>
      <c r="N396" s="35">
        <v>0</v>
      </c>
      <c r="O396" s="35">
        <v>0</v>
      </c>
      <c r="P396" s="35">
        <v>0</v>
      </c>
      <c r="Q396" s="35">
        <f t="shared" si="51"/>
        <v>21</v>
      </c>
      <c r="R396" s="35">
        <v>42</v>
      </c>
      <c r="S396" s="35">
        <f t="shared" si="52"/>
        <v>21</v>
      </c>
      <c r="T396" s="35">
        <v>42</v>
      </c>
      <c r="U396" s="37">
        <v>0</v>
      </c>
      <c r="V396" s="35">
        <v>0</v>
      </c>
      <c r="W396" s="35">
        <v>0</v>
      </c>
      <c r="X396" s="35">
        <v>0</v>
      </c>
      <c r="Y396" s="37">
        <v>0</v>
      </c>
      <c r="Z396" s="37">
        <v>0</v>
      </c>
      <c r="AA396" s="37">
        <v>0</v>
      </c>
      <c r="AB396" s="37">
        <v>0</v>
      </c>
      <c r="AC396" s="37">
        <v>0</v>
      </c>
      <c r="AD396" s="37">
        <v>0</v>
      </c>
      <c r="AE396" s="44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BY396" s="39"/>
      <c r="BZ396" s="39"/>
      <c r="CA396" s="39"/>
      <c r="CB396" s="39"/>
      <c r="CC396" s="39"/>
      <c r="CD396" s="39"/>
      <c r="CE396" s="39"/>
      <c r="CF396" s="39"/>
      <c r="CG396" s="39"/>
      <c r="CH396" s="39"/>
      <c r="CI396" s="39"/>
      <c r="CJ396" s="39"/>
      <c r="CK396" s="39"/>
      <c r="CL396" s="39"/>
      <c r="CM396" s="39"/>
      <c r="CN396" s="39"/>
      <c r="CO396" s="39"/>
      <c r="CP396" s="39"/>
      <c r="CQ396" s="39"/>
      <c r="CR396" s="39"/>
      <c r="CS396" s="39"/>
      <c r="CT396" s="39"/>
      <c r="CU396" s="39"/>
      <c r="CV396" s="39"/>
      <c r="CW396" s="39"/>
      <c r="CX396" s="39"/>
      <c r="CY396" s="39"/>
      <c r="CZ396" s="39"/>
      <c r="DA396" s="39"/>
      <c r="DB396" s="39"/>
      <c r="DC396" s="39"/>
      <c r="DD396" s="39"/>
      <c r="DE396" s="39"/>
      <c r="DF396" s="39"/>
      <c r="DG396" s="39"/>
      <c r="DH396" s="39"/>
      <c r="DI396" s="39"/>
      <c r="DJ396" s="39"/>
      <c r="DK396" s="39"/>
      <c r="DL396" s="39"/>
      <c r="DM396" s="39"/>
      <c r="DN396" s="39"/>
      <c r="DO396" s="39"/>
      <c r="DP396" s="39"/>
      <c r="DQ396" s="39"/>
      <c r="DR396" s="39"/>
      <c r="DS396" s="39"/>
      <c r="DT396" s="39"/>
      <c r="DU396" s="39"/>
      <c r="DV396" s="39"/>
      <c r="DW396" s="39"/>
      <c r="DX396" s="39"/>
      <c r="DY396" s="39"/>
      <c r="DZ396" s="39"/>
      <c r="EA396" s="39"/>
      <c r="EB396" s="39"/>
      <c r="EC396" s="39"/>
      <c r="ED396" s="39"/>
      <c r="EE396" s="39"/>
      <c r="EF396" s="39"/>
      <c r="EG396" s="39"/>
      <c r="EH396" s="39"/>
      <c r="EI396" s="39"/>
      <c r="EJ396" s="39"/>
      <c r="EK396" s="39"/>
      <c r="EL396" s="39"/>
      <c r="EM396" s="39"/>
      <c r="EN396" s="39"/>
      <c r="EO396" s="39"/>
      <c r="EP396" s="39"/>
      <c r="EQ396" s="39"/>
      <c r="ER396" s="39"/>
      <c r="ES396" s="39"/>
      <c r="ET396" s="39"/>
      <c r="EU396" s="39"/>
      <c r="EV396" s="39"/>
      <c r="EW396" s="39"/>
      <c r="EX396" s="39"/>
      <c r="EY396" s="39"/>
      <c r="EZ396" s="39"/>
      <c r="FA396" s="39"/>
      <c r="FB396" s="39"/>
      <c r="FC396" s="39"/>
      <c r="FD396" s="39"/>
      <c r="FE396" s="39"/>
      <c r="FF396" s="39"/>
      <c r="FG396" s="39"/>
      <c r="FH396" s="39"/>
      <c r="FI396" s="39"/>
      <c r="FJ396" s="39"/>
      <c r="FK396" s="39"/>
      <c r="FL396" s="39"/>
      <c r="FM396" s="39"/>
      <c r="FN396" s="39"/>
      <c r="FO396" s="39"/>
      <c r="FP396" s="39"/>
      <c r="FQ396" s="39"/>
      <c r="FR396" s="39"/>
      <c r="FS396" s="39"/>
      <c r="FT396" s="39"/>
      <c r="FU396" s="39"/>
      <c r="FV396" s="39"/>
      <c r="FW396" s="39"/>
      <c r="FX396" s="39"/>
      <c r="FY396" s="39"/>
      <c r="FZ396" s="39"/>
      <c r="GA396" s="39"/>
      <c r="GB396" s="39"/>
      <c r="GC396" s="39"/>
      <c r="GD396" s="39"/>
      <c r="GE396" s="39"/>
      <c r="GF396" s="39"/>
      <c r="GG396" s="39"/>
      <c r="GH396" s="39"/>
      <c r="GI396" s="39"/>
      <c r="GJ396" s="39"/>
      <c r="GK396" s="39"/>
      <c r="GL396" s="39"/>
      <c r="GM396" s="39"/>
      <c r="GN396" s="39"/>
      <c r="GO396" s="39"/>
      <c r="GP396" s="39"/>
      <c r="GQ396" s="39"/>
      <c r="GR396" s="39"/>
      <c r="GS396" s="39"/>
      <c r="GT396" s="39"/>
      <c r="GU396" s="39"/>
      <c r="GV396" s="39"/>
      <c r="GW396" s="39"/>
      <c r="GX396" s="39"/>
      <c r="GY396" s="39"/>
      <c r="GZ396" s="39"/>
      <c r="HA396" s="39"/>
      <c r="HB396" s="39"/>
      <c r="HC396" s="39"/>
      <c r="HD396" s="39"/>
      <c r="HE396" s="39"/>
      <c r="HF396" s="39"/>
      <c r="HG396" s="39"/>
      <c r="HH396" s="39"/>
      <c r="HI396" s="39"/>
      <c r="HJ396" s="39"/>
      <c r="HK396" s="39"/>
      <c r="HL396" s="39"/>
      <c r="HM396" s="39"/>
      <c r="HN396" s="39"/>
      <c r="HO396" s="39"/>
      <c r="HP396" s="39"/>
    </row>
    <row r="397" spans="3:224" s="4" customFormat="1" ht="20.100000000000001" customHeight="1">
      <c r="C397" s="34">
        <v>15211005</v>
      </c>
      <c r="D397" s="35" t="s">
        <v>413</v>
      </c>
      <c r="E397" s="35">
        <v>11200003</v>
      </c>
      <c r="F397" s="35">
        <v>0</v>
      </c>
      <c r="G397" s="35">
        <v>1</v>
      </c>
      <c r="H397" s="35">
        <v>30</v>
      </c>
      <c r="I397" s="37">
        <v>0.2</v>
      </c>
      <c r="J397" s="30">
        <v>10</v>
      </c>
      <c r="K397" s="25">
        <v>0</v>
      </c>
      <c r="L397" s="35">
        <v>2920</v>
      </c>
      <c r="M397" s="35">
        <f t="shared" si="50"/>
        <v>0</v>
      </c>
      <c r="N397" s="35">
        <v>0</v>
      </c>
      <c r="O397" s="35">
        <v>0</v>
      </c>
      <c r="P397" s="35">
        <v>0</v>
      </c>
      <c r="Q397" s="35">
        <f t="shared" si="51"/>
        <v>28</v>
      </c>
      <c r="R397" s="35">
        <v>56</v>
      </c>
      <c r="S397" s="35">
        <f t="shared" si="52"/>
        <v>28</v>
      </c>
      <c r="T397" s="35">
        <v>56</v>
      </c>
      <c r="U397" s="37">
        <v>0</v>
      </c>
      <c r="V397" s="35">
        <v>0</v>
      </c>
      <c r="W397" s="35">
        <v>0</v>
      </c>
      <c r="X397" s="35">
        <v>0</v>
      </c>
      <c r="Y397" s="37">
        <v>0</v>
      </c>
      <c r="Z397" s="37">
        <v>0</v>
      </c>
      <c r="AA397" s="37">
        <v>0</v>
      </c>
      <c r="AB397" s="37">
        <v>0</v>
      </c>
      <c r="AC397" s="37">
        <v>0</v>
      </c>
      <c r="AD397" s="37">
        <v>0</v>
      </c>
      <c r="AE397" s="44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  <c r="CC397" s="39"/>
      <c r="CD397" s="39"/>
      <c r="CE397" s="39"/>
      <c r="CF397" s="39"/>
      <c r="CG397" s="39"/>
      <c r="CH397" s="39"/>
      <c r="CI397" s="39"/>
      <c r="CJ397" s="39"/>
      <c r="CK397" s="39"/>
      <c r="CL397" s="39"/>
      <c r="CM397" s="39"/>
      <c r="CN397" s="39"/>
      <c r="CO397" s="39"/>
      <c r="CP397" s="39"/>
      <c r="CQ397" s="39"/>
      <c r="CR397" s="39"/>
      <c r="CS397" s="39"/>
      <c r="CT397" s="39"/>
      <c r="CU397" s="39"/>
      <c r="CV397" s="39"/>
      <c r="CW397" s="39"/>
      <c r="CX397" s="39"/>
      <c r="CY397" s="39"/>
      <c r="CZ397" s="39"/>
      <c r="DA397" s="39"/>
      <c r="DB397" s="39"/>
      <c r="DC397" s="39"/>
      <c r="DD397" s="39"/>
      <c r="DE397" s="39"/>
      <c r="DF397" s="39"/>
      <c r="DG397" s="39"/>
      <c r="DH397" s="39"/>
      <c r="DI397" s="39"/>
      <c r="DJ397" s="39"/>
      <c r="DK397" s="39"/>
      <c r="DL397" s="39"/>
      <c r="DM397" s="39"/>
      <c r="DN397" s="39"/>
      <c r="DO397" s="39"/>
      <c r="DP397" s="39"/>
      <c r="DQ397" s="39"/>
      <c r="DR397" s="39"/>
      <c r="DS397" s="39"/>
      <c r="DT397" s="39"/>
      <c r="DU397" s="39"/>
      <c r="DV397" s="39"/>
      <c r="DW397" s="39"/>
      <c r="DX397" s="39"/>
      <c r="DY397" s="39"/>
      <c r="DZ397" s="39"/>
      <c r="EA397" s="39"/>
      <c r="EB397" s="39"/>
      <c r="EC397" s="39"/>
      <c r="ED397" s="39"/>
      <c r="EE397" s="39"/>
      <c r="EF397" s="39"/>
      <c r="EG397" s="39"/>
      <c r="EH397" s="39"/>
      <c r="EI397" s="39"/>
      <c r="EJ397" s="39"/>
      <c r="EK397" s="39"/>
      <c r="EL397" s="39"/>
      <c r="EM397" s="39"/>
      <c r="EN397" s="39"/>
      <c r="EO397" s="39"/>
      <c r="EP397" s="39"/>
      <c r="EQ397" s="39"/>
      <c r="ER397" s="39"/>
      <c r="ES397" s="39"/>
      <c r="ET397" s="39"/>
      <c r="EU397" s="39"/>
      <c r="EV397" s="39"/>
      <c r="EW397" s="39"/>
      <c r="EX397" s="39"/>
      <c r="EY397" s="39"/>
      <c r="EZ397" s="39"/>
      <c r="FA397" s="39"/>
      <c r="FB397" s="39"/>
      <c r="FC397" s="39"/>
      <c r="FD397" s="39"/>
      <c r="FE397" s="39"/>
      <c r="FF397" s="39"/>
      <c r="FG397" s="39"/>
      <c r="FH397" s="39"/>
      <c r="FI397" s="39"/>
      <c r="FJ397" s="39"/>
      <c r="FK397" s="39"/>
      <c r="FL397" s="39"/>
      <c r="FM397" s="39"/>
      <c r="FN397" s="39"/>
      <c r="FO397" s="39"/>
      <c r="FP397" s="39"/>
      <c r="FQ397" s="39"/>
      <c r="FR397" s="39"/>
      <c r="FS397" s="39"/>
      <c r="FT397" s="39"/>
      <c r="FU397" s="39"/>
      <c r="FV397" s="39"/>
      <c r="FW397" s="39"/>
      <c r="FX397" s="39"/>
      <c r="FY397" s="39"/>
      <c r="FZ397" s="39"/>
      <c r="GA397" s="39"/>
      <c r="GB397" s="39"/>
      <c r="GC397" s="39"/>
      <c r="GD397" s="39"/>
      <c r="GE397" s="39"/>
      <c r="GF397" s="39"/>
      <c r="GG397" s="39"/>
      <c r="GH397" s="39"/>
      <c r="GI397" s="39"/>
      <c r="GJ397" s="39"/>
      <c r="GK397" s="39"/>
      <c r="GL397" s="39"/>
      <c r="GM397" s="39"/>
      <c r="GN397" s="39"/>
      <c r="GO397" s="39"/>
      <c r="GP397" s="39"/>
      <c r="GQ397" s="39"/>
      <c r="GR397" s="39"/>
      <c r="GS397" s="39"/>
      <c r="GT397" s="39"/>
      <c r="GU397" s="39"/>
      <c r="GV397" s="39"/>
      <c r="GW397" s="39"/>
      <c r="GX397" s="39"/>
      <c r="GY397" s="39"/>
      <c r="GZ397" s="39"/>
      <c r="HA397" s="39"/>
      <c r="HB397" s="39"/>
      <c r="HC397" s="39"/>
      <c r="HD397" s="39"/>
      <c r="HE397" s="39"/>
      <c r="HF397" s="39"/>
      <c r="HG397" s="39"/>
      <c r="HH397" s="39"/>
      <c r="HI397" s="39"/>
      <c r="HJ397" s="39"/>
      <c r="HK397" s="39"/>
      <c r="HL397" s="39"/>
      <c r="HM397" s="39"/>
      <c r="HN397" s="39"/>
      <c r="HO397" s="39"/>
      <c r="HP397" s="39"/>
    </row>
    <row r="398" spans="3:224" s="4" customFormat="1" ht="20.100000000000001" customHeight="1">
      <c r="C398" s="34">
        <v>15211006</v>
      </c>
      <c r="D398" s="35" t="s">
        <v>414</v>
      </c>
      <c r="E398" s="35">
        <v>11200003</v>
      </c>
      <c r="F398" s="35">
        <v>12031</v>
      </c>
      <c r="G398" s="35">
        <v>1</v>
      </c>
      <c r="H398" s="35">
        <v>30</v>
      </c>
      <c r="I398" s="37">
        <v>0.2</v>
      </c>
      <c r="J398" s="30">
        <v>10</v>
      </c>
      <c r="K398" s="25">
        <v>0</v>
      </c>
      <c r="L398" s="35">
        <v>3510</v>
      </c>
      <c r="M398" s="35">
        <f t="shared" si="50"/>
        <v>0</v>
      </c>
      <c r="N398" s="35">
        <v>0</v>
      </c>
      <c r="O398" s="35">
        <v>0</v>
      </c>
      <c r="P398" s="35">
        <v>0</v>
      </c>
      <c r="Q398" s="35">
        <f t="shared" si="51"/>
        <v>35</v>
      </c>
      <c r="R398" s="35">
        <v>70</v>
      </c>
      <c r="S398" s="35">
        <f t="shared" si="52"/>
        <v>35</v>
      </c>
      <c r="T398" s="35">
        <v>70</v>
      </c>
      <c r="U398" s="37">
        <v>0</v>
      </c>
      <c r="V398" s="35">
        <v>0</v>
      </c>
      <c r="W398" s="35">
        <v>0</v>
      </c>
      <c r="X398" s="35">
        <v>0</v>
      </c>
      <c r="Y398" s="37">
        <v>0</v>
      </c>
      <c r="Z398" s="37">
        <v>0</v>
      </c>
      <c r="AA398" s="37">
        <v>0</v>
      </c>
      <c r="AB398" s="37">
        <v>0</v>
      </c>
      <c r="AC398" s="37">
        <v>0</v>
      </c>
      <c r="AD398" s="37">
        <v>0</v>
      </c>
      <c r="AE398" s="44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  <c r="CC398" s="39"/>
      <c r="CD398" s="39"/>
      <c r="CE398" s="39"/>
      <c r="CF398" s="39"/>
      <c r="CG398" s="39"/>
      <c r="CH398" s="39"/>
      <c r="CI398" s="39"/>
      <c r="CJ398" s="39"/>
      <c r="CK398" s="39"/>
      <c r="CL398" s="39"/>
      <c r="CM398" s="39"/>
      <c r="CN398" s="39"/>
      <c r="CO398" s="39"/>
      <c r="CP398" s="39"/>
      <c r="CQ398" s="39"/>
      <c r="CR398" s="39"/>
      <c r="CS398" s="39"/>
      <c r="CT398" s="39"/>
      <c r="CU398" s="39"/>
      <c r="CV398" s="39"/>
      <c r="CW398" s="39"/>
      <c r="CX398" s="39"/>
      <c r="CY398" s="39"/>
      <c r="CZ398" s="39"/>
      <c r="DA398" s="39"/>
      <c r="DB398" s="39"/>
      <c r="DC398" s="39"/>
      <c r="DD398" s="39"/>
      <c r="DE398" s="39"/>
      <c r="DF398" s="39"/>
      <c r="DG398" s="39"/>
      <c r="DH398" s="39"/>
      <c r="DI398" s="39"/>
      <c r="DJ398" s="39"/>
      <c r="DK398" s="39"/>
      <c r="DL398" s="39"/>
      <c r="DM398" s="39"/>
      <c r="DN398" s="39"/>
      <c r="DO398" s="39"/>
      <c r="DP398" s="39"/>
      <c r="DQ398" s="39"/>
      <c r="DR398" s="39"/>
      <c r="DS398" s="39"/>
      <c r="DT398" s="39"/>
      <c r="DU398" s="39"/>
      <c r="DV398" s="39"/>
      <c r="DW398" s="39"/>
      <c r="DX398" s="39"/>
      <c r="DY398" s="39"/>
      <c r="DZ398" s="39"/>
      <c r="EA398" s="39"/>
      <c r="EB398" s="39"/>
      <c r="EC398" s="39"/>
      <c r="ED398" s="39"/>
      <c r="EE398" s="39"/>
      <c r="EF398" s="39"/>
      <c r="EG398" s="39"/>
      <c r="EH398" s="39"/>
      <c r="EI398" s="39"/>
      <c r="EJ398" s="39"/>
      <c r="EK398" s="39"/>
      <c r="EL398" s="39"/>
      <c r="EM398" s="39"/>
      <c r="EN398" s="39"/>
      <c r="EO398" s="39"/>
      <c r="EP398" s="39"/>
      <c r="EQ398" s="39"/>
      <c r="ER398" s="39"/>
      <c r="ES398" s="39"/>
      <c r="ET398" s="39"/>
      <c r="EU398" s="39"/>
      <c r="EV398" s="39"/>
      <c r="EW398" s="39"/>
      <c r="EX398" s="39"/>
      <c r="EY398" s="39"/>
      <c r="EZ398" s="39"/>
      <c r="FA398" s="39"/>
      <c r="FB398" s="39"/>
      <c r="FC398" s="39"/>
      <c r="FD398" s="39"/>
      <c r="FE398" s="39"/>
      <c r="FF398" s="39"/>
      <c r="FG398" s="39"/>
      <c r="FH398" s="39"/>
      <c r="FI398" s="39"/>
      <c r="FJ398" s="39"/>
      <c r="FK398" s="39"/>
      <c r="FL398" s="39"/>
      <c r="FM398" s="39"/>
      <c r="FN398" s="39"/>
      <c r="FO398" s="39"/>
      <c r="FP398" s="39"/>
      <c r="FQ398" s="39"/>
      <c r="FR398" s="39"/>
      <c r="FS398" s="39"/>
      <c r="FT398" s="39"/>
      <c r="FU398" s="39"/>
      <c r="FV398" s="39"/>
      <c r="FW398" s="39"/>
      <c r="FX398" s="39"/>
      <c r="FY398" s="39"/>
      <c r="FZ398" s="39"/>
      <c r="GA398" s="39"/>
      <c r="GB398" s="39"/>
      <c r="GC398" s="39"/>
      <c r="GD398" s="39"/>
      <c r="GE398" s="39"/>
      <c r="GF398" s="39"/>
      <c r="GG398" s="39"/>
      <c r="GH398" s="39"/>
      <c r="GI398" s="39"/>
      <c r="GJ398" s="39"/>
      <c r="GK398" s="39"/>
      <c r="GL398" s="39"/>
      <c r="GM398" s="39"/>
      <c r="GN398" s="39"/>
      <c r="GO398" s="39"/>
      <c r="GP398" s="39"/>
      <c r="GQ398" s="39"/>
      <c r="GR398" s="39"/>
      <c r="GS398" s="39"/>
      <c r="GT398" s="39"/>
      <c r="GU398" s="39"/>
      <c r="GV398" s="39"/>
      <c r="GW398" s="39"/>
      <c r="GX398" s="39"/>
      <c r="GY398" s="39"/>
      <c r="GZ398" s="39"/>
      <c r="HA398" s="39"/>
      <c r="HB398" s="39"/>
      <c r="HC398" s="39"/>
      <c r="HD398" s="39"/>
      <c r="HE398" s="39"/>
      <c r="HF398" s="39"/>
      <c r="HG398" s="39"/>
      <c r="HH398" s="39"/>
      <c r="HI398" s="39"/>
      <c r="HJ398" s="39"/>
      <c r="HK398" s="39"/>
      <c r="HL398" s="39"/>
      <c r="HM398" s="39"/>
      <c r="HN398" s="39"/>
      <c r="HO398" s="39"/>
      <c r="HP398" s="39"/>
    </row>
    <row r="399" spans="3:224" ht="20.100000000000001" customHeight="1">
      <c r="C399" s="24">
        <v>15211011</v>
      </c>
      <c r="D399" s="36" t="s">
        <v>415</v>
      </c>
      <c r="E399" s="25">
        <v>11200003</v>
      </c>
      <c r="F399" s="25">
        <v>12011</v>
      </c>
      <c r="G399" s="25">
        <v>1</v>
      </c>
      <c r="H399" s="25">
        <v>30</v>
      </c>
      <c r="I399" s="29">
        <v>0.2</v>
      </c>
      <c r="J399" s="30">
        <v>10</v>
      </c>
      <c r="K399" s="25">
        <v>0</v>
      </c>
      <c r="L399" s="25">
        <v>2690</v>
      </c>
      <c r="M399" s="25">
        <f t="shared" si="50"/>
        <v>0</v>
      </c>
      <c r="N399" s="25">
        <v>0</v>
      </c>
      <c r="O399" s="25">
        <v>0</v>
      </c>
      <c r="P399" s="25">
        <v>0</v>
      </c>
      <c r="Q399" s="25">
        <v>36</v>
      </c>
      <c r="R399" s="25">
        <v>73</v>
      </c>
      <c r="S399" s="25">
        <v>36</v>
      </c>
      <c r="T399" s="25">
        <v>73</v>
      </c>
      <c r="U399" s="29">
        <v>0</v>
      </c>
      <c r="V399" s="25">
        <v>0</v>
      </c>
      <c r="W399" s="25">
        <v>0</v>
      </c>
      <c r="X399" s="25">
        <v>0</v>
      </c>
      <c r="Y399" s="29">
        <v>0</v>
      </c>
      <c r="Z399" s="29">
        <v>0</v>
      </c>
      <c r="AA399" s="29">
        <v>0</v>
      </c>
      <c r="AB399" s="29">
        <v>203603</v>
      </c>
      <c r="AC399" s="29">
        <v>500</v>
      </c>
      <c r="AD399" s="29">
        <v>1</v>
      </c>
      <c r="AE399" s="43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  <c r="HJ399" s="5"/>
      <c r="HK399" s="5"/>
      <c r="HL399" s="5"/>
      <c r="HM399" s="5"/>
      <c r="HN399" s="5"/>
      <c r="HO399" s="5"/>
      <c r="HP399" s="5"/>
    </row>
    <row r="400" spans="3:224" ht="20.100000000000001" customHeight="1">
      <c r="C400" s="24">
        <v>15211012</v>
      </c>
      <c r="D400" s="36" t="s">
        <v>416</v>
      </c>
      <c r="E400" s="25">
        <v>11200003</v>
      </c>
      <c r="F400" s="25">
        <v>12021</v>
      </c>
      <c r="G400" s="25">
        <v>1</v>
      </c>
      <c r="H400" s="25">
        <v>30</v>
      </c>
      <c r="I400" s="29">
        <v>0.2</v>
      </c>
      <c r="J400" s="30">
        <v>10</v>
      </c>
      <c r="K400" s="25">
        <v>0</v>
      </c>
      <c r="L400" s="25">
        <v>1360</v>
      </c>
      <c r="M400" s="25">
        <f t="shared" si="50"/>
        <v>0</v>
      </c>
      <c r="N400" s="25">
        <v>0</v>
      </c>
      <c r="O400" s="25">
        <v>0</v>
      </c>
      <c r="P400" s="25">
        <v>0</v>
      </c>
      <c r="Q400" s="25">
        <v>27</v>
      </c>
      <c r="R400" s="25">
        <v>55</v>
      </c>
      <c r="S400" s="25">
        <v>27</v>
      </c>
      <c r="T400" s="25">
        <v>55</v>
      </c>
      <c r="U400" s="29">
        <v>0</v>
      </c>
      <c r="V400" s="25">
        <v>0</v>
      </c>
      <c r="W400" s="25">
        <v>0</v>
      </c>
      <c r="X400" s="25">
        <v>0</v>
      </c>
      <c r="Y400" s="29">
        <v>0</v>
      </c>
      <c r="Z400" s="29">
        <v>0</v>
      </c>
      <c r="AA400" s="29">
        <v>0</v>
      </c>
      <c r="AB400" s="29">
        <v>202703</v>
      </c>
      <c r="AC400" s="29">
        <v>1000</v>
      </c>
      <c r="AD400" s="29">
        <v>1</v>
      </c>
      <c r="AE400" s="43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  <c r="HJ400" s="5"/>
      <c r="HK400" s="5"/>
      <c r="HL400" s="5"/>
      <c r="HM400" s="5"/>
      <c r="HN400" s="5"/>
      <c r="HO400" s="5"/>
      <c r="HP400" s="5"/>
    </row>
    <row r="401" spans="3:224" ht="20.100000000000001" customHeight="1">
      <c r="C401" s="24">
        <v>15211013</v>
      </c>
      <c r="D401" s="36" t="s">
        <v>417</v>
      </c>
      <c r="E401" s="25">
        <v>11200003</v>
      </c>
      <c r="F401" s="25">
        <v>12031</v>
      </c>
      <c r="G401" s="25">
        <v>1</v>
      </c>
      <c r="H401" s="25">
        <v>30</v>
      </c>
      <c r="I401" s="29">
        <v>0.2</v>
      </c>
      <c r="J401" s="30">
        <v>10</v>
      </c>
      <c r="K401" s="25">
        <v>0</v>
      </c>
      <c r="L401" s="25">
        <v>4030</v>
      </c>
      <c r="M401" s="25">
        <f t="shared" si="50"/>
        <v>0</v>
      </c>
      <c r="N401" s="25">
        <v>0</v>
      </c>
      <c r="O401" s="25">
        <v>0</v>
      </c>
      <c r="P401" s="25">
        <v>0</v>
      </c>
      <c r="Q401" s="25">
        <v>46</v>
      </c>
      <c r="R401" s="25">
        <v>91</v>
      </c>
      <c r="S401" s="25">
        <v>46</v>
      </c>
      <c r="T401" s="25">
        <v>91</v>
      </c>
      <c r="U401" s="29">
        <v>0</v>
      </c>
      <c r="V401" s="25">
        <v>0</v>
      </c>
      <c r="W401" s="25">
        <v>0</v>
      </c>
      <c r="X401" s="25">
        <v>0</v>
      </c>
      <c r="Y401" s="29">
        <v>0</v>
      </c>
      <c r="Z401" s="29">
        <v>0</v>
      </c>
      <c r="AA401" s="29">
        <v>0</v>
      </c>
      <c r="AB401" s="29">
        <v>0</v>
      </c>
      <c r="AC401" s="29">
        <v>0</v>
      </c>
      <c r="AD401" s="29">
        <v>0</v>
      </c>
      <c r="AE401" s="43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  <c r="HJ401" s="5"/>
      <c r="HK401" s="5"/>
      <c r="HL401" s="5"/>
      <c r="HM401" s="5"/>
      <c r="HN401" s="5"/>
      <c r="HO401" s="5"/>
      <c r="HP401" s="5"/>
    </row>
    <row r="402" spans="3:224" ht="20.100000000000001" customHeight="1">
      <c r="C402" s="24">
        <v>15301001</v>
      </c>
      <c r="D402" s="25" t="s">
        <v>418</v>
      </c>
      <c r="E402" s="25">
        <v>11200003</v>
      </c>
      <c r="F402" s="25">
        <v>0</v>
      </c>
      <c r="G402" s="25">
        <v>1</v>
      </c>
      <c r="H402" s="25">
        <v>40</v>
      </c>
      <c r="I402" s="29">
        <v>0.2</v>
      </c>
      <c r="J402" s="30">
        <v>15</v>
      </c>
      <c r="K402" s="25">
        <v>0</v>
      </c>
      <c r="L402" s="25">
        <v>0</v>
      </c>
      <c r="M402" s="25">
        <f t="shared" si="50"/>
        <v>23</v>
      </c>
      <c r="N402" s="25">
        <v>45</v>
      </c>
      <c r="O402" s="25">
        <v>0</v>
      </c>
      <c r="P402" s="25">
        <v>0</v>
      </c>
      <c r="Q402" s="25">
        <f t="shared" si="51"/>
        <v>14</v>
      </c>
      <c r="R402" s="25">
        <v>28</v>
      </c>
      <c r="S402" s="25">
        <f t="shared" si="52"/>
        <v>14</v>
      </c>
      <c r="T402" s="25">
        <v>28</v>
      </c>
      <c r="U402" s="29">
        <v>0</v>
      </c>
      <c r="V402" s="25">
        <v>0</v>
      </c>
      <c r="W402" s="25">
        <v>0</v>
      </c>
      <c r="X402" s="25">
        <v>0</v>
      </c>
      <c r="Y402" s="29">
        <v>0</v>
      </c>
      <c r="Z402" s="29">
        <v>0</v>
      </c>
      <c r="AA402" s="29">
        <v>0</v>
      </c>
      <c r="AB402" s="29">
        <v>0</v>
      </c>
      <c r="AC402" s="29">
        <v>0</v>
      </c>
      <c r="AD402" s="29">
        <v>0</v>
      </c>
      <c r="AE402" s="43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  <c r="HJ402" s="5"/>
      <c r="HK402" s="5"/>
      <c r="HL402" s="5"/>
      <c r="HM402" s="5"/>
      <c r="HN402" s="5"/>
      <c r="HO402" s="5"/>
      <c r="HP402" s="5"/>
    </row>
    <row r="403" spans="3:224" ht="20.100000000000001" customHeight="1">
      <c r="C403" s="24">
        <v>15301002</v>
      </c>
      <c r="D403" s="41" t="s">
        <v>419</v>
      </c>
      <c r="E403" s="25">
        <v>11200003</v>
      </c>
      <c r="F403" s="25">
        <v>13011</v>
      </c>
      <c r="G403" s="25">
        <v>1</v>
      </c>
      <c r="H403" s="25">
        <v>40</v>
      </c>
      <c r="I403" s="29">
        <v>0.2</v>
      </c>
      <c r="J403" s="30">
        <v>15</v>
      </c>
      <c r="K403" s="25">
        <v>0</v>
      </c>
      <c r="L403" s="25">
        <v>0</v>
      </c>
      <c r="M403" s="25">
        <f t="shared" si="50"/>
        <v>28</v>
      </c>
      <c r="N403" s="25">
        <v>55</v>
      </c>
      <c r="O403" s="25">
        <v>0</v>
      </c>
      <c r="P403" s="25">
        <v>0</v>
      </c>
      <c r="Q403" s="25">
        <f t="shared" si="51"/>
        <v>17</v>
      </c>
      <c r="R403" s="25">
        <v>33</v>
      </c>
      <c r="S403" s="25">
        <f t="shared" si="52"/>
        <v>17</v>
      </c>
      <c r="T403" s="25">
        <v>33</v>
      </c>
      <c r="U403" s="29">
        <v>0</v>
      </c>
      <c r="V403" s="25">
        <v>0</v>
      </c>
      <c r="W403" s="25">
        <v>0</v>
      </c>
      <c r="X403" s="25">
        <v>0</v>
      </c>
      <c r="Y403" s="29">
        <v>0</v>
      </c>
      <c r="Z403" s="29">
        <v>0</v>
      </c>
      <c r="AA403" s="29">
        <v>0</v>
      </c>
      <c r="AB403" s="29">
        <v>0</v>
      </c>
      <c r="AC403" s="29">
        <v>0</v>
      </c>
      <c r="AD403" s="29">
        <v>0</v>
      </c>
      <c r="AE403" s="43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  <c r="HJ403" s="5"/>
      <c r="HK403" s="5"/>
      <c r="HL403" s="5"/>
      <c r="HM403" s="5"/>
      <c r="HN403" s="5"/>
      <c r="HO403" s="5"/>
      <c r="HP403" s="5"/>
    </row>
    <row r="404" spans="3:224" ht="20.100000000000001" customHeight="1">
      <c r="C404" s="24">
        <v>15301003</v>
      </c>
      <c r="D404" s="25" t="s">
        <v>420</v>
      </c>
      <c r="E404" s="25">
        <v>11200003</v>
      </c>
      <c r="F404" s="25">
        <v>0</v>
      </c>
      <c r="G404" s="25">
        <v>1</v>
      </c>
      <c r="H404" s="25">
        <v>40</v>
      </c>
      <c r="I404" s="29">
        <v>0.2</v>
      </c>
      <c r="J404" s="30">
        <v>15</v>
      </c>
      <c r="K404" s="25">
        <v>0</v>
      </c>
      <c r="L404" s="25">
        <v>0</v>
      </c>
      <c r="M404" s="25">
        <f t="shared" si="50"/>
        <v>31</v>
      </c>
      <c r="N404" s="25">
        <v>61</v>
      </c>
      <c r="O404" s="25">
        <v>0</v>
      </c>
      <c r="P404" s="25">
        <v>0</v>
      </c>
      <c r="Q404" s="25">
        <f t="shared" si="51"/>
        <v>11</v>
      </c>
      <c r="R404" s="25">
        <v>21</v>
      </c>
      <c r="S404" s="25">
        <f t="shared" si="52"/>
        <v>11</v>
      </c>
      <c r="T404" s="25">
        <v>21</v>
      </c>
      <c r="U404" s="29">
        <v>0</v>
      </c>
      <c r="V404" s="25">
        <v>0</v>
      </c>
      <c r="W404" s="25">
        <v>0</v>
      </c>
      <c r="X404" s="25">
        <v>0</v>
      </c>
      <c r="Y404" s="29">
        <v>0</v>
      </c>
      <c r="Z404" s="29">
        <v>0</v>
      </c>
      <c r="AA404" s="29">
        <v>0</v>
      </c>
      <c r="AB404" s="29">
        <v>0</v>
      </c>
      <c r="AC404" s="29">
        <v>0</v>
      </c>
      <c r="AD404" s="29">
        <v>0</v>
      </c>
      <c r="AE404" s="43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</row>
    <row r="405" spans="3:224" ht="20.100000000000001" customHeight="1">
      <c r="C405" s="24">
        <v>15301004</v>
      </c>
      <c r="D405" s="41" t="s">
        <v>421</v>
      </c>
      <c r="E405" s="25">
        <v>11200003</v>
      </c>
      <c r="F405" s="25">
        <v>13021</v>
      </c>
      <c r="G405" s="25">
        <v>1</v>
      </c>
      <c r="H405" s="25">
        <v>40</v>
      </c>
      <c r="I405" s="29">
        <v>0.2</v>
      </c>
      <c r="J405" s="30">
        <v>15</v>
      </c>
      <c r="K405" s="25">
        <v>0</v>
      </c>
      <c r="L405" s="25">
        <v>0</v>
      </c>
      <c r="M405" s="25">
        <f t="shared" si="50"/>
        <v>37</v>
      </c>
      <c r="N405" s="25">
        <v>74</v>
      </c>
      <c r="O405" s="25">
        <v>0</v>
      </c>
      <c r="P405" s="25">
        <v>0</v>
      </c>
      <c r="Q405" s="25">
        <f t="shared" si="51"/>
        <v>13</v>
      </c>
      <c r="R405" s="25">
        <v>25</v>
      </c>
      <c r="S405" s="25">
        <f t="shared" si="52"/>
        <v>13</v>
      </c>
      <c r="T405" s="25">
        <v>25</v>
      </c>
      <c r="U405" s="29">
        <v>0</v>
      </c>
      <c r="V405" s="25">
        <v>0</v>
      </c>
      <c r="W405" s="25">
        <v>0</v>
      </c>
      <c r="X405" s="25">
        <v>0</v>
      </c>
      <c r="Y405" s="29">
        <v>0</v>
      </c>
      <c r="Z405" s="29">
        <v>0</v>
      </c>
      <c r="AA405" s="29">
        <v>0</v>
      </c>
      <c r="AB405" s="29">
        <v>0</v>
      </c>
      <c r="AC405" s="29">
        <v>0</v>
      </c>
      <c r="AD405" s="29">
        <v>0</v>
      </c>
      <c r="AE405" s="43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/>
      <c r="HK405" s="5"/>
      <c r="HL405" s="5"/>
      <c r="HM405" s="5"/>
      <c r="HN405" s="5"/>
      <c r="HO405" s="5"/>
      <c r="HP405" s="5"/>
    </row>
    <row r="406" spans="3:224" ht="20.100000000000001" customHeight="1">
      <c r="C406" s="24">
        <v>15301005</v>
      </c>
      <c r="D406" s="25" t="s">
        <v>422</v>
      </c>
      <c r="E406" s="25">
        <v>11200003</v>
      </c>
      <c r="F406" s="25">
        <v>0</v>
      </c>
      <c r="G406" s="25">
        <v>1</v>
      </c>
      <c r="H406" s="25">
        <v>40</v>
      </c>
      <c r="I406" s="29">
        <v>0.2</v>
      </c>
      <c r="J406" s="30">
        <v>15</v>
      </c>
      <c r="K406" s="25">
        <v>0</v>
      </c>
      <c r="L406" s="25">
        <v>0</v>
      </c>
      <c r="M406" s="25">
        <f t="shared" si="50"/>
        <v>17</v>
      </c>
      <c r="N406" s="25">
        <v>34</v>
      </c>
      <c r="O406" s="25">
        <v>0</v>
      </c>
      <c r="P406" s="25">
        <v>0</v>
      </c>
      <c r="Q406" s="25">
        <f t="shared" si="51"/>
        <v>18</v>
      </c>
      <c r="R406" s="25">
        <v>35</v>
      </c>
      <c r="S406" s="25">
        <f t="shared" si="52"/>
        <v>18</v>
      </c>
      <c r="T406" s="25">
        <v>35</v>
      </c>
      <c r="U406" s="29">
        <v>0</v>
      </c>
      <c r="V406" s="25">
        <v>0</v>
      </c>
      <c r="W406" s="25">
        <v>0</v>
      </c>
      <c r="X406" s="25">
        <v>0</v>
      </c>
      <c r="Y406" s="29">
        <v>0</v>
      </c>
      <c r="Z406" s="29">
        <v>0</v>
      </c>
      <c r="AA406" s="29">
        <v>0</v>
      </c>
      <c r="AB406" s="29">
        <v>0</v>
      </c>
      <c r="AC406" s="29">
        <v>0</v>
      </c>
      <c r="AD406" s="29">
        <v>0</v>
      </c>
      <c r="AE406" s="43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  <c r="HJ406" s="5"/>
      <c r="HK406" s="5"/>
      <c r="HL406" s="5"/>
      <c r="HM406" s="5"/>
      <c r="HN406" s="5"/>
      <c r="HO406" s="5"/>
      <c r="HP406" s="5"/>
    </row>
    <row r="407" spans="3:224" ht="20.100000000000001" customHeight="1">
      <c r="C407" s="24">
        <v>15301006</v>
      </c>
      <c r="D407" s="41" t="s">
        <v>423</v>
      </c>
      <c r="E407" s="25">
        <v>11200003</v>
      </c>
      <c r="F407" s="25">
        <v>13031</v>
      </c>
      <c r="G407" s="25">
        <v>1</v>
      </c>
      <c r="H407" s="25">
        <v>40</v>
      </c>
      <c r="I407" s="29">
        <v>0.2</v>
      </c>
      <c r="J407" s="30">
        <v>15</v>
      </c>
      <c r="K407" s="25">
        <v>0</v>
      </c>
      <c r="L407" s="25">
        <v>0</v>
      </c>
      <c r="M407" s="25">
        <f t="shared" si="50"/>
        <v>21</v>
      </c>
      <c r="N407" s="25">
        <v>41</v>
      </c>
      <c r="O407" s="25">
        <v>0</v>
      </c>
      <c r="P407" s="25">
        <v>0</v>
      </c>
      <c r="Q407" s="25">
        <f t="shared" si="51"/>
        <v>21</v>
      </c>
      <c r="R407" s="25">
        <v>41</v>
      </c>
      <c r="S407" s="25">
        <f t="shared" si="52"/>
        <v>21</v>
      </c>
      <c r="T407" s="25">
        <v>41</v>
      </c>
      <c r="U407" s="29">
        <v>0</v>
      </c>
      <c r="V407" s="25">
        <v>0</v>
      </c>
      <c r="W407" s="25">
        <v>0</v>
      </c>
      <c r="X407" s="25">
        <v>0</v>
      </c>
      <c r="Y407" s="29">
        <v>0</v>
      </c>
      <c r="Z407" s="29">
        <v>0</v>
      </c>
      <c r="AA407" s="29">
        <v>0</v>
      </c>
      <c r="AB407" s="29">
        <v>0</v>
      </c>
      <c r="AC407" s="29">
        <v>0</v>
      </c>
      <c r="AD407" s="29">
        <v>0</v>
      </c>
      <c r="AE407" s="43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  <c r="HJ407" s="5"/>
      <c r="HK407" s="5"/>
      <c r="HL407" s="5"/>
      <c r="HM407" s="5"/>
      <c r="HN407" s="5"/>
      <c r="HO407" s="5"/>
      <c r="HP407" s="5"/>
    </row>
    <row r="408" spans="3:224" ht="20.100000000000001" customHeight="1">
      <c r="C408" s="24">
        <v>15302001</v>
      </c>
      <c r="D408" s="25" t="s">
        <v>424</v>
      </c>
      <c r="E408" s="25">
        <v>11200003</v>
      </c>
      <c r="F408" s="25">
        <v>0</v>
      </c>
      <c r="G408" s="25">
        <v>1</v>
      </c>
      <c r="H408" s="25">
        <v>40</v>
      </c>
      <c r="I408" s="29">
        <v>0.2</v>
      </c>
      <c r="J408" s="30">
        <v>15</v>
      </c>
      <c r="K408" s="25">
        <v>0</v>
      </c>
      <c r="L408" s="25">
        <v>0</v>
      </c>
      <c r="M408" s="25">
        <f t="shared" si="50"/>
        <v>28</v>
      </c>
      <c r="N408" s="25">
        <v>55</v>
      </c>
      <c r="O408" s="25">
        <v>0</v>
      </c>
      <c r="P408" s="25">
        <v>0</v>
      </c>
      <c r="Q408" s="25">
        <f t="shared" si="51"/>
        <v>0</v>
      </c>
      <c r="R408" s="25">
        <v>0</v>
      </c>
      <c r="S408" s="25">
        <f t="shared" si="52"/>
        <v>39</v>
      </c>
      <c r="T408" s="25">
        <v>78</v>
      </c>
      <c r="U408" s="29">
        <v>0</v>
      </c>
      <c r="V408" s="25">
        <v>0</v>
      </c>
      <c r="W408" s="25">
        <v>0</v>
      </c>
      <c r="X408" s="25">
        <v>0</v>
      </c>
      <c r="Y408" s="29">
        <v>0</v>
      </c>
      <c r="Z408" s="29">
        <v>0</v>
      </c>
      <c r="AA408" s="29">
        <v>0</v>
      </c>
      <c r="AB408" s="29">
        <v>0</v>
      </c>
      <c r="AC408" s="29">
        <v>0</v>
      </c>
      <c r="AD408" s="29">
        <v>0</v>
      </c>
      <c r="AE408" s="43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/>
      <c r="HK408" s="5"/>
      <c r="HL408" s="5"/>
      <c r="HM408" s="5"/>
      <c r="HN408" s="5"/>
      <c r="HO408" s="5"/>
      <c r="HP408" s="5"/>
    </row>
    <row r="409" spans="3:224" ht="20.100000000000001" customHeight="1">
      <c r="C409" s="24">
        <v>15302002</v>
      </c>
      <c r="D409" s="25" t="s">
        <v>425</v>
      </c>
      <c r="E409" s="25">
        <v>11200003</v>
      </c>
      <c r="F409" s="25">
        <v>13011</v>
      </c>
      <c r="G409" s="25">
        <v>1</v>
      </c>
      <c r="H409" s="25">
        <v>40</v>
      </c>
      <c r="I409" s="29">
        <v>0.2</v>
      </c>
      <c r="J409" s="30">
        <v>15</v>
      </c>
      <c r="K409" s="25">
        <v>0</v>
      </c>
      <c r="L409" s="25">
        <v>0</v>
      </c>
      <c r="M409" s="25">
        <f t="shared" si="50"/>
        <v>36</v>
      </c>
      <c r="N409" s="25">
        <v>72</v>
      </c>
      <c r="O409" s="25">
        <v>0</v>
      </c>
      <c r="P409" s="25">
        <v>0</v>
      </c>
      <c r="Q409" s="25">
        <f t="shared" si="51"/>
        <v>0</v>
      </c>
      <c r="R409" s="25">
        <v>0</v>
      </c>
      <c r="S409" s="25">
        <f t="shared" si="52"/>
        <v>50</v>
      </c>
      <c r="T409" s="25">
        <v>99</v>
      </c>
      <c r="U409" s="29">
        <v>0</v>
      </c>
      <c r="V409" s="25">
        <v>0</v>
      </c>
      <c r="W409" s="25">
        <v>0</v>
      </c>
      <c r="X409" s="25">
        <v>0</v>
      </c>
      <c r="Y409" s="29">
        <v>0</v>
      </c>
      <c r="Z409" s="29">
        <v>0</v>
      </c>
      <c r="AA409" s="29">
        <v>0</v>
      </c>
      <c r="AB409" s="29">
        <v>0</v>
      </c>
      <c r="AC409" s="29">
        <v>0</v>
      </c>
      <c r="AD409" s="29">
        <v>0</v>
      </c>
      <c r="AE409" s="43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/>
      <c r="HK409" s="5"/>
      <c r="HL409" s="5"/>
      <c r="HM409" s="5"/>
      <c r="HN409" s="5"/>
      <c r="HO409" s="5"/>
      <c r="HP409" s="5"/>
    </row>
    <row r="410" spans="3:224" ht="20.100000000000001" customHeight="1">
      <c r="C410" s="24">
        <v>15302003</v>
      </c>
      <c r="D410" s="25" t="s">
        <v>426</v>
      </c>
      <c r="E410" s="25">
        <v>11200003</v>
      </c>
      <c r="F410" s="25">
        <v>0</v>
      </c>
      <c r="G410" s="25">
        <v>1</v>
      </c>
      <c r="H410" s="25">
        <v>40</v>
      </c>
      <c r="I410" s="29">
        <v>0.2</v>
      </c>
      <c r="J410" s="30">
        <v>15</v>
      </c>
      <c r="K410" s="25">
        <v>0</v>
      </c>
      <c r="L410" s="25">
        <v>0</v>
      </c>
      <c r="M410" s="25">
        <f t="shared" si="50"/>
        <v>37</v>
      </c>
      <c r="N410" s="25">
        <v>74</v>
      </c>
      <c r="O410" s="25">
        <v>0</v>
      </c>
      <c r="P410" s="25">
        <v>0</v>
      </c>
      <c r="Q410" s="25">
        <f t="shared" si="51"/>
        <v>0</v>
      </c>
      <c r="R410" s="25">
        <v>0</v>
      </c>
      <c r="S410" s="25">
        <f t="shared" si="52"/>
        <v>30</v>
      </c>
      <c r="T410" s="25">
        <v>59</v>
      </c>
      <c r="U410" s="29">
        <v>0</v>
      </c>
      <c r="V410" s="25">
        <v>0</v>
      </c>
      <c r="W410" s="25">
        <v>0</v>
      </c>
      <c r="X410" s="25">
        <v>0</v>
      </c>
      <c r="Y410" s="29">
        <v>0</v>
      </c>
      <c r="Z410" s="29">
        <v>0</v>
      </c>
      <c r="AA410" s="29">
        <v>0</v>
      </c>
      <c r="AB410" s="29">
        <v>0</v>
      </c>
      <c r="AC410" s="29">
        <v>0</v>
      </c>
      <c r="AD410" s="29">
        <v>0</v>
      </c>
      <c r="AE410" s="43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  <c r="HJ410" s="5"/>
      <c r="HK410" s="5"/>
      <c r="HL410" s="5"/>
      <c r="HM410" s="5"/>
      <c r="HN410" s="5"/>
      <c r="HO410" s="5"/>
      <c r="HP410" s="5"/>
    </row>
    <row r="411" spans="3:224" ht="20.100000000000001" customHeight="1">
      <c r="C411" s="24">
        <v>15302004</v>
      </c>
      <c r="D411" s="25" t="s">
        <v>427</v>
      </c>
      <c r="E411" s="25">
        <v>11200003</v>
      </c>
      <c r="F411" s="25">
        <v>13021</v>
      </c>
      <c r="G411" s="25">
        <v>1</v>
      </c>
      <c r="H411" s="25">
        <v>40</v>
      </c>
      <c r="I411" s="29">
        <v>0.2</v>
      </c>
      <c r="J411" s="30">
        <v>15</v>
      </c>
      <c r="K411" s="25">
        <v>0</v>
      </c>
      <c r="L411" s="25">
        <v>0</v>
      </c>
      <c r="M411" s="25">
        <f t="shared" si="50"/>
        <v>49</v>
      </c>
      <c r="N411" s="25">
        <v>97</v>
      </c>
      <c r="O411" s="25">
        <v>0</v>
      </c>
      <c r="P411" s="25">
        <v>0</v>
      </c>
      <c r="Q411" s="25">
        <f t="shared" si="51"/>
        <v>0</v>
      </c>
      <c r="R411" s="25">
        <v>0</v>
      </c>
      <c r="S411" s="25">
        <f t="shared" si="52"/>
        <v>37</v>
      </c>
      <c r="T411" s="25">
        <v>74</v>
      </c>
      <c r="U411" s="29">
        <v>0</v>
      </c>
      <c r="V411" s="25">
        <v>0</v>
      </c>
      <c r="W411" s="25">
        <v>0</v>
      </c>
      <c r="X411" s="25">
        <v>0</v>
      </c>
      <c r="Y411" s="29">
        <v>0</v>
      </c>
      <c r="Z411" s="29">
        <v>0</v>
      </c>
      <c r="AA411" s="29">
        <v>0</v>
      </c>
      <c r="AB411" s="29">
        <v>0</v>
      </c>
      <c r="AC411" s="29">
        <v>0</v>
      </c>
      <c r="AD411" s="29">
        <v>0</v>
      </c>
      <c r="AE411" s="43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  <c r="HJ411" s="5"/>
      <c r="HK411" s="5"/>
      <c r="HL411" s="5"/>
      <c r="HM411" s="5"/>
      <c r="HN411" s="5"/>
      <c r="HO411" s="5"/>
      <c r="HP411" s="5"/>
    </row>
    <row r="412" spans="3:224" ht="20.100000000000001" customHeight="1">
      <c r="C412" s="24">
        <v>15302005</v>
      </c>
      <c r="D412" s="25" t="s">
        <v>428</v>
      </c>
      <c r="E412" s="25">
        <v>11200003</v>
      </c>
      <c r="F412" s="25">
        <v>0</v>
      </c>
      <c r="G412" s="25">
        <v>1</v>
      </c>
      <c r="H412" s="25">
        <v>40</v>
      </c>
      <c r="I412" s="29">
        <v>0.2</v>
      </c>
      <c r="J412" s="30">
        <v>15</v>
      </c>
      <c r="K412" s="25">
        <v>0</v>
      </c>
      <c r="L412" s="25">
        <v>0</v>
      </c>
      <c r="M412" s="25">
        <f t="shared" si="50"/>
        <v>21</v>
      </c>
      <c r="N412" s="25">
        <v>41</v>
      </c>
      <c r="O412" s="25">
        <v>0</v>
      </c>
      <c r="P412" s="25">
        <v>0</v>
      </c>
      <c r="Q412" s="25">
        <f t="shared" si="51"/>
        <v>0</v>
      </c>
      <c r="R412" s="25">
        <v>0</v>
      </c>
      <c r="S412" s="25">
        <f t="shared" si="52"/>
        <v>49</v>
      </c>
      <c r="T412" s="25">
        <v>98</v>
      </c>
      <c r="U412" s="29">
        <v>0</v>
      </c>
      <c r="V412" s="25">
        <v>0</v>
      </c>
      <c r="W412" s="25">
        <v>0</v>
      </c>
      <c r="X412" s="25">
        <v>0</v>
      </c>
      <c r="Y412" s="29">
        <v>0</v>
      </c>
      <c r="Z412" s="29">
        <v>0</v>
      </c>
      <c r="AA412" s="29">
        <v>0</v>
      </c>
      <c r="AB412" s="29">
        <v>0</v>
      </c>
      <c r="AC412" s="29">
        <v>0</v>
      </c>
      <c r="AD412" s="29">
        <v>0</v>
      </c>
      <c r="AE412" s="43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/>
      <c r="HK412" s="5"/>
      <c r="HL412" s="5"/>
      <c r="HM412" s="5"/>
      <c r="HN412" s="5"/>
      <c r="HO412" s="5"/>
      <c r="HP412" s="5"/>
    </row>
    <row r="413" spans="3:224" ht="20.100000000000001" customHeight="1">
      <c r="C413" s="24">
        <v>15302006</v>
      </c>
      <c r="D413" s="25" t="s">
        <v>429</v>
      </c>
      <c r="E413" s="25">
        <v>11200003</v>
      </c>
      <c r="F413" s="25">
        <v>13031</v>
      </c>
      <c r="G413" s="25">
        <v>1</v>
      </c>
      <c r="H413" s="25">
        <v>40</v>
      </c>
      <c r="I413" s="29">
        <v>0.2</v>
      </c>
      <c r="J413" s="30">
        <v>15</v>
      </c>
      <c r="K413" s="25">
        <v>0</v>
      </c>
      <c r="L413" s="25">
        <v>0</v>
      </c>
      <c r="M413" s="25">
        <f t="shared" si="50"/>
        <v>27</v>
      </c>
      <c r="N413" s="25">
        <v>54</v>
      </c>
      <c r="O413" s="25">
        <v>0</v>
      </c>
      <c r="P413" s="25">
        <v>0</v>
      </c>
      <c r="Q413" s="25">
        <f t="shared" si="51"/>
        <v>0</v>
      </c>
      <c r="R413" s="25">
        <v>0</v>
      </c>
      <c r="S413" s="25">
        <f t="shared" si="52"/>
        <v>62</v>
      </c>
      <c r="T413" s="25">
        <v>124</v>
      </c>
      <c r="U413" s="29">
        <v>0</v>
      </c>
      <c r="V413" s="25">
        <v>0</v>
      </c>
      <c r="W413" s="25">
        <v>0</v>
      </c>
      <c r="X413" s="25">
        <v>0</v>
      </c>
      <c r="Y413" s="29">
        <v>0</v>
      </c>
      <c r="Z413" s="29">
        <v>0</v>
      </c>
      <c r="AA413" s="29">
        <v>0</v>
      </c>
      <c r="AB413" s="29">
        <v>0</v>
      </c>
      <c r="AC413" s="29">
        <v>0</v>
      </c>
      <c r="AD413" s="29">
        <v>0</v>
      </c>
      <c r="AE413" s="43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  <c r="HJ413" s="5"/>
      <c r="HK413" s="5"/>
      <c r="HL413" s="5"/>
      <c r="HM413" s="5"/>
      <c r="HN413" s="5"/>
      <c r="HO413" s="5"/>
      <c r="HP413" s="5"/>
    </row>
    <row r="414" spans="3:224" s="3" customFormat="1" ht="20.100000000000001" customHeight="1">
      <c r="C414" s="26">
        <v>15302007</v>
      </c>
      <c r="D414" s="40" t="s">
        <v>430</v>
      </c>
      <c r="E414" s="28">
        <v>11200003</v>
      </c>
      <c r="F414" s="28">
        <v>0</v>
      </c>
      <c r="G414" s="28">
        <v>1</v>
      </c>
      <c r="H414" s="28">
        <v>40</v>
      </c>
      <c r="I414" s="31">
        <v>0.2</v>
      </c>
      <c r="J414" s="30">
        <v>15</v>
      </c>
      <c r="K414" s="28">
        <v>0</v>
      </c>
      <c r="L414" s="28">
        <v>0</v>
      </c>
      <c r="M414" s="28">
        <f t="shared" ref="M414" si="65">ROUND(N414/2,0)</f>
        <v>31</v>
      </c>
      <c r="N414" s="28">
        <v>62</v>
      </c>
      <c r="O414" s="28">
        <v>0</v>
      </c>
      <c r="P414" s="28">
        <v>0</v>
      </c>
      <c r="Q414" s="28">
        <f t="shared" ref="Q414" si="66">ROUND(R414/2,0)</f>
        <v>0</v>
      </c>
      <c r="R414" s="28">
        <v>0</v>
      </c>
      <c r="S414" s="28">
        <f t="shared" ref="S414" si="67">ROUND(T414/2,0)</f>
        <v>70</v>
      </c>
      <c r="T414" s="28">
        <v>140</v>
      </c>
      <c r="U414" s="31">
        <v>0</v>
      </c>
      <c r="V414" s="28">
        <v>0</v>
      </c>
      <c r="W414" s="28">
        <v>0</v>
      </c>
      <c r="X414" s="28">
        <v>0</v>
      </c>
      <c r="Y414" s="31">
        <v>0</v>
      </c>
      <c r="Z414" s="31">
        <v>0</v>
      </c>
      <c r="AA414" s="31">
        <v>0</v>
      </c>
      <c r="AB414" s="31">
        <v>205001</v>
      </c>
      <c r="AC414" s="31">
        <v>300</v>
      </c>
      <c r="AD414" s="31">
        <v>1</v>
      </c>
      <c r="AE414" s="45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  <c r="BV414" s="33"/>
      <c r="BW414" s="33"/>
      <c r="BX414" s="33"/>
      <c r="BY414" s="33"/>
      <c r="BZ414" s="33"/>
      <c r="CA414" s="33"/>
      <c r="CB414" s="33"/>
      <c r="CC414" s="33"/>
      <c r="CD414" s="33"/>
      <c r="CE414" s="33"/>
      <c r="CF414" s="33"/>
      <c r="CG414" s="33"/>
      <c r="CH414" s="33"/>
      <c r="CI414" s="33"/>
      <c r="CJ414" s="33"/>
      <c r="CK414" s="33"/>
      <c r="CL414" s="33"/>
      <c r="CM414" s="33"/>
      <c r="CN414" s="33"/>
      <c r="CO414" s="33"/>
      <c r="CP414" s="33"/>
      <c r="CQ414" s="33"/>
      <c r="CR414" s="33"/>
      <c r="CS414" s="33"/>
      <c r="CT414" s="33"/>
      <c r="CU414" s="33"/>
      <c r="CV414" s="33"/>
      <c r="CW414" s="33"/>
      <c r="CX414" s="33"/>
      <c r="CY414" s="33"/>
      <c r="CZ414" s="33"/>
      <c r="DA414" s="33"/>
      <c r="DB414" s="33"/>
      <c r="DC414" s="33"/>
      <c r="DD414" s="33"/>
      <c r="DE414" s="33"/>
      <c r="DF414" s="33"/>
      <c r="DG414" s="33"/>
      <c r="DH414" s="33"/>
      <c r="DI414" s="33"/>
      <c r="DJ414" s="33"/>
      <c r="DK414" s="33"/>
      <c r="DL414" s="33"/>
      <c r="DM414" s="33"/>
      <c r="DN414" s="33"/>
      <c r="DO414" s="33"/>
      <c r="DP414" s="33"/>
      <c r="DQ414" s="33"/>
      <c r="DR414" s="33"/>
      <c r="DS414" s="33"/>
      <c r="DT414" s="33"/>
      <c r="DU414" s="33"/>
      <c r="DV414" s="33"/>
      <c r="DW414" s="33"/>
      <c r="DX414" s="33"/>
      <c r="DY414" s="33"/>
      <c r="DZ414" s="33"/>
      <c r="EA414" s="33"/>
      <c r="EB414" s="33"/>
      <c r="EC414" s="33"/>
      <c r="ED414" s="33"/>
      <c r="EE414" s="33"/>
      <c r="EF414" s="33"/>
      <c r="EG414" s="33"/>
      <c r="EH414" s="33"/>
      <c r="EI414" s="33"/>
      <c r="EJ414" s="33"/>
      <c r="EK414" s="33"/>
      <c r="EL414" s="33"/>
      <c r="EM414" s="33"/>
      <c r="EN414" s="33"/>
      <c r="EO414" s="33"/>
      <c r="EP414" s="33"/>
      <c r="EQ414" s="33"/>
      <c r="ER414" s="33"/>
      <c r="ES414" s="33"/>
      <c r="ET414" s="33"/>
      <c r="EU414" s="33"/>
      <c r="EV414" s="33"/>
      <c r="EW414" s="33"/>
      <c r="EX414" s="33"/>
      <c r="EY414" s="33"/>
      <c r="EZ414" s="33"/>
      <c r="FA414" s="33"/>
      <c r="FB414" s="33"/>
      <c r="FC414" s="33"/>
      <c r="FD414" s="33"/>
      <c r="FE414" s="33"/>
      <c r="FF414" s="33"/>
      <c r="FG414" s="33"/>
      <c r="FH414" s="33"/>
      <c r="FI414" s="33"/>
      <c r="FJ414" s="33"/>
      <c r="FK414" s="33"/>
      <c r="FL414" s="33"/>
      <c r="FM414" s="33"/>
      <c r="FN414" s="33"/>
      <c r="FO414" s="33"/>
      <c r="FP414" s="33"/>
      <c r="FQ414" s="33"/>
      <c r="FR414" s="33"/>
      <c r="FS414" s="33"/>
      <c r="FT414" s="33"/>
      <c r="FU414" s="33"/>
      <c r="FV414" s="33"/>
      <c r="FW414" s="33"/>
      <c r="FX414" s="33"/>
      <c r="FY414" s="33"/>
      <c r="FZ414" s="33"/>
      <c r="GA414" s="33"/>
      <c r="GB414" s="33"/>
      <c r="GC414" s="33"/>
      <c r="GD414" s="33"/>
      <c r="GE414" s="33"/>
      <c r="GF414" s="33"/>
      <c r="GG414" s="33"/>
      <c r="GH414" s="33"/>
      <c r="GI414" s="33"/>
      <c r="GJ414" s="33"/>
      <c r="GK414" s="33"/>
      <c r="GL414" s="33"/>
      <c r="GM414" s="33"/>
      <c r="GN414" s="33"/>
      <c r="GO414" s="33"/>
      <c r="GP414" s="33"/>
      <c r="GQ414" s="33"/>
      <c r="GR414" s="33"/>
      <c r="GS414" s="33"/>
      <c r="GT414" s="33"/>
      <c r="GU414" s="33"/>
      <c r="GV414" s="33"/>
      <c r="GW414" s="33"/>
      <c r="GX414" s="33"/>
      <c r="GY414" s="33"/>
      <c r="GZ414" s="33"/>
      <c r="HA414" s="33"/>
      <c r="HB414" s="33"/>
      <c r="HC414" s="33"/>
      <c r="HD414" s="33"/>
      <c r="HE414" s="33"/>
      <c r="HF414" s="33"/>
      <c r="HG414" s="33"/>
      <c r="HH414" s="33"/>
      <c r="HI414" s="33"/>
      <c r="HJ414" s="33"/>
      <c r="HK414" s="33"/>
      <c r="HL414" s="33"/>
      <c r="HM414" s="33"/>
      <c r="HN414" s="33"/>
      <c r="HO414" s="33"/>
      <c r="HP414" s="33"/>
    </row>
    <row r="415" spans="3:224" ht="20.100000000000001" customHeight="1">
      <c r="C415" s="24">
        <v>15303001</v>
      </c>
      <c r="D415" s="25" t="s">
        <v>431</v>
      </c>
      <c r="E415" s="25">
        <v>11200003</v>
      </c>
      <c r="F415" s="25">
        <v>0</v>
      </c>
      <c r="G415" s="25">
        <v>1</v>
      </c>
      <c r="H415" s="25">
        <v>40</v>
      </c>
      <c r="I415" s="29">
        <v>0.2</v>
      </c>
      <c r="J415" s="30">
        <v>15</v>
      </c>
      <c r="K415" s="25">
        <v>0</v>
      </c>
      <c r="L415" s="25">
        <v>980</v>
      </c>
      <c r="M415" s="25">
        <f t="shared" si="50"/>
        <v>15</v>
      </c>
      <c r="N415" s="25">
        <v>30</v>
      </c>
      <c r="O415" s="25">
        <v>0</v>
      </c>
      <c r="P415" s="25">
        <v>0</v>
      </c>
      <c r="Q415" s="25">
        <f t="shared" si="51"/>
        <v>25</v>
      </c>
      <c r="R415" s="25">
        <v>50</v>
      </c>
      <c r="S415" s="25">
        <f t="shared" si="52"/>
        <v>0</v>
      </c>
      <c r="T415" s="25">
        <v>0</v>
      </c>
      <c r="U415" s="29">
        <v>0</v>
      </c>
      <c r="V415" s="25">
        <v>0</v>
      </c>
      <c r="W415" s="25">
        <v>0</v>
      </c>
      <c r="X415" s="25">
        <v>0</v>
      </c>
      <c r="Y415" s="29">
        <v>0</v>
      </c>
      <c r="Z415" s="29">
        <v>0</v>
      </c>
      <c r="AA415" s="29">
        <v>0</v>
      </c>
      <c r="AB415" s="29">
        <v>0</v>
      </c>
      <c r="AC415" s="29">
        <v>0</v>
      </c>
      <c r="AD415" s="29">
        <v>0</v>
      </c>
      <c r="AE415" s="43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  <c r="HP415" s="5"/>
    </row>
    <row r="416" spans="3:224" ht="20.100000000000001" customHeight="1">
      <c r="C416" s="24">
        <v>15303002</v>
      </c>
      <c r="D416" s="25" t="s">
        <v>432</v>
      </c>
      <c r="E416" s="25">
        <v>11200003</v>
      </c>
      <c r="F416" s="25">
        <v>13011</v>
      </c>
      <c r="G416" s="25">
        <v>1</v>
      </c>
      <c r="H416" s="25">
        <v>40</v>
      </c>
      <c r="I416" s="29">
        <v>0.2</v>
      </c>
      <c r="J416" s="30">
        <v>15</v>
      </c>
      <c r="K416" s="25">
        <v>0</v>
      </c>
      <c r="L416" s="25">
        <v>1155</v>
      </c>
      <c r="M416" s="25">
        <f t="shared" si="50"/>
        <v>20</v>
      </c>
      <c r="N416" s="25">
        <v>39</v>
      </c>
      <c r="O416" s="25">
        <v>0</v>
      </c>
      <c r="P416" s="25">
        <v>0</v>
      </c>
      <c r="Q416" s="25">
        <f t="shared" si="51"/>
        <v>33</v>
      </c>
      <c r="R416" s="25">
        <v>66</v>
      </c>
      <c r="S416" s="25">
        <f t="shared" si="52"/>
        <v>0</v>
      </c>
      <c r="T416" s="25">
        <v>0</v>
      </c>
      <c r="U416" s="29">
        <v>0</v>
      </c>
      <c r="V416" s="25">
        <v>0</v>
      </c>
      <c r="W416" s="25">
        <v>0</v>
      </c>
      <c r="X416" s="25">
        <v>0</v>
      </c>
      <c r="Y416" s="29">
        <v>0</v>
      </c>
      <c r="Z416" s="29">
        <v>0</v>
      </c>
      <c r="AA416" s="29">
        <v>0</v>
      </c>
      <c r="AB416" s="29">
        <v>0</v>
      </c>
      <c r="AC416" s="29">
        <v>0</v>
      </c>
      <c r="AD416" s="29">
        <v>0</v>
      </c>
      <c r="AE416" s="43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  <c r="HJ416" s="5"/>
      <c r="HK416" s="5"/>
      <c r="HL416" s="5"/>
      <c r="HM416" s="5"/>
      <c r="HN416" s="5"/>
      <c r="HO416" s="5"/>
      <c r="HP416" s="5"/>
    </row>
    <row r="417" spans="3:224" ht="20.100000000000001" customHeight="1">
      <c r="C417" s="24">
        <v>15303003</v>
      </c>
      <c r="D417" s="25" t="s">
        <v>433</v>
      </c>
      <c r="E417" s="25">
        <v>11200003</v>
      </c>
      <c r="F417" s="25">
        <v>0</v>
      </c>
      <c r="G417" s="25">
        <v>1</v>
      </c>
      <c r="H417" s="25">
        <v>40</v>
      </c>
      <c r="I417" s="29">
        <v>0.2</v>
      </c>
      <c r="J417" s="30">
        <v>15</v>
      </c>
      <c r="K417" s="25">
        <v>0</v>
      </c>
      <c r="L417" s="25">
        <v>490</v>
      </c>
      <c r="M417" s="25">
        <f t="shared" si="50"/>
        <v>21</v>
      </c>
      <c r="N417" s="25">
        <v>41</v>
      </c>
      <c r="O417" s="25">
        <v>0</v>
      </c>
      <c r="P417" s="25">
        <v>0</v>
      </c>
      <c r="Q417" s="25">
        <f t="shared" si="51"/>
        <v>19</v>
      </c>
      <c r="R417" s="25">
        <v>38</v>
      </c>
      <c r="S417" s="25">
        <f t="shared" si="52"/>
        <v>0</v>
      </c>
      <c r="T417" s="25">
        <v>0</v>
      </c>
      <c r="U417" s="29">
        <v>0</v>
      </c>
      <c r="V417" s="25">
        <v>0</v>
      </c>
      <c r="W417" s="25">
        <v>0</v>
      </c>
      <c r="X417" s="25">
        <v>0</v>
      </c>
      <c r="Y417" s="29">
        <v>0</v>
      </c>
      <c r="Z417" s="29">
        <v>0</v>
      </c>
      <c r="AA417" s="29">
        <v>0</v>
      </c>
      <c r="AB417" s="29">
        <v>0</v>
      </c>
      <c r="AC417" s="29">
        <v>0</v>
      </c>
      <c r="AD417" s="29">
        <v>0</v>
      </c>
      <c r="AE417" s="43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  <c r="HL417" s="5"/>
      <c r="HM417" s="5"/>
      <c r="HN417" s="5"/>
      <c r="HO417" s="5"/>
      <c r="HP417" s="5"/>
    </row>
    <row r="418" spans="3:224" ht="20.100000000000001" customHeight="1">
      <c r="C418" s="24">
        <v>15303004</v>
      </c>
      <c r="D418" s="25" t="s">
        <v>434</v>
      </c>
      <c r="E418" s="25">
        <v>11200003</v>
      </c>
      <c r="F418" s="25">
        <v>13021</v>
      </c>
      <c r="G418" s="25">
        <v>1</v>
      </c>
      <c r="H418" s="25">
        <v>40</v>
      </c>
      <c r="I418" s="29">
        <v>0.2</v>
      </c>
      <c r="J418" s="30">
        <v>15</v>
      </c>
      <c r="K418" s="25">
        <v>0</v>
      </c>
      <c r="L418" s="25">
        <v>580</v>
      </c>
      <c r="M418" s="25">
        <f t="shared" si="50"/>
        <v>27</v>
      </c>
      <c r="N418" s="25">
        <v>53</v>
      </c>
      <c r="O418" s="25">
        <v>0</v>
      </c>
      <c r="P418" s="25">
        <v>0</v>
      </c>
      <c r="Q418" s="25">
        <f t="shared" si="51"/>
        <v>25</v>
      </c>
      <c r="R418" s="25">
        <v>50</v>
      </c>
      <c r="S418" s="25">
        <f t="shared" si="52"/>
        <v>0</v>
      </c>
      <c r="T418" s="25">
        <v>0</v>
      </c>
      <c r="U418" s="29">
        <v>0</v>
      </c>
      <c r="V418" s="25">
        <v>0</v>
      </c>
      <c r="W418" s="25">
        <v>0</v>
      </c>
      <c r="X418" s="25">
        <v>0</v>
      </c>
      <c r="Y418" s="29">
        <v>0</v>
      </c>
      <c r="Z418" s="29">
        <v>0</v>
      </c>
      <c r="AA418" s="29">
        <v>0</v>
      </c>
      <c r="AB418" s="29">
        <v>0</v>
      </c>
      <c r="AC418" s="29">
        <v>0</v>
      </c>
      <c r="AD418" s="29">
        <v>0</v>
      </c>
      <c r="AE418" s="43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  <c r="HL418" s="5"/>
      <c r="HM418" s="5"/>
      <c r="HN418" s="5"/>
      <c r="HO418" s="5"/>
      <c r="HP418" s="5"/>
    </row>
    <row r="419" spans="3:224" ht="20.100000000000001" customHeight="1">
      <c r="C419" s="24">
        <v>15303005</v>
      </c>
      <c r="D419" s="25" t="s">
        <v>435</v>
      </c>
      <c r="E419" s="25">
        <v>11200003</v>
      </c>
      <c r="F419" s="25">
        <v>0</v>
      </c>
      <c r="G419" s="25">
        <v>1</v>
      </c>
      <c r="H419" s="25">
        <v>40</v>
      </c>
      <c r="I419" s="29">
        <v>0.2</v>
      </c>
      <c r="J419" s="30">
        <v>15</v>
      </c>
      <c r="K419" s="25">
        <v>0</v>
      </c>
      <c r="L419" s="25">
        <v>1470</v>
      </c>
      <c r="M419" s="25">
        <f t="shared" si="50"/>
        <v>12</v>
      </c>
      <c r="N419" s="25">
        <v>23</v>
      </c>
      <c r="O419" s="25">
        <v>0</v>
      </c>
      <c r="P419" s="25">
        <v>0</v>
      </c>
      <c r="Q419" s="25">
        <f t="shared" si="51"/>
        <v>32</v>
      </c>
      <c r="R419" s="25">
        <v>63</v>
      </c>
      <c r="S419" s="25">
        <f t="shared" si="52"/>
        <v>0</v>
      </c>
      <c r="T419" s="25">
        <v>0</v>
      </c>
      <c r="U419" s="29">
        <v>0</v>
      </c>
      <c r="V419" s="25">
        <v>0</v>
      </c>
      <c r="W419" s="25">
        <v>0</v>
      </c>
      <c r="X419" s="25">
        <v>0</v>
      </c>
      <c r="Y419" s="29">
        <v>0</v>
      </c>
      <c r="Z419" s="29">
        <v>0</v>
      </c>
      <c r="AA419" s="29">
        <v>0</v>
      </c>
      <c r="AB419" s="29">
        <v>0</v>
      </c>
      <c r="AC419" s="29">
        <v>0</v>
      </c>
      <c r="AD419" s="29">
        <v>0</v>
      </c>
      <c r="AE419" s="43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  <c r="HL419" s="5"/>
      <c r="HM419" s="5"/>
      <c r="HN419" s="5"/>
      <c r="HO419" s="5"/>
      <c r="HP419" s="5"/>
    </row>
    <row r="420" spans="3:224" ht="20.100000000000001" customHeight="1">
      <c r="C420" s="24">
        <v>15303006</v>
      </c>
      <c r="D420" s="25" t="s">
        <v>436</v>
      </c>
      <c r="E420" s="25">
        <v>11200003</v>
      </c>
      <c r="F420" s="25">
        <v>13031</v>
      </c>
      <c r="G420" s="25">
        <v>1</v>
      </c>
      <c r="H420" s="25">
        <v>40</v>
      </c>
      <c r="I420" s="29">
        <v>0.2</v>
      </c>
      <c r="J420" s="30">
        <v>15</v>
      </c>
      <c r="K420" s="25">
        <v>0</v>
      </c>
      <c r="L420" s="25">
        <v>1730</v>
      </c>
      <c r="M420" s="25">
        <f t="shared" si="50"/>
        <v>15</v>
      </c>
      <c r="N420" s="25">
        <v>29</v>
      </c>
      <c r="O420" s="25">
        <v>0</v>
      </c>
      <c r="P420" s="25">
        <v>0</v>
      </c>
      <c r="Q420" s="25">
        <f t="shared" si="51"/>
        <v>42</v>
      </c>
      <c r="R420" s="25">
        <v>83</v>
      </c>
      <c r="S420" s="25">
        <f t="shared" si="52"/>
        <v>0</v>
      </c>
      <c r="T420" s="25">
        <v>0</v>
      </c>
      <c r="U420" s="29">
        <v>0</v>
      </c>
      <c r="V420" s="25">
        <v>0</v>
      </c>
      <c r="W420" s="25">
        <v>0</v>
      </c>
      <c r="X420" s="25">
        <v>0</v>
      </c>
      <c r="Y420" s="29">
        <v>0</v>
      </c>
      <c r="Z420" s="29">
        <v>0</v>
      </c>
      <c r="AA420" s="29">
        <v>0</v>
      </c>
      <c r="AB420" s="29">
        <v>0</v>
      </c>
      <c r="AC420" s="29">
        <v>0</v>
      </c>
      <c r="AD420" s="29">
        <v>0</v>
      </c>
      <c r="AE420" s="43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  <c r="HP420" s="5"/>
    </row>
    <row r="421" spans="3:224" ht="20.100000000000001" customHeight="1">
      <c r="C421" s="24">
        <v>15304001</v>
      </c>
      <c r="D421" s="25" t="s">
        <v>437</v>
      </c>
      <c r="E421" s="25">
        <v>11200003</v>
      </c>
      <c r="F421" s="25">
        <v>0</v>
      </c>
      <c r="G421" s="25">
        <v>1</v>
      </c>
      <c r="H421" s="25">
        <v>40</v>
      </c>
      <c r="I421" s="29">
        <v>0.2</v>
      </c>
      <c r="J421" s="30">
        <v>15</v>
      </c>
      <c r="K421" s="25">
        <v>0</v>
      </c>
      <c r="L421" s="25">
        <v>0</v>
      </c>
      <c r="M421" s="25">
        <f t="shared" si="50"/>
        <v>25</v>
      </c>
      <c r="N421" s="25">
        <v>50</v>
      </c>
      <c r="O421" s="25">
        <v>0</v>
      </c>
      <c r="P421" s="25">
        <v>0</v>
      </c>
      <c r="Q421" s="25">
        <f t="shared" si="51"/>
        <v>26</v>
      </c>
      <c r="R421" s="25">
        <v>52</v>
      </c>
      <c r="S421" s="25">
        <f t="shared" si="52"/>
        <v>26</v>
      </c>
      <c r="T421" s="25">
        <v>52</v>
      </c>
      <c r="U421" s="29">
        <v>0</v>
      </c>
      <c r="V421" s="25">
        <v>0</v>
      </c>
      <c r="W421" s="25">
        <v>0</v>
      </c>
      <c r="X421" s="25">
        <v>0</v>
      </c>
      <c r="Y421" s="29">
        <v>0</v>
      </c>
      <c r="Z421" s="29">
        <v>0</v>
      </c>
      <c r="AA421" s="29">
        <v>0</v>
      </c>
      <c r="AB421" s="29">
        <v>0</v>
      </c>
      <c r="AC421" s="29">
        <v>0</v>
      </c>
      <c r="AD421" s="29">
        <v>0</v>
      </c>
      <c r="AE421" s="43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/>
      <c r="HK421" s="5"/>
      <c r="HL421" s="5"/>
      <c r="HM421" s="5"/>
      <c r="HN421" s="5"/>
      <c r="HO421" s="5"/>
      <c r="HP421" s="5"/>
    </row>
    <row r="422" spans="3:224" ht="20.100000000000001" customHeight="1">
      <c r="C422" s="24">
        <v>15304002</v>
      </c>
      <c r="D422" s="25" t="s">
        <v>438</v>
      </c>
      <c r="E422" s="25">
        <v>11200003</v>
      </c>
      <c r="F422" s="25">
        <v>13011</v>
      </c>
      <c r="G422" s="25">
        <v>1</v>
      </c>
      <c r="H422" s="25">
        <v>40</v>
      </c>
      <c r="I422" s="29">
        <v>0.2</v>
      </c>
      <c r="J422" s="30">
        <v>15</v>
      </c>
      <c r="K422" s="25">
        <v>0</v>
      </c>
      <c r="L422" s="25">
        <v>0</v>
      </c>
      <c r="M422" s="25">
        <f t="shared" si="50"/>
        <v>31</v>
      </c>
      <c r="N422" s="25">
        <v>61</v>
      </c>
      <c r="O422" s="25">
        <v>0</v>
      </c>
      <c r="P422" s="25">
        <v>0</v>
      </c>
      <c r="Q422" s="25">
        <f t="shared" si="51"/>
        <v>33</v>
      </c>
      <c r="R422" s="25">
        <v>66</v>
      </c>
      <c r="S422" s="25">
        <f t="shared" si="52"/>
        <v>33</v>
      </c>
      <c r="T422" s="25">
        <v>66</v>
      </c>
      <c r="U422" s="29">
        <v>0</v>
      </c>
      <c r="V422" s="25">
        <v>0</v>
      </c>
      <c r="W422" s="25">
        <v>0</v>
      </c>
      <c r="X422" s="25">
        <v>0</v>
      </c>
      <c r="Y422" s="29">
        <v>0</v>
      </c>
      <c r="Z422" s="29">
        <v>0</v>
      </c>
      <c r="AA422" s="29">
        <v>0</v>
      </c>
      <c r="AB422" s="29">
        <v>0</v>
      </c>
      <c r="AC422" s="29">
        <v>0</v>
      </c>
      <c r="AD422" s="29">
        <v>0</v>
      </c>
      <c r="AE422" s="43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  <c r="HJ422" s="5"/>
      <c r="HK422" s="5"/>
      <c r="HL422" s="5"/>
      <c r="HM422" s="5"/>
      <c r="HN422" s="5"/>
      <c r="HO422" s="5"/>
      <c r="HP422" s="5"/>
    </row>
    <row r="423" spans="3:224" ht="20.100000000000001" customHeight="1">
      <c r="C423" s="24">
        <v>15304003</v>
      </c>
      <c r="D423" s="25" t="s">
        <v>439</v>
      </c>
      <c r="E423" s="25">
        <v>11200003</v>
      </c>
      <c r="F423" s="25">
        <v>0</v>
      </c>
      <c r="G423" s="25">
        <v>1</v>
      </c>
      <c r="H423" s="25">
        <v>40</v>
      </c>
      <c r="I423" s="29">
        <v>0.2</v>
      </c>
      <c r="J423" s="30">
        <v>15</v>
      </c>
      <c r="K423" s="25">
        <v>0</v>
      </c>
      <c r="L423" s="25">
        <v>0</v>
      </c>
      <c r="M423" s="25">
        <f t="shared" si="50"/>
        <v>34</v>
      </c>
      <c r="N423" s="25">
        <v>68</v>
      </c>
      <c r="O423" s="25">
        <v>0</v>
      </c>
      <c r="P423" s="25">
        <v>0</v>
      </c>
      <c r="Q423" s="25">
        <f t="shared" si="51"/>
        <v>20</v>
      </c>
      <c r="R423" s="25">
        <v>39</v>
      </c>
      <c r="S423" s="25">
        <f t="shared" si="52"/>
        <v>20</v>
      </c>
      <c r="T423" s="25">
        <v>39</v>
      </c>
      <c r="U423" s="29">
        <v>0</v>
      </c>
      <c r="V423" s="25">
        <v>0</v>
      </c>
      <c r="W423" s="25">
        <v>0</v>
      </c>
      <c r="X423" s="25">
        <v>0</v>
      </c>
      <c r="Y423" s="29">
        <v>0</v>
      </c>
      <c r="Z423" s="29">
        <v>0</v>
      </c>
      <c r="AA423" s="29">
        <v>0</v>
      </c>
      <c r="AB423" s="29">
        <v>0</v>
      </c>
      <c r="AC423" s="29">
        <v>0</v>
      </c>
      <c r="AD423" s="29">
        <v>0</v>
      </c>
      <c r="AE423" s="43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/>
      <c r="HK423" s="5"/>
      <c r="HL423" s="5"/>
      <c r="HM423" s="5"/>
      <c r="HN423" s="5"/>
      <c r="HO423" s="5"/>
      <c r="HP423" s="5"/>
    </row>
    <row r="424" spans="3:224" ht="20.100000000000001" customHeight="1">
      <c r="C424" s="24">
        <v>15304004</v>
      </c>
      <c r="D424" s="25" t="s">
        <v>440</v>
      </c>
      <c r="E424" s="25">
        <v>11200003</v>
      </c>
      <c r="F424" s="25">
        <v>13021</v>
      </c>
      <c r="G424" s="25">
        <v>1</v>
      </c>
      <c r="H424" s="25">
        <v>40</v>
      </c>
      <c r="I424" s="29">
        <v>0.2</v>
      </c>
      <c r="J424" s="30">
        <v>15</v>
      </c>
      <c r="K424" s="25">
        <v>0</v>
      </c>
      <c r="L424" s="25">
        <v>0</v>
      </c>
      <c r="M424" s="25">
        <f t="shared" si="50"/>
        <v>41</v>
      </c>
      <c r="N424" s="25">
        <v>82</v>
      </c>
      <c r="O424" s="25">
        <v>0</v>
      </c>
      <c r="P424" s="25">
        <v>0</v>
      </c>
      <c r="Q424" s="25">
        <f t="shared" si="51"/>
        <v>25</v>
      </c>
      <c r="R424" s="25">
        <v>50</v>
      </c>
      <c r="S424" s="25">
        <f t="shared" si="52"/>
        <v>25</v>
      </c>
      <c r="T424" s="25">
        <v>50</v>
      </c>
      <c r="U424" s="29">
        <v>0</v>
      </c>
      <c r="V424" s="25">
        <v>0</v>
      </c>
      <c r="W424" s="25">
        <v>0</v>
      </c>
      <c r="X424" s="25">
        <v>0</v>
      </c>
      <c r="Y424" s="29">
        <v>0</v>
      </c>
      <c r="Z424" s="29">
        <v>0</v>
      </c>
      <c r="AA424" s="29">
        <v>0</v>
      </c>
      <c r="AB424" s="29">
        <v>0</v>
      </c>
      <c r="AC424" s="29">
        <v>0</v>
      </c>
      <c r="AD424" s="29">
        <v>0</v>
      </c>
      <c r="AE424" s="43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  <c r="HJ424" s="5"/>
      <c r="HK424" s="5"/>
      <c r="HL424" s="5"/>
      <c r="HM424" s="5"/>
      <c r="HN424" s="5"/>
      <c r="HO424" s="5"/>
      <c r="HP424" s="5"/>
    </row>
    <row r="425" spans="3:224" ht="20.100000000000001" customHeight="1">
      <c r="C425" s="24">
        <v>15304005</v>
      </c>
      <c r="D425" s="25" t="s">
        <v>441</v>
      </c>
      <c r="E425" s="25">
        <v>11200003</v>
      </c>
      <c r="F425" s="25">
        <v>0</v>
      </c>
      <c r="G425" s="25">
        <v>1</v>
      </c>
      <c r="H425" s="25">
        <v>40</v>
      </c>
      <c r="I425" s="29">
        <v>0.2</v>
      </c>
      <c r="J425" s="30">
        <v>15</v>
      </c>
      <c r="K425" s="25">
        <v>0</v>
      </c>
      <c r="L425" s="25">
        <v>0</v>
      </c>
      <c r="M425" s="25">
        <f t="shared" si="50"/>
        <v>19</v>
      </c>
      <c r="N425" s="25">
        <v>38</v>
      </c>
      <c r="O425" s="25">
        <v>0</v>
      </c>
      <c r="P425" s="25">
        <v>0</v>
      </c>
      <c r="Q425" s="25">
        <f t="shared" si="51"/>
        <v>33</v>
      </c>
      <c r="R425" s="25">
        <v>65</v>
      </c>
      <c r="S425" s="25">
        <f t="shared" si="52"/>
        <v>33</v>
      </c>
      <c r="T425" s="25">
        <v>65</v>
      </c>
      <c r="U425" s="29">
        <v>0</v>
      </c>
      <c r="V425" s="25">
        <v>0</v>
      </c>
      <c r="W425" s="25">
        <v>0</v>
      </c>
      <c r="X425" s="25">
        <v>0</v>
      </c>
      <c r="Y425" s="29">
        <v>0</v>
      </c>
      <c r="Z425" s="29">
        <v>0</v>
      </c>
      <c r="AA425" s="29">
        <v>0</v>
      </c>
      <c r="AB425" s="29">
        <v>0</v>
      </c>
      <c r="AC425" s="29">
        <v>0</v>
      </c>
      <c r="AD425" s="29">
        <v>0</v>
      </c>
      <c r="AE425" s="43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  <c r="HJ425" s="5"/>
      <c r="HK425" s="5"/>
      <c r="HL425" s="5"/>
      <c r="HM425" s="5"/>
      <c r="HN425" s="5"/>
      <c r="HO425" s="5"/>
      <c r="HP425" s="5"/>
    </row>
    <row r="426" spans="3:224" ht="20.100000000000001" customHeight="1">
      <c r="C426" s="24">
        <v>15304006</v>
      </c>
      <c r="D426" s="25" t="s">
        <v>442</v>
      </c>
      <c r="E426" s="25">
        <v>11200003</v>
      </c>
      <c r="F426" s="25">
        <v>13031</v>
      </c>
      <c r="G426" s="25">
        <v>1</v>
      </c>
      <c r="H426" s="25">
        <v>40</v>
      </c>
      <c r="I426" s="29">
        <v>0.2</v>
      </c>
      <c r="J426" s="30">
        <v>15</v>
      </c>
      <c r="K426" s="25">
        <v>0</v>
      </c>
      <c r="L426" s="25">
        <v>0</v>
      </c>
      <c r="M426" s="25">
        <f t="shared" si="50"/>
        <v>23</v>
      </c>
      <c r="N426" s="25">
        <v>46</v>
      </c>
      <c r="O426" s="25">
        <v>0</v>
      </c>
      <c r="P426" s="25">
        <v>0</v>
      </c>
      <c r="Q426" s="25">
        <f t="shared" si="51"/>
        <v>42</v>
      </c>
      <c r="R426" s="25">
        <v>83</v>
      </c>
      <c r="S426" s="25">
        <f t="shared" si="52"/>
        <v>42</v>
      </c>
      <c r="T426" s="25">
        <v>83</v>
      </c>
      <c r="U426" s="29">
        <v>0</v>
      </c>
      <c r="V426" s="25">
        <v>0</v>
      </c>
      <c r="W426" s="25">
        <v>0</v>
      </c>
      <c r="X426" s="25">
        <v>0</v>
      </c>
      <c r="Y426" s="29">
        <v>0</v>
      </c>
      <c r="Z426" s="29">
        <v>0</v>
      </c>
      <c r="AA426" s="29">
        <v>0</v>
      </c>
      <c r="AB426" s="29">
        <v>0</v>
      </c>
      <c r="AC426" s="29">
        <v>0</v>
      </c>
      <c r="AD426" s="29">
        <v>0</v>
      </c>
      <c r="AE426" s="43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/>
      <c r="HK426" s="5"/>
      <c r="HL426" s="5"/>
      <c r="HM426" s="5"/>
      <c r="HN426" s="5"/>
      <c r="HO426" s="5"/>
      <c r="HP426" s="5"/>
    </row>
    <row r="427" spans="3:224" ht="20.100000000000001" customHeight="1">
      <c r="C427" s="24">
        <v>15305001</v>
      </c>
      <c r="D427" s="25" t="s">
        <v>443</v>
      </c>
      <c r="E427" s="25">
        <v>11200003</v>
      </c>
      <c r="F427" s="25">
        <v>0</v>
      </c>
      <c r="G427" s="25">
        <v>1</v>
      </c>
      <c r="H427" s="25">
        <v>40</v>
      </c>
      <c r="I427" s="29">
        <v>0.2</v>
      </c>
      <c r="J427" s="30">
        <v>15</v>
      </c>
      <c r="K427" s="25">
        <v>0</v>
      </c>
      <c r="L427" s="25">
        <v>2450</v>
      </c>
      <c r="M427" s="25">
        <f t="shared" si="50"/>
        <v>33</v>
      </c>
      <c r="N427" s="25">
        <v>65</v>
      </c>
      <c r="O427" s="25">
        <v>0</v>
      </c>
      <c r="P427" s="25">
        <v>0</v>
      </c>
      <c r="Q427" s="25">
        <f t="shared" si="51"/>
        <v>13</v>
      </c>
      <c r="R427" s="25">
        <v>25</v>
      </c>
      <c r="S427" s="25">
        <f t="shared" si="52"/>
        <v>0</v>
      </c>
      <c r="T427" s="25">
        <v>0</v>
      </c>
      <c r="U427" s="29">
        <v>0</v>
      </c>
      <c r="V427" s="25">
        <v>0</v>
      </c>
      <c r="W427" s="25">
        <v>0</v>
      </c>
      <c r="X427" s="25">
        <v>0</v>
      </c>
      <c r="Y427" s="29">
        <v>0</v>
      </c>
      <c r="Z427" s="29">
        <v>0</v>
      </c>
      <c r="AA427" s="29">
        <v>0</v>
      </c>
      <c r="AB427" s="29">
        <v>0</v>
      </c>
      <c r="AC427" s="29">
        <v>0</v>
      </c>
      <c r="AD427" s="29">
        <v>0</v>
      </c>
      <c r="AE427" s="43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  <c r="HJ427" s="5"/>
      <c r="HK427" s="5"/>
      <c r="HL427" s="5"/>
      <c r="HM427" s="5"/>
      <c r="HN427" s="5"/>
      <c r="HO427" s="5"/>
      <c r="HP427" s="5"/>
    </row>
    <row r="428" spans="3:224" ht="20.100000000000001" customHeight="1">
      <c r="C428" s="24">
        <v>15305002</v>
      </c>
      <c r="D428" s="25" t="s">
        <v>444</v>
      </c>
      <c r="E428" s="25">
        <v>11200003</v>
      </c>
      <c r="F428" s="25">
        <v>13011</v>
      </c>
      <c r="G428" s="25">
        <v>1</v>
      </c>
      <c r="H428" s="25">
        <v>40</v>
      </c>
      <c r="I428" s="29">
        <v>0.2</v>
      </c>
      <c r="J428" s="30">
        <v>15</v>
      </c>
      <c r="K428" s="25">
        <v>0</v>
      </c>
      <c r="L428" s="25">
        <v>2880</v>
      </c>
      <c r="M428" s="25">
        <f t="shared" si="50"/>
        <v>42</v>
      </c>
      <c r="N428" s="25">
        <v>83</v>
      </c>
      <c r="O428" s="25">
        <v>0</v>
      </c>
      <c r="P428" s="25">
        <v>0</v>
      </c>
      <c r="Q428" s="25">
        <f t="shared" si="51"/>
        <v>17</v>
      </c>
      <c r="R428" s="25">
        <v>33</v>
      </c>
      <c r="S428" s="25">
        <f t="shared" si="52"/>
        <v>0</v>
      </c>
      <c r="T428" s="25">
        <v>0</v>
      </c>
      <c r="U428" s="29">
        <v>0</v>
      </c>
      <c r="V428" s="25">
        <v>0</v>
      </c>
      <c r="W428" s="25">
        <v>0</v>
      </c>
      <c r="X428" s="25">
        <v>0</v>
      </c>
      <c r="Y428" s="29">
        <v>0</v>
      </c>
      <c r="Z428" s="29">
        <v>0</v>
      </c>
      <c r="AA428" s="29">
        <v>0</v>
      </c>
      <c r="AB428" s="29">
        <v>0</v>
      </c>
      <c r="AC428" s="29">
        <v>0</v>
      </c>
      <c r="AD428" s="29">
        <v>0</v>
      </c>
      <c r="AE428" s="43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  <c r="HL428" s="5"/>
      <c r="HM428" s="5"/>
      <c r="HN428" s="5"/>
      <c r="HO428" s="5"/>
      <c r="HP428" s="5"/>
    </row>
    <row r="429" spans="3:224" ht="20.100000000000001" customHeight="1">
      <c r="C429" s="24">
        <v>15305003</v>
      </c>
      <c r="D429" s="25" t="s">
        <v>445</v>
      </c>
      <c r="E429" s="25">
        <v>11200003</v>
      </c>
      <c r="F429" s="25">
        <v>0</v>
      </c>
      <c r="G429" s="25">
        <v>1</v>
      </c>
      <c r="H429" s="25">
        <v>40</v>
      </c>
      <c r="I429" s="29">
        <v>0.2</v>
      </c>
      <c r="J429" s="30">
        <v>15</v>
      </c>
      <c r="K429" s="25">
        <v>0</v>
      </c>
      <c r="L429" s="25">
        <v>1230</v>
      </c>
      <c r="M429" s="25">
        <f t="shared" si="50"/>
        <v>44</v>
      </c>
      <c r="N429" s="25">
        <v>88</v>
      </c>
      <c r="O429" s="25">
        <v>0</v>
      </c>
      <c r="P429" s="25">
        <v>0</v>
      </c>
      <c r="Q429" s="25">
        <f t="shared" si="51"/>
        <v>10</v>
      </c>
      <c r="R429" s="25">
        <v>19</v>
      </c>
      <c r="S429" s="25">
        <f t="shared" si="52"/>
        <v>0</v>
      </c>
      <c r="T429" s="25">
        <v>0</v>
      </c>
      <c r="U429" s="29">
        <v>0</v>
      </c>
      <c r="V429" s="25">
        <v>0</v>
      </c>
      <c r="W429" s="25">
        <v>0</v>
      </c>
      <c r="X429" s="25">
        <v>0</v>
      </c>
      <c r="Y429" s="29">
        <v>0</v>
      </c>
      <c r="Z429" s="29">
        <v>0</v>
      </c>
      <c r="AA429" s="29">
        <v>0</v>
      </c>
      <c r="AB429" s="29">
        <v>0</v>
      </c>
      <c r="AC429" s="29">
        <v>0</v>
      </c>
      <c r="AD429" s="29">
        <v>0</v>
      </c>
      <c r="AE429" s="43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  <c r="HJ429" s="5"/>
      <c r="HK429" s="5"/>
      <c r="HL429" s="5"/>
      <c r="HM429" s="5"/>
      <c r="HN429" s="5"/>
      <c r="HO429" s="5"/>
      <c r="HP429" s="5"/>
    </row>
    <row r="430" spans="3:224" ht="20.100000000000001" customHeight="1">
      <c r="C430" s="24">
        <v>15305004</v>
      </c>
      <c r="D430" s="25" t="s">
        <v>446</v>
      </c>
      <c r="E430" s="25">
        <v>11200003</v>
      </c>
      <c r="F430" s="25">
        <v>13021</v>
      </c>
      <c r="G430" s="25">
        <v>1</v>
      </c>
      <c r="H430" s="25">
        <v>40</v>
      </c>
      <c r="I430" s="29">
        <v>0.2</v>
      </c>
      <c r="J430" s="30">
        <v>15</v>
      </c>
      <c r="K430" s="25">
        <v>0</v>
      </c>
      <c r="L430" s="25">
        <v>1440</v>
      </c>
      <c r="M430" s="25">
        <f t="shared" si="50"/>
        <v>56</v>
      </c>
      <c r="N430" s="25">
        <v>112</v>
      </c>
      <c r="O430" s="25">
        <v>0</v>
      </c>
      <c r="P430" s="25">
        <v>0</v>
      </c>
      <c r="Q430" s="25">
        <f t="shared" si="51"/>
        <v>13</v>
      </c>
      <c r="R430" s="25">
        <v>25</v>
      </c>
      <c r="S430" s="25">
        <f t="shared" si="52"/>
        <v>0</v>
      </c>
      <c r="T430" s="25">
        <v>0</v>
      </c>
      <c r="U430" s="29">
        <v>0</v>
      </c>
      <c r="V430" s="25">
        <v>0</v>
      </c>
      <c r="W430" s="25">
        <v>0</v>
      </c>
      <c r="X430" s="25">
        <v>0</v>
      </c>
      <c r="Y430" s="29">
        <v>0</v>
      </c>
      <c r="Z430" s="29">
        <v>0</v>
      </c>
      <c r="AA430" s="29">
        <v>0</v>
      </c>
      <c r="AB430" s="29">
        <v>0</v>
      </c>
      <c r="AC430" s="29">
        <v>0</v>
      </c>
      <c r="AD430" s="29">
        <v>0</v>
      </c>
      <c r="AE430" s="43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  <c r="HL430" s="5"/>
      <c r="HM430" s="5"/>
      <c r="HN430" s="5"/>
      <c r="HO430" s="5"/>
      <c r="HP430" s="5"/>
    </row>
    <row r="431" spans="3:224" ht="20.100000000000001" customHeight="1">
      <c r="C431" s="24">
        <v>15305005</v>
      </c>
      <c r="D431" s="25" t="s">
        <v>447</v>
      </c>
      <c r="E431" s="25">
        <v>11200003</v>
      </c>
      <c r="F431" s="25">
        <v>0</v>
      </c>
      <c r="G431" s="25">
        <v>1</v>
      </c>
      <c r="H431" s="25">
        <v>40</v>
      </c>
      <c r="I431" s="29">
        <v>0.2</v>
      </c>
      <c r="J431" s="30">
        <v>15</v>
      </c>
      <c r="K431" s="25">
        <v>0</v>
      </c>
      <c r="L431" s="25">
        <v>3680</v>
      </c>
      <c r="M431" s="25">
        <f t="shared" si="50"/>
        <v>25</v>
      </c>
      <c r="N431" s="25">
        <v>49</v>
      </c>
      <c r="O431" s="25">
        <v>0</v>
      </c>
      <c r="P431" s="25">
        <v>0</v>
      </c>
      <c r="Q431" s="25">
        <f t="shared" si="51"/>
        <v>16</v>
      </c>
      <c r="R431" s="25">
        <v>31</v>
      </c>
      <c r="S431" s="25">
        <f t="shared" si="52"/>
        <v>0</v>
      </c>
      <c r="T431" s="25">
        <v>0</v>
      </c>
      <c r="U431" s="29">
        <v>0</v>
      </c>
      <c r="V431" s="25">
        <v>0</v>
      </c>
      <c r="W431" s="25">
        <v>0</v>
      </c>
      <c r="X431" s="25">
        <v>0</v>
      </c>
      <c r="Y431" s="29">
        <v>0</v>
      </c>
      <c r="Z431" s="29">
        <v>0</v>
      </c>
      <c r="AA431" s="29">
        <v>0</v>
      </c>
      <c r="AB431" s="29">
        <v>0</v>
      </c>
      <c r="AC431" s="29">
        <v>0</v>
      </c>
      <c r="AD431" s="29">
        <v>0</v>
      </c>
      <c r="AE431" s="43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/>
      <c r="HK431" s="5"/>
      <c r="HL431" s="5"/>
      <c r="HM431" s="5"/>
      <c r="HN431" s="5"/>
      <c r="HO431" s="5"/>
      <c r="HP431" s="5"/>
    </row>
    <row r="432" spans="3:224" ht="20.100000000000001" customHeight="1">
      <c r="C432" s="24">
        <v>15305006</v>
      </c>
      <c r="D432" s="25" t="s">
        <v>448</v>
      </c>
      <c r="E432" s="25">
        <v>11200003</v>
      </c>
      <c r="F432" s="25">
        <v>13031</v>
      </c>
      <c r="G432" s="25">
        <v>1</v>
      </c>
      <c r="H432" s="25">
        <v>40</v>
      </c>
      <c r="I432" s="29">
        <v>0.2</v>
      </c>
      <c r="J432" s="30">
        <v>15</v>
      </c>
      <c r="K432" s="25">
        <v>0</v>
      </c>
      <c r="L432" s="25">
        <v>4320</v>
      </c>
      <c r="M432" s="25">
        <f t="shared" si="50"/>
        <v>31</v>
      </c>
      <c r="N432" s="25">
        <v>62</v>
      </c>
      <c r="O432" s="25">
        <v>0</v>
      </c>
      <c r="P432" s="25">
        <v>0</v>
      </c>
      <c r="Q432" s="25">
        <f t="shared" si="51"/>
        <v>21</v>
      </c>
      <c r="R432" s="25">
        <v>41</v>
      </c>
      <c r="S432" s="25">
        <f t="shared" si="52"/>
        <v>0</v>
      </c>
      <c r="T432" s="25">
        <v>0</v>
      </c>
      <c r="U432" s="29">
        <v>0</v>
      </c>
      <c r="V432" s="25">
        <v>0</v>
      </c>
      <c r="W432" s="25">
        <v>0</v>
      </c>
      <c r="X432" s="25">
        <v>0</v>
      </c>
      <c r="Y432" s="29">
        <v>0</v>
      </c>
      <c r="Z432" s="29">
        <v>0</v>
      </c>
      <c r="AA432" s="29">
        <v>0</v>
      </c>
      <c r="AB432" s="29">
        <v>0</v>
      </c>
      <c r="AC432" s="29">
        <v>0</v>
      </c>
      <c r="AD432" s="29">
        <v>0</v>
      </c>
      <c r="AE432" s="43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/>
      <c r="HK432" s="5"/>
      <c r="HL432" s="5"/>
      <c r="HM432" s="5"/>
      <c r="HN432" s="5"/>
      <c r="HO432" s="5"/>
      <c r="HP432" s="5"/>
    </row>
    <row r="433" spans="3:224" ht="20.100000000000001" customHeight="1">
      <c r="C433" s="24">
        <v>15306001</v>
      </c>
      <c r="D433" s="25" t="s">
        <v>321</v>
      </c>
      <c r="E433" s="25">
        <v>11200002</v>
      </c>
      <c r="F433" s="25">
        <v>0</v>
      </c>
      <c r="G433" s="25">
        <v>1</v>
      </c>
      <c r="H433" s="25">
        <v>40</v>
      </c>
      <c r="I433" s="29">
        <v>0.2</v>
      </c>
      <c r="J433" s="30">
        <v>15</v>
      </c>
      <c r="K433" s="25">
        <v>0</v>
      </c>
      <c r="L433" s="25">
        <v>0</v>
      </c>
      <c r="M433" s="25">
        <f t="shared" si="50"/>
        <v>64</v>
      </c>
      <c r="N433" s="25">
        <v>128</v>
      </c>
      <c r="O433" s="25">
        <v>0</v>
      </c>
      <c r="P433" s="25">
        <v>0</v>
      </c>
      <c r="Q433" s="25">
        <f t="shared" si="51"/>
        <v>20</v>
      </c>
      <c r="R433" s="25">
        <v>40</v>
      </c>
      <c r="S433" s="25">
        <f t="shared" si="52"/>
        <v>0</v>
      </c>
      <c r="T433" s="25">
        <v>0</v>
      </c>
      <c r="U433" s="29">
        <v>0</v>
      </c>
      <c r="V433" s="25">
        <v>0</v>
      </c>
      <c r="W433" s="25">
        <v>0</v>
      </c>
      <c r="X433" s="25">
        <v>0</v>
      </c>
      <c r="Y433" s="29">
        <v>0</v>
      </c>
      <c r="Z433" s="29">
        <v>0</v>
      </c>
      <c r="AA433" s="29">
        <v>0</v>
      </c>
      <c r="AB433" s="29">
        <v>0</v>
      </c>
      <c r="AC433" s="29">
        <v>0</v>
      </c>
      <c r="AD433" s="29">
        <v>0</v>
      </c>
      <c r="AE433" s="43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/>
      <c r="HK433" s="5"/>
      <c r="HL433" s="5"/>
      <c r="HM433" s="5"/>
      <c r="HN433" s="5"/>
      <c r="HO433" s="5"/>
      <c r="HP433" s="5"/>
    </row>
    <row r="434" spans="3:224" ht="20.100000000000001" customHeight="1">
      <c r="C434" s="24">
        <v>15306002</v>
      </c>
      <c r="D434" s="25" t="s">
        <v>449</v>
      </c>
      <c r="E434" s="25">
        <v>11200002</v>
      </c>
      <c r="F434" s="25">
        <v>0</v>
      </c>
      <c r="G434" s="25">
        <v>1</v>
      </c>
      <c r="H434" s="25">
        <v>40</v>
      </c>
      <c r="I434" s="29">
        <v>0.2</v>
      </c>
      <c r="J434" s="30">
        <v>15</v>
      </c>
      <c r="K434" s="25">
        <v>0</v>
      </c>
      <c r="L434" s="25">
        <v>0</v>
      </c>
      <c r="M434" s="25">
        <f t="shared" si="50"/>
        <v>83</v>
      </c>
      <c r="N434" s="25">
        <v>165</v>
      </c>
      <c r="O434" s="25">
        <v>0</v>
      </c>
      <c r="P434" s="25">
        <v>0</v>
      </c>
      <c r="Q434" s="25">
        <f t="shared" si="51"/>
        <v>25</v>
      </c>
      <c r="R434" s="25">
        <v>50</v>
      </c>
      <c r="S434" s="25">
        <f t="shared" si="52"/>
        <v>0</v>
      </c>
      <c r="T434" s="25">
        <v>0</v>
      </c>
      <c r="U434" s="29">
        <v>0</v>
      </c>
      <c r="V434" s="25">
        <v>0</v>
      </c>
      <c r="W434" s="25">
        <v>0</v>
      </c>
      <c r="X434" s="25">
        <v>0</v>
      </c>
      <c r="Y434" s="29">
        <v>0</v>
      </c>
      <c r="Z434" s="29">
        <v>0</v>
      </c>
      <c r="AA434" s="29">
        <v>0</v>
      </c>
      <c r="AB434" s="29">
        <v>0</v>
      </c>
      <c r="AC434" s="29">
        <v>0</v>
      </c>
      <c r="AD434" s="29">
        <v>0</v>
      </c>
      <c r="AE434" s="43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/>
      <c r="HK434" s="5"/>
      <c r="HL434" s="5"/>
      <c r="HM434" s="5"/>
      <c r="HN434" s="5"/>
      <c r="HO434" s="5"/>
      <c r="HP434" s="5"/>
    </row>
    <row r="435" spans="3:224" ht="20.100000000000001" customHeight="1">
      <c r="C435" s="24">
        <v>15306003</v>
      </c>
      <c r="D435" s="36" t="s">
        <v>450</v>
      </c>
      <c r="E435" s="25">
        <v>11200002</v>
      </c>
      <c r="F435" s="25">
        <v>13051</v>
      </c>
      <c r="G435" s="25">
        <v>1</v>
      </c>
      <c r="H435" s="25">
        <v>40</v>
      </c>
      <c r="I435" s="29">
        <v>0.2</v>
      </c>
      <c r="J435" s="30">
        <v>15</v>
      </c>
      <c r="K435" s="25">
        <v>0</v>
      </c>
      <c r="L435" s="25">
        <v>0</v>
      </c>
      <c r="M435" s="25">
        <f t="shared" ref="M435" si="68">ROUND(N435/2,0)</f>
        <v>110</v>
      </c>
      <c r="N435" s="25">
        <v>220</v>
      </c>
      <c r="O435" s="25">
        <v>0</v>
      </c>
      <c r="P435" s="25">
        <v>0</v>
      </c>
      <c r="Q435" s="25">
        <f t="shared" ref="Q435" si="69">ROUND(R435/2,0)</f>
        <v>30</v>
      </c>
      <c r="R435" s="25">
        <v>60</v>
      </c>
      <c r="S435" s="25">
        <f t="shared" ref="S435" si="70">ROUND(T435/2,0)</f>
        <v>0</v>
      </c>
      <c r="T435" s="25">
        <v>0</v>
      </c>
      <c r="U435" s="29">
        <v>0</v>
      </c>
      <c r="V435" s="25">
        <v>0</v>
      </c>
      <c r="W435" s="25">
        <v>0</v>
      </c>
      <c r="X435" s="25">
        <v>0</v>
      </c>
      <c r="Y435" s="29">
        <v>0</v>
      </c>
      <c r="Z435" s="29">
        <v>0</v>
      </c>
      <c r="AA435" s="29">
        <v>0</v>
      </c>
      <c r="AB435" s="29">
        <v>100902</v>
      </c>
      <c r="AC435" s="29">
        <v>500</v>
      </c>
      <c r="AD435" s="29">
        <v>1</v>
      </c>
      <c r="AE435" s="43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  <c r="HP435" s="5"/>
    </row>
    <row r="436" spans="3:224" ht="20.100000000000001" customHeight="1">
      <c r="C436" s="24">
        <v>15307001</v>
      </c>
      <c r="D436" s="25" t="s">
        <v>451</v>
      </c>
      <c r="E436" s="25">
        <v>11200002</v>
      </c>
      <c r="F436" s="25">
        <v>0</v>
      </c>
      <c r="G436" s="25">
        <v>1</v>
      </c>
      <c r="H436" s="25">
        <v>40</v>
      </c>
      <c r="I436" s="29">
        <v>0.2</v>
      </c>
      <c r="J436" s="30">
        <v>15</v>
      </c>
      <c r="K436" s="25">
        <v>0</v>
      </c>
      <c r="L436" s="25">
        <v>0</v>
      </c>
      <c r="M436" s="25">
        <f t="shared" si="50"/>
        <v>64</v>
      </c>
      <c r="N436" s="25">
        <v>128</v>
      </c>
      <c r="O436" s="25">
        <v>0</v>
      </c>
      <c r="P436" s="25">
        <v>0</v>
      </c>
      <c r="Q436" s="25">
        <f t="shared" si="51"/>
        <v>0</v>
      </c>
      <c r="R436" s="25">
        <v>0</v>
      </c>
      <c r="S436" s="25">
        <f t="shared" si="52"/>
        <v>20</v>
      </c>
      <c r="T436" s="25">
        <v>40</v>
      </c>
      <c r="U436" s="29">
        <v>0</v>
      </c>
      <c r="V436" s="25">
        <v>0</v>
      </c>
      <c r="W436" s="25">
        <v>0</v>
      </c>
      <c r="X436" s="25">
        <v>0</v>
      </c>
      <c r="Y436" s="29">
        <v>0</v>
      </c>
      <c r="Z436" s="29">
        <v>0</v>
      </c>
      <c r="AA436" s="29">
        <v>0</v>
      </c>
      <c r="AB436" s="29">
        <v>0</v>
      </c>
      <c r="AC436" s="29">
        <v>0</v>
      </c>
      <c r="AD436" s="29">
        <v>0</v>
      </c>
      <c r="AE436" s="43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/>
      <c r="HK436" s="5"/>
      <c r="HL436" s="5"/>
      <c r="HM436" s="5"/>
      <c r="HN436" s="5"/>
      <c r="HO436" s="5"/>
      <c r="HP436" s="5"/>
    </row>
    <row r="437" spans="3:224" ht="20.100000000000001" customHeight="1">
      <c r="C437" s="24">
        <v>15307002</v>
      </c>
      <c r="D437" s="25" t="s">
        <v>452</v>
      </c>
      <c r="E437" s="25">
        <v>11200002</v>
      </c>
      <c r="F437" s="25">
        <v>0</v>
      </c>
      <c r="G437" s="25">
        <v>1</v>
      </c>
      <c r="H437" s="25">
        <v>40</v>
      </c>
      <c r="I437" s="29">
        <v>0.2</v>
      </c>
      <c r="J437" s="30">
        <v>15</v>
      </c>
      <c r="K437" s="25">
        <v>0</v>
      </c>
      <c r="L437" s="25">
        <v>0</v>
      </c>
      <c r="M437" s="25">
        <f t="shared" si="50"/>
        <v>83</v>
      </c>
      <c r="N437" s="25">
        <v>165</v>
      </c>
      <c r="O437" s="25">
        <v>0</v>
      </c>
      <c r="P437" s="25">
        <v>0</v>
      </c>
      <c r="Q437" s="25">
        <f t="shared" si="51"/>
        <v>0</v>
      </c>
      <c r="R437" s="25">
        <v>0</v>
      </c>
      <c r="S437" s="25">
        <f t="shared" si="52"/>
        <v>25</v>
      </c>
      <c r="T437" s="25">
        <v>50</v>
      </c>
      <c r="U437" s="29">
        <v>0</v>
      </c>
      <c r="V437" s="25">
        <v>0</v>
      </c>
      <c r="W437" s="25">
        <v>0</v>
      </c>
      <c r="X437" s="25">
        <v>0</v>
      </c>
      <c r="Y437" s="29">
        <v>0</v>
      </c>
      <c r="Z437" s="29">
        <v>0</v>
      </c>
      <c r="AA437" s="29">
        <v>0</v>
      </c>
      <c r="AB437" s="29">
        <v>0</v>
      </c>
      <c r="AC437" s="29">
        <v>0</v>
      </c>
      <c r="AD437" s="29">
        <v>0</v>
      </c>
      <c r="AE437" s="43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  <c r="HP437" s="5"/>
    </row>
    <row r="438" spans="3:224" ht="20.100000000000001" customHeight="1">
      <c r="C438" s="24">
        <v>15308001</v>
      </c>
      <c r="D438" s="25" t="s">
        <v>329</v>
      </c>
      <c r="E438" s="25">
        <v>11200002</v>
      </c>
      <c r="F438" s="25">
        <v>0</v>
      </c>
      <c r="G438" s="25">
        <v>1</v>
      </c>
      <c r="H438" s="25">
        <v>40</v>
      </c>
      <c r="I438" s="29">
        <v>0.2</v>
      </c>
      <c r="J438" s="30">
        <v>15</v>
      </c>
      <c r="K438" s="25">
        <v>0</v>
      </c>
      <c r="L438" s="25">
        <v>0</v>
      </c>
      <c r="M438" s="25">
        <v>12</v>
      </c>
      <c r="N438" s="25">
        <v>25</v>
      </c>
      <c r="O438" s="25">
        <v>0</v>
      </c>
      <c r="P438" s="25">
        <v>0</v>
      </c>
      <c r="Q438" s="25">
        <f t="shared" si="51"/>
        <v>0</v>
      </c>
      <c r="R438" s="25">
        <v>0</v>
      </c>
      <c r="S438" s="25">
        <f t="shared" si="52"/>
        <v>0</v>
      </c>
      <c r="T438" s="25">
        <v>0</v>
      </c>
      <c r="U438" s="29">
        <v>0</v>
      </c>
      <c r="V438" s="25">
        <v>0</v>
      </c>
      <c r="W438" s="25">
        <v>0</v>
      </c>
      <c r="X438" s="25">
        <v>0</v>
      </c>
      <c r="Y438" s="29">
        <v>0</v>
      </c>
      <c r="Z438" s="29">
        <v>0</v>
      </c>
      <c r="AA438" s="29">
        <v>0</v>
      </c>
      <c r="AB438" s="29">
        <v>0</v>
      </c>
      <c r="AC438" s="29">
        <v>0</v>
      </c>
      <c r="AD438" s="29">
        <v>0</v>
      </c>
      <c r="AE438" s="43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/>
      <c r="HK438" s="5"/>
      <c r="HL438" s="5"/>
      <c r="HM438" s="5"/>
      <c r="HN438" s="5"/>
      <c r="HO438" s="5"/>
      <c r="HP438" s="5"/>
    </row>
    <row r="439" spans="3:224" ht="20.100000000000001" customHeight="1">
      <c r="C439" s="24">
        <v>15308002</v>
      </c>
      <c r="D439" s="25" t="s">
        <v>453</v>
      </c>
      <c r="E439" s="25">
        <v>11200002</v>
      </c>
      <c r="F439" s="25">
        <v>0</v>
      </c>
      <c r="G439" s="25">
        <v>1</v>
      </c>
      <c r="H439" s="25">
        <v>40</v>
      </c>
      <c r="I439" s="29">
        <v>0.2</v>
      </c>
      <c r="J439" s="30">
        <v>15</v>
      </c>
      <c r="K439" s="25">
        <v>0</v>
      </c>
      <c r="L439" s="25">
        <v>0</v>
      </c>
      <c r="M439" s="25">
        <v>15</v>
      </c>
      <c r="N439" s="25">
        <v>32</v>
      </c>
      <c r="O439" s="25">
        <v>0</v>
      </c>
      <c r="P439" s="25">
        <v>0</v>
      </c>
      <c r="Q439" s="25">
        <f t="shared" si="51"/>
        <v>0</v>
      </c>
      <c r="R439" s="25">
        <v>0</v>
      </c>
      <c r="S439" s="25">
        <f t="shared" si="52"/>
        <v>0</v>
      </c>
      <c r="T439" s="25">
        <v>0</v>
      </c>
      <c r="U439" s="29">
        <v>0</v>
      </c>
      <c r="V439" s="25">
        <v>0</v>
      </c>
      <c r="W439" s="25">
        <v>0</v>
      </c>
      <c r="X439" s="25">
        <v>0</v>
      </c>
      <c r="Y439" s="29">
        <v>0</v>
      </c>
      <c r="Z439" s="29">
        <v>0</v>
      </c>
      <c r="AA439" s="29">
        <v>0</v>
      </c>
      <c r="AB439" s="29">
        <v>0</v>
      </c>
      <c r="AC439" s="29">
        <v>0</v>
      </c>
      <c r="AD439" s="29">
        <v>0</v>
      </c>
      <c r="AE439" s="43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/>
      <c r="HK439" s="5"/>
      <c r="HL439" s="5"/>
      <c r="HM439" s="5"/>
      <c r="HN439" s="5"/>
      <c r="HO439" s="5"/>
      <c r="HP439" s="5"/>
    </row>
    <row r="440" spans="3:224" s="3" customFormat="1" ht="20.100000000000001" customHeight="1">
      <c r="C440" s="26">
        <v>15308003</v>
      </c>
      <c r="D440" s="46" t="s">
        <v>454</v>
      </c>
      <c r="E440" s="28">
        <v>11200002</v>
      </c>
      <c r="F440" s="28">
        <v>0</v>
      </c>
      <c r="G440" s="28">
        <v>1</v>
      </c>
      <c r="H440" s="28">
        <v>40</v>
      </c>
      <c r="I440" s="31">
        <v>0.2</v>
      </c>
      <c r="J440" s="30">
        <v>15</v>
      </c>
      <c r="K440" s="28">
        <v>0</v>
      </c>
      <c r="L440" s="28">
        <v>0</v>
      </c>
      <c r="M440" s="28">
        <v>20</v>
      </c>
      <c r="N440" s="28">
        <v>40</v>
      </c>
      <c r="O440" s="28">
        <v>0</v>
      </c>
      <c r="P440" s="28">
        <v>0</v>
      </c>
      <c r="Q440" s="28">
        <f t="shared" ref="Q440" si="71">ROUND(R440/2,0)</f>
        <v>0</v>
      </c>
      <c r="R440" s="28">
        <v>0</v>
      </c>
      <c r="S440" s="28">
        <f t="shared" ref="S440" si="72">ROUND(T440/2,0)</f>
        <v>0</v>
      </c>
      <c r="T440" s="28">
        <v>0</v>
      </c>
      <c r="U440" s="31">
        <v>0</v>
      </c>
      <c r="V440" s="28">
        <v>0</v>
      </c>
      <c r="W440" s="28">
        <v>0</v>
      </c>
      <c r="X440" s="28">
        <v>0</v>
      </c>
      <c r="Y440" s="31">
        <v>0</v>
      </c>
      <c r="Z440" s="31">
        <v>0</v>
      </c>
      <c r="AA440" s="31">
        <v>0</v>
      </c>
      <c r="AB440" s="31">
        <v>0</v>
      </c>
      <c r="AC440" s="31">
        <v>0</v>
      </c>
      <c r="AD440" s="31">
        <v>0</v>
      </c>
      <c r="AE440" s="45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  <c r="BV440" s="33"/>
      <c r="BW440" s="33"/>
      <c r="BX440" s="33"/>
      <c r="BY440" s="33"/>
      <c r="BZ440" s="33"/>
      <c r="CA440" s="33"/>
      <c r="CB440" s="33"/>
      <c r="CC440" s="33"/>
      <c r="CD440" s="33"/>
      <c r="CE440" s="33"/>
      <c r="CF440" s="33"/>
      <c r="CG440" s="33"/>
      <c r="CH440" s="33"/>
      <c r="CI440" s="33"/>
      <c r="CJ440" s="33"/>
      <c r="CK440" s="33"/>
      <c r="CL440" s="33"/>
      <c r="CM440" s="33"/>
      <c r="CN440" s="33"/>
      <c r="CO440" s="33"/>
      <c r="CP440" s="33"/>
      <c r="CQ440" s="33"/>
      <c r="CR440" s="33"/>
      <c r="CS440" s="33"/>
      <c r="CT440" s="33"/>
      <c r="CU440" s="33"/>
      <c r="CV440" s="33"/>
      <c r="CW440" s="33"/>
      <c r="CX440" s="33"/>
      <c r="CY440" s="33"/>
      <c r="CZ440" s="33"/>
      <c r="DA440" s="33"/>
      <c r="DB440" s="33"/>
      <c r="DC440" s="33"/>
      <c r="DD440" s="33"/>
      <c r="DE440" s="33"/>
      <c r="DF440" s="33"/>
      <c r="DG440" s="33"/>
      <c r="DH440" s="33"/>
      <c r="DI440" s="33"/>
      <c r="DJ440" s="33"/>
      <c r="DK440" s="33"/>
      <c r="DL440" s="33"/>
      <c r="DM440" s="33"/>
      <c r="DN440" s="33"/>
      <c r="DO440" s="33"/>
      <c r="DP440" s="33"/>
      <c r="DQ440" s="33"/>
      <c r="DR440" s="33"/>
      <c r="DS440" s="33"/>
      <c r="DT440" s="33"/>
      <c r="DU440" s="33"/>
      <c r="DV440" s="33"/>
      <c r="DW440" s="33"/>
      <c r="DX440" s="33"/>
      <c r="DY440" s="33"/>
      <c r="DZ440" s="33"/>
      <c r="EA440" s="33"/>
      <c r="EB440" s="33"/>
      <c r="EC440" s="33"/>
      <c r="ED440" s="33"/>
      <c r="EE440" s="33"/>
      <c r="EF440" s="33"/>
      <c r="EG440" s="33"/>
      <c r="EH440" s="33"/>
      <c r="EI440" s="33"/>
      <c r="EJ440" s="33"/>
      <c r="EK440" s="33"/>
      <c r="EL440" s="33"/>
      <c r="EM440" s="33"/>
      <c r="EN440" s="33"/>
      <c r="EO440" s="33"/>
      <c r="EP440" s="33"/>
      <c r="EQ440" s="33"/>
      <c r="ER440" s="33"/>
      <c r="ES440" s="33"/>
      <c r="ET440" s="33"/>
      <c r="EU440" s="33"/>
      <c r="EV440" s="33"/>
      <c r="EW440" s="33"/>
      <c r="EX440" s="33"/>
      <c r="EY440" s="33"/>
      <c r="EZ440" s="33"/>
      <c r="FA440" s="33"/>
      <c r="FB440" s="33"/>
      <c r="FC440" s="33"/>
      <c r="FD440" s="33"/>
      <c r="FE440" s="33"/>
      <c r="FF440" s="33"/>
      <c r="FG440" s="33"/>
      <c r="FH440" s="33"/>
      <c r="FI440" s="33"/>
      <c r="FJ440" s="33"/>
      <c r="FK440" s="33"/>
      <c r="FL440" s="33"/>
      <c r="FM440" s="33"/>
      <c r="FN440" s="33"/>
      <c r="FO440" s="33"/>
      <c r="FP440" s="33"/>
      <c r="FQ440" s="33"/>
      <c r="FR440" s="33"/>
      <c r="FS440" s="33"/>
      <c r="FT440" s="33"/>
      <c r="FU440" s="33"/>
      <c r="FV440" s="33"/>
      <c r="FW440" s="33"/>
      <c r="FX440" s="33"/>
      <c r="FY440" s="33"/>
      <c r="FZ440" s="33"/>
      <c r="GA440" s="33"/>
      <c r="GB440" s="33"/>
      <c r="GC440" s="33"/>
      <c r="GD440" s="33"/>
      <c r="GE440" s="33"/>
      <c r="GF440" s="33"/>
      <c r="GG440" s="33"/>
      <c r="GH440" s="33"/>
      <c r="GI440" s="33"/>
      <c r="GJ440" s="33"/>
      <c r="GK440" s="33"/>
      <c r="GL440" s="33"/>
      <c r="GM440" s="33"/>
      <c r="GN440" s="33"/>
      <c r="GO440" s="33"/>
      <c r="GP440" s="33"/>
      <c r="GQ440" s="33"/>
      <c r="GR440" s="33"/>
      <c r="GS440" s="33"/>
      <c r="GT440" s="33"/>
      <c r="GU440" s="33"/>
      <c r="GV440" s="33"/>
      <c r="GW440" s="33"/>
      <c r="GX440" s="33"/>
      <c r="GY440" s="33"/>
      <c r="GZ440" s="33"/>
      <c r="HA440" s="33"/>
      <c r="HB440" s="33"/>
      <c r="HC440" s="33"/>
      <c r="HD440" s="33"/>
      <c r="HE440" s="33"/>
      <c r="HF440" s="33"/>
      <c r="HG440" s="33"/>
      <c r="HH440" s="33"/>
      <c r="HI440" s="33"/>
      <c r="HJ440" s="33"/>
      <c r="HK440" s="33"/>
      <c r="HL440" s="33"/>
      <c r="HM440" s="33"/>
      <c r="HN440" s="33"/>
      <c r="HO440" s="33"/>
      <c r="HP440" s="33"/>
    </row>
    <row r="441" spans="3:224" s="3" customFormat="1" ht="19.5" customHeight="1">
      <c r="C441" s="26">
        <v>15308004</v>
      </c>
      <c r="D441" s="46" t="s">
        <v>455</v>
      </c>
      <c r="E441" s="28">
        <v>11200002</v>
      </c>
      <c r="F441" s="28">
        <v>0</v>
      </c>
      <c r="G441" s="28">
        <v>1</v>
      </c>
      <c r="H441" s="28">
        <v>40</v>
      </c>
      <c r="I441" s="31">
        <v>0.2</v>
      </c>
      <c r="J441" s="30">
        <v>15</v>
      </c>
      <c r="K441" s="28">
        <v>0</v>
      </c>
      <c r="L441" s="28">
        <v>0</v>
      </c>
      <c r="M441" s="28">
        <v>20</v>
      </c>
      <c r="N441" s="28">
        <v>40</v>
      </c>
      <c r="O441" s="28">
        <v>0</v>
      </c>
      <c r="P441" s="28">
        <v>0</v>
      </c>
      <c r="Q441" s="28">
        <f t="shared" ref="Q441" si="73">ROUND(R441/2,0)</f>
        <v>0</v>
      </c>
      <c r="R441" s="28">
        <v>0</v>
      </c>
      <c r="S441" s="28">
        <f t="shared" ref="S441" si="74">ROUND(T441/2,0)</f>
        <v>0</v>
      </c>
      <c r="T441" s="28">
        <v>0</v>
      </c>
      <c r="U441" s="31">
        <v>0</v>
      </c>
      <c r="V441" s="28">
        <v>0</v>
      </c>
      <c r="W441" s="28">
        <v>0</v>
      </c>
      <c r="X441" s="28">
        <v>0</v>
      </c>
      <c r="Y441" s="31">
        <v>0</v>
      </c>
      <c r="Z441" s="31">
        <v>0</v>
      </c>
      <c r="AA441" s="31">
        <v>0</v>
      </c>
      <c r="AB441" s="31">
        <v>0</v>
      </c>
      <c r="AC441" s="31">
        <v>0</v>
      </c>
      <c r="AD441" s="31">
        <v>0</v>
      </c>
      <c r="AE441" s="45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  <c r="BV441" s="33"/>
      <c r="BW441" s="33"/>
      <c r="BX441" s="33"/>
      <c r="BY441" s="33"/>
      <c r="BZ441" s="33"/>
      <c r="CA441" s="33"/>
      <c r="CB441" s="33"/>
      <c r="CC441" s="33"/>
      <c r="CD441" s="33"/>
      <c r="CE441" s="33"/>
      <c r="CF441" s="33"/>
      <c r="CG441" s="33"/>
      <c r="CH441" s="33"/>
      <c r="CI441" s="33"/>
      <c r="CJ441" s="33"/>
      <c r="CK441" s="33"/>
      <c r="CL441" s="33"/>
      <c r="CM441" s="33"/>
      <c r="CN441" s="33"/>
      <c r="CO441" s="33"/>
      <c r="CP441" s="33"/>
      <c r="CQ441" s="33"/>
      <c r="CR441" s="33"/>
      <c r="CS441" s="33"/>
      <c r="CT441" s="33"/>
      <c r="CU441" s="33"/>
      <c r="CV441" s="33"/>
      <c r="CW441" s="33"/>
      <c r="CX441" s="33"/>
      <c r="CY441" s="33"/>
      <c r="CZ441" s="33"/>
      <c r="DA441" s="33"/>
      <c r="DB441" s="33"/>
      <c r="DC441" s="33"/>
      <c r="DD441" s="33"/>
      <c r="DE441" s="33"/>
      <c r="DF441" s="33"/>
      <c r="DG441" s="33"/>
      <c r="DH441" s="33"/>
      <c r="DI441" s="33"/>
      <c r="DJ441" s="33"/>
      <c r="DK441" s="33"/>
      <c r="DL441" s="33"/>
      <c r="DM441" s="33"/>
      <c r="DN441" s="33"/>
      <c r="DO441" s="33"/>
      <c r="DP441" s="33"/>
      <c r="DQ441" s="33"/>
      <c r="DR441" s="33"/>
      <c r="DS441" s="33"/>
      <c r="DT441" s="33"/>
      <c r="DU441" s="33"/>
      <c r="DV441" s="33"/>
      <c r="DW441" s="33"/>
      <c r="DX441" s="33"/>
      <c r="DY441" s="33"/>
      <c r="DZ441" s="33"/>
      <c r="EA441" s="33"/>
      <c r="EB441" s="33"/>
      <c r="EC441" s="33"/>
      <c r="ED441" s="33"/>
      <c r="EE441" s="33"/>
      <c r="EF441" s="33"/>
      <c r="EG441" s="33"/>
      <c r="EH441" s="33"/>
      <c r="EI441" s="33"/>
      <c r="EJ441" s="33"/>
      <c r="EK441" s="33"/>
      <c r="EL441" s="33"/>
      <c r="EM441" s="33"/>
      <c r="EN441" s="33"/>
      <c r="EO441" s="33"/>
      <c r="EP441" s="33"/>
      <c r="EQ441" s="33"/>
      <c r="ER441" s="33"/>
      <c r="ES441" s="33"/>
      <c r="ET441" s="33"/>
      <c r="EU441" s="33"/>
      <c r="EV441" s="33"/>
      <c r="EW441" s="33"/>
      <c r="EX441" s="33"/>
      <c r="EY441" s="33"/>
      <c r="EZ441" s="33"/>
      <c r="FA441" s="33"/>
      <c r="FB441" s="33"/>
      <c r="FC441" s="33"/>
      <c r="FD441" s="33"/>
      <c r="FE441" s="33"/>
      <c r="FF441" s="33"/>
      <c r="FG441" s="33"/>
      <c r="FH441" s="33"/>
      <c r="FI441" s="33"/>
      <c r="FJ441" s="33"/>
      <c r="FK441" s="33"/>
      <c r="FL441" s="33"/>
      <c r="FM441" s="33"/>
      <c r="FN441" s="33"/>
      <c r="FO441" s="33"/>
      <c r="FP441" s="33"/>
      <c r="FQ441" s="33"/>
      <c r="FR441" s="33"/>
      <c r="FS441" s="33"/>
      <c r="FT441" s="33"/>
      <c r="FU441" s="33"/>
      <c r="FV441" s="33"/>
      <c r="FW441" s="33"/>
      <c r="FX441" s="33"/>
      <c r="FY441" s="33"/>
      <c r="FZ441" s="33"/>
      <c r="GA441" s="33"/>
      <c r="GB441" s="33"/>
      <c r="GC441" s="33"/>
      <c r="GD441" s="33"/>
      <c r="GE441" s="33"/>
      <c r="GF441" s="33"/>
      <c r="GG441" s="33"/>
      <c r="GH441" s="33"/>
      <c r="GI441" s="33"/>
      <c r="GJ441" s="33"/>
      <c r="GK441" s="33"/>
      <c r="GL441" s="33"/>
      <c r="GM441" s="33"/>
      <c r="GN441" s="33"/>
      <c r="GO441" s="33"/>
      <c r="GP441" s="33"/>
      <c r="GQ441" s="33"/>
      <c r="GR441" s="33"/>
      <c r="GS441" s="33"/>
      <c r="GT441" s="33"/>
      <c r="GU441" s="33"/>
      <c r="GV441" s="33"/>
      <c r="GW441" s="33"/>
      <c r="GX441" s="33"/>
      <c r="GY441" s="33"/>
      <c r="GZ441" s="33"/>
      <c r="HA441" s="33"/>
      <c r="HB441" s="33"/>
      <c r="HC441" s="33"/>
      <c r="HD441" s="33"/>
      <c r="HE441" s="33"/>
      <c r="HF441" s="33"/>
      <c r="HG441" s="33"/>
      <c r="HH441" s="33"/>
      <c r="HI441" s="33"/>
      <c r="HJ441" s="33"/>
      <c r="HK441" s="33"/>
      <c r="HL441" s="33"/>
      <c r="HM441" s="33"/>
      <c r="HN441" s="33"/>
      <c r="HO441" s="33"/>
      <c r="HP441" s="33"/>
    </row>
    <row r="442" spans="3:224" ht="20.100000000000001" customHeight="1">
      <c r="C442" s="24">
        <v>15309001</v>
      </c>
      <c r="D442" s="25" t="s">
        <v>333</v>
      </c>
      <c r="E442" s="25">
        <v>11200001</v>
      </c>
      <c r="F442" s="25">
        <v>0</v>
      </c>
      <c r="G442" s="25">
        <v>1</v>
      </c>
      <c r="H442" s="25">
        <v>40</v>
      </c>
      <c r="I442" s="29">
        <v>0.2</v>
      </c>
      <c r="J442" s="30">
        <v>15</v>
      </c>
      <c r="K442" s="25">
        <v>0</v>
      </c>
      <c r="L442" s="25">
        <v>3820</v>
      </c>
      <c r="M442" s="25">
        <f t="shared" si="50"/>
        <v>0</v>
      </c>
      <c r="N442" s="25">
        <v>0</v>
      </c>
      <c r="O442" s="25">
        <v>0</v>
      </c>
      <c r="P442" s="25">
        <v>0</v>
      </c>
      <c r="Q442" s="25">
        <f t="shared" si="51"/>
        <v>0</v>
      </c>
      <c r="R442" s="25">
        <v>0</v>
      </c>
      <c r="S442" s="25">
        <f t="shared" si="52"/>
        <v>0</v>
      </c>
      <c r="T442" s="25">
        <v>0</v>
      </c>
      <c r="U442" s="29">
        <v>0</v>
      </c>
      <c r="V442" s="25">
        <v>0</v>
      </c>
      <c r="W442" s="25">
        <v>0</v>
      </c>
      <c r="X442" s="25">
        <v>0</v>
      </c>
      <c r="Y442" s="29">
        <v>0</v>
      </c>
      <c r="Z442" s="29">
        <v>0</v>
      </c>
      <c r="AA442" s="29">
        <v>0</v>
      </c>
      <c r="AB442" s="29">
        <v>0</v>
      </c>
      <c r="AC442" s="29">
        <v>0</v>
      </c>
      <c r="AD442" s="29">
        <v>0</v>
      </c>
      <c r="AE442" s="43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/>
      <c r="HK442" s="5"/>
      <c r="HL442" s="5"/>
      <c r="HM442" s="5"/>
      <c r="HN442" s="5"/>
      <c r="HO442" s="5"/>
      <c r="HP442" s="5"/>
    </row>
    <row r="443" spans="3:224" ht="20.100000000000001" customHeight="1">
      <c r="C443" s="24">
        <v>15309002</v>
      </c>
      <c r="D443" s="25" t="s">
        <v>456</v>
      </c>
      <c r="E443" s="25">
        <v>11200001</v>
      </c>
      <c r="F443" s="25">
        <v>0</v>
      </c>
      <c r="G443" s="25">
        <v>1</v>
      </c>
      <c r="H443" s="25">
        <v>40</v>
      </c>
      <c r="I443" s="29">
        <v>0.2</v>
      </c>
      <c r="J443" s="30">
        <v>15</v>
      </c>
      <c r="K443" s="25">
        <v>0</v>
      </c>
      <c r="L443" s="25">
        <v>4620</v>
      </c>
      <c r="M443" s="25">
        <f t="shared" si="50"/>
        <v>0</v>
      </c>
      <c r="N443" s="25">
        <v>0</v>
      </c>
      <c r="O443" s="25">
        <v>0</v>
      </c>
      <c r="P443" s="25">
        <v>0</v>
      </c>
      <c r="Q443" s="25">
        <f t="shared" si="51"/>
        <v>0</v>
      </c>
      <c r="R443" s="25">
        <v>0</v>
      </c>
      <c r="S443" s="25">
        <f t="shared" si="52"/>
        <v>0</v>
      </c>
      <c r="T443" s="25">
        <v>0</v>
      </c>
      <c r="U443" s="29">
        <v>0</v>
      </c>
      <c r="V443" s="25">
        <v>0</v>
      </c>
      <c r="W443" s="25">
        <v>0</v>
      </c>
      <c r="X443" s="25">
        <v>0</v>
      </c>
      <c r="Y443" s="29">
        <v>0</v>
      </c>
      <c r="Z443" s="29">
        <v>0</v>
      </c>
      <c r="AA443" s="29">
        <v>0</v>
      </c>
      <c r="AB443" s="29">
        <v>0</v>
      </c>
      <c r="AC443" s="29">
        <v>0</v>
      </c>
      <c r="AD443" s="29">
        <v>0</v>
      </c>
      <c r="AE443" s="43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</row>
    <row r="444" spans="3:224" ht="20.100000000000001" customHeight="1">
      <c r="C444" s="24">
        <v>15310001</v>
      </c>
      <c r="D444" s="24" t="s">
        <v>457</v>
      </c>
      <c r="E444" s="25">
        <v>11200001</v>
      </c>
      <c r="F444" s="25">
        <v>0</v>
      </c>
      <c r="G444" s="25">
        <v>1</v>
      </c>
      <c r="H444" s="25">
        <v>40</v>
      </c>
      <c r="I444" s="29">
        <v>0.2</v>
      </c>
      <c r="J444" s="30">
        <v>15</v>
      </c>
      <c r="K444" s="25">
        <v>0</v>
      </c>
      <c r="L444" s="25">
        <v>0</v>
      </c>
      <c r="M444" s="25">
        <f t="shared" si="50"/>
        <v>193</v>
      </c>
      <c r="N444" s="25">
        <v>385</v>
      </c>
      <c r="O444" s="25">
        <v>0</v>
      </c>
      <c r="P444" s="25">
        <v>0</v>
      </c>
      <c r="Q444" s="25">
        <f t="shared" si="51"/>
        <v>0</v>
      </c>
      <c r="R444" s="25">
        <v>0</v>
      </c>
      <c r="S444" s="25">
        <f t="shared" si="52"/>
        <v>0</v>
      </c>
      <c r="T444" s="25">
        <v>0</v>
      </c>
      <c r="U444" s="29">
        <v>0</v>
      </c>
      <c r="V444" s="25">
        <v>0</v>
      </c>
      <c r="W444" s="25">
        <v>0</v>
      </c>
      <c r="X444" s="25">
        <v>0</v>
      </c>
      <c r="Y444" s="29">
        <v>0</v>
      </c>
      <c r="Z444" s="29">
        <v>0</v>
      </c>
      <c r="AA444" s="29">
        <v>0</v>
      </c>
      <c r="AB444" s="29">
        <v>0</v>
      </c>
      <c r="AC444" s="29">
        <v>0</v>
      </c>
      <c r="AD444" s="29">
        <v>0</v>
      </c>
      <c r="AE444" s="43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  <c r="HJ444" s="5"/>
      <c r="HK444" s="5"/>
      <c r="HL444" s="5"/>
      <c r="HM444" s="5"/>
      <c r="HN444" s="5"/>
      <c r="HO444" s="5"/>
      <c r="HP444" s="5"/>
    </row>
    <row r="445" spans="3:224" ht="20.100000000000001" customHeight="1">
      <c r="C445" s="24">
        <v>15310002</v>
      </c>
      <c r="D445" s="24" t="s">
        <v>458</v>
      </c>
      <c r="E445" s="25">
        <v>11200001</v>
      </c>
      <c r="F445" s="25">
        <v>0</v>
      </c>
      <c r="G445" s="25">
        <v>1</v>
      </c>
      <c r="H445" s="25">
        <v>40</v>
      </c>
      <c r="I445" s="29">
        <v>0.2</v>
      </c>
      <c r="J445" s="30">
        <v>15</v>
      </c>
      <c r="K445" s="25">
        <v>0</v>
      </c>
      <c r="L445" s="25">
        <v>0</v>
      </c>
      <c r="M445" s="25">
        <f t="shared" si="50"/>
        <v>230</v>
      </c>
      <c r="N445" s="25">
        <v>460</v>
      </c>
      <c r="O445" s="25">
        <v>0</v>
      </c>
      <c r="P445" s="25">
        <v>0</v>
      </c>
      <c r="Q445" s="25">
        <f t="shared" si="51"/>
        <v>0</v>
      </c>
      <c r="R445" s="25">
        <v>0</v>
      </c>
      <c r="S445" s="25">
        <f t="shared" si="52"/>
        <v>0</v>
      </c>
      <c r="T445" s="25">
        <v>0</v>
      </c>
      <c r="U445" s="29">
        <v>0</v>
      </c>
      <c r="V445" s="25">
        <v>0</v>
      </c>
      <c r="W445" s="25">
        <v>0</v>
      </c>
      <c r="X445" s="25">
        <v>0</v>
      </c>
      <c r="Y445" s="29">
        <v>0</v>
      </c>
      <c r="Z445" s="29">
        <v>0</v>
      </c>
      <c r="AA445" s="29">
        <v>0</v>
      </c>
      <c r="AB445" s="29">
        <v>0</v>
      </c>
      <c r="AC445" s="29">
        <v>0</v>
      </c>
      <c r="AD445" s="29">
        <v>0</v>
      </c>
      <c r="AE445" s="43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/>
      <c r="HK445" s="5"/>
      <c r="HL445" s="5"/>
      <c r="HM445" s="5"/>
      <c r="HN445" s="5"/>
      <c r="HO445" s="5"/>
      <c r="HP445" s="5"/>
    </row>
    <row r="446" spans="3:224" ht="20.100000000000001" customHeight="1">
      <c r="C446" s="24">
        <v>15310003</v>
      </c>
      <c r="D446" s="24" t="s">
        <v>459</v>
      </c>
      <c r="E446" s="25">
        <v>11200001</v>
      </c>
      <c r="F446" s="25">
        <v>0</v>
      </c>
      <c r="G446" s="25">
        <v>1</v>
      </c>
      <c r="H446" s="25">
        <v>40</v>
      </c>
      <c r="I446" s="29">
        <v>0.2</v>
      </c>
      <c r="J446" s="30">
        <v>15</v>
      </c>
      <c r="K446" s="25">
        <v>0</v>
      </c>
      <c r="L446" s="25">
        <v>0</v>
      </c>
      <c r="M446" s="25">
        <f t="shared" si="50"/>
        <v>193</v>
      </c>
      <c r="N446" s="25">
        <v>385</v>
      </c>
      <c r="O446" s="25">
        <v>0</v>
      </c>
      <c r="P446" s="25">
        <v>0</v>
      </c>
      <c r="Q446" s="25">
        <f t="shared" si="51"/>
        <v>0</v>
      </c>
      <c r="R446" s="25">
        <v>0</v>
      </c>
      <c r="S446" s="25">
        <f t="shared" si="52"/>
        <v>0</v>
      </c>
      <c r="T446" s="25">
        <v>0</v>
      </c>
      <c r="U446" s="29">
        <v>0</v>
      </c>
      <c r="V446" s="25">
        <v>0</v>
      </c>
      <c r="W446" s="25">
        <v>0</v>
      </c>
      <c r="X446" s="25">
        <v>0</v>
      </c>
      <c r="Y446" s="29">
        <v>0</v>
      </c>
      <c r="Z446" s="29">
        <v>0</v>
      </c>
      <c r="AA446" s="29">
        <v>0</v>
      </c>
      <c r="AB446" s="29">
        <v>0</v>
      </c>
      <c r="AC446" s="29">
        <v>0</v>
      </c>
      <c r="AD446" s="29">
        <v>0</v>
      </c>
      <c r="AE446" s="43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  <c r="HP446" s="5"/>
    </row>
    <row r="447" spans="3:224" ht="20.100000000000001" customHeight="1">
      <c r="C447" s="24">
        <v>15310004</v>
      </c>
      <c r="D447" s="24" t="s">
        <v>460</v>
      </c>
      <c r="E447" s="25">
        <v>11200001</v>
      </c>
      <c r="F447" s="25">
        <v>0</v>
      </c>
      <c r="G447" s="25">
        <v>1</v>
      </c>
      <c r="H447" s="25">
        <v>40</v>
      </c>
      <c r="I447" s="29">
        <v>0.2</v>
      </c>
      <c r="J447" s="30">
        <v>15</v>
      </c>
      <c r="K447" s="25">
        <v>0</v>
      </c>
      <c r="L447" s="25">
        <v>0</v>
      </c>
      <c r="M447" s="25">
        <f t="shared" si="50"/>
        <v>230</v>
      </c>
      <c r="N447" s="25">
        <v>460</v>
      </c>
      <c r="O447" s="25">
        <v>0</v>
      </c>
      <c r="P447" s="25">
        <v>0</v>
      </c>
      <c r="Q447" s="25">
        <f t="shared" si="51"/>
        <v>0</v>
      </c>
      <c r="R447" s="25">
        <v>0</v>
      </c>
      <c r="S447" s="25">
        <f t="shared" si="52"/>
        <v>0</v>
      </c>
      <c r="T447" s="25">
        <v>0</v>
      </c>
      <c r="U447" s="29">
        <v>0</v>
      </c>
      <c r="V447" s="25">
        <v>0</v>
      </c>
      <c r="W447" s="25">
        <v>0</v>
      </c>
      <c r="X447" s="25">
        <v>0</v>
      </c>
      <c r="Y447" s="29">
        <v>0</v>
      </c>
      <c r="Z447" s="29">
        <v>0</v>
      </c>
      <c r="AA447" s="29">
        <v>0</v>
      </c>
      <c r="AB447" s="29">
        <v>0</v>
      </c>
      <c r="AC447" s="29">
        <v>0</v>
      </c>
      <c r="AD447" s="29">
        <v>0</v>
      </c>
      <c r="AE447" s="43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/>
      <c r="HK447" s="5"/>
      <c r="HL447" s="5"/>
      <c r="HM447" s="5"/>
      <c r="HN447" s="5"/>
      <c r="HO447" s="5"/>
      <c r="HP447" s="5"/>
    </row>
    <row r="448" spans="3:224" ht="19.5" customHeight="1">
      <c r="C448" s="24">
        <v>15310011</v>
      </c>
      <c r="D448" s="36" t="s">
        <v>461</v>
      </c>
      <c r="E448" s="25">
        <v>11200001</v>
      </c>
      <c r="F448" s="25">
        <v>13051</v>
      </c>
      <c r="G448" s="25">
        <v>1</v>
      </c>
      <c r="H448" s="25">
        <v>40</v>
      </c>
      <c r="I448" s="29">
        <v>0.2</v>
      </c>
      <c r="J448" s="30">
        <v>15</v>
      </c>
      <c r="K448" s="25">
        <v>0</v>
      </c>
      <c r="L448" s="25">
        <v>0</v>
      </c>
      <c r="M448" s="25">
        <f t="shared" ref="M448:M449" si="75">ROUND(N448/2,0)</f>
        <v>290</v>
      </c>
      <c r="N448" s="25">
        <v>580</v>
      </c>
      <c r="O448" s="25">
        <v>0</v>
      </c>
      <c r="P448" s="25">
        <v>0</v>
      </c>
      <c r="Q448" s="25">
        <f t="shared" ref="Q448:Q449" si="76">ROUND(R448/2,0)</f>
        <v>0</v>
      </c>
      <c r="R448" s="25">
        <v>0</v>
      </c>
      <c r="S448" s="25">
        <f t="shared" ref="S448:S449" si="77">ROUND(T448/2,0)</f>
        <v>0</v>
      </c>
      <c r="T448" s="25">
        <v>0</v>
      </c>
      <c r="U448" s="29">
        <v>0</v>
      </c>
      <c r="V448" s="25">
        <v>0</v>
      </c>
      <c r="W448" s="25">
        <v>0</v>
      </c>
      <c r="X448" s="25">
        <v>0</v>
      </c>
      <c r="Y448" s="29">
        <v>0</v>
      </c>
      <c r="Z448" s="29">
        <v>0</v>
      </c>
      <c r="AA448" s="29">
        <v>0</v>
      </c>
      <c r="AB448" s="29">
        <v>0</v>
      </c>
      <c r="AC448" s="29">
        <v>0</v>
      </c>
      <c r="AD448" s="29">
        <v>0</v>
      </c>
      <c r="AE448" s="42">
        <v>100004</v>
      </c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/>
      <c r="HK448" s="5"/>
      <c r="HL448" s="5"/>
      <c r="HM448" s="5"/>
      <c r="HN448" s="5"/>
      <c r="HO448" s="5"/>
      <c r="HP448" s="5"/>
    </row>
    <row r="449" spans="3:224" ht="20.100000000000001" customHeight="1">
      <c r="C449" s="24">
        <v>15310012</v>
      </c>
      <c r="D449" s="36" t="s">
        <v>462</v>
      </c>
      <c r="E449" s="25">
        <v>11200001</v>
      </c>
      <c r="F449" s="25">
        <v>13051</v>
      </c>
      <c r="G449" s="25">
        <v>1</v>
      </c>
      <c r="H449" s="25">
        <v>40</v>
      </c>
      <c r="I449" s="29">
        <v>0.2</v>
      </c>
      <c r="J449" s="30">
        <v>15</v>
      </c>
      <c r="K449" s="25">
        <v>0</v>
      </c>
      <c r="L449" s="25">
        <v>0</v>
      </c>
      <c r="M449" s="25">
        <f t="shared" si="75"/>
        <v>290</v>
      </c>
      <c r="N449" s="25">
        <v>580</v>
      </c>
      <c r="O449" s="25">
        <v>0</v>
      </c>
      <c r="P449" s="25">
        <v>0</v>
      </c>
      <c r="Q449" s="25">
        <f t="shared" si="76"/>
        <v>0</v>
      </c>
      <c r="R449" s="25">
        <v>0</v>
      </c>
      <c r="S449" s="25">
        <f t="shared" si="77"/>
        <v>0</v>
      </c>
      <c r="T449" s="25">
        <v>0</v>
      </c>
      <c r="U449" s="29">
        <v>0</v>
      </c>
      <c r="V449" s="25">
        <v>0</v>
      </c>
      <c r="W449" s="25">
        <v>0</v>
      </c>
      <c r="X449" s="25">
        <v>0</v>
      </c>
      <c r="Y449" s="29">
        <v>0</v>
      </c>
      <c r="Z449" s="29">
        <v>0</v>
      </c>
      <c r="AA449" s="29">
        <v>0</v>
      </c>
      <c r="AB449" s="29">
        <v>0</v>
      </c>
      <c r="AC449" s="29">
        <v>0</v>
      </c>
      <c r="AD449" s="29">
        <v>0</v>
      </c>
      <c r="AE449" s="42">
        <v>100003</v>
      </c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  <c r="HJ449" s="5"/>
      <c r="HK449" s="5"/>
      <c r="HL449" s="5"/>
      <c r="HM449" s="5"/>
      <c r="HN449" s="5"/>
      <c r="HO449" s="5"/>
      <c r="HP449" s="5"/>
    </row>
    <row r="450" spans="3:224" ht="20.100000000000001" customHeight="1">
      <c r="C450" s="24">
        <v>15310111</v>
      </c>
      <c r="D450" s="36" t="s">
        <v>461</v>
      </c>
      <c r="E450" s="25">
        <v>11200001</v>
      </c>
      <c r="F450" s="25">
        <v>13051</v>
      </c>
      <c r="G450" s="25">
        <v>1</v>
      </c>
      <c r="H450" s="25">
        <v>40</v>
      </c>
      <c r="I450" s="29">
        <v>0.2</v>
      </c>
      <c r="J450" s="30">
        <v>15</v>
      </c>
      <c r="K450" s="25">
        <v>0</v>
      </c>
      <c r="L450" s="25">
        <v>0</v>
      </c>
      <c r="M450" s="25">
        <f t="shared" ref="M450:M454" si="78">ROUND(N450/2,0)</f>
        <v>290</v>
      </c>
      <c r="N450" s="25">
        <v>580</v>
      </c>
      <c r="O450" s="25">
        <v>0</v>
      </c>
      <c r="P450" s="25">
        <v>0</v>
      </c>
      <c r="Q450" s="25">
        <f t="shared" ref="Q450:Q454" si="79">ROUND(R450/2,0)</f>
        <v>0</v>
      </c>
      <c r="R450" s="25">
        <v>0</v>
      </c>
      <c r="S450" s="25">
        <f t="shared" ref="S450:S454" si="80">ROUND(T450/2,0)</f>
        <v>0</v>
      </c>
      <c r="T450" s="25">
        <v>0</v>
      </c>
      <c r="U450" s="29">
        <v>0</v>
      </c>
      <c r="V450" s="25">
        <v>0</v>
      </c>
      <c r="W450" s="25">
        <v>0</v>
      </c>
      <c r="X450" s="25">
        <v>0</v>
      </c>
      <c r="Y450" s="29">
        <v>0</v>
      </c>
      <c r="Z450" s="29">
        <v>0</v>
      </c>
      <c r="AA450" s="29">
        <v>0</v>
      </c>
      <c r="AB450" s="29">
        <v>0</v>
      </c>
      <c r="AC450" s="29">
        <v>0</v>
      </c>
      <c r="AD450" s="29">
        <v>0</v>
      </c>
      <c r="AE450" s="43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  <c r="HJ450" s="5"/>
      <c r="HK450" s="5"/>
      <c r="HL450" s="5"/>
      <c r="HM450" s="5"/>
      <c r="HN450" s="5"/>
      <c r="HO450" s="5"/>
      <c r="HP450" s="5"/>
    </row>
    <row r="451" spans="3:224" ht="20.100000000000001" customHeight="1">
      <c r="C451" s="24">
        <v>15310112</v>
      </c>
      <c r="D451" s="36" t="s">
        <v>462</v>
      </c>
      <c r="E451" s="25">
        <v>11200001</v>
      </c>
      <c r="F451" s="25">
        <v>13051</v>
      </c>
      <c r="G451" s="25">
        <v>1</v>
      </c>
      <c r="H451" s="25">
        <v>40</v>
      </c>
      <c r="I451" s="29">
        <v>0.2</v>
      </c>
      <c r="J451" s="30">
        <v>15</v>
      </c>
      <c r="K451" s="25">
        <v>0</v>
      </c>
      <c r="L451" s="25">
        <v>0</v>
      </c>
      <c r="M451" s="25">
        <f t="shared" si="78"/>
        <v>290</v>
      </c>
      <c r="N451" s="25">
        <v>580</v>
      </c>
      <c r="O451" s="25">
        <v>0</v>
      </c>
      <c r="P451" s="25">
        <v>0</v>
      </c>
      <c r="Q451" s="25">
        <f t="shared" si="79"/>
        <v>0</v>
      </c>
      <c r="R451" s="25">
        <v>0</v>
      </c>
      <c r="S451" s="25">
        <f t="shared" si="80"/>
        <v>0</v>
      </c>
      <c r="T451" s="25">
        <v>0</v>
      </c>
      <c r="U451" s="29">
        <v>0</v>
      </c>
      <c r="V451" s="25">
        <v>0</v>
      </c>
      <c r="W451" s="25">
        <v>0</v>
      </c>
      <c r="X451" s="25">
        <v>0</v>
      </c>
      <c r="Y451" s="29">
        <v>0</v>
      </c>
      <c r="Z451" s="29">
        <v>0</v>
      </c>
      <c r="AA451" s="29">
        <v>0</v>
      </c>
      <c r="AB451" s="29">
        <v>0</v>
      </c>
      <c r="AC451" s="29">
        <v>0</v>
      </c>
      <c r="AD451" s="29">
        <v>0</v>
      </c>
      <c r="AE451" s="42">
        <v>100005</v>
      </c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  <c r="HP451" s="5"/>
    </row>
    <row r="452" spans="3:224" ht="20.100000000000001" customHeight="1">
      <c r="C452" s="24">
        <v>15310201</v>
      </c>
      <c r="D452" s="24" t="s">
        <v>657</v>
      </c>
      <c r="E452" s="25">
        <v>11200001</v>
      </c>
      <c r="F452" s="25">
        <v>0</v>
      </c>
      <c r="G452" s="25">
        <v>1</v>
      </c>
      <c r="H452" s="25">
        <v>40</v>
      </c>
      <c r="I452" s="29">
        <v>0.2</v>
      </c>
      <c r="J452" s="30">
        <v>15</v>
      </c>
      <c r="K452" s="25">
        <v>0</v>
      </c>
      <c r="L452" s="25">
        <v>0</v>
      </c>
      <c r="M452" s="25">
        <f t="shared" si="78"/>
        <v>193</v>
      </c>
      <c r="N452" s="25">
        <v>385</v>
      </c>
      <c r="O452" s="25">
        <v>0</v>
      </c>
      <c r="P452" s="25">
        <v>0</v>
      </c>
      <c r="Q452" s="25">
        <f t="shared" si="79"/>
        <v>0</v>
      </c>
      <c r="R452" s="25">
        <v>0</v>
      </c>
      <c r="S452" s="25">
        <f t="shared" si="80"/>
        <v>0</v>
      </c>
      <c r="T452" s="25">
        <v>0</v>
      </c>
      <c r="U452" s="29">
        <v>0</v>
      </c>
      <c r="V452" s="25">
        <v>0</v>
      </c>
      <c r="W452" s="25">
        <v>0</v>
      </c>
      <c r="X452" s="25">
        <v>0</v>
      </c>
      <c r="Y452" s="29">
        <v>0</v>
      </c>
      <c r="Z452" s="29">
        <v>0</v>
      </c>
      <c r="AA452" s="29">
        <v>0</v>
      </c>
      <c r="AB452" s="29">
        <v>0</v>
      </c>
      <c r="AC452" s="29">
        <v>0</v>
      </c>
      <c r="AD452" s="29">
        <v>0</v>
      </c>
      <c r="AE452" s="43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/>
      <c r="HK452" s="5"/>
      <c r="HL452" s="5"/>
      <c r="HM452" s="5"/>
      <c r="HN452" s="5"/>
      <c r="HO452" s="5"/>
      <c r="HP452" s="5"/>
    </row>
    <row r="453" spans="3:224" ht="20.100000000000001" customHeight="1">
      <c r="C453" s="24">
        <v>15310202</v>
      </c>
      <c r="D453" s="24" t="s">
        <v>658</v>
      </c>
      <c r="E453" s="25">
        <v>11200001</v>
      </c>
      <c r="F453" s="25">
        <v>0</v>
      </c>
      <c r="G453" s="25">
        <v>1</v>
      </c>
      <c r="H453" s="25">
        <v>40</v>
      </c>
      <c r="I453" s="29">
        <v>0.2</v>
      </c>
      <c r="J453" s="30">
        <v>15</v>
      </c>
      <c r="K453" s="25">
        <v>0</v>
      </c>
      <c r="L453" s="25">
        <v>0</v>
      </c>
      <c r="M453" s="25">
        <f t="shared" si="78"/>
        <v>230</v>
      </c>
      <c r="N453" s="25">
        <v>460</v>
      </c>
      <c r="O453" s="25">
        <v>0</v>
      </c>
      <c r="P453" s="25">
        <v>0</v>
      </c>
      <c r="Q453" s="25">
        <f t="shared" si="79"/>
        <v>0</v>
      </c>
      <c r="R453" s="25">
        <v>0</v>
      </c>
      <c r="S453" s="25">
        <f t="shared" si="80"/>
        <v>0</v>
      </c>
      <c r="T453" s="25">
        <v>0</v>
      </c>
      <c r="U453" s="29">
        <v>0</v>
      </c>
      <c r="V453" s="25">
        <v>0</v>
      </c>
      <c r="W453" s="25">
        <v>0</v>
      </c>
      <c r="X453" s="25">
        <v>0</v>
      </c>
      <c r="Y453" s="29">
        <v>0</v>
      </c>
      <c r="Z453" s="29">
        <v>0</v>
      </c>
      <c r="AA453" s="29">
        <v>0</v>
      </c>
      <c r="AB453" s="29">
        <v>0</v>
      </c>
      <c r="AC453" s="29">
        <v>0</v>
      </c>
      <c r="AD453" s="29">
        <v>0</v>
      </c>
      <c r="AE453" s="43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/>
      <c r="HK453" s="5"/>
      <c r="HL453" s="5"/>
      <c r="HM453" s="5"/>
      <c r="HN453" s="5"/>
      <c r="HO453" s="5"/>
      <c r="HP453" s="5"/>
    </row>
    <row r="454" spans="3:224" ht="19.5" customHeight="1">
      <c r="C454" s="24">
        <v>15310211</v>
      </c>
      <c r="D454" s="36" t="s">
        <v>659</v>
      </c>
      <c r="E454" s="25">
        <v>11200001</v>
      </c>
      <c r="F454" s="25">
        <v>13051</v>
      </c>
      <c r="G454" s="25">
        <v>1</v>
      </c>
      <c r="H454" s="25">
        <v>40</v>
      </c>
      <c r="I454" s="29">
        <v>0.2</v>
      </c>
      <c r="J454" s="30">
        <v>15</v>
      </c>
      <c r="K454" s="25">
        <v>0</v>
      </c>
      <c r="L454" s="25">
        <v>0</v>
      </c>
      <c r="M454" s="25">
        <f t="shared" si="78"/>
        <v>290</v>
      </c>
      <c r="N454" s="25">
        <v>580</v>
      </c>
      <c r="O454" s="25">
        <v>0</v>
      </c>
      <c r="P454" s="25">
        <v>0</v>
      </c>
      <c r="Q454" s="25">
        <f t="shared" si="79"/>
        <v>0</v>
      </c>
      <c r="R454" s="25">
        <v>0</v>
      </c>
      <c r="S454" s="25">
        <f t="shared" si="80"/>
        <v>0</v>
      </c>
      <c r="T454" s="25">
        <v>0</v>
      </c>
      <c r="U454" s="29">
        <v>0</v>
      </c>
      <c r="V454" s="25">
        <v>0</v>
      </c>
      <c r="W454" s="25">
        <v>0</v>
      </c>
      <c r="X454" s="25">
        <v>0</v>
      </c>
      <c r="Y454" s="29">
        <v>0</v>
      </c>
      <c r="Z454" s="29">
        <v>0</v>
      </c>
      <c r="AA454" s="29">
        <v>0</v>
      </c>
      <c r="AB454" s="29">
        <v>0</v>
      </c>
      <c r="AC454" s="29">
        <v>0</v>
      </c>
      <c r="AD454" s="29">
        <v>0</v>
      </c>
      <c r="AE454" s="42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/>
      <c r="HK454" s="5"/>
      <c r="HL454" s="5"/>
      <c r="HM454" s="5"/>
      <c r="HN454" s="5"/>
      <c r="HO454" s="5"/>
      <c r="HP454" s="5"/>
    </row>
    <row r="455" spans="3:224" ht="20.100000000000001" customHeight="1">
      <c r="C455" s="24">
        <v>15311001</v>
      </c>
      <c r="D455" s="25" t="s">
        <v>463</v>
      </c>
      <c r="E455" s="25">
        <v>11200003</v>
      </c>
      <c r="F455" s="25">
        <v>0</v>
      </c>
      <c r="G455" s="25">
        <v>1</v>
      </c>
      <c r="H455" s="25">
        <v>40</v>
      </c>
      <c r="I455" s="29">
        <v>0.2</v>
      </c>
      <c r="J455" s="30">
        <v>15</v>
      </c>
      <c r="K455" s="25">
        <v>0</v>
      </c>
      <c r="L455" s="25">
        <v>2700</v>
      </c>
      <c r="M455" s="25">
        <f t="shared" si="50"/>
        <v>0</v>
      </c>
      <c r="N455" s="25">
        <v>0</v>
      </c>
      <c r="O455" s="25">
        <v>0</v>
      </c>
      <c r="P455" s="25">
        <v>0</v>
      </c>
      <c r="Q455" s="25">
        <f t="shared" si="51"/>
        <v>33</v>
      </c>
      <c r="R455" s="25">
        <v>65</v>
      </c>
      <c r="S455" s="25">
        <f t="shared" si="52"/>
        <v>33</v>
      </c>
      <c r="T455" s="25">
        <v>65</v>
      </c>
      <c r="U455" s="29">
        <v>0</v>
      </c>
      <c r="V455" s="25">
        <v>0</v>
      </c>
      <c r="W455" s="25">
        <v>0</v>
      </c>
      <c r="X455" s="25">
        <v>0</v>
      </c>
      <c r="Y455" s="29">
        <v>0</v>
      </c>
      <c r="Z455" s="29">
        <v>0</v>
      </c>
      <c r="AA455" s="29">
        <v>0</v>
      </c>
      <c r="AB455" s="29">
        <v>0</v>
      </c>
      <c r="AC455" s="29">
        <v>0</v>
      </c>
      <c r="AD455" s="29">
        <v>0</v>
      </c>
      <c r="AE455" s="43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/>
      <c r="HK455" s="5"/>
      <c r="HL455" s="5"/>
      <c r="HM455" s="5"/>
      <c r="HN455" s="5"/>
      <c r="HO455" s="5"/>
      <c r="HP455" s="5"/>
    </row>
    <row r="456" spans="3:224" ht="20.100000000000001" customHeight="1">
      <c r="C456" s="24">
        <v>15311002</v>
      </c>
      <c r="D456" s="25" t="s">
        <v>464</v>
      </c>
      <c r="E456" s="25">
        <v>11200003</v>
      </c>
      <c r="F456" s="25">
        <v>13011</v>
      </c>
      <c r="G456" s="25">
        <v>1</v>
      </c>
      <c r="H456" s="25">
        <v>40</v>
      </c>
      <c r="I456" s="29">
        <v>0.2</v>
      </c>
      <c r="J456" s="30">
        <v>15</v>
      </c>
      <c r="K456" s="25">
        <v>0</v>
      </c>
      <c r="L456" s="25">
        <v>3180</v>
      </c>
      <c r="M456" s="25">
        <f t="shared" si="50"/>
        <v>0</v>
      </c>
      <c r="N456" s="25">
        <v>0</v>
      </c>
      <c r="O456" s="25">
        <v>0</v>
      </c>
      <c r="P456" s="25">
        <v>0</v>
      </c>
      <c r="Q456" s="25">
        <f t="shared" si="51"/>
        <v>42</v>
      </c>
      <c r="R456" s="25">
        <v>83</v>
      </c>
      <c r="S456" s="25">
        <f t="shared" si="52"/>
        <v>42</v>
      </c>
      <c r="T456" s="25">
        <v>83</v>
      </c>
      <c r="U456" s="29">
        <v>0</v>
      </c>
      <c r="V456" s="25">
        <v>0</v>
      </c>
      <c r="W456" s="25">
        <v>0</v>
      </c>
      <c r="X456" s="25">
        <v>0</v>
      </c>
      <c r="Y456" s="29">
        <v>0</v>
      </c>
      <c r="Z456" s="29">
        <v>0</v>
      </c>
      <c r="AA456" s="29">
        <v>0</v>
      </c>
      <c r="AB456" s="29">
        <v>0</v>
      </c>
      <c r="AC456" s="29">
        <v>0</v>
      </c>
      <c r="AD456" s="29">
        <v>0</v>
      </c>
      <c r="AE456" s="43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  <c r="HJ456" s="5"/>
      <c r="HK456" s="5"/>
      <c r="HL456" s="5"/>
      <c r="HM456" s="5"/>
      <c r="HN456" s="5"/>
      <c r="HO456" s="5"/>
      <c r="HP456" s="5"/>
    </row>
    <row r="457" spans="3:224" ht="20.100000000000001" customHeight="1">
      <c r="C457" s="24">
        <v>15311003</v>
      </c>
      <c r="D457" s="25" t="s">
        <v>465</v>
      </c>
      <c r="E457" s="25">
        <v>11200003</v>
      </c>
      <c r="F457" s="25">
        <v>0</v>
      </c>
      <c r="G457" s="25">
        <v>1</v>
      </c>
      <c r="H457" s="25">
        <v>40</v>
      </c>
      <c r="I457" s="29">
        <v>0.2</v>
      </c>
      <c r="J457" s="30">
        <v>15</v>
      </c>
      <c r="K457" s="25">
        <v>0</v>
      </c>
      <c r="L457" s="25">
        <v>1360</v>
      </c>
      <c r="M457" s="25">
        <f t="shared" si="50"/>
        <v>0</v>
      </c>
      <c r="N457" s="25">
        <v>0</v>
      </c>
      <c r="O457" s="25">
        <v>0</v>
      </c>
      <c r="P457" s="25">
        <v>0</v>
      </c>
      <c r="Q457" s="25">
        <f t="shared" si="51"/>
        <v>25</v>
      </c>
      <c r="R457" s="25">
        <v>49</v>
      </c>
      <c r="S457" s="25">
        <f t="shared" si="52"/>
        <v>25</v>
      </c>
      <c r="T457" s="25">
        <v>49</v>
      </c>
      <c r="U457" s="29">
        <v>0</v>
      </c>
      <c r="V457" s="25">
        <v>0</v>
      </c>
      <c r="W457" s="25">
        <v>0</v>
      </c>
      <c r="X457" s="25">
        <v>0</v>
      </c>
      <c r="Y457" s="29">
        <v>0</v>
      </c>
      <c r="Z457" s="29">
        <v>0</v>
      </c>
      <c r="AA457" s="29">
        <v>0</v>
      </c>
      <c r="AB457" s="29">
        <v>0</v>
      </c>
      <c r="AC457" s="29">
        <v>0</v>
      </c>
      <c r="AD457" s="29">
        <v>0</v>
      </c>
      <c r="AE457" s="43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  <c r="HJ457" s="5"/>
      <c r="HK457" s="5"/>
      <c r="HL457" s="5"/>
      <c r="HM457" s="5"/>
      <c r="HN457" s="5"/>
      <c r="HO457" s="5"/>
      <c r="HP457" s="5"/>
    </row>
    <row r="458" spans="3:224" ht="20.100000000000001" customHeight="1">
      <c r="C458" s="24">
        <v>15311004</v>
      </c>
      <c r="D458" s="25" t="s">
        <v>466</v>
      </c>
      <c r="E458" s="25">
        <v>11200003</v>
      </c>
      <c r="F458" s="25">
        <v>13021</v>
      </c>
      <c r="G458" s="25">
        <v>1</v>
      </c>
      <c r="H458" s="25">
        <v>40</v>
      </c>
      <c r="I458" s="29">
        <v>0.2</v>
      </c>
      <c r="J458" s="30">
        <v>15</v>
      </c>
      <c r="K458" s="25">
        <v>0</v>
      </c>
      <c r="L458" s="25">
        <v>1600</v>
      </c>
      <c r="M458" s="25">
        <f t="shared" si="50"/>
        <v>0</v>
      </c>
      <c r="N458" s="25">
        <v>0</v>
      </c>
      <c r="O458" s="25">
        <v>0</v>
      </c>
      <c r="P458" s="25">
        <v>0</v>
      </c>
      <c r="Q458" s="25">
        <f t="shared" si="51"/>
        <v>31</v>
      </c>
      <c r="R458" s="25">
        <v>62</v>
      </c>
      <c r="S458" s="25">
        <f t="shared" si="52"/>
        <v>31</v>
      </c>
      <c r="T458" s="25">
        <v>62</v>
      </c>
      <c r="U458" s="29">
        <v>0</v>
      </c>
      <c r="V458" s="25">
        <v>0</v>
      </c>
      <c r="W458" s="25">
        <v>0</v>
      </c>
      <c r="X458" s="25">
        <v>0</v>
      </c>
      <c r="Y458" s="29">
        <v>0</v>
      </c>
      <c r="Z458" s="29">
        <v>0</v>
      </c>
      <c r="AA458" s="29">
        <v>0</v>
      </c>
      <c r="AB458" s="29">
        <v>0</v>
      </c>
      <c r="AC458" s="29">
        <v>0</v>
      </c>
      <c r="AD458" s="29">
        <v>0</v>
      </c>
      <c r="AE458" s="43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  <c r="HL458" s="5"/>
      <c r="HM458" s="5"/>
      <c r="HN458" s="5"/>
      <c r="HO458" s="5"/>
      <c r="HP458" s="5"/>
    </row>
    <row r="459" spans="3:224" ht="20.100000000000001" customHeight="1">
      <c r="C459" s="24">
        <v>15311005</v>
      </c>
      <c r="D459" s="25" t="s">
        <v>467</v>
      </c>
      <c r="E459" s="25">
        <v>11200003</v>
      </c>
      <c r="F459" s="25">
        <v>0</v>
      </c>
      <c r="G459" s="25">
        <v>1</v>
      </c>
      <c r="H459" s="25">
        <v>40</v>
      </c>
      <c r="I459" s="29">
        <v>0.2</v>
      </c>
      <c r="J459" s="30">
        <v>15</v>
      </c>
      <c r="K459" s="25">
        <v>0</v>
      </c>
      <c r="L459" s="25">
        <v>4050</v>
      </c>
      <c r="M459" s="25">
        <f t="shared" si="50"/>
        <v>0</v>
      </c>
      <c r="N459" s="25">
        <v>0</v>
      </c>
      <c r="O459" s="25">
        <v>0</v>
      </c>
      <c r="P459" s="25">
        <v>0</v>
      </c>
      <c r="Q459" s="25">
        <f t="shared" si="51"/>
        <v>41</v>
      </c>
      <c r="R459" s="25">
        <v>81</v>
      </c>
      <c r="S459" s="25">
        <f t="shared" si="52"/>
        <v>41</v>
      </c>
      <c r="T459" s="25">
        <v>81</v>
      </c>
      <c r="U459" s="29">
        <v>0</v>
      </c>
      <c r="V459" s="25">
        <v>0</v>
      </c>
      <c r="W459" s="25">
        <v>0</v>
      </c>
      <c r="X459" s="25">
        <v>0</v>
      </c>
      <c r="Y459" s="29">
        <v>0</v>
      </c>
      <c r="Z459" s="29">
        <v>0</v>
      </c>
      <c r="AA459" s="29">
        <v>0</v>
      </c>
      <c r="AB459" s="29">
        <v>0</v>
      </c>
      <c r="AC459" s="29">
        <v>0</v>
      </c>
      <c r="AD459" s="29">
        <v>0</v>
      </c>
      <c r="AE459" s="43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  <c r="HP459" s="5"/>
    </row>
    <row r="460" spans="3:224" ht="20.100000000000001" customHeight="1">
      <c r="C460" s="24">
        <v>15311006</v>
      </c>
      <c r="D460" s="25" t="s">
        <v>468</v>
      </c>
      <c r="E460" s="25">
        <v>11200003</v>
      </c>
      <c r="F460" s="25">
        <v>13031</v>
      </c>
      <c r="G460" s="25">
        <v>1</v>
      </c>
      <c r="H460" s="25">
        <v>40</v>
      </c>
      <c r="I460" s="29">
        <v>0.2</v>
      </c>
      <c r="J460" s="30">
        <v>15</v>
      </c>
      <c r="K460" s="25">
        <v>0</v>
      </c>
      <c r="L460" s="25">
        <v>4770</v>
      </c>
      <c r="M460" s="25">
        <f t="shared" si="50"/>
        <v>0</v>
      </c>
      <c r="N460" s="25">
        <v>0</v>
      </c>
      <c r="O460" s="25">
        <v>0</v>
      </c>
      <c r="P460" s="25">
        <v>0</v>
      </c>
      <c r="Q460" s="25">
        <f t="shared" si="51"/>
        <v>52</v>
      </c>
      <c r="R460" s="25">
        <v>104</v>
      </c>
      <c r="S460" s="25">
        <f t="shared" si="52"/>
        <v>52</v>
      </c>
      <c r="T460" s="25">
        <v>104</v>
      </c>
      <c r="U460" s="29">
        <v>0</v>
      </c>
      <c r="V460" s="25">
        <v>0</v>
      </c>
      <c r="W460" s="25">
        <v>0</v>
      </c>
      <c r="X460" s="25">
        <v>0</v>
      </c>
      <c r="Y460" s="29">
        <v>0</v>
      </c>
      <c r="Z460" s="29">
        <v>0</v>
      </c>
      <c r="AA460" s="29">
        <v>0</v>
      </c>
      <c r="AB460" s="29">
        <v>0</v>
      </c>
      <c r="AC460" s="29">
        <v>0</v>
      </c>
      <c r="AD460" s="29">
        <v>0</v>
      </c>
      <c r="AE460" s="43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  <c r="HJ460" s="5"/>
      <c r="HK460" s="5"/>
      <c r="HL460" s="5"/>
      <c r="HM460" s="5"/>
      <c r="HN460" s="5"/>
      <c r="HO460" s="5"/>
      <c r="HP460" s="5"/>
    </row>
    <row r="461" spans="3:224" ht="20.100000000000001" customHeight="1">
      <c r="C461" s="24">
        <v>15311011</v>
      </c>
      <c r="D461" s="36" t="s">
        <v>469</v>
      </c>
      <c r="E461" s="25">
        <v>11200003</v>
      </c>
      <c r="F461" s="25">
        <v>13011</v>
      </c>
      <c r="G461" s="25">
        <v>1</v>
      </c>
      <c r="H461" s="25">
        <v>40</v>
      </c>
      <c r="I461" s="29">
        <v>0.2</v>
      </c>
      <c r="J461" s="30">
        <v>15</v>
      </c>
      <c r="K461" s="25">
        <v>0</v>
      </c>
      <c r="L461" s="25">
        <v>3660</v>
      </c>
      <c r="M461" s="25">
        <f t="shared" si="50"/>
        <v>0</v>
      </c>
      <c r="N461" s="25">
        <v>0</v>
      </c>
      <c r="O461" s="25">
        <v>0</v>
      </c>
      <c r="P461" s="25">
        <v>0</v>
      </c>
      <c r="Q461" s="25">
        <v>47</v>
      </c>
      <c r="R461" s="25">
        <v>95</v>
      </c>
      <c r="S461" s="25">
        <v>47</v>
      </c>
      <c r="T461" s="25">
        <v>95</v>
      </c>
      <c r="U461" s="29">
        <v>0</v>
      </c>
      <c r="V461" s="25">
        <v>0</v>
      </c>
      <c r="W461" s="25">
        <v>0</v>
      </c>
      <c r="X461" s="25">
        <v>0</v>
      </c>
      <c r="Y461" s="29">
        <v>0</v>
      </c>
      <c r="Z461" s="29">
        <v>0</v>
      </c>
      <c r="AA461" s="29">
        <v>0</v>
      </c>
      <c r="AB461" s="29">
        <v>200103</v>
      </c>
      <c r="AC461" s="29">
        <v>500</v>
      </c>
      <c r="AD461" s="29">
        <v>1</v>
      </c>
      <c r="AE461" s="43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  <c r="HN461" s="5"/>
      <c r="HO461" s="5"/>
      <c r="HP461" s="5"/>
    </row>
    <row r="462" spans="3:224" ht="20.100000000000001" customHeight="1">
      <c r="C462" s="24">
        <v>15311012</v>
      </c>
      <c r="D462" s="36" t="s">
        <v>470</v>
      </c>
      <c r="E462" s="25">
        <v>11200003</v>
      </c>
      <c r="F462" s="25">
        <v>13021</v>
      </c>
      <c r="G462" s="25">
        <v>1</v>
      </c>
      <c r="H462" s="25">
        <v>40</v>
      </c>
      <c r="I462" s="29">
        <v>0.2</v>
      </c>
      <c r="J462" s="30">
        <v>15</v>
      </c>
      <c r="K462" s="25">
        <v>0</v>
      </c>
      <c r="L462" s="25">
        <v>1840</v>
      </c>
      <c r="M462" s="25">
        <f t="shared" si="50"/>
        <v>0</v>
      </c>
      <c r="N462" s="25">
        <v>0</v>
      </c>
      <c r="O462" s="25">
        <v>0</v>
      </c>
      <c r="P462" s="25">
        <v>0</v>
      </c>
      <c r="Q462" s="25">
        <v>35</v>
      </c>
      <c r="R462" s="25">
        <v>72</v>
      </c>
      <c r="S462" s="25">
        <v>35</v>
      </c>
      <c r="T462" s="25">
        <v>72</v>
      </c>
      <c r="U462" s="29">
        <v>0</v>
      </c>
      <c r="V462" s="25">
        <v>0</v>
      </c>
      <c r="W462" s="25">
        <v>0</v>
      </c>
      <c r="X462" s="25">
        <v>0</v>
      </c>
      <c r="Y462" s="29">
        <v>0</v>
      </c>
      <c r="Z462" s="29">
        <v>0</v>
      </c>
      <c r="AA462" s="29">
        <v>0</v>
      </c>
      <c r="AB462" s="29">
        <v>100402</v>
      </c>
      <c r="AC462" s="29">
        <v>500</v>
      </c>
      <c r="AD462" s="29">
        <v>1</v>
      </c>
      <c r="AE462" s="43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  <c r="HP462" s="5"/>
    </row>
    <row r="463" spans="3:224" ht="20.100000000000001" customHeight="1">
      <c r="C463" s="24">
        <v>15311013</v>
      </c>
      <c r="D463" s="36" t="s">
        <v>471</v>
      </c>
      <c r="E463" s="25">
        <v>11200003</v>
      </c>
      <c r="F463" s="25">
        <v>13031</v>
      </c>
      <c r="G463" s="25">
        <v>1</v>
      </c>
      <c r="H463" s="25">
        <v>40</v>
      </c>
      <c r="I463" s="29">
        <v>0.2</v>
      </c>
      <c r="J463" s="30">
        <v>15</v>
      </c>
      <c r="K463" s="25">
        <v>0</v>
      </c>
      <c r="L463" s="25">
        <v>5480</v>
      </c>
      <c r="M463" s="25">
        <f t="shared" si="50"/>
        <v>0</v>
      </c>
      <c r="N463" s="25">
        <v>0</v>
      </c>
      <c r="O463" s="25">
        <v>0</v>
      </c>
      <c r="P463" s="25">
        <v>0</v>
      </c>
      <c r="Q463" s="25">
        <v>60</v>
      </c>
      <c r="R463" s="25">
        <v>118</v>
      </c>
      <c r="S463" s="25">
        <v>60</v>
      </c>
      <c r="T463" s="25">
        <v>118</v>
      </c>
      <c r="U463" s="29">
        <v>0</v>
      </c>
      <c r="V463" s="25">
        <v>0</v>
      </c>
      <c r="W463" s="25">
        <v>0</v>
      </c>
      <c r="X463" s="25">
        <v>0</v>
      </c>
      <c r="Y463" s="29">
        <v>0</v>
      </c>
      <c r="Z463" s="29">
        <v>0</v>
      </c>
      <c r="AA463" s="29">
        <v>0</v>
      </c>
      <c r="AB463" s="29">
        <v>0</v>
      </c>
      <c r="AC463" s="29">
        <v>0</v>
      </c>
      <c r="AD463" s="29">
        <v>0</v>
      </c>
      <c r="AE463" s="43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/>
      <c r="HK463" s="5"/>
      <c r="HL463" s="5"/>
      <c r="HM463" s="5"/>
      <c r="HN463" s="5"/>
      <c r="HO463" s="5"/>
      <c r="HP463" s="5"/>
    </row>
    <row r="464" spans="3:224" ht="20.100000000000001" customHeight="1">
      <c r="C464" s="24">
        <v>15401001</v>
      </c>
      <c r="D464" s="25" t="s">
        <v>472</v>
      </c>
      <c r="E464" s="25">
        <v>11200003</v>
      </c>
      <c r="F464" s="25">
        <v>0</v>
      </c>
      <c r="G464" s="25">
        <v>1</v>
      </c>
      <c r="H464" s="25">
        <v>50</v>
      </c>
      <c r="I464" s="29">
        <v>0.2</v>
      </c>
      <c r="J464" s="30">
        <v>20</v>
      </c>
      <c r="K464" s="25">
        <v>0</v>
      </c>
      <c r="L464" s="25">
        <v>0</v>
      </c>
      <c r="M464" s="25">
        <f t="shared" si="50"/>
        <v>33</v>
      </c>
      <c r="N464" s="25">
        <v>65</v>
      </c>
      <c r="O464" s="25">
        <v>0</v>
      </c>
      <c r="P464" s="25">
        <v>0</v>
      </c>
      <c r="Q464" s="25">
        <f t="shared" si="51"/>
        <v>21</v>
      </c>
      <c r="R464" s="25">
        <v>42</v>
      </c>
      <c r="S464" s="25">
        <f t="shared" si="52"/>
        <v>21</v>
      </c>
      <c r="T464" s="25">
        <v>42</v>
      </c>
      <c r="U464" s="29">
        <v>0</v>
      </c>
      <c r="V464" s="25">
        <v>0</v>
      </c>
      <c r="W464" s="25">
        <v>0</v>
      </c>
      <c r="X464" s="25">
        <v>0</v>
      </c>
      <c r="Y464" s="29">
        <v>0</v>
      </c>
      <c r="Z464" s="29">
        <v>0</v>
      </c>
      <c r="AA464" s="29">
        <v>0</v>
      </c>
      <c r="AB464" s="29">
        <v>0</v>
      </c>
      <c r="AC464" s="29">
        <v>0</v>
      </c>
      <c r="AD464" s="29">
        <v>0</v>
      </c>
      <c r="AE464" s="43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  <c r="HJ464" s="5"/>
      <c r="HK464" s="5"/>
      <c r="HL464" s="5"/>
      <c r="HM464" s="5"/>
      <c r="HN464" s="5"/>
      <c r="HO464" s="5"/>
      <c r="HP464" s="5"/>
    </row>
    <row r="465" spans="3:224" ht="20.100000000000001" customHeight="1">
      <c r="C465" s="24">
        <v>15401002</v>
      </c>
      <c r="D465" s="41" t="s">
        <v>473</v>
      </c>
      <c r="E465" s="25">
        <v>11200003</v>
      </c>
      <c r="F465" s="25">
        <v>14011</v>
      </c>
      <c r="G465" s="25">
        <v>1</v>
      </c>
      <c r="H465" s="25">
        <v>50</v>
      </c>
      <c r="I465" s="29">
        <v>0.2</v>
      </c>
      <c r="J465" s="30">
        <v>20</v>
      </c>
      <c r="K465" s="25">
        <v>0</v>
      </c>
      <c r="L465" s="25">
        <v>0</v>
      </c>
      <c r="M465" s="25">
        <f t="shared" si="50"/>
        <v>43</v>
      </c>
      <c r="N465" s="25">
        <v>85</v>
      </c>
      <c r="O465" s="25">
        <v>0</v>
      </c>
      <c r="P465" s="25">
        <v>0</v>
      </c>
      <c r="Q465" s="25">
        <f t="shared" si="51"/>
        <v>26</v>
      </c>
      <c r="R465" s="25">
        <v>51</v>
      </c>
      <c r="S465" s="25">
        <f t="shared" si="52"/>
        <v>26</v>
      </c>
      <c r="T465" s="25">
        <v>51</v>
      </c>
      <c r="U465" s="29">
        <v>0</v>
      </c>
      <c r="V465" s="25">
        <v>0</v>
      </c>
      <c r="W465" s="25">
        <v>0</v>
      </c>
      <c r="X465" s="25">
        <v>0</v>
      </c>
      <c r="Y465" s="29">
        <v>0</v>
      </c>
      <c r="Z465" s="29">
        <v>0</v>
      </c>
      <c r="AA465" s="29">
        <v>0</v>
      </c>
      <c r="AB465" s="29">
        <v>0</v>
      </c>
      <c r="AC465" s="29">
        <v>0</v>
      </c>
      <c r="AD465" s="29">
        <v>0</v>
      </c>
      <c r="AE465" s="43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/>
      <c r="HK465" s="5"/>
      <c r="HL465" s="5"/>
      <c r="HM465" s="5"/>
      <c r="HN465" s="5"/>
      <c r="HO465" s="5"/>
      <c r="HP465" s="5"/>
    </row>
    <row r="466" spans="3:224" ht="20.100000000000001" customHeight="1">
      <c r="C466" s="24">
        <v>15401003</v>
      </c>
      <c r="D466" s="25" t="s">
        <v>474</v>
      </c>
      <c r="E466" s="25">
        <v>11200003</v>
      </c>
      <c r="F466" s="25">
        <v>0</v>
      </c>
      <c r="G466" s="25">
        <v>1</v>
      </c>
      <c r="H466" s="25">
        <v>50</v>
      </c>
      <c r="I466" s="29">
        <v>0.2</v>
      </c>
      <c r="J466" s="30">
        <v>20</v>
      </c>
      <c r="K466" s="25">
        <v>0</v>
      </c>
      <c r="L466" s="25">
        <v>0</v>
      </c>
      <c r="M466" s="25">
        <f t="shared" si="50"/>
        <v>44</v>
      </c>
      <c r="N466" s="25">
        <v>88</v>
      </c>
      <c r="O466" s="25">
        <v>0</v>
      </c>
      <c r="P466" s="25">
        <v>0</v>
      </c>
      <c r="Q466" s="25">
        <f t="shared" si="51"/>
        <v>16</v>
      </c>
      <c r="R466" s="25">
        <v>32</v>
      </c>
      <c r="S466" s="25">
        <f t="shared" si="52"/>
        <v>16</v>
      </c>
      <c r="T466" s="25">
        <v>32</v>
      </c>
      <c r="U466" s="29">
        <v>0</v>
      </c>
      <c r="V466" s="25">
        <v>0</v>
      </c>
      <c r="W466" s="25">
        <v>0</v>
      </c>
      <c r="X466" s="25">
        <v>0</v>
      </c>
      <c r="Y466" s="29">
        <v>0</v>
      </c>
      <c r="Z466" s="29">
        <v>0</v>
      </c>
      <c r="AA466" s="29">
        <v>0</v>
      </c>
      <c r="AB466" s="29">
        <v>0</v>
      </c>
      <c r="AC466" s="29">
        <v>0</v>
      </c>
      <c r="AD466" s="29">
        <v>0</v>
      </c>
      <c r="AE466" s="43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  <c r="HJ466" s="5"/>
      <c r="HK466" s="5"/>
      <c r="HL466" s="5"/>
      <c r="HM466" s="5"/>
      <c r="HN466" s="5"/>
      <c r="HO466" s="5"/>
      <c r="HP466" s="5"/>
    </row>
    <row r="467" spans="3:224" ht="20.100000000000001" customHeight="1">
      <c r="C467" s="24">
        <v>15401004</v>
      </c>
      <c r="D467" s="41" t="s">
        <v>475</v>
      </c>
      <c r="E467" s="25">
        <v>11200003</v>
      </c>
      <c r="F467" s="25">
        <v>14021</v>
      </c>
      <c r="G467" s="25">
        <v>1</v>
      </c>
      <c r="H467" s="25">
        <v>50</v>
      </c>
      <c r="I467" s="29">
        <v>0.2</v>
      </c>
      <c r="J467" s="30">
        <v>20</v>
      </c>
      <c r="K467" s="25">
        <v>0</v>
      </c>
      <c r="L467" s="25">
        <v>0</v>
      </c>
      <c r="M467" s="25">
        <f t="shared" ref="M467:M545" si="81">ROUND(N467/2,0)</f>
        <v>58</v>
      </c>
      <c r="N467" s="25">
        <v>115</v>
      </c>
      <c r="O467" s="25">
        <v>0</v>
      </c>
      <c r="P467" s="25">
        <v>0</v>
      </c>
      <c r="Q467" s="25">
        <f t="shared" ref="Q467:Q545" si="82">ROUND(R467/2,0)</f>
        <v>19</v>
      </c>
      <c r="R467" s="25">
        <v>38</v>
      </c>
      <c r="S467" s="25">
        <f t="shared" ref="S467:S545" si="83">ROUND(T467/2,0)</f>
        <v>19</v>
      </c>
      <c r="T467" s="25">
        <v>38</v>
      </c>
      <c r="U467" s="29">
        <v>0</v>
      </c>
      <c r="V467" s="25">
        <v>0</v>
      </c>
      <c r="W467" s="25">
        <v>0</v>
      </c>
      <c r="X467" s="25">
        <v>0</v>
      </c>
      <c r="Y467" s="29">
        <v>0</v>
      </c>
      <c r="Z467" s="29">
        <v>0</v>
      </c>
      <c r="AA467" s="29">
        <v>0</v>
      </c>
      <c r="AB467" s="29">
        <v>0</v>
      </c>
      <c r="AC467" s="29">
        <v>0</v>
      </c>
      <c r="AD467" s="29">
        <v>0</v>
      </c>
      <c r="AE467" s="43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  <c r="HL467" s="5"/>
      <c r="HM467" s="5"/>
      <c r="HN467" s="5"/>
      <c r="HO467" s="5"/>
      <c r="HP467" s="5"/>
    </row>
    <row r="468" spans="3:224" ht="20.100000000000001" customHeight="1">
      <c r="C468" s="24">
        <v>15401005</v>
      </c>
      <c r="D468" s="25" t="s">
        <v>476</v>
      </c>
      <c r="E468" s="25">
        <v>11200003</v>
      </c>
      <c r="F468" s="25">
        <v>0</v>
      </c>
      <c r="G468" s="25">
        <v>1</v>
      </c>
      <c r="H468" s="25">
        <v>50</v>
      </c>
      <c r="I468" s="29">
        <v>0.2</v>
      </c>
      <c r="J468" s="30">
        <v>20</v>
      </c>
      <c r="K468" s="25">
        <v>0</v>
      </c>
      <c r="L468" s="25">
        <v>0</v>
      </c>
      <c r="M468" s="25">
        <f t="shared" si="81"/>
        <v>25</v>
      </c>
      <c r="N468" s="25">
        <v>49</v>
      </c>
      <c r="O468" s="25">
        <v>0</v>
      </c>
      <c r="P468" s="25">
        <v>0</v>
      </c>
      <c r="Q468" s="25">
        <f t="shared" si="82"/>
        <v>27</v>
      </c>
      <c r="R468" s="25">
        <v>53</v>
      </c>
      <c r="S468" s="25">
        <f t="shared" si="83"/>
        <v>27</v>
      </c>
      <c r="T468" s="25">
        <v>53</v>
      </c>
      <c r="U468" s="29">
        <v>0</v>
      </c>
      <c r="V468" s="25">
        <v>0</v>
      </c>
      <c r="W468" s="25">
        <v>0</v>
      </c>
      <c r="X468" s="25">
        <v>0</v>
      </c>
      <c r="Y468" s="29">
        <v>0</v>
      </c>
      <c r="Z468" s="29">
        <v>0</v>
      </c>
      <c r="AA468" s="29">
        <v>0</v>
      </c>
      <c r="AB468" s="29">
        <v>0</v>
      </c>
      <c r="AC468" s="29">
        <v>0</v>
      </c>
      <c r="AD468" s="29">
        <v>0</v>
      </c>
      <c r="AE468" s="43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  <c r="HJ468" s="5"/>
      <c r="HK468" s="5"/>
      <c r="HL468" s="5"/>
      <c r="HM468" s="5"/>
      <c r="HN468" s="5"/>
      <c r="HO468" s="5"/>
      <c r="HP468" s="5"/>
    </row>
    <row r="469" spans="3:224" ht="20.100000000000001" customHeight="1">
      <c r="C469" s="24">
        <v>15401006</v>
      </c>
      <c r="D469" s="41" t="s">
        <v>477</v>
      </c>
      <c r="E469" s="25">
        <v>11200003</v>
      </c>
      <c r="F469" s="25">
        <v>14031</v>
      </c>
      <c r="G469" s="25">
        <v>1</v>
      </c>
      <c r="H469" s="25">
        <v>50</v>
      </c>
      <c r="I469" s="29">
        <v>0.2</v>
      </c>
      <c r="J469" s="30">
        <v>20</v>
      </c>
      <c r="K469" s="25">
        <v>0</v>
      </c>
      <c r="L469" s="25">
        <v>0</v>
      </c>
      <c r="M469" s="25">
        <f t="shared" si="81"/>
        <v>32</v>
      </c>
      <c r="N469" s="25">
        <v>64</v>
      </c>
      <c r="O469" s="25">
        <v>0</v>
      </c>
      <c r="P469" s="25">
        <v>0</v>
      </c>
      <c r="Q469" s="25">
        <f t="shared" si="82"/>
        <v>32</v>
      </c>
      <c r="R469" s="25">
        <v>64</v>
      </c>
      <c r="S469" s="25">
        <f t="shared" si="83"/>
        <v>32</v>
      </c>
      <c r="T469" s="25">
        <v>64</v>
      </c>
      <c r="U469" s="29">
        <v>0</v>
      </c>
      <c r="V469" s="25">
        <v>0</v>
      </c>
      <c r="W469" s="25">
        <v>0</v>
      </c>
      <c r="X469" s="25">
        <v>0</v>
      </c>
      <c r="Y469" s="29">
        <v>0</v>
      </c>
      <c r="Z469" s="29">
        <v>0</v>
      </c>
      <c r="AA469" s="29">
        <v>0</v>
      </c>
      <c r="AB469" s="29">
        <v>0</v>
      </c>
      <c r="AC469" s="29">
        <v>0</v>
      </c>
      <c r="AD469" s="29">
        <v>0</v>
      </c>
      <c r="AE469" s="43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  <c r="HP469" s="5"/>
    </row>
    <row r="470" spans="3:224" s="3" customFormat="1" ht="20.100000000000001" customHeight="1">
      <c r="C470" s="26">
        <v>15401007</v>
      </c>
      <c r="D470" s="40" t="s">
        <v>478</v>
      </c>
      <c r="E470" s="28">
        <v>11200003</v>
      </c>
      <c r="F470" s="28">
        <v>0</v>
      </c>
      <c r="G470" s="28">
        <v>1</v>
      </c>
      <c r="H470" s="28">
        <v>50</v>
      </c>
      <c r="I470" s="31">
        <v>0.2</v>
      </c>
      <c r="J470" s="30">
        <v>20</v>
      </c>
      <c r="K470" s="28">
        <v>0</v>
      </c>
      <c r="L470" s="28">
        <v>0</v>
      </c>
      <c r="M470" s="28">
        <f t="shared" ref="M470" si="84">ROUND(N470/2,0)</f>
        <v>40</v>
      </c>
      <c r="N470" s="28">
        <v>80</v>
      </c>
      <c r="O470" s="28">
        <v>0</v>
      </c>
      <c r="P470" s="28">
        <v>0</v>
      </c>
      <c r="Q470" s="28">
        <f t="shared" ref="Q470" si="85">ROUND(R470/2,0)</f>
        <v>36</v>
      </c>
      <c r="R470" s="28">
        <v>72</v>
      </c>
      <c r="S470" s="28">
        <f t="shared" ref="S470" si="86">ROUND(T470/2,0)</f>
        <v>36</v>
      </c>
      <c r="T470" s="28">
        <v>72</v>
      </c>
      <c r="U470" s="31">
        <v>0</v>
      </c>
      <c r="V470" s="28">
        <v>0</v>
      </c>
      <c r="W470" s="28">
        <v>0</v>
      </c>
      <c r="X470" s="28">
        <v>0</v>
      </c>
      <c r="Y470" s="31">
        <v>0</v>
      </c>
      <c r="Z470" s="31">
        <v>0</v>
      </c>
      <c r="AA470" s="31">
        <v>0</v>
      </c>
      <c r="AB470" s="31">
        <v>200103</v>
      </c>
      <c r="AC470" s="31">
        <v>300</v>
      </c>
      <c r="AD470" s="31">
        <v>1</v>
      </c>
      <c r="AE470" s="45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T470" s="33"/>
      <c r="BU470" s="33"/>
      <c r="BV470" s="33"/>
      <c r="BW470" s="33"/>
      <c r="BX470" s="33"/>
      <c r="BY470" s="33"/>
      <c r="BZ470" s="33"/>
      <c r="CA470" s="33"/>
      <c r="CB470" s="33"/>
      <c r="CC470" s="33"/>
      <c r="CD470" s="33"/>
      <c r="CE470" s="33"/>
      <c r="CF470" s="33"/>
      <c r="CG470" s="33"/>
      <c r="CH470" s="33"/>
      <c r="CI470" s="33"/>
      <c r="CJ470" s="33"/>
      <c r="CK470" s="33"/>
      <c r="CL470" s="33"/>
      <c r="CM470" s="33"/>
      <c r="CN470" s="33"/>
      <c r="CO470" s="33"/>
      <c r="CP470" s="33"/>
      <c r="CQ470" s="33"/>
      <c r="CR470" s="33"/>
      <c r="CS470" s="33"/>
      <c r="CT470" s="33"/>
      <c r="CU470" s="33"/>
      <c r="CV470" s="33"/>
      <c r="CW470" s="33"/>
      <c r="CX470" s="33"/>
      <c r="CY470" s="33"/>
      <c r="CZ470" s="33"/>
      <c r="DA470" s="33"/>
      <c r="DB470" s="33"/>
      <c r="DC470" s="33"/>
      <c r="DD470" s="33"/>
      <c r="DE470" s="33"/>
      <c r="DF470" s="33"/>
      <c r="DG470" s="33"/>
      <c r="DH470" s="33"/>
      <c r="DI470" s="33"/>
      <c r="DJ470" s="33"/>
      <c r="DK470" s="33"/>
      <c r="DL470" s="33"/>
      <c r="DM470" s="33"/>
      <c r="DN470" s="33"/>
      <c r="DO470" s="33"/>
      <c r="DP470" s="33"/>
      <c r="DQ470" s="33"/>
      <c r="DR470" s="33"/>
      <c r="DS470" s="33"/>
      <c r="DT470" s="33"/>
      <c r="DU470" s="33"/>
      <c r="DV470" s="33"/>
      <c r="DW470" s="33"/>
      <c r="DX470" s="33"/>
      <c r="DY470" s="33"/>
      <c r="DZ470" s="33"/>
      <c r="EA470" s="33"/>
      <c r="EB470" s="33"/>
      <c r="EC470" s="33"/>
      <c r="ED470" s="33"/>
      <c r="EE470" s="33"/>
      <c r="EF470" s="33"/>
      <c r="EG470" s="33"/>
      <c r="EH470" s="33"/>
      <c r="EI470" s="33"/>
      <c r="EJ470" s="33"/>
      <c r="EK470" s="33"/>
      <c r="EL470" s="33"/>
      <c r="EM470" s="33"/>
      <c r="EN470" s="33"/>
      <c r="EO470" s="33"/>
      <c r="EP470" s="33"/>
      <c r="EQ470" s="33"/>
      <c r="ER470" s="33"/>
      <c r="ES470" s="33"/>
      <c r="ET470" s="33"/>
      <c r="EU470" s="33"/>
      <c r="EV470" s="33"/>
      <c r="EW470" s="33"/>
      <c r="EX470" s="33"/>
      <c r="EY470" s="33"/>
      <c r="EZ470" s="33"/>
      <c r="FA470" s="33"/>
      <c r="FB470" s="33"/>
      <c r="FC470" s="33"/>
      <c r="FD470" s="33"/>
      <c r="FE470" s="33"/>
      <c r="FF470" s="33"/>
      <c r="FG470" s="33"/>
      <c r="FH470" s="33"/>
      <c r="FI470" s="33"/>
      <c r="FJ470" s="33"/>
      <c r="FK470" s="33"/>
      <c r="FL470" s="33"/>
      <c r="FM470" s="33"/>
      <c r="FN470" s="33"/>
      <c r="FO470" s="33"/>
      <c r="FP470" s="33"/>
      <c r="FQ470" s="33"/>
      <c r="FR470" s="33"/>
      <c r="FS470" s="33"/>
      <c r="FT470" s="33"/>
      <c r="FU470" s="33"/>
      <c r="FV470" s="33"/>
      <c r="FW470" s="33"/>
      <c r="FX470" s="33"/>
      <c r="FY470" s="33"/>
      <c r="FZ470" s="33"/>
      <c r="GA470" s="33"/>
      <c r="GB470" s="33"/>
      <c r="GC470" s="33"/>
      <c r="GD470" s="33"/>
      <c r="GE470" s="33"/>
      <c r="GF470" s="33"/>
      <c r="GG470" s="33"/>
      <c r="GH470" s="33"/>
      <c r="GI470" s="33"/>
      <c r="GJ470" s="33"/>
      <c r="GK470" s="33"/>
      <c r="GL470" s="33"/>
      <c r="GM470" s="33"/>
      <c r="GN470" s="33"/>
      <c r="GO470" s="33"/>
      <c r="GP470" s="33"/>
      <c r="GQ470" s="33"/>
      <c r="GR470" s="33"/>
      <c r="GS470" s="33"/>
      <c r="GT470" s="33"/>
      <c r="GU470" s="33"/>
      <c r="GV470" s="33"/>
      <c r="GW470" s="33"/>
      <c r="GX470" s="33"/>
      <c r="GY470" s="33"/>
      <c r="GZ470" s="33"/>
      <c r="HA470" s="33"/>
      <c r="HB470" s="33"/>
      <c r="HC470" s="33"/>
      <c r="HD470" s="33"/>
      <c r="HE470" s="33"/>
      <c r="HF470" s="33"/>
      <c r="HG470" s="33"/>
      <c r="HH470" s="33"/>
      <c r="HI470" s="33"/>
      <c r="HJ470" s="33"/>
      <c r="HK470" s="33"/>
      <c r="HL470" s="33"/>
      <c r="HM470" s="33"/>
      <c r="HN470" s="33"/>
      <c r="HO470" s="33"/>
      <c r="HP470" s="33"/>
    </row>
    <row r="471" spans="3:224" ht="20.100000000000001" customHeight="1">
      <c r="C471" s="24">
        <v>15402001</v>
      </c>
      <c r="D471" s="25" t="s">
        <v>479</v>
      </c>
      <c r="E471" s="25">
        <v>11200003</v>
      </c>
      <c r="F471" s="25">
        <v>0</v>
      </c>
      <c r="G471" s="25">
        <v>1</v>
      </c>
      <c r="H471" s="25">
        <v>50</v>
      </c>
      <c r="I471" s="29">
        <v>0.2</v>
      </c>
      <c r="J471" s="30">
        <v>20</v>
      </c>
      <c r="K471" s="25">
        <v>0</v>
      </c>
      <c r="L471" s="25">
        <v>0</v>
      </c>
      <c r="M471" s="25">
        <f t="shared" si="81"/>
        <v>45</v>
      </c>
      <c r="N471" s="25">
        <v>90</v>
      </c>
      <c r="O471" s="25">
        <v>0</v>
      </c>
      <c r="P471" s="25">
        <v>0</v>
      </c>
      <c r="Q471" s="25">
        <f t="shared" si="82"/>
        <v>0</v>
      </c>
      <c r="R471" s="25">
        <v>0</v>
      </c>
      <c r="S471" s="25">
        <f t="shared" si="83"/>
        <v>60</v>
      </c>
      <c r="T471" s="25">
        <v>120</v>
      </c>
      <c r="U471" s="29">
        <v>0</v>
      </c>
      <c r="V471" s="25">
        <v>0</v>
      </c>
      <c r="W471" s="25">
        <v>0</v>
      </c>
      <c r="X471" s="25">
        <v>0</v>
      </c>
      <c r="Y471" s="29">
        <v>0</v>
      </c>
      <c r="Z471" s="29">
        <v>0</v>
      </c>
      <c r="AA471" s="29">
        <v>0</v>
      </c>
      <c r="AB471" s="29">
        <v>0</v>
      </c>
      <c r="AC471" s="29">
        <v>0</v>
      </c>
      <c r="AD471" s="29">
        <v>0</v>
      </c>
      <c r="AE471" s="43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  <c r="HJ471" s="5"/>
      <c r="HK471" s="5"/>
      <c r="HL471" s="5"/>
      <c r="HM471" s="5"/>
      <c r="HN471" s="5"/>
      <c r="HO471" s="5"/>
      <c r="HP471" s="5"/>
    </row>
    <row r="472" spans="3:224" ht="20.100000000000001" customHeight="1">
      <c r="C472" s="24">
        <v>15402002</v>
      </c>
      <c r="D472" s="25" t="s">
        <v>480</v>
      </c>
      <c r="E472" s="25">
        <v>11200003</v>
      </c>
      <c r="F472" s="25">
        <v>14011</v>
      </c>
      <c r="G472" s="25">
        <v>1</v>
      </c>
      <c r="H472" s="25">
        <v>50</v>
      </c>
      <c r="I472" s="29">
        <v>0.2</v>
      </c>
      <c r="J472" s="30">
        <v>20</v>
      </c>
      <c r="K472" s="25">
        <v>0</v>
      </c>
      <c r="L472" s="25">
        <v>0</v>
      </c>
      <c r="M472" s="25">
        <f t="shared" si="81"/>
        <v>56</v>
      </c>
      <c r="N472" s="25">
        <v>111</v>
      </c>
      <c r="O472" s="25">
        <v>0</v>
      </c>
      <c r="P472" s="25">
        <v>0</v>
      </c>
      <c r="Q472" s="25">
        <f t="shared" si="82"/>
        <v>0</v>
      </c>
      <c r="R472" s="25">
        <v>0</v>
      </c>
      <c r="S472" s="25">
        <f t="shared" si="83"/>
        <v>77</v>
      </c>
      <c r="T472" s="25">
        <v>153</v>
      </c>
      <c r="U472" s="29">
        <v>0</v>
      </c>
      <c r="V472" s="25">
        <v>0</v>
      </c>
      <c r="W472" s="25">
        <v>0</v>
      </c>
      <c r="X472" s="25">
        <v>0</v>
      </c>
      <c r="Y472" s="29">
        <v>0</v>
      </c>
      <c r="Z472" s="29">
        <v>0</v>
      </c>
      <c r="AA472" s="29">
        <v>0</v>
      </c>
      <c r="AB472" s="29">
        <v>0</v>
      </c>
      <c r="AC472" s="29">
        <v>0</v>
      </c>
      <c r="AD472" s="29">
        <v>0</v>
      </c>
      <c r="AE472" s="43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/>
      <c r="HK472" s="5"/>
      <c r="HL472" s="5"/>
      <c r="HM472" s="5"/>
      <c r="HN472" s="5"/>
      <c r="HO472" s="5"/>
      <c r="HP472" s="5"/>
    </row>
    <row r="473" spans="3:224" ht="20.100000000000001" customHeight="1">
      <c r="C473" s="24">
        <v>15402003</v>
      </c>
      <c r="D473" s="25" t="s">
        <v>481</v>
      </c>
      <c r="E473" s="25">
        <v>11200003</v>
      </c>
      <c r="F473" s="25">
        <v>0</v>
      </c>
      <c r="G473" s="25">
        <v>1</v>
      </c>
      <c r="H473" s="25">
        <v>50</v>
      </c>
      <c r="I473" s="29">
        <v>0.2</v>
      </c>
      <c r="J473" s="30">
        <v>20</v>
      </c>
      <c r="K473" s="25">
        <v>0</v>
      </c>
      <c r="L473" s="25">
        <v>0</v>
      </c>
      <c r="M473" s="25">
        <f t="shared" si="81"/>
        <v>61</v>
      </c>
      <c r="N473" s="25">
        <v>122</v>
      </c>
      <c r="O473" s="25">
        <v>0</v>
      </c>
      <c r="P473" s="25">
        <v>0</v>
      </c>
      <c r="Q473" s="25">
        <f t="shared" si="82"/>
        <v>0</v>
      </c>
      <c r="R473" s="25">
        <v>0</v>
      </c>
      <c r="S473" s="25">
        <f t="shared" si="83"/>
        <v>45</v>
      </c>
      <c r="T473" s="25">
        <v>90</v>
      </c>
      <c r="U473" s="29">
        <v>0</v>
      </c>
      <c r="V473" s="25">
        <v>0</v>
      </c>
      <c r="W473" s="25">
        <v>0</v>
      </c>
      <c r="X473" s="25">
        <v>0</v>
      </c>
      <c r="Y473" s="29">
        <v>0</v>
      </c>
      <c r="Z473" s="29">
        <v>0</v>
      </c>
      <c r="AA473" s="29">
        <v>0</v>
      </c>
      <c r="AB473" s="29">
        <v>0</v>
      </c>
      <c r="AC473" s="29">
        <v>0</v>
      </c>
      <c r="AD473" s="29">
        <v>0</v>
      </c>
      <c r="AE473" s="43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  <c r="HN473" s="5"/>
      <c r="HO473" s="5"/>
      <c r="HP473" s="5"/>
    </row>
    <row r="474" spans="3:224" ht="20.100000000000001" customHeight="1">
      <c r="C474" s="24">
        <v>15402004</v>
      </c>
      <c r="D474" s="25" t="s">
        <v>482</v>
      </c>
      <c r="E474" s="25">
        <v>11200003</v>
      </c>
      <c r="F474" s="25">
        <v>14021</v>
      </c>
      <c r="G474" s="25">
        <v>1</v>
      </c>
      <c r="H474" s="25">
        <v>50</v>
      </c>
      <c r="I474" s="29">
        <v>0.2</v>
      </c>
      <c r="J474" s="30">
        <v>20</v>
      </c>
      <c r="K474" s="25">
        <v>0</v>
      </c>
      <c r="L474" s="25">
        <v>0</v>
      </c>
      <c r="M474" s="25">
        <f t="shared" si="81"/>
        <v>75</v>
      </c>
      <c r="N474" s="25">
        <v>150</v>
      </c>
      <c r="O474" s="25">
        <v>0</v>
      </c>
      <c r="P474" s="25">
        <v>0</v>
      </c>
      <c r="Q474" s="25">
        <f t="shared" si="82"/>
        <v>0</v>
      </c>
      <c r="R474" s="25">
        <v>0</v>
      </c>
      <c r="S474" s="25">
        <f t="shared" si="83"/>
        <v>58</v>
      </c>
      <c r="T474" s="25">
        <v>115</v>
      </c>
      <c r="U474" s="29">
        <v>0</v>
      </c>
      <c r="V474" s="25">
        <v>0</v>
      </c>
      <c r="W474" s="25">
        <v>0</v>
      </c>
      <c r="X474" s="25">
        <v>0</v>
      </c>
      <c r="Y474" s="29">
        <v>0</v>
      </c>
      <c r="Z474" s="29">
        <v>0</v>
      </c>
      <c r="AA474" s="29">
        <v>0</v>
      </c>
      <c r="AB474" s="29">
        <v>0</v>
      </c>
      <c r="AC474" s="29">
        <v>0</v>
      </c>
      <c r="AD474" s="29">
        <v>0</v>
      </c>
      <c r="AE474" s="43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  <c r="HJ474" s="5"/>
      <c r="HK474" s="5"/>
      <c r="HL474" s="5"/>
      <c r="HM474" s="5"/>
      <c r="HN474" s="5"/>
      <c r="HO474" s="5"/>
      <c r="HP474" s="5"/>
    </row>
    <row r="475" spans="3:224" ht="20.100000000000001" customHeight="1">
      <c r="C475" s="24">
        <v>15402005</v>
      </c>
      <c r="D475" s="25" t="s">
        <v>483</v>
      </c>
      <c r="E475" s="25">
        <v>11200003</v>
      </c>
      <c r="F475" s="25">
        <v>0</v>
      </c>
      <c r="G475" s="25">
        <v>1</v>
      </c>
      <c r="H475" s="25">
        <v>50</v>
      </c>
      <c r="I475" s="29">
        <v>0.2</v>
      </c>
      <c r="J475" s="30">
        <v>20</v>
      </c>
      <c r="K475" s="25">
        <v>0</v>
      </c>
      <c r="L475" s="25">
        <v>0</v>
      </c>
      <c r="M475" s="25">
        <f t="shared" si="81"/>
        <v>34</v>
      </c>
      <c r="N475" s="25">
        <v>68</v>
      </c>
      <c r="O475" s="25">
        <v>0</v>
      </c>
      <c r="P475" s="25">
        <v>0</v>
      </c>
      <c r="Q475" s="25">
        <f t="shared" si="82"/>
        <v>0</v>
      </c>
      <c r="R475" s="25">
        <v>0</v>
      </c>
      <c r="S475" s="25">
        <f t="shared" si="83"/>
        <v>75</v>
      </c>
      <c r="T475" s="25">
        <v>150</v>
      </c>
      <c r="U475" s="29">
        <v>0</v>
      </c>
      <c r="V475" s="25">
        <v>0</v>
      </c>
      <c r="W475" s="25">
        <v>0</v>
      </c>
      <c r="X475" s="25">
        <v>0</v>
      </c>
      <c r="Y475" s="29">
        <v>0</v>
      </c>
      <c r="Z475" s="29">
        <v>0</v>
      </c>
      <c r="AA475" s="29">
        <v>0</v>
      </c>
      <c r="AB475" s="29">
        <v>0</v>
      </c>
      <c r="AC475" s="29">
        <v>0</v>
      </c>
      <c r="AD475" s="29">
        <v>0</v>
      </c>
      <c r="AE475" s="43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  <c r="HL475" s="5"/>
      <c r="HM475" s="5"/>
      <c r="HN475" s="5"/>
      <c r="HO475" s="5"/>
      <c r="HP475" s="5"/>
    </row>
    <row r="476" spans="3:224" ht="20.100000000000001" customHeight="1">
      <c r="C476" s="24">
        <v>15402006</v>
      </c>
      <c r="D476" s="25" t="s">
        <v>484</v>
      </c>
      <c r="E476" s="25">
        <v>11200003</v>
      </c>
      <c r="F476" s="25">
        <v>14031</v>
      </c>
      <c r="G476" s="25">
        <v>1</v>
      </c>
      <c r="H476" s="25">
        <v>50</v>
      </c>
      <c r="I476" s="29">
        <v>0.2</v>
      </c>
      <c r="J476" s="30">
        <v>20</v>
      </c>
      <c r="K476" s="25">
        <v>0</v>
      </c>
      <c r="L476" s="25">
        <v>0</v>
      </c>
      <c r="M476" s="25">
        <f t="shared" si="81"/>
        <v>42</v>
      </c>
      <c r="N476" s="25">
        <v>83</v>
      </c>
      <c r="O476" s="25">
        <v>0</v>
      </c>
      <c r="P476" s="25">
        <v>0</v>
      </c>
      <c r="Q476" s="25">
        <f t="shared" si="82"/>
        <v>0</v>
      </c>
      <c r="R476" s="25">
        <v>0</v>
      </c>
      <c r="S476" s="25">
        <f t="shared" si="83"/>
        <v>96</v>
      </c>
      <c r="T476" s="25">
        <v>191</v>
      </c>
      <c r="U476" s="29">
        <v>0</v>
      </c>
      <c r="V476" s="25">
        <v>0</v>
      </c>
      <c r="W476" s="25">
        <v>0</v>
      </c>
      <c r="X476" s="25">
        <v>0</v>
      </c>
      <c r="Y476" s="29">
        <v>0</v>
      </c>
      <c r="Z476" s="29">
        <v>0</v>
      </c>
      <c r="AA476" s="29">
        <v>0</v>
      </c>
      <c r="AB476" s="29">
        <v>0</v>
      </c>
      <c r="AC476" s="29">
        <v>0</v>
      </c>
      <c r="AD476" s="29">
        <v>0</v>
      </c>
      <c r="AE476" s="43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/>
      <c r="HK476" s="5"/>
      <c r="HL476" s="5"/>
      <c r="HM476" s="5"/>
      <c r="HN476" s="5"/>
      <c r="HO476" s="5"/>
      <c r="HP476" s="5"/>
    </row>
    <row r="477" spans="3:224" ht="20.100000000000001" customHeight="1">
      <c r="C477" s="24">
        <v>15403001</v>
      </c>
      <c r="D477" s="25" t="s">
        <v>485</v>
      </c>
      <c r="E477" s="25">
        <v>11200003</v>
      </c>
      <c r="F477" s="25">
        <v>0</v>
      </c>
      <c r="G477" s="25">
        <v>1</v>
      </c>
      <c r="H477" s="25">
        <v>50</v>
      </c>
      <c r="I477" s="29">
        <v>0.2</v>
      </c>
      <c r="J477" s="30">
        <v>20</v>
      </c>
      <c r="K477" s="25">
        <v>0</v>
      </c>
      <c r="L477" s="25">
        <v>1480</v>
      </c>
      <c r="M477" s="25">
        <f t="shared" si="81"/>
        <v>25</v>
      </c>
      <c r="N477" s="25">
        <v>50</v>
      </c>
      <c r="O477" s="25">
        <v>0</v>
      </c>
      <c r="P477" s="25">
        <v>0</v>
      </c>
      <c r="Q477" s="25">
        <f t="shared" si="82"/>
        <v>43</v>
      </c>
      <c r="R477" s="25">
        <v>85</v>
      </c>
      <c r="S477" s="25">
        <f t="shared" si="83"/>
        <v>0</v>
      </c>
      <c r="T477" s="25">
        <v>0</v>
      </c>
      <c r="U477" s="29">
        <v>0</v>
      </c>
      <c r="V477" s="25">
        <v>0</v>
      </c>
      <c r="W477" s="25">
        <v>0</v>
      </c>
      <c r="X477" s="25">
        <v>0</v>
      </c>
      <c r="Y477" s="29">
        <v>0</v>
      </c>
      <c r="Z477" s="29">
        <v>0</v>
      </c>
      <c r="AA477" s="29">
        <v>0</v>
      </c>
      <c r="AB477" s="29">
        <v>0</v>
      </c>
      <c r="AC477" s="29">
        <v>0</v>
      </c>
      <c r="AD477" s="29">
        <v>0</v>
      </c>
      <c r="AE477" s="43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  <c r="HJ477" s="5"/>
      <c r="HK477" s="5"/>
      <c r="HL477" s="5"/>
      <c r="HM477" s="5"/>
      <c r="HN477" s="5"/>
      <c r="HO477" s="5"/>
      <c r="HP477" s="5"/>
    </row>
    <row r="478" spans="3:224" ht="20.100000000000001" customHeight="1">
      <c r="C478" s="24">
        <v>15403002</v>
      </c>
      <c r="D478" s="25" t="s">
        <v>486</v>
      </c>
      <c r="E478" s="25">
        <v>11200003</v>
      </c>
      <c r="F478" s="25">
        <v>14011</v>
      </c>
      <c r="G478" s="25">
        <v>1</v>
      </c>
      <c r="H478" s="25">
        <v>50</v>
      </c>
      <c r="I478" s="29">
        <v>0.2</v>
      </c>
      <c r="J478" s="30">
        <v>20</v>
      </c>
      <c r="K478" s="25">
        <v>0</v>
      </c>
      <c r="L478" s="25">
        <v>1785</v>
      </c>
      <c r="M478" s="25">
        <f t="shared" si="81"/>
        <v>30</v>
      </c>
      <c r="N478" s="25">
        <v>60</v>
      </c>
      <c r="O478" s="25">
        <v>0</v>
      </c>
      <c r="P478" s="25">
        <v>0</v>
      </c>
      <c r="Q478" s="25">
        <f t="shared" si="82"/>
        <v>51</v>
      </c>
      <c r="R478" s="25">
        <v>102</v>
      </c>
      <c r="S478" s="25">
        <f t="shared" si="83"/>
        <v>0</v>
      </c>
      <c r="T478" s="25">
        <v>0</v>
      </c>
      <c r="U478" s="29">
        <v>0</v>
      </c>
      <c r="V478" s="25">
        <v>0</v>
      </c>
      <c r="W478" s="25">
        <v>0</v>
      </c>
      <c r="X478" s="25">
        <v>0</v>
      </c>
      <c r="Y478" s="29">
        <v>0</v>
      </c>
      <c r="Z478" s="29">
        <v>0</v>
      </c>
      <c r="AA478" s="29">
        <v>0</v>
      </c>
      <c r="AB478" s="29">
        <v>0</v>
      </c>
      <c r="AC478" s="29">
        <v>0</v>
      </c>
      <c r="AD478" s="29">
        <v>0</v>
      </c>
      <c r="AE478" s="43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  <c r="HJ478" s="5"/>
      <c r="HK478" s="5"/>
      <c r="HL478" s="5"/>
      <c r="HM478" s="5"/>
      <c r="HN478" s="5"/>
      <c r="HO478" s="5"/>
      <c r="HP478" s="5"/>
    </row>
    <row r="479" spans="3:224" ht="20.100000000000001" customHeight="1">
      <c r="C479" s="24">
        <v>15403003</v>
      </c>
      <c r="D479" s="25" t="s">
        <v>487</v>
      </c>
      <c r="E479" s="25">
        <v>11200003</v>
      </c>
      <c r="F479" s="25">
        <v>0</v>
      </c>
      <c r="G479" s="25">
        <v>1</v>
      </c>
      <c r="H479" s="25">
        <v>50</v>
      </c>
      <c r="I479" s="29">
        <v>0.2</v>
      </c>
      <c r="J479" s="30">
        <v>20</v>
      </c>
      <c r="K479" s="25">
        <v>0</v>
      </c>
      <c r="L479" s="25">
        <v>740</v>
      </c>
      <c r="M479" s="25">
        <f t="shared" si="81"/>
        <v>34</v>
      </c>
      <c r="N479" s="25">
        <v>68</v>
      </c>
      <c r="O479" s="25">
        <v>0</v>
      </c>
      <c r="P479" s="25">
        <v>0</v>
      </c>
      <c r="Q479" s="25">
        <f t="shared" si="82"/>
        <v>32</v>
      </c>
      <c r="R479" s="25">
        <v>64</v>
      </c>
      <c r="S479" s="25">
        <f t="shared" si="83"/>
        <v>0</v>
      </c>
      <c r="T479" s="25">
        <v>0</v>
      </c>
      <c r="U479" s="29">
        <v>0</v>
      </c>
      <c r="V479" s="25">
        <v>0</v>
      </c>
      <c r="W479" s="25">
        <v>0</v>
      </c>
      <c r="X479" s="25">
        <v>0</v>
      </c>
      <c r="Y479" s="29">
        <v>0</v>
      </c>
      <c r="Z479" s="29">
        <v>0</v>
      </c>
      <c r="AA479" s="29">
        <v>0</v>
      </c>
      <c r="AB479" s="29">
        <v>0</v>
      </c>
      <c r="AC479" s="29">
        <v>0</v>
      </c>
      <c r="AD479" s="29">
        <v>0</v>
      </c>
      <c r="AE479" s="43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  <c r="HJ479" s="5"/>
      <c r="HK479" s="5"/>
      <c r="HL479" s="5"/>
      <c r="HM479" s="5"/>
      <c r="HN479" s="5"/>
      <c r="HO479" s="5"/>
      <c r="HP479" s="5"/>
    </row>
    <row r="480" spans="3:224" ht="20.100000000000001" customHeight="1">
      <c r="C480" s="24">
        <v>15403004</v>
      </c>
      <c r="D480" s="25" t="s">
        <v>488</v>
      </c>
      <c r="E480" s="25">
        <v>11200003</v>
      </c>
      <c r="F480" s="25">
        <v>14021</v>
      </c>
      <c r="G480" s="25">
        <v>1</v>
      </c>
      <c r="H480" s="25">
        <v>50</v>
      </c>
      <c r="I480" s="29">
        <v>0.2</v>
      </c>
      <c r="J480" s="30">
        <v>20</v>
      </c>
      <c r="K480" s="25">
        <v>0</v>
      </c>
      <c r="L480" s="25">
        <v>890</v>
      </c>
      <c r="M480" s="25">
        <f t="shared" si="81"/>
        <v>41</v>
      </c>
      <c r="N480" s="25">
        <v>81</v>
      </c>
      <c r="O480" s="25">
        <v>0</v>
      </c>
      <c r="P480" s="25">
        <v>0</v>
      </c>
      <c r="Q480" s="25">
        <f t="shared" si="82"/>
        <v>39</v>
      </c>
      <c r="R480" s="25">
        <v>77</v>
      </c>
      <c r="S480" s="25">
        <f t="shared" si="83"/>
        <v>0</v>
      </c>
      <c r="T480" s="25">
        <v>0</v>
      </c>
      <c r="U480" s="29">
        <v>0</v>
      </c>
      <c r="V480" s="25">
        <v>0</v>
      </c>
      <c r="W480" s="25">
        <v>0</v>
      </c>
      <c r="X480" s="25">
        <v>0</v>
      </c>
      <c r="Y480" s="29">
        <v>0</v>
      </c>
      <c r="Z480" s="29">
        <v>0</v>
      </c>
      <c r="AA480" s="29">
        <v>0</v>
      </c>
      <c r="AB480" s="29">
        <v>0</v>
      </c>
      <c r="AC480" s="29">
        <v>0</v>
      </c>
      <c r="AD480" s="29">
        <v>0</v>
      </c>
      <c r="AE480" s="43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  <c r="HJ480" s="5"/>
      <c r="HK480" s="5"/>
      <c r="HL480" s="5"/>
      <c r="HM480" s="5"/>
      <c r="HN480" s="5"/>
      <c r="HO480" s="5"/>
      <c r="HP480" s="5"/>
    </row>
    <row r="481" spans="3:224" ht="20.100000000000001" customHeight="1">
      <c r="C481" s="24">
        <v>15403005</v>
      </c>
      <c r="D481" s="25" t="s">
        <v>489</v>
      </c>
      <c r="E481" s="25">
        <v>11200003</v>
      </c>
      <c r="F481" s="25">
        <v>0</v>
      </c>
      <c r="G481" s="25">
        <v>1</v>
      </c>
      <c r="H481" s="25">
        <v>50</v>
      </c>
      <c r="I481" s="29">
        <v>0.2</v>
      </c>
      <c r="J481" s="30">
        <v>20</v>
      </c>
      <c r="K481" s="25">
        <v>0</v>
      </c>
      <c r="L481" s="25">
        <v>2220</v>
      </c>
      <c r="M481" s="25">
        <f t="shared" si="81"/>
        <v>19</v>
      </c>
      <c r="N481" s="25">
        <v>38</v>
      </c>
      <c r="O481" s="25">
        <v>0</v>
      </c>
      <c r="P481" s="25">
        <v>0</v>
      </c>
      <c r="Q481" s="25">
        <f t="shared" si="82"/>
        <v>53</v>
      </c>
      <c r="R481" s="25">
        <v>106</v>
      </c>
      <c r="S481" s="25">
        <f t="shared" si="83"/>
        <v>0</v>
      </c>
      <c r="T481" s="25">
        <v>0</v>
      </c>
      <c r="U481" s="29">
        <v>0</v>
      </c>
      <c r="V481" s="25">
        <v>0</v>
      </c>
      <c r="W481" s="25">
        <v>0</v>
      </c>
      <c r="X481" s="25">
        <v>0</v>
      </c>
      <c r="Y481" s="29">
        <v>0</v>
      </c>
      <c r="Z481" s="29">
        <v>0</v>
      </c>
      <c r="AA481" s="29">
        <v>0</v>
      </c>
      <c r="AB481" s="29">
        <v>0</v>
      </c>
      <c r="AC481" s="29">
        <v>0</v>
      </c>
      <c r="AD481" s="29">
        <v>0</v>
      </c>
      <c r="AE481" s="43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  <c r="HJ481" s="5"/>
      <c r="HK481" s="5"/>
      <c r="HL481" s="5"/>
      <c r="HM481" s="5"/>
      <c r="HN481" s="5"/>
      <c r="HO481" s="5"/>
      <c r="HP481" s="5"/>
    </row>
    <row r="482" spans="3:224" ht="20.100000000000001" customHeight="1">
      <c r="C482" s="24">
        <v>15403006</v>
      </c>
      <c r="D482" s="25" t="s">
        <v>490</v>
      </c>
      <c r="E482" s="25">
        <v>11200003</v>
      </c>
      <c r="F482" s="25">
        <v>14031</v>
      </c>
      <c r="G482" s="25">
        <v>1</v>
      </c>
      <c r="H482" s="25">
        <v>50</v>
      </c>
      <c r="I482" s="29">
        <v>0.2</v>
      </c>
      <c r="J482" s="30">
        <v>20</v>
      </c>
      <c r="K482" s="25">
        <v>0</v>
      </c>
      <c r="L482" s="25">
        <v>2680</v>
      </c>
      <c r="M482" s="25">
        <f t="shared" si="81"/>
        <v>23</v>
      </c>
      <c r="N482" s="25">
        <v>45</v>
      </c>
      <c r="O482" s="25">
        <v>0</v>
      </c>
      <c r="P482" s="25">
        <v>0</v>
      </c>
      <c r="Q482" s="25">
        <f t="shared" si="82"/>
        <v>64</v>
      </c>
      <c r="R482" s="25">
        <v>128</v>
      </c>
      <c r="S482" s="25">
        <f t="shared" si="83"/>
        <v>0</v>
      </c>
      <c r="T482" s="25">
        <v>0</v>
      </c>
      <c r="U482" s="29">
        <v>0</v>
      </c>
      <c r="V482" s="25">
        <v>0</v>
      </c>
      <c r="W482" s="25">
        <v>0</v>
      </c>
      <c r="X482" s="25">
        <v>0</v>
      </c>
      <c r="Y482" s="29">
        <v>0</v>
      </c>
      <c r="Z482" s="29">
        <v>0</v>
      </c>
      <c r="AA482" s="29">
        <v>0</v>
      </c>
      <c r="AB482" s="29">
        <v>0</v>
      </c>
      <c r="AC482" s="29">
        <v>0</v>
      </c>
      <c r="AD482" s="29">
        <v>0</v>
      </c>
      <c r="AE482" s="43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  <c r="HJ482" s="5"/>
      <c r="HK482" s="5"/>
      <c r="HL482" s="5"/>
      <c r="HM482" s="5"/>
      <c r="HN482" s="5"/>
      <c r="HO482" s="5"/>
      <c r="HP482" s="5"/>
    </row>
    <row r="483" spans="3:224" ht="20.100000000000001" customHeight="1">
      <c r="C483" s="24">
        <v>15404001</v>
      </c>
      <c r="D483" s="25" t="s">
        <v>491</v>
      </c>
      <c r="E483" s="25">
        <v>11200003</v>
      </c>
      <c r="F483" s="25">
        <v>0</v>
      </c>
      <c r="G483" s="25">
        <v>1</v>
      </c>
      <c r="H483" s="25">
        <v>50</v>
      </c>
      <c r="I483" s="29">
        <v>0.2</v>
      </c>
      <c r="J483" s="30">
        <v>20</v>
      </c>
      <c r="K483" s="25">
        <v>0</v>
      </c>
      <c r="L483" s="25">
        <v>0</v>
      </c>
      <c r="M483" s="25">
        <f t="shared" si="81"/>
        <v>38</v>
      </c>
      <c r="N483" s="25">
        <v>75</v>
      </c>
      <c r="O483" s="25">
        <v>0</v>
      </c>
      <c r="P483" s="25">
        <v>0</v>
      </c>
      <c r="Q483" s="25">
        <f t="shared" si="82"/>
        <v>40</v>
      </c>
      <c r="R483" s="25">
        <v>80</v>
      </c>
      <c r="S483" s="25">
        <f t="shared" si="83"/>
        <v>40</v>
      </c>
      <c r="T483" s="25">
        <v>80</v>
      </c>
      <c r="U483" s="29">
        <v>0</v>
      </c>
      <c r="V483" s="25">
        <v>0</v>
      </c>
      <c r="W483" s="25">
        <v>0</v>
      </c>
      <c r="X483" s="25">
        <v>0</v>
      </c>
      <c r="Y483" s="29">
        <v>0</v>
      </c>
      <c r="Z483" s="29">
        <v>0</v>
      </c>
      <c r="AA483" s="29">
        <v>0</v>
      </c>
      <c r="AB483" s="29">
        <v>0</v>
      </c>
      <c r="AC483" s="29">
        <v>0</v>
      </c>
      <c r="AD483" s="29">
        <v>0</v>
      </c>
      <c r="AE483" s="43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/>
      <c r="HK483" s="5"/>
      <c r="HL483" s="5"/>
      <c r="HM483" s="5"/>
      <c r="HN483" s="5"/>
      <c r="HO483" s="5"/>
      <c r="HP483" s="5"/>
    </row>
    <row r="484" spans="3:224" ht="20.100000000000001" customHeight="1">
      <c r="C484" s="24">
        <v>15404002</v>
      </c>
      <c r="D484" s="25" t="s">
        <v>492</v>
      </c>
      <c r="E484" s="25">
        <v>11200003</v>
      </c>
      <c r="F484" s="25">
        <v>14011</v>
      </c>
      <c r="G484" s="25">
        <v>1</v>
      </c>
      <c r="H484" s="25">
        <v>50</v>
      </c>
      <c r="I484" s="29">
        <v>0.2</v>
      </c>
      <c r="J484" s="30">
        <v>20</v>
      </c>
      <c r="K484" s="25">
        <v>0</v>
      </c>
      <c r="L484" s="25">
        <v>0</v>
      </c>
      <c r="M484" s="25">
        <f t="shared" si="81"/>
        <v>47</v>
      </c>
      <c r="N484" s="25">
        <v>94</v>
      </c>
      <c r="O484" s="25">
        <v>0</v>
      </c>
      <c r="P484" s="25">
        <v>0</v>
      </c>
      <c r="Q484" s="25">
        <f t="shared" si="82"/>
        <v>51</v>
      </c>
      <c r="R484" s="25">
        <v>102</v>
      </c>
      <c r="S484" s="25">
        <f t="shared" si="83"/>
        <v>51</v>
      </c>
      <c r="T484" s="25">
        <v>102</v>
      </c>
      <c r="U484" s="29">
        <v>0</v>
      </c>
      <c r="V484" s="25">
        <v>0</v>
      </c>
      <c r="W484" s="25">
        <v>0</v>
      </c>
      <c r="X484" s="25">
        <v>0</v>
      </c>
      <c r="Y484" s="29">
        <v>0</v>
      </c>
      <c r="Z484" s="29">
        <v>0</v>
      </c>
      <c r="AA484" s="29">
        <v>0</v>
      </c>
      <c r="AB484" s="29">
        <v>0</v>
      </c>
      <c r="AC484" s="29">
        <v>0</v>
      </c>
      <c r="AD484" s="29">
        <v>0</v>
      </c>
      <c r="AE484" s="43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  <c r="HJ484" s="5"/>
      <c r="HK484" s="5"/>
      <c r="HL484" s="5"/>
      <c r="HM484" s="5"/>
      <c r="HN484" s="5"/>
      <c r="HO484" s="5"/>
      <c r="HP484" s="5"/>
    </row>
    <row r="485" spans="3:224" ht="20.100000000000001" customHeight="1">
      <c r="C485" s="24">
        <v>15404003</v>
      </c>
      <c r="D485" s="25" t="s">
        <v>493</v>
      </c>
      <c r="E485" s="25">
        <v>11200003</v>
      </c>
      <c r="F485" s="25">
        <v>0</v>
      </c>
      <c r="G485" s="25">
        <v>1</v>
      </c>
      <c r="H485" s="25">
        <v>50</v>
      </c>
      <c r="I485" s="29">
        <v>0.2</v>
      </c>
      <c r="J485" s="30">
        <v>20</v>
      </c>
      <c r="K485" s="25">
        <v>0</v>
      </c>
      <c r="L485" s="25">
        <v>0</v>
      </c>
      <c r="M485" s="25">
        <f t="shared" si="81"/>
        <v>51</v>
      </c>
      <c r="N485" s="25">
        <v>101</v>
      </c>
      <c r="O485" s="25">
        <v>0</v>
      </c>
      <c r="P485" s="25">
        <v>0</v>
      </c>
      <c r="Q485" s="25">
        <f t="shared" si="82"/>
        <v>30</v>
      </c>
      <c r="R485" s="25">
        <v>60</v>
      </c>
      <c r="S485" s="25">
        <f t="shared" si="83"/>
        <v>30</v>
      </c>
      <c r="T485" s="25">
        <v>60</v>
      </c>
      <c r="U485" s="29">
        <v>0</v>
      </c>
      <c r="V485" s="25">
        <v>0</v>
      </c>
      <c r="W485" s="25">
        <v>0</v>
      </c>
      <c r="X485" s="25">
        <v>0</v>
      </c>
      <c r="Y485" s="29">
        <v>0</v>
      </c>
      <c r="Z485" s="29">
        <v>0</v>
      </c>
      <c r="AA485" s="29">
        <v>0</v>
      </c>
      <c r="AB485" s="29">
        <v>0</v>
      </c>
      <c r="AC485" s="29">
        <v>0</v>
      </c>
      <c r="AD485" s="29">
        <v>0</v>
      </c>
      <c r="AE485" s="43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  <c r="HJ485" s="5"/>
      <c r="HK485" s="5"/>
      <c r="HL485" s="5"/>
      <c r="HM485" s="5"/>
      <c r="HN485" s="5"/>
      <c r="HO485" s="5"/>
      <c r="HP485" s="5"/>
    </row>
    <row r="486" spans="3:224" ht="20.100000000000001" customHeight="1">
      <c r="C486" s="24">
        <v>15404004</v>
      </c>
      <c r="D486" s="25" t="s">
        <v>494</v>
      </c>
      <c r="E486" s="25">
        <v>11200003</v>
      </c>
      <c r="F486" s="25">
        <v>14021</v>
      </c>
      <c r="G486" s="25">
        <v>1</v>
      </c>
      <c r="H486" s="25">
        <v>50</v>
      </c>
      <c r="I486" s="29">
        <v>0.2</v>
      </c>
      <c r="J486" s="30">
        <v>20</v>
      </c>
      <c r="K486" s="25">
        <v>0</v>
      </c>
      <c r="L486" s="25">
        <v>0</v>
      </c>
      <c r="M486" s="25">
        <f t="shared" si="81"/>
        <v>64</v>
      </c>
      <c r="N486" s="25">
        <v>127</v>
      </c>
      <c r="O486" s="25">
        <v>0</v>
      </c>
      <c r="P486" s="25">
        <v>0</v>
      </c>
      <c r="Q486" s="25">
        <f t="shared" si="82"/>
        <v>39</v>
      </c>
      <c r="R486" s="25">
        <v>77</v>
      </c>
      <c r="S486" s="25">
        <f t="shared" si="83"/>
        <v>39</v>
      </c>
      <c r="T486" s="25">
        <v>77</v>
      </c>
      <c r="U486" s="29">
        <v>0</v>
      </c>
      <c r="V486" s="25">
        <v>0</v>
      </c>
      <c r="W486" s="25">
        <v>0</v>
      </c>
      <c r="X486" s="25">
        <v>0</v>
      </c>
      <c r="Y486" s="29">
        <v>0</v>
      </c>
      <c r="Z486" s="29">
        <v>0</v>
      </c>
      <c r="AA486" s="29">
        <v>0</v>
      </c>
      <c r="AB486" s="29">
        <v>0</v>
      </c>
      <c r="AC486" s="29">
        <v>0</v>
      </c>
      <c r="AD486" s="29">
        <v>0</v>
      </c>
      <c r="AE486" s="43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  <c r="HJ486" s="5"/>
      <c r="HK486" s="5"/>
      <c r="HL486" s="5"/>
      <c r="HM486" s="5"/>
      <c r="HN486" s="5"/>
      <c r="HO486" s="5"/>
      <c r="HP486" s="5"/>
    </row>
    <row r="487" spans="3:224" ht="20.100000000000001" customHeight="1">
      <c r="C487" s="24">
        <v>15404005</v>
      </c>
      <c r="D487" s="25" t="s">
        <v>495</v>
      </c>
      <c r="E487" s="25">
        <v>11200003</v>
      </c>
      <c r="F487" s="25">
        <v>0</v>
      </c>
      <c r="G487" s="25">
        <v>1</v>
      </c>
      <c r="H487" s="25">
        <v>50</v>
      </c>
      <c r="I487" s="29">
        <v>0.2</v>
      </c>
      <c r="J487" s="30">
        <v>20</v>
      </c>
      <c r="K487" s="25">
        <v>0</v>
      </c>
      <c r="L487" s="25">
        <v>0</v>
      </c>
      <c r="M487" s="25">
        <f t="shared" si="81"/>
        <v>28</v>
      </c>
      <c r="N487" s="25">
        <v>56</v>
      </c>
      <c r="O487" s="25">
        <v>0</v>
      </c>
      <c r="P487" s="25">
        <v>0</v>
      </c>
      <c r="Q487" s="25">
        <f t="shared" si="82"/>
        <v>50</v>
      </c>
      <c r="R487" s="25">
        <v>100</v>
      </c>
      <c r="S487" s="25">
        <f t="shared" si="83"/>
        <v>50</v>
      </c>
      <c r="T487" s="25">
        <v>100</v>
      </c>
      <c r="U487" s="29">
        <v>0</v>
      </c>
      <c r="V487" s="25">
        <v>0</v>
      </c>
      <c r="W487" s="25">
        <v>0</v>
      </c>
      <c r="X487" s="25">
        <v>0</v>
      </c>
      <c r="Y487" s="29">
        <v>0</v>
      </c>
      <c r="Z487" s="29">
        <v>0</v>
      </c>
      <c r="AA487" s="29">
        <v>0</v>
      </c>
      <c r="AB487" s="29">
        <v>0</v>
      </c>
      <c r="AC487" s="29">
        <v>0</v>
      </c>
      <c r="AD487" s="29">
        <v>0</v>
      </c>
      <c r="AE487" s="43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  <c r="HJ487" s="5"/>
      <c r="HK487" s="5"/>
      <c r="HL487" s="5"/>
      <c r="HM487" s="5"/>
      <c r="HN487" s="5"/>
      <c r="HO487" s="5"/>
      <c r="HP487" s="5"/>
    </row>
    <row r="488" spans="3:224" ht="20.100000000000001" customHeight="1">
      <c r="C488" s="24">
        <v>15404006</v>
      </c>
      <c r="D488" s="25" t="s">
        <v>496</v>
      </c>
      <c r="E488" s="25">
        <v>11200003</v>
      </c>
      <c r="F488" s="25">
        <v>14031</v>
      </c>
      <c r="G488" s="25">
        <v>1</v>
      </c>
      <c r="H488" s="25">
        <v>50</v>
      </c>
      <c r="I488" s="29">
        <v>0.2</v>
      </c>
      <c r="J488" s="30">
        <v>20</v>
      </c>
      <c r="K488" s="25">
        <v>0</v>
      </c>
      <c r="L488" s="25">
        <v>0</v>
      </c>
      <c r="M488" s="25">
        <f t="shared" si="81"/>
        <v>36</v>
      </c>
      <c r="N488" s="25">
        <v>71</v>
      </c>
      <c r="O488" s="25">
        <v>0</v>
      </c>
      <c r="P488" s="25">
        <v>0</v>
      </c>
      <c r="Q488" s="25">
        <f t="shared" si="82"/>
        <v>64</v>
      </c>
      <c r="R488" s="25">
        <v>128</v>
      </c>
      <c r="S488" s="25">
        <f t="shared" si="83"/>
        <v>64</v>
      </c>
      <c r="T488" s="25">
        <v>128</v>
      </c>
      <c r="U488" s="29">
        <v>0</v>
      </c>
      <c r="V488" s="25">
        <v>0</v>
      </c>
      <c r="W488" s="25">
        <v>0</v>
      </c>
      <c r="X488" s="25">
        <v>0</v>
      </c>
      <c r="Y488" s="29">
        <v>0</v>
      </c>
      <c r="Z488" s="29">
        <v>0</v>
      </c>
      <c r="AA488" s="29">
        <v>0</v>
      </c>
      <c r="AB488" s="29">
        <v>0</v>
      </c>
      <c r="AC488" s="29">
        <v>0</v>
      </c>
      <c r="AD488" s="29">
        <v>0</v>
      </c>
      <c r="AE488" s="43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  <c r="HJ488" s="5"/>
      <c r="HK488" s="5"/>
      <c r="HL488" s="5"/>
      <c r="HM488" s="5"/>
      <c r="HN488" s="5"/>
      <c r="HO488" s="5"/>
      <c r="HP488" s="5"/>
    </row>
    <row r="489" spans="3:224" ht="20.100000000000001" customHeight="1">
      <c r="C489" s="24">
        <v>15405001</v>
      </c>
      <c r="D489" s="25" t="s">
        <v>497</v>
      </c>
      <c r="E489" s="25">
        <v>11200003</v>
      </c>
      <c r="F489" s="25">
        <v>0</v>
      </c>
      <c r="G489" s="25">
        <v>1</v>
      </c>
      <c r="H489" s="25">
        <v>50</v>
      </c>
      <c r="I489" s="29">
        <v>0.2</v>
      </c>
      <c r="J489" s="30">
        <v>20</v>
      </c>
      <c r="K489" s="25">
        <v>0</v>
      </c>
      <c r="L489" s="25">
        <v>3580</v>
      </c>
      <c r="M489" s="25">
        <f t="shared" si="81"/>
        <v>53</v>
      </c>
      <c r="N489" s="25">
        <v>105</v>
      </c>
      <c r="O489" s="25">
        <v>0</v>
      </c>
      <c r="P489" s="25">
        <v>0</v>
      </c>
      <c r="Q489" s="25">
        <f t="shared" si="82"/>
        <v>21</v>
      </c>
      <c r="R489" s="25">
        <v>42</v>
      </c>
      <c r="S489" s="25">
        <f t="shared" si="83"/>
        <v>0</v>
      </c>
      <c r="T489" s="25">
        <v>0</v>
      </c>
      <c r="U489" s="29">
        <v>0</v>
      </c>
      <c r="V489" s="25">
        <v>0</v>
      </c>
      <c r="W489" s="25">
        <v>0</v>
      </c>
      <c r="X489" s="25">
        <v>0</v>
      </c>
      <c r="Y489" s="29">
        <v>0</v>
      </c>
      <c r="Z489" s="29">
        <v>0</v>
      </c>
      <c r="AA489" s="29">
        <v>0</v>
      </c>
      <c r="AB489" s="29">
        <v>0</v>
      </c>
      <c r="AC489" s="29">
        <v>0</v>
      </c>
      <c r="AD489" s="29">
        <v>0</v>
      </c>
      <c r="AE489" s="43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  <c r="HJ489" s="5"/>
      <c r="HK489" s="5"/>
      <c r="HL489" s="5"/>
      <c r="HM489" s="5"/>
      <c r="HN489" s="5"/>
      <c r="HO489" s="5"/>
      <c r="HP489" s="5"/>
    </row>
    <row r="490" spans="3:224" ht="20.100000000000001" customHeight="1">
      <c r="C490" s="24">
        <v>15405002</v>
      </c>
      <c r="D490" s="25" t="s">
        <v>498</v>
      </c>
      <c r="E490" s="25">
        <v>11200003</v>
      </c>
      <c r="F490" s="25">
        <v>14011</v>
      </c>
      <c r="G490" s="25">
        <v>1</v>
      </c>
      <c r="H490" s="25">
        <v>50</v>
      </c>
      <c r="I490" s="29">
        <v>0.2</v>
      </c>
      <c r="J490" s="30">
        <v>20</v>
      </c>
      <c r="K490" s="25">
        <v>0</v>
      </c>
      <c r="L490" s="25">
        <v>4450</v>
      </c>
      <c r="M490" s="25">
        <f t="shared" si="81"/>
        <v>64</v>
      </c>
      <c r="N490" s="25">
        <v>128</v>
      </c>
      <c r="O490" s="25">
        <v>0</v>
      </c>
      <c r="P490" s="25">
        <v>0</v>
      </c>
      <c r="Q490" s="25">
        <f t="shared" si="82"/>
        <v>26</v>
      </c>
      <c r="R490" s="25">
        <v>51</v>
      </c>
      <c r="S490" s="25">
        <f t="shared" si="83"/>
        <v>0</v>
      </c>
      <c r="T490" s="25">
        <v>0</v>
      </c>
      <c r="U490" s="29">
        <v>0</v>
      </c>
      <c r="V490" s="25">
        <v>0</v>
      </c>
      <c r="W490" s="25">
        <v>0</v>
      </c>
      <c r="X490" s="25">
        <v>0</v>
      </c>
      <c r="Y490" s="29">
        <v>0</v>
      </c>
      <c r="Z490" s="29">
        <v>0</v>
      </c>
      <c r="AA490" s="29">
        <v>0</v>
      </c>
      <c r="AB490" s="29">
        <v>0</v>
      </c>
      <c r="AC490" s="29">
        <v>0</v>
      </c>
      <c r="AD490" s="29">
        <v>0</v>
      </c>
      <c r="AE490" s="43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  <c r="HJ490" s="5"/>
      <c r="HK490" s="5"/>
      <c r="HL490" s="5"/>
      <c r="HM490" s="5"/>
      <c r="HN490" s="5"/>
      <c r="HO490" s="5"/>
      <c r="HP490" s="5"/>
    </row>
    <row r="491" spans="3:224" ht="20.100000000000001" customHeight="1">
      <c r="C491" s="24">
        <v>15405003</v>
      </c>
      <c r="D491" s="25" t="s">
        <v>499</v>
      </c>
      <c r="E491" s="25">
        <v>11200003</v>
      </c>
      <c r="F491" s="25">
        <v>0</v>
      </c>
      <c r="G491" s="25">
        <v>1</v>
      </c>
      <c r="H491" s="25">
        <v>50</v>
      </c>
      <c r="I491" s="29">
        <v>0.2</v>
      </c>
      <c r="J491" s="30">
        <v>20</v>
      </c>
      <c r="K491" s="25">
        <v>0</v>
      </c>
      <c r="L491" s="25">
        <v>1790</v>
      </c>
      <c r="M491" s="25">
        <f t="shared" si="81"/>
        <v>71</v>
      </c>
      <c r="N491" s="25">
        <v>142</v>
      </c>
      <c r="O491" s="25">
        <v>0</v>
      </c>
      <c r="P491" s="25">
        <v>0</v>
      </c>
      <c r="Q491" s="25">
        <f t="shared" si="82"/>
        <v>16</v>
      </c>
      <c r="R491" s="25">
        <v>32</v>
      </c>
      <c r="S491" s="25">
        <f t="shared" si="83"/>
        <v>0</v>
      </c>
      <c r="T491" s="25">
        <v>0</v>
      </c>
      <c r="U491" s="29">
        <v>0</v>
      </c>
      <c r="V491" s="25">
        <v>0</v>
      </c>
      <c r="W491" s="25">
        <v>0</v>
      </c>
      <c r="X491" s="25">
        <v>0</v>
      </c>
      <c r="Y491" s="29">
        <v>0</v>
      </c>
      <c r="Z491" s="29">
        <v>0</v>
      </c>
      <c r="AA491" s="29">
        <v>0</v>
      </c>
      <c r="AB491" s="29">
        <v>0</v>
      </c>
      <c r="AC491" s="29">
        <v>0</v>
      </c>
      <c r="AD491" s="29">
        <v>0</v>
      </c>
      <c r="AE491" s="43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/>
      <c r="HK491" s="5"/>
      <c r="HL491" s="5"/>
      <c r="HM491" s="5"/>
      <c r="HN491" s="5"/>
      <c r="HO491" s="5"/>
      <c r="HP491" s="5"/>
    </row>
    <row r="492" spans="3:224" ht="20.100000000000001" customHeight="1">
      <c r="C492" s="24">
        <v>15405004</v>
      </c>
      <c r="D492" s="25" t="s">
        <v>500</v>
      </c>
      <c r="E492" s="25">
        <v>11200003</v>
      </c>
      <c r="F492" s="25">
        <v>14021</v>
      </c>
      <c r="G492" s="25">
        <v>1</v>
      </c>
      <c r="H492" s="25">
        <v>50</v>
      </c>
      <c r="I492" s="29">
        <v>0.2</v>
      </c>
      <c r="J492" s="30">
        <v>20</v>
      </c>
      <c r="K492" s="25">
        <v>0</v>
      </c>
      <c r="L492" s="25">
        <v>2230</v>
      </c>
      <c r="M492" s="25">
        <f t="shared" si="81"/>
        <v>87</v>
      </c>
      <c r="N492" s="25">
        <v>173</v>
      </c>
      <c r="O492" s="25">
        <v>0</v>
      </c>
      <c r="P492" s="25">
        <v>0</v>
      </c>
      <c r="Q492" s="25">
        <f t="shared" si="82"/>
        <v>19</v>
      </c>
      <c r="R492" s="25">
        <v>38</v>
      </c>
      <c r="S492" s="25">
        <f t="shared" si="83"/>
        <v>0</v>
      </c>
      <c r="T492" s="25">
        <v>0</v>
      </c>
      <c r="U492" s="29">
        <v>0</v>
      </c>
      <c r="V492" s="25">
        <v>0</v>
      </c>
      <c r="W492" s="25">
        <v>0</v>
      </c>
      <c r="X492" s="25">
        <v>0</v>
      </c>
      <c r="Y492" s="29">
        <v>0</v>
      </c>
      <c r="Z492" s="29">
        <v>0</v>
      </c>
      <c r="AA492" s="29">
        <v>0</v>
      </c>
      <c r="AB492" s="29">
        <v>0</v>
      </c>
      <c r="AC492" s="29">
        <v>0</v>
      </c>
      <c r="AD492" s="29">
        <v>0</v>
      </c>
      <c r="AE492" s="43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  <c r="HJ492" s="5"/>
      <c r="HK492" s="5"/>
      <c r="HL492" s="5"/>
      <c r="HM492" s="5"/>
      <c r="HN492" s="5"/>
      <c r="HO492" s="5"/>
      <c r="HP492" s="5"/>
    </row>
    <row r="493" spans="3:224" ht="20.100000000000001" customHeight="1">
      <c r="C493" s="24">
        <v>15405005</v>
      </c>
      <c r="D493" s="25" t="s">
        <v>501</v>
      </c>
      <c r="E493" s="25">
        <v>11200003</v>
      </c>
      <c r="F493" s="25">
        <v>0</v>
      </c>
      <c r="G493" s="25">
        <v>1</v>
      </c>
      <c r="H493" s="25">
        <v>50</v>
      </c>
      <c r="I493" s="29">
        <v>0.2</v>
      </c>
      <c r="J493" s="30">
        <v>20</v>
      </c>
      <c r="K493" s="25">
        <v>0</v>
      </c>
      <c r="L493" s="25">
        <v>5370</v>
      </c>
      <c r="M493" s="25">
        <f t="shared" si="81"/>
        <v>40</v>
      </c>
      <c r="N493" s="25">
        <v>79</v>
      </c>
      <c r="O493" s="25">
        <v>0</v>
      </c>
      <c r="P493" s="25">
        <v>0</v>
      </c>
      <c r="Q493" s="25">
        <f t="shared" si="82"/>
        <v>27</v>
      </c>
      <c r="R493" s="25">
        <v>53</v>
      </c>
      <c r="S493" s="25">
        <f t="shared" si="83"/>
        <v>0</v>
      </c>
      <c r="T493" s="25">
        <v>0</v>
      </c>
      <c r="U493" s="29">
        <v>0</v>
      </c>
      <c r="V493" s="25">
        <v>0</v>
      </c>
      <c r="W493" s="25">
        <v>0</v>
      </c>
      <c r="X493" s="25">
        <v>0</v>
      </c>
      <c r="Y493" s="29">
        <v>0</v>
      </c>
      <c r="Z493" s="29">
        <v>0</v>
      </c>
      <c r="AA493" s="29">
        <v>0</v>
      </c>
      <c r="AB493" s="29">
        <v>0</v>
      </c>
      <c r="AC493" s="29">
        <v>0</v>
      </c>
      <c r="AD493" s="29">
        <v>0</v>
      </c>
      <c r="AE493" s="43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5"/>
      <c r="HG493" s="5"/>
      <c r="HH493" s="5"/>
      <c r="HI493" s="5"/>
      <c r="HJ493" s="5"/>
      <c r="HK493" s="5"/>
      <c r="HL493" s="5"/>
      <c r="HM493" s="5"/>
      <c r="HN493" s="5"/>
      <c r="HO493" s="5"/>
      <c r="HP493" s="5"/>
    </row>
    <row r="494" spans="3:224" ht="20.100000000000001" customHeight="1">
      <c r="C494" s="24">
        <v>15405006</v>
      </c>
      <c r="D494" s="25" t="s">
        <v>502</v>
      </c>
      <c r="E494" s="25">
        <v>11200003</v>
      </c>
      <c r="F494" s="25">
        <v>14031</v>
      </c>
      <c r="G494" s="25">
        <v>1</v>
      </c>
      <c r="H494" s="25">
        <v>50</v>
      </c>
      <c r="I494" s="29">
        <v>0.2</v>
      </c>
      <c r="J494" s="30">
        <v>20</v>
      </c>
      <c r="K494" s="25">
        <v>0</v>
      </c>
      <c r="L494" s="25">
        <v>6680</v>
      </c>
      <c r="M494" s="25">
        <f t="shared" si="81"/>
        <v>48</v>
      </c>
      <c r="N494" s="25">
        <v>96</v>
      </c>
      <c r="O494" s="25">
        <v>0</v>
      </c>
      <c r="P494" s="25">
        <v>0</v>
      </c>
      <c r="Q494" s="25">
        <f t="shared" si="82"/>
        <v>32</v>
      </c>
      <c r="R494" s="25">
        <v>64</v>
      </c>
      <c r="S494" s="25">
        <f t="shared" si="83"/>
        <v>0</v>
      </c>
      <c r="T494" s="25">
        <v>0</v>
      </c>
      <c r="U494" s="29">
        <v>0</v>
      </c>
      <c r="V494" s="25">
        <v>0</v>
      </c>
      <c r="W494" s="25">
        <v>0</v>
      </c>
      <c r="X494" s="25">
        <v>0</v>
      </c>
      <c r="Y494" s="29">
        <v>0</v>
      </c>
      <c r="Z494" s="29">
        <v>0</v>
      </c>
      <c r="AA494" s="29">
        <v>0</v>
      </c>
      <c r="AB494" s="29">
        <v>0</v>
      </c>
      <c r="AC494" s="29">
        <v>0</v>
      </c>
      <c r="AD494" s="29">
        <v>0</v>
      </c>
      <c r="AE494" s="43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5"/>
      <c r="HG494" s="5"/>
      <c r="HH494" s="5"/>
      <c r="HI494" s="5"/>
      <c r="HJ494" s="5"/>
      <c r="HK494" s="5"/>
      <c r="HL494" s="5"/>
      <c r="HM494" s="5"/>
      <c r="HN494" s="5"/>
      <c r="HO494" s="5"/>
      <c r="HP494" s="5"/>
    </row>
    <row r="495" spans="3:224" ht="20.100000000000001" customHeight="1">
      <c r="C495" s="24">
        <v>15406001</v>
      </c>
      <c r="D495" s="25" t="s">
        <v>503</v>
      </c>
      <c r="E495" s="25">
        <v>11200002</v>
      </c>
      <c r="F495" s="25">
        <v>0</v>
      </c>
      <c r="G495" s="25">
        <v>1</v>
      </c>
      <c r="H495" s="25">
        <v>50</v>
      </c>
      <c r="I495" s="29">
        <v>0.2</v>
      </c>
      <c r="J495" s="30">
        <v>20</v>
      </c>
      <c r="K495" s="25">
        <v>0</v>
      </c>
      <c r="L495" s="25">
        <v>0</v>
      </c>
      <c r="M495" s="25">
        <f t="shared" si="81"/>
        <v>100</v>
      </c>
      <c r="N495" s="25">
        <v>200</v>
      </c>
      <c r="O495" s="25">
        <v>0</v>
      </c>
      <c r="P495" s="25">
        <v>0</v>
      </c>
      <c r="Q495" s="25">
        <f t="shared" si="82"/>
        <v>31</v>
      </c>
      <c r="R495" s="25">
        <v>62</v>
      </c>
      <c r="S495" s="25">
        <f t="shared" si="83"/>
        <v>0</v>
      </c>
      <c r="T495" s="25">
        <v>0</v>
      </c>
      <c r="U495" s="29">
        <v>0</v>
      </c>
      <c r="V495" s="25">
        <v>0</v>
      </c>
      <c r="W495" s="25">
        <v>0</v>
      </c>
      <c r="X495" s="25">
        <v>0</v>
      </c>
      <c r="Y495" s="29">
        <v>0</v>
      </c>
      <c r="Z495" s="29">
        <v>0</v>
      </c>
      <c r="AA495" s="29">
        <v>0</v>
      </c>
      <c r="AB495" s="29">
        <v>0</v>
      </c>
      <c r="AC495" s="29">
        <v>0</v>
      </c>
      <c r="AD495" s="29">
        <v>0</v>
      </c>
      <c r="AE495" s="43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  <c r="HJ495" s="5"/>
      <c r="HK495" s="5"/>
      <c r="HL495" s="5"/>
      <c r="HM495" s="5"/>
      <c r="HN495" s="5"/>
      <c r="HO495" s="5"/>
      <c r="HP495" s="5"/>
    </row>
    <row r="496" spans="3:224" ht="20.100000000000001" customHeight="1">
      <c r="C496" s="24">
        <v>15406002</v>
      </c>
      <c r="D496" s="25" t="s">
        <v>504</v>
      </c>
      <c r="E496" s="25">
        <v>11200002</v>
      </c>
      <c r="F496" s="25">
        <v>0</v>
      </c>
      <c r="G496" s="25">
        <v>1</v>
      </c>
      <c r="H496" s="25">
        <v>50</v>
      </c>
      <c r="I496" s="29">
        <v>0.2</v>
      </c>
      <c r="J496" s="30">
        <v>20</v>
      </c>
      <c r="K496" s="25">
        <v>0</v>
      </c>
      <c r="L496" s="25">
        <v>0</v>
      </c>
      <c r="M496" s="25">
        <f t="shared" si="81"/>
        <v>128</v>
      </c>
      <c r="N496" s="25">
        <v>255</v>
      </c>
      <c r="O496" s="25">
        <v>0</v>
      </c>
      <c r="P496" s="25">
        <v>0</v>
      </c>
      <c r="Q496" s="25">
        <f t="shared" si="82"/>
        <v>39</v>
      </c>
      <c r="R496" s="25">
        <v>77</v>
      </c>
      <c r="S496" s="25">
        <f t="shared" si="83"/>
        <v>0</v>
      </c>
      <c r="T496" s="25">
        <v>0</v>
      </c>
      <c r="U496" s="29">
        <v>0</v>
      </c>
      <c r="V496" s="25">
        <v>0</v>
      </c>
      <c r="W496" s="25">
        <v>0</v>
      </c>
      <c r="X496" s="25">
        <v>0</v>
      </c>
      <c r="Y496" s="29">
        <v>0</v>
      </c>
      <c r="Z496" s="29">
        <v>0</v>
      </c>
      <c r="AA496" s="29">
        <v>0</v>
      </c>
      <c r="AB496" s="29">
        <v>0</v>
      </c>
      <c r="AC496" s="29">
        <v>0</v>
      </c>
      <c r="AD496" s="29">
        <v>0</v>
      </c>
      <c r="AE496" s="43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  <c r="HF496" s="5"/>
      <c r="HG496" s="5"/>
      <c r="HH496" s="5"/>
      <c r="HI496" s="5"/>
      <c r="HJ496" s="5"/>
      <c r="HK496" s="5"/>
      <c r="HL496" s="5"/>
      <c r="HM496" s="5"/>
      <c r="HN496" s="5"/>
      <c r="HO496" s="5"/>
      <c r="HP496" s="5"/>
    </row>
    <row r="497" spans="3:224" ht="20.100000000000001" customHeight="1">
      <c r="C497" s="24">
        <v>15406003</v>
      </c>
      <c r="D497" s="36" t="s">
        <v>505</v>
      </c>
      <c r="E497" s="25">
        <v>11200002</v>
      </c>
      <c r="F497" s="25">
        <v>14051</v>
      </c>
      <c r="G497" s="25">
        <v>1</v>
      </c>
      <c r="H497" s="25">
        <v>50</v>
      </c>
      <c r="I497" s="29">
        <v>0.2</v>
      </c>
      <c r="J497" s="30">
        <v>20</v>
      </c>
      <c r="K497" s="25">
        <v>0</v>
      </c>
      <c r="L497" s="25">
        <v>0</v>
      </c>
      <c r="M497" s="25">
        <f t="shared" ref="M497" si="87">ROUND(N497/2,0)</f>
        <v>160</v>
      </c>
      <c r="N497" s="25">
        <v>320</v>
      </c>
      <c r="O497" s="25">
        <v>0</v>
      </c>
      <c r="P497" s="25">
        <v>0</v>
      </c>
      <c r="Q497" s="25">
        <f t="shared" ref="Q497" si="88">ROUND(R497/2,0)</f>
        <v>50</v>
      </c>
      <c r="R497" s="25">
        <v>100</v>
      </c>
      <c r="S497" s="25">
        <f t="shared" ref="S497" si="89">ROUND(T497/2,0)</f>
        <v>0</v>
      </c>
      <c r="T497" s="25">
        <v>0</v>
      </c>
      <c r="U497" s="29">
        <v>0</v>
      </c>
      <c r="V497" s="25">
        <v>0</v>
      </c>
      <c r="W497" s="25">
        <v>0</v>
      </c>
      <c r="X497" s="25">
        <v>0</v>
      </c>
      <c r="Y497" s="29">
        <v>0</v>
      </c>
      <c r="Z497" s="29">
        <v>0</v>
      </c>
      <c r="AA497" s="29">
        <v>0</v>
      </c>
      <c r="AB497" s="29">
        <v>0</v>
      </c>
      <c r="AC497" s="29">
        <v>0</v>
      </c>
      <c r="AD497" s="29">
        <v>0</v>
      </c>
      <c r="AE497" s="43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  <c r="HF497" s="5"/>
      <c r="HG497" s="5"/>
      <c r="HH497" s="5"/>
      <c r="HI497" s="5"/>
      <c r="HJ497" s="5"/>
      <c r="HK497" s="5"/>
      <c r="HL497" s="5"/>
      <c r="HM497" s="5"/>
      <c r="HN497" s="5"/>
      <c r="HO497" s="5"/>
      <c r="HP497" s="5"/>
    </row>
    <row r="498" spans="3:224" ht="20.100000000000001" customHeight="1">
      <c r="C498" s="24">
        <v>15407001</v>
      </c>
      <c r="D498" s="25" t="s">
        <v>506</v>
      </c>
      <c r="E498" s="25">
        <v>11200002</v>
      </c>
      <c r="F498" s="25">
        <v>0</v>
      </c>
      <c r="G498" s="25">
        <v>1</v>
      </c>
      <c r="H498" s="25">
        <v>50</v>
      </c>
      <c r="I498" s="29">
        <v>0.2</v>
      </c>
      <c r="J498" s="30">
        <v>20</v>
      </c>
      <c r="K498" s="25">
        <v>0</v>
      </c>
      <c r="L498" s="25">
        <v>0</v>
      </c>
      <c r="M498" s="25">
        <f t="shared" si="81"/>
        <v>100</v>
      </c>
      <c r="N498" s="25">
        <v>200</v>
      </c>
      <c r="O498" s="25">
        <v>0</v>
      </c>
      <c r="P498" s="25">
        <v>0</v>
      </c>
      <c r="Q498" s="25">
        <f t="shared" si="82"/>
        <v>0</v>
      </c>
      <c r="R498" s="25">
        <v>0</v>
      </c>
      <c r="S498" s="25">
        <f t="shared" si="83"/>
        <v>31</v>
      </c>
      <c r="T498" s="25">
        <v>62</v>
      </c>
      <c r="U498" s="29">
        <v>0</v>
      </c>
      <c r="V498" s="25">
        <v>0</v>
      </c>
      <c r="W498" s="25">
        <v>0</v>
      </c>
      <c r="X498" s="25">
        <v>0</v>
      </c>
      <c r="Y498" s="29">
        <v>0</v>
      </c>
      <c r="Z498" s="29">
        <v>0</v>
      </c>
      <c r="AA498" s="29">
        <v>0</v>
      </c>
      <c r="AB498" s="29">
        <v>0</v>
      </c>
      <c r="AC498" s="29">
        <v>0</v>
      </c>
      <c r="AD498" s="29">
        <v>0</v>
      </c>
      <c r="AE498" s="43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  <c r="HF498" s="5"/>
      <c r="HG498" s="5"/>
      <c r="HH498" s="5"/>
      <c r="HI498" s="5"/>
      <c r="HJ498" s="5"/>
      <c r="HK498" s="5"/>
      <c r="HL498" s="5"/>
      <c r="HM498" s="5"/>
      <c r="HN498" s="5"/>
      <c r="HO498" s="5"/>
      <c r="HP498" s="5"/>
    </row>
    <row r="499" spans="3:224" ht="20.100000000000001" customHeight="1">
      <c r="C499" s="24">
        <v>15407002</v>
      </c>
      <c r="D499" s="25" t="s">
        <v>507</v>
      </c>
      <c r="E499" s="25">
        <v>11200002</v>
      </c>
      <c r="F499" s="25">
        <v>0</v>
      </c>
      <c r="G499" s="25">
        <v>1</v>
      </c>
      <c r="H499" s="25">
        <v>50</v>
      </c>
      <c r="I499" s="29">
        <v>0.2</v>
      </c>
      <c r="J499" s="30">
        <v>20</v>
      </c>
      <c r="K499" s="25">
        <v>0</v>
      </c>
      <c r="L499" s="25">
        <v>0</v>
      </c>
      <c r="M499" s="25">
        <f t="shared" si="81"/>
        <v>128</v>
      </c>
      <c r="N499" s="25">
        <v>255</v>
      </c>
      <c r="O499" s="25">
        <v>0</v>
      </c>
      <c r="P499" s="25">
        <v>0</v>
      </c>
      <c r="Q499" s="25">
        <f t="shared" si="82"/>
        <v>0</v>
      </c>
      <c r="R499" s="25">
        <v>0</v>
      </c>
      <c r="S499" s="25">
        <f t="shared" si="83"/>
        <v>39</v>
      </c>
      <c r="T499" s="25">
        <v>77</v>
      </c>
      <c r="U499" s="29">
        <v>0</v>
      </c>
      <c r="V499" s="25">
        <v>0</v>
      </c>
      <c r="W499" s="25">
        <v>0</v>
      </c>
      <c r="X499" s="25">
        <v>0</v>
      </c>
      <c r="Y499" s="29">
        <v>0</v>
      </c>
      <c r="Z499" s="29">
        <v>0</v>
      </c>
      <c r="AA499" s="29">
        <v>0</v>
      </c>
      <c r="AB499" s="29">
        <v>0</v>
      </c>
      <c r="AC499" s="29">
        <v>0</v>
      </c>
      <c r="AD499" s="29">
        <v>0</v>
      </c>
      <c r="AE499" s="43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  <c r="HJ499" s="5"/>
      <c r="HK499" s="5"/>
      <c r="HL499" s="5"/>
      <c r="HM499" s="5"/>
      <c r="HN499" s="5"/>
      <c r="HO499" s="5"/>
      <c r="HP499" s="5"/>
    </row>
    <row r="500" spans="3:224" s="3" customFormat="1" ht="20.100000000000001" customHeight="1">
      <c r="C500" s="26">
        <v>15407003</v>
      </c>
      <c r="D500" s="28" t="s">
        <v>508</v>
      </c>
      <c r="E500" s="28">
        <v>11200002</v>
      </c>
      <c r="F500" s="28">
        <v>0</v>
      </c>
      <c r="G500" s="28">
        <v>1</v>
      </c>
      <c r="H500" s="28">
        <v>50</v>
      </c>
      <c r="I500" s="31">
        <v>0.2</v>
      </c>
      <c r="J500" s="30">
        <v>20</v>
      </c>
      <c r="K500" s="28">
        <v>0</v>
      </c>
      <c r="L500" s="28">
        <v>0</v>
      </c>
      <c r="M500" s="28">
        <f t="shared" ref="M500" si="90">ROUND(N500/2,0)</f>
        <v>150</v>
      </c>
      <c r="N500" s="28">
        <v>300</v>
      </c>
      <c r="O500" s="28">
        <v>0</v>
      </c>
      <c r="P500" s="28">
        <v>0</v>
      </c>
      <c r="Q500" s="28">
        <f t="shared" ref="Q500" si="91">ROUND(R500/2,0)</f>
        <v>0</v>
      </c>
      <c r="R500" s="28">
        <v>0</v>
      </c>
      <c r="S500" s="28">
        <f t="shared" ref="S500" si="92">ROUND(T500/2,0)</f>
        <v>39</v>
      </c>
      <c r="T500" s="28">
        <v>77</v>
      </c>
      <c r="U500" s="31">
        <v>0</v>
      </c>
      <c r="V500" s="28">
        <v>0</v>
      </c>
      <c r="W500" s="28">
        <v>0</v>
      </c>
      <c r="X500" s="28">
        <v>0</v>
      </c>
      <c r="Y500" s="31">
        <v>0</v>
      </c>
      <c r="Z500" s="31">
        <v>0</v>
      </c>
      <c r="AA500" s="31">
        <v>0</v>
      </c>
      <c r="AB500" s="31">
        <v>204001</v>
      </c>
      <c r="AC500" s="31">
        <v>500</v>
      </c>
      <c r="AD500" s="31">
        <v>1</v>
      </c>
      <c r="AE500" s="45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  <c r="BV500" s="33"/>
      <c r="BW500" s="33"/>
      <c r="BX500" s="33"/>
      <c r="BY500" s="33"/>
      <c r="BZ500" s="33"/>
      <c r="CA500" s="33"/>
      <c r="CB500" s="33"/>
      <c r="CC500" s="33"/>
      <c r="CD500" s="33"/>
      <c r="CE500" s="33"/>
      <c r="CF500" s="33"/>
      <c r="CG500" s="33"/>
      <c r="CH500" s="33"/>
      <c r="CI500" s="33"/>
      <c r="CJ500" s="33"/>
      <c r="CK500" s="33"/>
      <c r="CL500" s="33"/>
      <c r="CM500" s="33"/>
      <c r="CN500" s="33"/>
      <c r="CO500" s="33"/>
      <c r="CP500" s="33"/>
      <c r="CQ500" s="33"/>
      <c r="CR500" s="33"/>
      <c r="CS500" s="33"/>
      <c r="CT500" s="33"/>
      <c r="CU500" s="33"/>
      <c r="CV500" s="33"/>
      <c r="CW500" s="33"/>
      <c r="CX500" s="33"/>
      <c r="CY500" s="33"/>
      <c r="CZ500" s="33"/>
      <c r="DA500" s="33"/>
      <c r="DB500" s="33"/>
      <c r="DC500" s="33"/>
      <c r="DD500" s="33"/>
      <c r="DE500" s="33"/>
      <c r="DF500" s="33"/>
      <c r="DG500" s="33"/>
      <c r="DH500" s="33"/>
      <c r="DI500" s="33"/>
      <c r="DJ500" s="33"/>
      <c r="DK500" s="33"/>
      <c r="DL500" s="33"/>
      <c r="DM500" s="33"/>
      <c r="DN500" s="33"/>
      <c r="DO500" s="33"/>
      <c r="DP500" s="33"/>
      <c r="DQ500" s="33"/>
      <c r="DR500" s="33"/>
      <c r="DS500" s="33"/>
      <c r="DT500" s="33"/>
      <c r="DU500" s="33"/>
      <c r="DV500" s="33"/>
      <c r="DW500" s="33"/>
      <c r="DX500" s="33"/>
      <c r="DY500" s="33"/>
      <c r="DZ500" s="33"/>
      <c r="EA500" s="33"/>
      <c r="EB500" s="33"/>
      <c r="EC500" s="33"/>
      <c r="ED500" s="33"/>
      <c r="EE500" s="33"/>
      <c r="EF500" s="33"/>
      <c r="EG500" s="33"/>
      <c r="EH500" s="33"/>
      <c r="EI500" s="33"/>
      <c r="EJ500" s="33"/>
      <c r="EK500" s="33"/>
      <c r="EL500" s="33"/>
      <c r="EM500" s="33"/>
      <c r="EN500" s="33"/>
      <c r="EO500" s="33"/>
      <c r="EP500" s="33"/>
      <c r="EQ500" s="33"/>
      <c r="ER500" s="33"/>
      <c r="ES500" s="33"/>
      <c r="ET500" s="33"/>
      <c r="EU500" s="33"/>
      <c r="EV500" s="33"/>
      <c r="EW500" s="33"/>
      <c r="EX500" s="33"/>
      <c r="EY500" s="33"/>
      <c r="EZ500" s="33"/>
      <c r="FA500" s="33"/>
      <c r="FB500" s="33"/>
      <c r="FC500" s="33"/>
      <c r="FD500" s="33"/>
      <c r="FE500" s="33"/>
      <c r="FF500" s="33"/>
      <c r="FG500" s="33"/>
      <c r="FH500" s="33"/>
      <c r="FI500" s="33"/>
      <c r="FJ500" s="33"/>
      <c r="FK500" s="33"/>
      <c r="FL500" s="33"/>
      <c r="FM500" s="33"/>
      <c r="FN500" s="33"/>
      <c r="FO500" s="33"/>
      <c r="FP500" s="33"/>
      <c r="FQ500" s="33"/>
      <c r="FR500" s="33"/>
      <c r="FS500" s="33"/>
      <c r="FT500" s="33"/>
      <c r="FU500" s="33"/>
      <c r="FV500" s="33"/>
      <c r="FW500" s="33"/>
      <c r="FX500" s="33"/>
      <c r="FY500" s="33"/>
      <c r="FZ500" s="33"/>
      <c r="GA500" s="33"/>
      <c r="GB500" s="33"/>
      <c r="GC500" s="33"/>
      <c r="GD500" s="33"/>
      <c r="GE500" s="33"/>
      <c r="GF500" s="33"/>
      <c r="GG500" s="33"/>
      <c r="GH500" s="33"/>
      <c r="GI500" s="33"/>
      <c r="GJ500" s="33"/>
      <c r="GK500" s="33"/>
      <c r="GL500" s="33"/>
      <c r="GM500" s="33"/>
      <c r="GN500" s="33"/>
      <c r="GO500" s="33"/>
      <c r="GP500" s="33"/>
      <c r="GQ500" s="33"/>
      <c r="GR500" s="33"/>
      <c r="GS500" s="33"/>
      <c r="GT500" s="33"/>
      <c r="GU500" s="33"/>
      <c r="GV500" s="33"/>
      <c r="GW500" s="33"/>
      <c r="GX500" s="33"/>
      <c r="GY500" s="33"/>
      <c r="GZ500" s="33"/>
      <c r="HA500" s="33"/>
      <c r="HB500" s="33"/>
      <c r="HC500" s="33"/>
      <c r="HD500" s="33"/>
      <c r="HE500" s="33"/>
      <c r="HF500" s="33"/>
      <c r="HG500" s="33"/>
      <c r="HH500" s="33"/>
      <c r="HI500" s="33"/>
      <c r="HJ500" s="33"/>
      <c r="HK500" s="33"/>
      <c r="HL500" s="33"/>
      <c r="HM500" s="33"/>
      <c r="HN500" s="33"/>
      <c r="HO500" s="33"/>
      <c r="HP500" s="33"/>
    </row>
    <row r="501" spans="3:224" ht="20.100000000000001" customHeight="1">
      <c r="C501" s="24">
        <v>15408001</v>
      </c>
      <c r="D501" s="25" t="s">
        <v>329</v>
      </c>
      <c r="E501" s="25">
        <v>11200002</v>
      </c>
      <c r="F501" s="25">
        <v>0</v>
      </c>
      <c r="G501" s="25">
        <v>1</v>
      </c>
      <c r="H501" s="25">
        <v>50</v>
      </c>
      <c r="I501" s="29">
        <v>0.2</v>
      </c>
      <c r="J501" s="30">
        <v>20</v>
      </c>
      <c r="K501" s="25">
        <v>0</v>
      </c>
      <c r="L501" s="25">
        <v>0</v>
      </c>
      <c r="M501" s="25">
        <v>20</v>
      </c>
      <c r="N501" s="25">
        <v>35</v>
      </c>
      <c r="O501" s="25">
        <v>0</v>
      </c>
      <c r="P501" s="25">
        <v>0</v>
      </c>
      <c r="Q501" s="25">
        <f t="shared" si="82"/>
        <v>0</v>
      </c>
      <c r="R501" s="25">
        <v>0</v>
      </c>
      <c r="S501" s="25">
        <f t="shared" si="83"/>
        <v>0</v>
      </c>
      <c r="T501" s="25">
        <v>0</v>
      </c>
      <c r="U501" s="29">
        <v>0</v>
      </c>
      <c r="V501" s="25">
        <v>0</v>
      </c>
      <c r="W501" s="25">
        <v>0</v>
      </c>
      <c r="X501" s="25">
        <v>0</v>
      </c>
      <c r="Y501" s="29">
        <v>0</v>
      </c>
      <c r="Z501" s="29">
        <v>0</v>
      </c>
      <c r="AA501" s="29">
        <v>0</v>
      </c>
      <c r="AB501" s="29">
        <v>0</v>
      </c>
      <c r="AC501" s="29">
        <v>0</v>
      </c>
      <c r="AD501" s="29">
        <v>0</v>
      </c>
      <c r="AE501" s="43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  <c r="HF501" s="5"/>
      <c r="HG501" s="5"/>
      <c r="HH501" s="5"/>
      <c r="HI501" s="5"/>
      <c r="HJ501" s="5"/>
      <c r="HK501" s="5"/>
      <c r="HL501" s="5"/>
      <c r="HM501" s="5"/>
      <c r="HN501" s="5"/>
      <c r="HO501" s="5"/>
      <c r="HP501" s="5"/>
    </row>
    <row r="502" spans="3:224" ht="20.100000000000001" customHeight="1">
      <c r="C502" s="24">
        <v>15408002</v>
      </c>
      <c r="D502" s="25" t="s">
        <v>509</v>
      </c>
      <c r="E502" s="25">
        <v>11200002</v>
      </c>
      <c r="F502" s="25">
        <v>0</v>
      </c>
      <c r="G502" s="25">
        <v>1</v>
      </c>
      <c r="H502" s="25">
        <v>50</v>
      </c>
      <c r="I502" s="29">
        <v>0.2</v>
      </c>
      <c r="J502" s="30">
        <v>20</v>
      </c>
      <c r="K502" s="25">
        <v>0</v>
      </c>
      <c r="L502" s="25">
        <v>0</v>
      </c>
      <c r="M502" s="25">
        <v>25</v>
      </c>
      <c r="N502" s="25">
        <v>45</v>
      </c>
      <c r="O502" s="25">
        <v>0</v>
      </c>
      <c r="P502" s="25">
        <v>0</v>
      </c>
      <c r="Q502" s="25">
        <f t="shared" si="82"/>
        <v>0</v>
      </c>
      <c r="R502" s="25">
        <v>0</v>
      </c>
      <c r="S502" s="25">
        <f t="shared" si="83"/>
        <v>0</v>
      </c>
      <c r="T502" s="25">
        <v>0</v>
      </c>
      <c r="U502" s="29">
        <v>0</v>
      </c>
      <c r="V502" s="25">
        <v>0</v>
      </c>
      <c r="W502" s="25">
        <v>0</v>
      </c>
      <c r="X502" s="25">
        <v>0</v>
      </c>
      <c r="Y502" s="29">
        <v>0</v>
      </c>
      <c r="Z502" s="29">
        <v>0</v>
      </c>
      <c r="AA502" s="29">
        <v>0</v>
      </c>
      <c r="AB502" s="29">
        <v>0</v>
      </c>
      <c r="AC502" s="29">
        <v>0</v>
      </c>
      <c r="AD502" s="29">
        <v>0</v>
      </c>
      <c r="AE502" s="43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  <c r="HF502" s="5"/>
      <c r="HG502" s="5"/>
      <c r="HH502" s="5"/>
      <c r="HI502" s="5"/>
      <c r="HJ502" s="5"/>
      <c r="HK502" s="5"/>
      <c r="HL502" s="5"/>
      <c r="HM502" s="5"/>
      <c r="HN502" s="5"/>
      <c r="HO502" s="5"/>
      <c r="HP502" s="5"/>
    </row>
    <row r="503" spans="3:224" s="3" customFormat="1" ht="20.100000000000001" customHeight="1">
      <c r="C503" s="26">
        <v>15408003</v>
      </c>
      <c r="D503" s="28" t="s">
        <v>510</v>
      </c>
      <c r="E503" s="28">
        <v>11200002</v>
      </c>
      <c r="F503" s="28">
        <v>0</v>
      </c>
      <c r="G503" s="28">
        <v>1</v>
      </c>
      <c r="H503" s="28">
        <v>50</v>
      </c>
      <c r="I503" s="31">
        <v>0.2</v>
      </c>
      <c r="J503" s="30">
        <v>20</v>
      </c>
      <c r="K503" s="28">
        <v>0</v>
      </c>
      <c r="L503" s="28">
        <v>0</v>
      </c>
      <c r="M503" s="28">
        <v>25</v>
      </c>
      <c r="N503" s="28">
        <v>55</v>
      </c>
      <c r="O503" s="28">
        <v>0</v>
      </c>
      <c r="P503" s="28">
        <v>0</v>
      </c>
      <c r="Q503" s="28">
        <f t="shared" ref="Q503" si="93">ROUND(R503/2,0)</f>
        <v>0</v>
      </c>
      <c r="R503" s="28">
        <v>0</v>
      </c>
      <c r="S503" s="28">
        <f t="shared" ref="S503" si="94">ROUND(T503/2,0)</f>
        <v>0</v>
      </c>
      <c r="T503" s="28">
        <v>0</v>
      </c>
      <c r="U503" s="31">
        <v>0</v>
      </c>
      <c r="V503" s="28">
        <v>0</v>
      </c>
      <c r="W503" s="28">
        <v>0</v>
      </c>
      <c r="X503" s="28">
        <v>0</v>
      </c>
      <c r="Y503" s="31">
        <v>0</v>
      </c>
      <c r="Z503" s="31">
        <v>0</v>
      </c>
      <c r="AA503" s="31">
        <v>0</v>
      </c>
      <c r="AB503" s="31">
        <v>0</v>
      </c>
      <c r="AC503" s="31">
        <v>0</v>
      </c>
      <c r="AD503" s="31">
        <v>0</v>
      </c>
      <c r="AE503" s="45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  <c r="BV503" s="33"/>
      <c r="BW503" s="33"/>
      <c r="BX503" s="33"/>
      <c r="BY503" s="33"/>
      <c r="BZ503" s="33"/>
      <c r="CA503" s="33"/>
      <c r="CB503" s="33"/>
      <c r="CC503" s="33"/>
      <c r="CD503" s="33"/>
      <c r="CE503" s="33"/>
      <c r="CF503" s="33"/>
      <c r="CG503" s="33"/>
      <c r="CH503" s="33"/>
      <c r="CI503" s="33"/>
      <c r="CJ503" s="33"/>
      <c r="CK503" s="33"/>
      <c r="CL503" s="33"/>
      <c r="CM503" s="33"/>
      <c r="CN503" s="33"/>
      <c r="CO503" s="33"/>
      <c r="CP503" s="33"/>
      <c r="CQ503" s="33"/>
      <c r="CR503" s="33"/>
      <c r="CS503" s="33"/>
      <c r="CT503" s="33"/>
      <c r="CU503" s="33"/>
      <c r="CV503" s="33"/>
      <c r="CW503" s="33"/>
      <c r="CX503" s="33"/>
      <c r="CY503" s="33"/>
      <c r="CZ503" s="33"/>
      <c r="DA503" s="33"/>
      <c r="DB503" s="33"/>
      <c r="DC503" s="33"/>
      <c r="DD503" s="33"/>
      <c r="DE503" s="33"/>
      <c r="DF503" s="33"/>
      <c r="DG503" s="33"/>
      <c r="DH503" s="33"/>
      <c r="DI503" s="33"/>
      <c r="DJ503" s="33"/>
      <c r="DK503" s="33"/>
      <c r="DL503" s="33"/>
      <c r="DM503" s="33"/>
      <c r="DN503" s="33"/>
      <c r="DO503" s="33"/>
      <c r="DP503" s="33"/>
      <c r="DQ503" s="33"/>
      <c r="DR503" s="33"/>
      <c r="DS503" s="33"/>
      <c r="DT503" s="33"/>
      <c r="DU503" s="33"/>
      <c r="DV503" s="33"/>
      <c r="DW503" s="33"/>
      <c r="DX503" s="33"/>
      <c r="DY503" s="33"/>
      <c r="DZ503" s="33"/>
      <c r="EA503" s="33"/>
      <c r="EB503" s="33"/>
      <c r="EC503" s="33"/>
      <c r="ED503" s="33"/>
      <c r="EE503" s="33"/>
      <c r="EF503" s="33"/>
      <c r="EG503" s="33"/>
      <c r="EH503" s="33"/>
      <c r="EI503" s="33"/>
      <c r="EJ503" s="33"/>
      <c r="EK503" s="33"/>
      <c r="EL503" s="33"/>
      <c r="EM503" s="33"/>
      <c r="EN503" s="33"/>
      <c r="EO503" s="33"/>
      <c r="EP503" s="33"/>
      <c r="EQ503" s="33"/>
      <c r="ER503" s="33"/>
      <c r="ES503" s="33"/>
      <c r="ET503" s="33"/>
      <c r="EU503" s="33"/>
      <c r="EV503" s="33"/>
      <c r="EW503" s="33"/>
      <c r="EX503" s="33"/>
      <c r="EY503" s="33"/>
      <c r="EZ503" s="33"/>
      <c r="FA503" s="33"/>
      <c r="FB503" s="33"/>
      <c r="FC503" s="33"/>
      <c r="FD503" s="33"/>
      <c r="FE503" s="33"/>
      <c r="FF503" s="33"/>
      <c r="FG503" s="33"/>
      <c r="FH503" s="33"/>
      <c r="FI503" s="33"/>
      <c r="FJ503" s="33"/>
      <c r="FK503" s="33"/>
      <c r="FL503" s="33"/>
      <c r="FM503" s="33"/>
      <c r="FN503" s="33"/>
      <c r="FO503" s="33"/>
      <c r="FP503" s="33"/>
      <c r="FQ503" s="33"/>
      <c r="FR503" s="33"/>
      <c r="FS503" s="33"/>
      <c r="FT503" s="33"/>
      <c r="FU503" s="33"/>
      <c r="FV503" s="33"/>
      <c r="FW503" s="33"/>
      <c r="FX503" s="33"/>
      <c r="FY503" s="33"/>
      <c r="FZ503" s="33"/>
      <c r="GA503" s="33"/>
      <c r="GB503" s="33"/>
      <c r="GC503" s="33"/>
      <c r="GD503" s="33"/>
      <c r="GE503" s="33"/>
      <c r="GF503" s="33"/>
      <c r="GG503" s="33"/>
      <c r="GH503" s="33"/>
      <c r="GI503" s="33"/>
      <c r="GJ503" s="33"/>
      <c r="GK503" s="33"/>
      <c r="GL503" s="33"/>
      <c r="GM503" s="33"/>
      <c r="GN503" s="33"/>
      <c r="GO503" s="33"/>
      <c r="GP503" s="33"/>
      <c r="GQ503" s="33"/>
      <c r="GR503" s="33"/>
      <c r="GS503" s="33"/>
      <c r="GT503" s="33"/>
      <c r="GU503" s="33"/>
      <c r="GV503" s="33"/>
      <c r="GW503" s="33"/>
      <c r="GX503" s="33"/>
      <c r="GY503" s="33"/>
      <c r="GZ503" s="33"/>
      <c r="HA503" s="33"/>
      <c r="HB503" s="33"/>
      <c r="HC503" s="33"/>
      <c r="HD503" s="33"/>
      <c r="HE503" s="33"/>
      <c r="HF503" s="33"/>
      <c r="HG503" s="33"/>
      <c r="HH503" s="33"/>
      <c r="HI503" s="33"/>
      <c r="HJ503" s="33"/>
      <c r="HK503" s="33"/>
      <c r="HL503" s="33"/>
      <c r="HM503" s="33"/>
      <c r="HN503" s="33"/>
      <c r="HO503" s="33"/>
      <c r="HP503" s="33"/>
    </row>
    <row r="504" spans="3:224" ht="20.100000000000001" customHeight="1">
      <c r="C504" s="24">
        <v>15409001</v>
      </c>
      <c r="D504" s="25" t="s">
        <v>511</v>
      </c>
      <c r="E504" s="25">
        <v>11200001</v>
      </c>
      <c r="F504" s="25">
        <v>0</v>
      </c>
      <c r="G504" s="25">
        <v>1</v>
      </c>
      <c r="H504" s="25">
        <v>50</v>
      </c>
      <c r="I504" s="29">
        <v>0.2</v>
      </c>
      <c r="J504" s="30">
        <v>20</v>
      </c>
      <c r="K504" s="25">
        <v>0</v>
      </c>
      <c r="L504" s="25">
        <v>5750</v>
      </c>
      <c r="M504" s="25">
        <f t="shared" si="81"/>
        <v>0</v>
      </c>
      <c r="N504" s="25">
        <v>0</v>
      </c>
      <c r="O504" s="25">
        <v>0</v>
      </c>
      <c r="P504" s="25">
        <v>0</v>
      </c>
      <c r="Q504" s="25">
        <f t="shared" si="82"/>
        <v>0</v>
      </c>
      <c r="R504" s="25">
        <v>0</v>
      </c>
      <c r="S504" s="25">
        <f t="shared" si="83"/>
        <v>0</v>
      </c>
      <c r="T504" s="25">
        <v>0</v>
      </c>
      <c r="U504" s="29">
        <v>0</v>
      </c>
      <c r="V504" s="25">
        <v>0</v>
      </c>
      <c r="W504" s="25">
        <v>0</v>
      </c>
      <c r="X504" s="25">
        <v>0</v>
      </c>
      <c r="Y504" s="29">
        <v>0</v>
      </c>
      <c r="Z504" s="29">
        <v>0</v>
      </c>
      <c r="AA504" s="29">
        <v>0</v>
      </c>
      <c r="AB504" s="29">
        <v>0</v>
      </c>
      <c r="AC504" s="29">
        <v>0</v>
      </c>
      <c r="AD504" s="29">
        <v>0</v>
      </c>
      <c r="AE504" s="43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  <c r="HF504" s="5"/>
      <c r="HG504" s="5"/>
      <c r="HH504" s="5"/>
      <c r="HI504" s="5"/>
      <c r="HJ504" s="5"/>
      <c r="HK504" s="5"/>
      <c r="HL504" s="5"/>
      <c r="HM504" s="5"/>
      <c r="HN504" s="5"/>
      <c r="HO504" s="5"/>
      <c r="HP504" s="5"/>
    </row>
    <row r="505" spans="3:224" ht="20.100000000000001" customHeight="1">
      <c r="C505" s="24">
        <v>15409002</v>
      </c>
      <c r="D505" s="25" t="s">
        <v>512</v>
      </c>
      <c r="E505" s="25">
        <v>11200001</v>
      </c>
      <c r="F505" s="25">
        <v>0</v>
      </c>
      <c r="G505" s="25">
        <v>1</v>
      </c>
      <c r="H505" s="25">
        <v>50</v>
      </c>
      <c r="I505" s="29">
        <v>0.2</v>
      </c>
      <c r="J505" s="30">
        <v>20</v>
      </c>
      <c r="K505" s="25">
        <v>0</v>
      </c>
      <c r="L505" s="25">
        <v>7140</v>
      </c>
      <c r="M505" s="25">
        <f t="shared" si="81"/>
        <v>0</v>
      </c>
      <c r="N505" s="25">
        <v>0</v>
      </c>
      <c r="O505" s="25">
        <v>0</v>
      </c>
      <c r="P505" s="25">
        <v>0</v>
      </c>
      <c r="Q505" s="25">
        <f t="shared" si="82"/>
        <v>0</v>
      </c>
      <c r="R505" s="25">
        <v>0</v>
      </c>
      <c r="S505" s="25">
        <f t="shared" si="83"/>
        <v>0</v>
      </c>
      <c r="T505" s="25">
        <v>0</v>
      </c>
      <c r="U505" s="29">
        <v>0</v>
      </c>
      <c r="V505" s="25">
        <v>0</v>
      </c>
      <c r="W505" s="25">
        <v>0</v>
      </c>
      <c r="X505" s="25">
        <v>0</v>
      </c>
      <c r="Y505" s="29">
        <v>0</v>
      </c>
      <c r="Z505" s="29">
        <v>0</v>
      </c>
      <c r="AA505" s="29">
        <v>0</v>
      </c>
      <c r="AB505" s="29">
        <v>0</v>
      </c>
      <c r="AC505" s="29">
        <v>0</v>
      </c>
      <c r="AD505" s="29">
        <v>0</v>
      </c>
      <c r="AE505" s="43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  <c r="HJ505" s="5"/>
      <c r="HK505" s="5"/>
      <c r="HL505" s="5"/>
      <c r="HM505" s="5"/>
      <c r="HN505" s="5"/>
      <c r="HO505" s="5"/>
      <c r="HP505" s="5"/>
    </row>
    <row r="506" spans="3:224" ht="20.100000000000001" customHeight="1">
      <c r="C506" s="24">
        <v>15410001</v>
      </c>
      <c r="D506" s="24" t="s">
        <v>513</v>
      </c>
      <c r="E506" s="25">
        <v>11200001</v>
      </c>
      <c r="F506" s="25">
        <v>0</v>
      </c>
      <c r="G506" s="25">
        <v>1</v>
      </c>
      <c r="H506" s="25">
        <v>50</v>
      </c>
      <c r="I506" s="29">
        <v>0.2</v>
      </c>
      <c r="J506" s="30">
        <v>20</v>
      </c>
      <c r="K506" s="25">
        <v>0</v>
      </c>
      <c r="L506" s="25">
        <v>0</v>
      </c>
      <c r="M506" s="25">
        <f t="shared" si="81"/>
        <v>290</v>
      </c>
      <c r="N506" s="25">
        <v>580</v>
      </c>
      <c r="O506" s="25">
        <v>0</v>
      </c>
      <c r="P506" s="25">
        <v>0</v>
      </c>
      <c r="Q506" s="25">
        <f t="shared" si="82"/>
        <v>0</v>
      </c>
      <c r="R506" s="25">
        <v>0</v>
      </c>
      <c r="S506" s="25">
        <f t="shared" si="83"/>
        <v>0</v>
      </c>
      <c r="T506" s="25">
        <v>0</v>
      </c>
      <c r="U506" s="29">
        <v>0</v>
      </c>
      <c r="V506" s="25">
        <v>0</v>
      </c>
      <c r="W506" s="25">
        <v>0</v>
      </c>
      <c r="X506" s="25">
        <v>0</v>
      </c>
      <c r="Y506" s="29">
        <v>0</v>
      </c>
      <c r="Z506" s="29">
        <v>0</v>
      </c>
      <c r="AA506" s="29">
        <v>0</v>
      </c>
      <c r="AB506" s="29">
        <v>0</v>
      </c>
      <c r="AC506" s="29">
        <v>0</v>
      </c>
      <c r="AD506" s="29">
        <v>0</v>
      </c>
      <c r="AE506" s="43"/>
      <c r="GR506" s="5"/>
      <c r="GS506" s="5"/>
      <c r="GT506" s="5"/>
      <c r="GU506" s="5"/>
      <c r="GV506" s="5"/>
      <c r="GW506" s="5"/>
      <c r="GX506" s="5"/>
      <c r="GY506" s="5"/>
      <c r="GZ506" s="5"/>
      <c r="HA506" s="5"/>
      <c r="HB506" s="5"/>
      <c r="HC506" s="5"/>
      <c r="HD506" s="5"/>
      <c r="HE506" s="5"/>
      <c r="HF506" s="5"/>
      <c r="HG506" s="5"/>
      <c r="HH506" s="5"/>
      <c r="HI506" s="5"/>
      <c r="HJ506" s="5"/>
      <c r="HK506" s="5"/>
      <c r="HL506" s="5"/>
      <c r="HM506" s="5"/>
      <c r="HN506" s="5"/>
      <c r="HO506" s="5"/>
      <c r="HP506" s="5"/>
    </row>
    <row r="507" spans="3:224" ht="20.100000000000001" customHeight="1">
      <c r="C507" s="24">
        <v>15410002</v>
      </c>
      <c r="D507" s="24" t="s">
        <v>514</v>
      </c>
      <c r="E507" s="25">
        <v>11200001</v>
      </c>
      <c r="F507" s="25">
        <v>0</v>
      </c>
      <c r="G507" s="25">
        <v>1</v>
      </c>
      <c r="H507" s="25">
        <v>50</v>
      </c>
      <c r="I507" s="29">
        <v>0.2</v>
      </c>
      <c r="J507" s="30">
        <v>20</v>
      </c>
      <c r="K507" s="25">
        <v>0</v>
      </c>
      <c r="L507" s="25">
        <v>0</v>
      </c>
      <c r="M507" s="25">
        <f t="shared" si="81"/>
        <v>358</v>
      </c>
      <c r="N507" s="25">
        <v>715</v>
      </c>
      <c r="O507" s="25">
        <v>0</v>
      </c>
      <c r="P507" s="25">
        <v>0</v>
      </c>
      <c r="Q507" s="25">
        <f t="shared" si="82"/>
        <v>0</v>
      </c>
      <c r="R507" s="25">
        <v>0</v>
      </c>
      <c r="S507" s="25">
        <f t="shared" si="83"/>
        <v>0</v>
      </c>
      <c r="T507" s="25">
        <v>0</v>
      </c>
      <c r="U507" s="29">
        <v>0</v>
      </c>
      <c r="V507" s="25">
        <v>0</v>
      </c>
      <c r="W507" s="25">
        <v>0</v>
      </c>
      <c r="X507" s="25">
        <v>0</v>
      </c>
      <c r="Y507" s="29">
        <v>0</v>
      </c>
      <c r="Z507" s="29">
        <v>0</v>
      </c>
      <c r="AA507" s="29">
        <v>0</v>
      </c>
      <c r="AB507" s="29">
        <v>0</v>
      </c>
      <c r="AC507" s="29">
        <v>0</v>
      </c>
      <c r="AD507" s="29">
        <v>0</v>
      </c>
      <c r="AE507" s="43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  <c r="HJ507" s="5"/>
      <c r="HK507" s="5"/>
      <c r="HL507" s="5"/>
      <c r="HM507" s="5"/>
      <c r="HN507" s="5"/>
      <c r="HO507" s="5"/>
      <c r="HP507" s="5"/>
    </row>
    <row r="508" spans="3:224" ht="20.100000000000001" customHeight="1">
      <c r="C508" s="24">
        <v>15410003</v>
      </c>
      <c r="D508" s="24" t="s">
        <v>515</v>
      </c>
      <c r="E508" s="25">
        <v>11200001</v>
      </c>
      <c r="F508" s="25">
        <v>0</v>
      </c>
      <c r="G508" s="25">
        <v>1</v>
      </c>
      <c r="H508" s="25">
        <v>50</v>
      </c>
      <c r="I508" s="29">
        <v>0.2</v>
      </c>
      <c r="J508" s="30">
        <v>20</v>
      </c>
      <c r="K508" s="25">
        <v>0</v>
      </c>
      <c r="L508" s="25">
        <v>0</v>
      </c>
      <c r="M508" s="25">
        <f t="shared" si="81"/>
        <v>290</v>
      </c>
      <c r="N508" s="25">
        <v>580</v>
      </c>
      <c r="O508" s="25">
        <v>0</v>
      </c>
      <c r="P508" s="25">
        <v>0</v>
      </c>
      <c r="Q508" s="25">
        <f t="shared" si="82"/>
        <v>0</v>
      </c>
      <c r="R508" s="25">
        <v>0</v>
      </c>
      <c r="S508" s="25">
        <f t="shared" si="83"/>
        <v>0</v>
      </c>
      <c r="T508" s="25">
        <v>0</v>
      </c>
      <c r="U508" s="29">
        <v>0</v>
      </c>
      <c r="V508" s="25">
        <v>0</v>
      </c>
      <c r="W508" s="25">
        <v>0</v>
      </c>
      <c r="X508" s="25">
        <v>0</v>
      </c>
      <c r="Y508" s="29">
        <v>0</v>
      </c>
      <c r="Z508" s="29">
        <v>0</v>
      </c>
      <c r="AA508" s="29">
        <v>0</v>
      </c>
      <c r="AB508" s="29">
        <v>0</v>
      </c>
      <c r="AC508" s="29">
        <v>0</v>
      </c>
      <c r="AD508" s="29">
        <v>0</v>
      </c>
      <c r="AE508" s="43"/>
      <c r="GR508" s="5"/>
      <c r="GS508" s="5"/>
      <c r="GT508" s="5"/>
      <c r="GU508" s="5"/>
      <c r="GV508" s="5"/>
      <c r="GW508" s="5"/>
      <c r="GX508" s="5"/>
      <c r="GY508" s="5"/>
      <c r="GZ508" s="5"/>
      <c r="HA508" s="5"/>
      <c r="HB508" s="5"/>
      <c r="HC508" s="5"/>
      <c r="HD508" s="5"/>
      <c r="HE508" s="5"/>
      <c r="HF508" s="5"/>
      <c r="HG508" s="5"/>
      <c r="HH508" s="5"/>
      <c r="HI508" s="5"/>
      <c r="HJ508" s="5"/>
      <c r="HK508" s="5"/>
      <c r="HL508" s="5"/>
      <c r="HM508" s="5"/>
      <c r="HN508" s="5"/>
      <c r="HO508" s="5"/>
      <c r="HP508" s="5"/>
    </row>
    <row r="509" spans="3:224" ht="20.100000000000001" customHeight="1">
      <c r="C509" s="24">
        <v>15410004</v>
      </c>
      <c r="D509" s="24" t="s">
        <v>514</v>
      </c>
      <c r="E509" s="25">
        <v>11200001</v>
      </c>
      <c r="F509" s="25">
        <v>0</v>
      </c>
      <c r="G509" s="25">
        <v>1</v>
      </c>
      <c r="H509" s="25">
        <v>50</v>
      </c>
      <c r="I509" s="29">
        <v>0.2</v>
      </c>
      <c r="J509" s="30">
        <v>20</v>
      </c>
      <c r="K509" s="25">
        <v>0</v>
      </c>
      <c r="L509" s="25">
        <v>0</v>
      </c>
      <c r="M509" s="25">
        <f t="shared" si="81"/>
        <v>358</v>
      </c>
      <c r="N509" s="25">
        <v>715</v>
      </c>
      <c r="O509" s="25">
        <v>0</v>
      </c>
      <c r="P509" s="25">
        <v>0</v>
      </c>
      <c r="Q509" s="25">
        <f t="shared" si="82"/>
        <v>0</v>
      </c>
      <c r="R509" s="25">
        <v>0</v>
      </c>
      <c r="S509" s="25">
        <f t="shared" si="83"/>
        <v>0</v>
      </c>
      <c r="T509" s="25">
        <v>0</v>
      </c>
      <c r="U509" s="29">
        <v>0</v>
      </c>
      <c r="V509" s="25">
        <v>0</v>
      </c>
      <c r="W509" s="25">
        <v>0</v>
      </c>
      <c r="X509" s="25">
        <v>0</v>
      </c>
      <c r="Y509" s="29">
        <v>0</v>
      </c>
      <c r="Z509" s="29">
        <v>0</v>
      </c>
      <c r="AA509" s="29">
        <v>0</v>
      </c>
      <c r="AB509" s="29">
        <v>0</v>
      </c>
      <c r="AC509" s="29">
        <v>0</v>
      </c>
      <c r="AD509" s="29">
        <v>0</v>
      </c>
      <c r="AE509" s="43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  <c r="HJ509" s="5"/>
      <c r="HK509" s="5"/>
      <c r="HL509" s="5"/>
      <c r="HM509" s="5"/>
      <c r="HN509" s="5"/>
      <c r="HO509" s="5"/>
      <c r="HP509" s="5"/>
    </row>
    <row r="510" spans="3:224" ht="20.100000000000001" customHeight="1">
      <c r="C510" s="24">
        <v>15410011</v>
      </c>
      <c r="D510" s="36" t="s">
        <v>516</v>
      </c>
      <c r="E510" s="25">
        <v>11200001</v>
      </c>
      <c r="F510" s="25">
        <v>14051</v>
      </c>
      <c r="G510" s="25">
        <v>1</v>
      </c>
      <c r="H510" s="25">
        <v>50</v>
      </c>
      <c r="I510" s="29">
        <v>0.2</v>
      </c>
      <c r="J510" s="30">
        <v>20</v>
      </c>
      <c r="K510" s="25">
        <v>0</v>
      </c>
      <c r="L510" s="25">
        <v>0</v>
      </c>
      <c r="M510" s="25">
        <f t="shared" ref="M510:M511" si="95">ROUND(N510/2,0)</f>
        <v>440</v>
      </c>
      <c r="N510" s="25">
        <v>880</v>
      </c>
      <c r="O510" s="25">
        <v>0</v>
      </c>
      <c r="P510" s="25">
        <v>0</v>
      </c>
      <c r="Q510" s="25">
        <f t="shared" ref="Q510:Q511" si="96">ROUND(R510/2,0)</f>
        <v>0</v>
      </c>
      <c r="R510" s="25">
        <v>0</v>
      </c>
      <c r="S510" s="25">
        <f t="shared" ref="S510:S511" si="97">ROUND(T510/2,0)</f>
        <v>0</v>
      </c>
      <c r="T510" s="25">
        <v>0</v>
      </c>
      <c r="U510" s="29">
        <v>0</v>
      </c>
      <c r="V510" s="25">
        <v>0</v>
      </c>
      <c r="W510" s="25">
        <v>0</v>
      </c>
      <c r="X510" s="25">
        <v>0</v>
      </c>
      <c r="Y510" s="29">
        <v>0</v>
      </c>
      <c r="Z510" s="29">
        <v>0</v>
      </c>
      <c r="AA510" s="29">
        <v>0</v>
      </c>
      <c r="AB510" s="29">
        <v>0</v>
      </c>
      <c r="AC510" s="29">
        <v>0</v>
      </c>
      <c r="AD510" s="29">
        <v>0</v>
      </c>
      <c r="AE510" s="43"/>
      <c r="GR510" s="5"/>
      <c r="GS510" s="5"/>
      <c r="GT510" s="5"/>
      <c r="GU510" s="5"/>
      <c r="GV510" s="5"/>
      <c r="GW510" s="5"/>
      <c r="GX510" s="5"/>
      <c r="GY510" s="5"/>
      <c r="GZ510" s="5"/>
      <c r="HA510" s="5"/>
      <c r="HB510" s="5"/>
      <c r="HC510" s="5"/>
      <c r="HD510" s="5"/>
      <c r="HE510" s="5"/>
      <c r="HF510" s="5"/>
      <c r="HG510" s="5"/>
      <c r="HH510" s="5"/>
      <c r="HI510" s="5"/>
      <c r="HJ510" s="5"/>
      <c r="HK510" s="5"/>
      <c r="HL510" s="5"/>
      <c r="HM510" s="5"/>
      <c r="HN510" s="5"/>
      <c r="HO510" s="5"/>
      <c r="HP510" s="5"/>
    </row>
    <row r="511" spans="3:224" ht="20.100000000000001" customHeight="1">
      <c r="C511" s="24">
        <v>15410012</v>
      </c>
      <c r="D511" s="36" t="s">
        <v>517</v>
      </c>
      <c r="E511" s="25">
        <v>11200001</v>
      </c>
      <c r="F511" s="25">
        <v>14051</v>
      </c>
      <c r="G511" s="25">
        <v>1</v>
      </c>
      <c r="H511" s="25">
        <v>50</v>
      </c>
      <c r="I511" s="29">
        <v>0.2</v>
      </c>
      <c r="J511" s="30">
        <v>20</v>
      </c>
      <c r="K511" s="25">
        <v>0</v>
      </c>
      <c r="L511" s="25">
        <v>0</v>
      </c>
      <c r="M511" s="25">
        <f t="shared" si="95"/>
        <v>440</v>
      </c>
      <c r="N511" s="25">
        <v>880</v>
      </c>
      <c r="O511" s="25">
        <v>0</v>
      </c>
      <c r="P511" s="25">
        <v>0</v>
      </c>
      <c r="Q511" s="25">
        <f t="shared" si="96"/>
        <v>0</v>
      </c>
      <c r="R511" s="25">
        <v>0</v>
      </c>
      <c r="S511" s="25">
        <f t="shared" si="97"/>
        <v>0</v>
      </c>
      <c r="T511" s="25">
        <v>0</v>
      </c>
      <c r="U511" s="29">
        <v>0</v>
      </c>
      <c r="V511" s="25">
        <v>0</v>
      </c>
      <c r="W511" s="25">
        <v>0</v>
      </c>
      <c r="X511" s="25">
        <v>0</v>
      </c>
      <c r="Y511" s="29">
        <v>0</v>
      </c>
      <c r="Z511" s="29">
        <v>0</v>
      </c>
      <c r="AA511" s="29">
        <v>0</v>
      </c>
      <c r="AB511" s="29">
        <v>0</v>
      </c>
      <c r="AC511" s="29">
        <v>0</v>
      </c>
      <c r="AD511" s="29">
        <v>0</v>
      </c>
      <c r="AE511" s="43">
        <v>100006</v>
      </c>
      <c r="GR511" s="5"/>
      <c r="GS511" s="5"/>
      <c r="GT511" s="5"/>
      <c r="GU511" s="5"/>
      <c r="GV511" s="5"/>
      <c r="GW511" s="5"/>
      <c r="GX511" s="5"/>
      <c r="GY511" s="5"/>
      <c r="GZ511" s="5"/>
      <c r="HA511" s="5"/>
      <c r="HB511" s="5"/>
      <c r="HC511" s="5"/>
      <c r="HD511" s="5"/>
      <c r="HE511" s="5"/>
      <c r="HF511" s="5"/>
      <c r="HG511" s="5"/>
      <c r="HH511" s="5"/>
      <c r="HI511" s="5"/>
      <c r="HJ511" s="5"/>
      <c r="HK511" s="5"/>
      <c r="HL511" s="5"/>
      <c r="HM511" s="5"/>
      <c r="HN511" s="5"/>
      <c r="HO511" s="5"/>
      <c r="HP511" s="5"/>
    </row>
    <row r="512" spans="3:224" ht="20.100000000000001" customHeight="1">
      <c r="C512" s="24">
        <v>15410111</v>
      </c>
      <c r="D512" s="36" t="s">
        <v>518</v>
      </c>
      <c r="E512" s="25">
        <v>11200001</v>
      </c>
      <c r="F512" s="25">
        <v>14051</v>
      </c>
      <c r="G512" s="25">
        <v>1</v>
      </c>
      <c r="H512" s="25">
        <v>50</v>
      </c>
      <c r="I512" s="29">
        <v>0.2</v>
      </c>
      <c r="J512" s="30">
        <v>20</v>
      </c>
      <c r="K512" s="25">
        <v>0</v>
      </c>
      <c r="L512" s="25">
        <v>0</v>
      </c>
      <c r="M512" s="25">
        <f t="shared" ref="M512:M516" si="98">ROUND(N512/2,0)</f>
        <v>440</v>
      </c>
      <c r="N512" s="25">
        <v>880</v>
      </c>
      <c r="O512" s="25">
        <v>0</v>
      </c>
      <c r="P512" s="25">
        <v>0</v>
      </c>
      <c r="Q512" s="25">
        <f t="shared" ref="Q512:Q516" si="99">ROUND(R512/2,0)</f>
        <v>0</v>
      </c>
      <c r="R512" s="25">
        <v>0</v>
      </c>
      <c r="S512" s="25">
        <f t="shared" ref="S512:S516" si="100">ROUND(T512/2,0)</f>
        <v>0</v>
      </c>
      <c r="T512" s="25">
        <v>0</v>
      </c>
      <c r="U512" s="29">
        <v>0</v>
      </c>
      <c r="V512" s="25">
        <v>0</v>
      </c>
      <c r="W512" s="25">
        <v>0</v>
      </c>
      <c r="X512" s="25">
        <v>0</v>
      </c>
      <c r="Y512" s="29">
        <v>0</v>
      </c>
      <c r="Z512" s="29">
        <v>0</v>
      </c>
      <c r="AA512" s="29">
        <v>0</v>
      </c>
      <c r="AB512" s="29">
        <v>0</v>
      </c>
      <c r="AC512" s="29">
        <v>0</v>
      </c>
      <c r="AD512" s="29">
        <v>0</v>
      </c>
      <c r="AE512" s="43">
        <v>100007</v>
      </c>
      <c r="GR512" s="5"/>
      <c r="GS512" s="5"/>
      <c r="GT512" s="5"/>
      <c r="GU512" s="5"/>
      <c r="GV512" s="5"/>
      <c r="GW512" s="5"/>
      <c r="GX512" s="5"/>
      <c r="GY512" s="5"/>
      <c r="GZ512" s="5"/>
      <c r="HA512" s="5"/>
      <c r="HB512" s="5"/>
      <c r="HC512" s="5"/>
      <c r="HD512" s="5"/>
      <c r="HE512" s="5"/>
      <c r="HF512" s="5"/>
      <c r="HG512" s="5"/>
      <c r="HH512" s="5"/>
      <c r="HI512" s="5"/>
      <c r="HJ512" s="5"/>
      <c r="HK512" s="5"/>
      <c r="HL512" s="5"/>
      <c r="HM512" s="5"/>
      <c r="HN512" s="5"/>
      <c r="HO512" s="5"/>
      <c r="HP512" s="5"/>
    </row>
    <row r="513" spans="3:224" ht="20.100000000000001" customHeight="1">
      <c r="C513" s="24">
        <v>15410112</v>
      </c>
      <c r="D513" s="36" t="s">
        <v>519</v>
      </c>
      <c r="E513" s="25">
        <v>11200001</v>
      </c>
      <c r="F513" s="25">
        <v>14051</v>
      </c>
      <c r="G513" s="25">
        <v>1</v>
      </c>
      <c r="H513" s="25">
        <v>50</v>
      </c>
      <c r="I513" s="29">
        <v>0.2</v>
      </c>
      <c r="J513" s="30">
        <v>20</v>
      </c>
      <c r="K513" s="25">
        <v>0</v>
      </c>
      <c r="L513" s="25">
        <v>0</v>
      </c>
      <c r="M513" s="25">
        <f t="shared" si="98"/>
        <v>440</v>
      </c>
      <c r="N513" s="25">
        <v>880</v>
      </c>
      <c r="O513" s="25">
        <v>0</v>
      </c>
      <c r="P513" s="25">
        <v>0</v>
      </c>
      <c r="Q513" s="25">
        <f t="shared" si="99"/>
        <v>0</v>
      </c>
      <c r="R513" s="25">
        <v>0</v>
      </c>
      <c r="S513" s="25">
        <f t="shared" si="100"/>
        <v>0</v>
      </c>
      <c r="T513" s="25">
        <v>0</v>
      </c>
      <c r="U513" s="29">
        <v>0</v>
      </c>
      <c r="V513" s="25">
        <v>0</v>
      </c>
      <c r="W513" s="25">
        <v>0</v>
      </c>
      <c r="X513" s="25">
        <v>0</v>
      </c>
      <c r="Y513" s="29">
        <v>0</v>
      </c>
      <c r="Z513" s="29">
        <v>0</v>
      </c>
      <c r="AA513" s="29">
        <v>0</v>
      </c>
      <c r="AB513" s="29">
        <v>0</v>
      </c>
      <c r="AC513" s="29">
        <v>0</v>
      </c>
      <c r="AD513" s="29">
        <v>0</v>
      </c>
      <c r="AE513" s="43"/>
      <c r="GR513" s="5"/>
      <c r="GS513" s="5"/>
      <c r="GT513" s="5"/>
      <c r="GU513" s="5"/>
      <c r="GV513" s="5"/>
      <c r="GW513" s="5"/>
      <c r="GX513" s="5"/>
      <c r="GY513" s="5"/>
      <c r="GZ513" s="5"/>
      <c r="HA513" s="5"/>
      <c r="HB513" s="5"/>
      <c r="HC513" s="5"/>
      <c r="HD513" s="5"/>
      <c r="HE513" s="5"/>
      <c r="HF513" s="5"/>
      <c r="HG513" s="5"/>
      <c r="HH513" s="5"/>
      <c r="HI513" s="5"/>
      <c r="HJ513" s="5"/>
      <c r="HK513" s="5"/>
      <c r="HL513" s="5"/>
      <c r="HM513" s="5"/>
      <c r="HN513" s="5"/>
      <c r="HO513" s="5"/>
      <c r="HP513" s="5"/>
    </row>
    <row r="514" spans="3:224" ht="20.100000000000001" customHeight="1">
      <c r="C514" s="24">
        <v>15410201</v>
      </c>
      <c r="D514" s="24" t="s">
        <v>657</v>
      </c>
      <c r="E514" s="25">
        <v>11200001</v>
      </c>
      <c r="F514" s="25">
        <v>0</v>
      </c>
      <c r="G514" s="25">
        <v>1</v>
      </c>
      <c r="H514" s="25">
        <v>50</v>
      </c>
      <c r="I514" s="29">
        <v>0.2</v>
      </c>
      <c r="J514" s="30">
        <v>20</v>
      </c>
      <c r="K514" s="25">
        <v>0</v>
      </c>
      <c r="L514" s="25">
        <v>0</v>
      </c>
      <c r="M514" s="25">
        <f t="shared" si="98"/>
        <v>290</v>
      </c>
      <c r="N514" s="25">
        <v>580</v>
      </c>
      <c r="O514" s="25">
        <v>0</v>
      </c>
      <c r="P514" s="25">
        <v>0</v>
      </c>
      <c r="Q514" s="25">
        <f t="shared" si="99"/>
        <v>0</v>
      </c>
      <c r="R514" s="25">
        <v>0</v>
      </c>
      <c r="S514" s="25">
        <f t="shared" si="100"/>
        <v>0</v>
      </c>
      <c r="T514" s="25">
        <v>0</v>
      </c>
      <c r="U514" s="29">
        <v>0</v>
      </c>
      <c r="V514" s="25">
        <v>0</v>
      </c>
      <c r="W514" s="25">
        <v>0</v>
      </c>
      <c r="X514" s="25">
        <v>0</v>
      </c>
      <c r="Y514" s="29">
        <v>0</v>
      </c>
      <c r="Z514" s="29">
        <v>0</v>
      </c>
      <c r="AA514" s="29">
        <v>0</v>
      </c>
      <c r="AB514" s="29">
        <v>0</v>
      </c>
      <c r="AC514" s="29">
        <v>0</v>
      </c>
      <c r="AD514" s="29">
        <v>0</v>
      </c>
      <c r="AE514" s="43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  <c r="HF514" s="5"/>
      <c r="HG514" s="5"/>
      <c r="HH514" s="5"/>
      <c r="HI514" s="5"/>
      <c r="HJ514" s="5"/>
      <c r="HK514" s="5"/>
      <c r="HL514" s="5"/>
      <c r="HM514" s="5"/>
      <c r="HN514" s="5"/>
      <c r="HO514" s="5"/>
      <c r="HP514" s="5"/>
    </row>
    <row r="515" spans="3:224" ht="20.100000000000001" customHeight="1">
      <c r="C515" s="24">
        <v>15410202</v>
      </c>
      <c r="D515" s="24" t="s">
        <v>658</v>
      </c>
      <c r="E515" s="25">
        <v>11200001</v>
      </c>
      <c r="F515" s="25">
        <v>0</v>
      </c>
      <c r="G515" s="25">
        <v>1</v>
      </c>
      <c r="H515" s="25">
        <v>50</v>
      </c>
      <c r="I515" s="29">
        <v>0.2</v>
      </c>
      <c r="J515" s="30">
        <v>20</v>
      </c>
      <c r="K515" s="25">
        <v>0</v>
      </c>
      <c r="L515" s="25">
        <v>0</v>
      </c>
      <c r="M515" s="25">
        <f t="shared" si="98"/>
        <v>358</v>
      </c>
      <c r="N515" s="25">
        <v>715</v>
      </c>
      <c r="O515" s="25">
        <v>0</v>
      </c>
      <c r="P515" s="25">
        <v>0</v>
      </c>
      <c r="Q515" s="25">
        <f t="shared" si="99"/>
        <v>0</v>
      </c>
      <c r="R515" s="25">
        <v>0</v>
      </c>
      <c r="S515" s="25">
        <f t="shared" si="100"/>
        <v>0</v>
      </c>
      <c r="T515" s="25">
        <v>0</v>
      </c>
      <c r="U515" s="29">
        <v>0</v>
      </c>
      <c r="V515" s="25">
        <v>0</v>
      </c>
      <c r="W515" s="25">
        <v>0</v>
      </c>
      <c r="X515" s="25">
        <v>0</v>
      </c>
      <c r="Y515" s="29">
        <v>0</v>
      </c>
      <c r="Z515" s="29">
        <v>0</v>
      </c>
      <c r="AA515" s="29">
        <v>0</v>
      </c>
      <c r="AB515" s="29">
        <v>0</v>
      </c>
      <c r="AC515" s="29">
        <v>0</v>
      </c>
      <c r="AD515" s="29">
        <v>0</v>
      </c>
      <c r="AE515" s="43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5"/>
      <c r="HG515" s="5"/>
      <c r="HH515" s="5"/>
      <c r="HI515" s="5"/>
      <c r="HJ515" s="5"/>
      <c r="HK515" s="5"/>
      <c r="HL515" s="5"/>
      <c r="HM515" s="5"/>
      <c r="HN515" s="5"/>
      <c r="HO515" s="5"/>
      <c r="HP515" s="5"/>
    </row>
    <row r="516" spans="3:224" ht="20.100000000000001" customHeight="1">
      <c r="C516" s="24">
        <v>15410211</v>
      </c>
      <c r="D516" s="36" t="s">
        <v>659</v>
      </c>
      <c r="E516" s="25">
        <v>11200001</v>
      </c>
      <c r="F516" s="25">
        <v>14051</v>
      </c>
      <c r="G516" s="25">
        <v>1</v>
      </c>
      <c r="H516" s="25">
        <v>50</v>
      </c>
      <c r="I516" s="29">
        <v>0.2</v>
      </c>
      <c r="J516" s="30">
        <v>20</v>
      </c>
      <c r="K516" s="25">
        <v>0</v>
      </c>
      <c r="L516" s="25">
        <v>0</v>
      </c>
      <c r="M516" s="25">
        <f t="shared" si="98"/>
        <v>440</v>
      </c>
      <c r="N516" s="25">
        <v>880</v>
      </c>
      <c r="O516" s="25">
        <v>0</v>
      </c>
      <c r="P516" s="25">
        <v>0</v>
      </c>
      <c r="Q516" s="25">
        <f t="shared" si="99"/>
        <v>0</v>
      </c>
      <c r="R516" s="25">
        <v>0</v>
      </c>
      <c r="S516" s="25">
        <f t="shared" si="100"/>
        <v>0</v>
      </c>
      <c r="T516" s="25">
        <v>0</v>
      </c>
      <c r="U516" s="29">
        <v>0</v>
      </c>
      <c r="V516" s="25">
        <v>0</v>
      </c>
      <c r="W516" s="25">
        <v>0</v>
      </c>
      <c r="X516" s="25">
        <v>0</v>
      </c>
      <c r="Y516" s="29">
        <v>0</v>
      </c>
      <c r="Z516" s="29">
        <v>0</v>
      </c>
      <c r="AA516" s="29">
        <v>0</v>
      </c>
      <c r="AB516" s="29">
        <v>202403</v>
      </c>
      <c r="AC516" s="29">
        <v>300</v>
      </c>
      <c r="AD516" s="29">
        <v>1</v>
      </c>
      <c r="AE516" s="43"/>
      <c r="GR516" s="5"/>
      <c r="GS516" s="5"/>
      <c r="GT516" s="5"/>
      <c r="GU516" s="5"/>
      <c r="GV516" s="5"/>
      <c r="GW516" s="5"/>
      <c r="GX516" s="5"/>
      <c r="GY516" s="5"/>
      <c r="GZ516" s="5"/>
      <c r="HA516" s="5"/>
      <c r="HB516" s="5"/>
      <c r="HC516" s="5"/>
      <c r="HD516" s="5"/>
      <c r="HE516" s="5"/>
      <c r="HF516" s="5"/>
      <c r="HG516" s="5"/>
      <c r="HH516" s="5"/>
      <c r="HI516" s="5"/>
      <c r="HJ516" s="5"/>
      <c r="HK516" s="5"/>
      <c r="HL516" s="5"/>
      <c r="HM516" s="5"/>
      <c r="HN516" s="5"/>
      <c r="HO516" s="5"/>
      <c r="HP516" s="5"/>
    </row>
    <row r="517" spans="3:224" ht="20.100000000000001" customHeight="1">
      <c r="C517" s="24">
        <v>15411001</v>
      </c>
      <c r="D517" s="25" t="s">
        <v>520</v>
      </c>
      <c r="E517" s="25">
        <v>11200003</v>
      </c>
      <c r="F517" s="25">
        <v>0</v>
      </c>
      <c r="G517" s="25">
        <v>1</v>
      </c>
      <c r="H517" s="25">
        <v>50</v>
      </c>
      <c r="I517" s="29">
        <v>0.2</v>
      </c>
      <c r="J517" s="30">
        <v>20</v>
      </c>
      <c r="K517" s="25">
        <v>0</v>
      </c>
      <c r="L517" s="25">
        <v>3960</v>
      </c>
      <c r="M517" s="25">
        <f t="shared" si="81"/>
        <v>0</v>
      </c>
      <c r="N517" s="25">
        <v>0</v>
      </c>
      <c r="O517" s="25">
        <v>0</v>
      </c>
      <c r="P517" s="25">
        <v>0</v>
      </c>
      <c r="Q517" s="25">
        <f t="shared" si="82"/>
        <v>23</v>
      </c>
      <c r="R517" s="25">
        <v>45</v>
      </c>
      <c r="S517" s="25">
        <f t="shared" si="83"/>
        <v>23</v>
      </c>
      <c r="T517" s="25">
        <v>45</v>
      </c>
      <c r="U517" s="29">
        <v>0</v>
      </c>
      <c r="V517" s="25">
        <v>0</v>
      </c>
      <c r="W517" s="25">
        <v>0</v>
      </c>
      <c r="X517" s="25">
        <v>0</v>
      </c>
      <c r="Y517" s="29">
        <v>0</v>
      </c>
      <c r="Z517" s="29">
        <v>0</v>
      </c>
      <c r="AA517" s="29">
        <v>0</v>
      </c>
      <c r="AB517" s="29">
        <v>0</v>
      </c>
      <c r="AC517" s="29">
        <v>0</v>
      </c>
      <c r="AD517" s="29">
        <v>0</v>
      </c>
      <c r="AE517" s="43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  <c r="HF517" s="5"/>
      <c r="HG517" s="5"/>
      <c r="HH517" s="5"/>
      <c r="HI517" s="5"/>
      <c r="HJ517" s="5"/>
      <c r="HK517" s="5"/>
      <c r="HL517" s="5"/>
      <c r="HM517" s="5"/>
      <c r="HN517" s="5"/>
      <c r="HO517" s="5"/>
      <c r="HP517" s="5"/>
    </row>
    <row r="518" spans="3:224" ht="20.100000000000001" customHeight="1">
      <c r="C518" s="24">
        <v>15411002</v>
      </c>
      <c r="D518" s="25" t="s">
        <v>521</v>
      </c>
      <c r="E518" s="25">
        <v>11200003</v>
      </c>
      <c r="F518" s="25">
        <v>14011</v>
      </c>
      <c r="G518" s="25">
        <v>1</v>
      </c>
      <c r="H518" s="25">
        <v>50</v>
      </c>
      <c r="I518" s="29">
        <v>0.2</v>
      </c>
      <c r="J518" s="30">
        <v>20</v>
      </c>
      <c r="K518" s="25">
        <v>0</v>
      </c>
      <c r="L518" s="25">
        <v>5040</v>
      </c>
      <c r="M518" s="25">
        <f t="shared" si="81"/>
        <v>0</v>
      </c>
      <c r="N518" s="25">
        <v>0</v>
      </c>
      <c r="O518" s="25">
        <v>0</v>
      </c>
      <c r="P518" s="25">
        <v>0</v>
      </c>
      <c r="Q518" s="25">
        <f t="shared" si="82"/>
        <v>64</v>
      </c>
      <c r="R518" s="25">
        <v>128</v>
      </c>
      <c r="S518" s="25">
        <f t="shared" si="83"/>
        <v>64</v>
      </c>
      <c r="T518" s="25">
        <v>128</v>
      </c>
      <c r="U518" s="29">
        <v>0</v>
      </c>
      <c r="V518" s="25">
        <v>0</v>
      </c>
      <c r="W518" s="25">
        <v>0</v>
      </c>
      <c r="X518" s="25">
        <v>0</v>
      </c>
      <c r="Y518" s="29">
        <v>0</v>
      </c>
      <c r="Z518" s="29">
        <v>0</v>
      </c>
      <c r="AA518" s="29">
        <v>0</v>
      </c>
      <c r="AB518" s="29">
        <v>0</v>
      </c>
      <c r="AC518" s="29">
        <v>0</v>
      </c>
      <c r="AD518" s="29">
        <v>0</v>
      </c>
      <c r="AE518" s="43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  <c r="HF518" s="5"/>
      <c r="HG518" s="5"/>
      <c r="HH518" s="5"/>
      <c r="HI518" s="5"/>
      <c r="HJ518" s="5"/>
      <c r="HK518" s="5"/>
      <c r="HL518" s="5"/>
      <c r="HM518" s="5"/>
      <c r="HN518" s="5"/>
      <c r="HO518" s="5"/>
      <c r="HP518" s="5"/>
    </row>
    <row r="519" spans="3:224" ht="20.100000000000001" customHeight="1">
      <c r="C519" s="24">
        <v>15411003</v>
      </c>
      <c r="D519" s="25" t="s">
        <v>522</v>
      </c>
      <c r="E519" s="25">
        <v>11200003</v>
      </c>
      <c r="F519" s="25">
        <v>0</v>
      </c>
      <c r="G519" s="25">
        <v>1</v>
      </c>
      <c r="H519" s="25">
        <v>50</v>
      </c>
      <c r="I519" s="29">
        <v>0.2</v>
      </c>
      <c r="J519" s="30">
        <v>20</v>
      </c>
      <c r="K519" s="25">
        <v>0</v>
      </c>
      <c r="L519" s="25">
        <v>1980</v>
      </c>
      <c r="M519" s="25">
        <f t="shared" si="81"/>
        <v>0</v>
      </c>
      <c r="N519" s="25">
        <v>0</v>
      </c>
      <c r="O519" s="25">
        <v>0</v>
      </c>
      <c r="P519" s="25">
        <v>0</v>
      </c>
      <c r="Q519" s="25">
        <f t="shared" si="82"/>
        <v>17</v>
      </c>
      <c r="R519" s="25">
        <v>34</v>
      </c>
      <c r="S519" s="25">
        <f t="shared" si="83"/>
        <v>17</v>
      </c>
      <c r="T519" s="25">
        <v>34</v>
      </c>
      <c r="U519" s="29">
        <v>0</v>
      </c>
      <c r="V519" s="25">
        <v>0</v>
      </c>
      <c r="W519" s="25">
        <v>0</v>
      </c>
      <c r="X519" s="25">
        <v>0</v>
      </c>
      <c r="Y519" s="29">
        <v>0</v>
      </c>
      <c r="Z519" s="29">
        <v>0</v>
      </c>
      <c r="AA519" s="29">
        <v>0</v>
      </c>
      <c r="AB519" s="29">
        <v>0</v>
      </c>
      <c r="AC519" s="29">
        <v>0</v>
      </c>
      <c r="AD519" s="29">
        <v>0</v>
      </c>
      <c r="AE519" s="43"/>
      <c r="GR519" s="5"/>
      <c r="GS519" s="5"/>
      <c r="GT519" s="5"/>
      <c r="GU519" s="5"/>
      <c r="GV519" s="5"/>
      <c r="GW519" s="5"/>
      <c r="GX519" s="5"/>
      <c r="GY519" s="5"/>
      <c r="GZ519" s="5"/>
      <c r="HA519" s="5"/>
      <c r="HB519" s="5"/>
      <c r="HC519" s="5"/>
      <c r="HD519" s="5"/>
      <c r="HE519" s="5"/>
      <c r="HF519" s="5"/>
      <c r="HG519" s="5"/>
      <c r="HH519" s="5"/>
      <c r="HI519" s="5"/>
      <c r="HJ519" s="5"/>
      <c r="HK519" s="5"/>
      <c r="HL519" s="5"/>
      <c r="HM519" s="5"/>
      <c r="HN519" s="5"/>
      <c r="HO519" s="5"/>
      <c r="HP519" s="5"/>
    </row>
    <row r="520" spans="3:224" ht="20.100000000000001" customHeight="1">
      <c r="C520" s="24">
        <v>15411004</v>
      </c>
      <c r="D520" s="25" t="s">
        <v>523</v>
      </c>
      <c r="E520" s="25">
        <v>11200003</v>
      </c>
      <c r="F520" s="25">
        <v>14021</v>
      </c>
      <c r="G520" s="25">
        <v>1</v>
      </c>
      <c r="H520" s="25">
        <v>50</v>
      </c>
      <c r="I520" s="29">
        <v>0.2</v>
      </c>
      <c r="J520" s="30">
        <v>20</v>
      </c>
      <c r="K520" s="25">
        <v>0</v>
      </c>
      <c r="L520" s="25">
        <v>2520</v>
      </c>
      <c r="M520" s="25">
        <f t="shared" si="81"/>
        <v>0</v>
      </c>
      <c r="N520" s="25">
        <v>0</v>
      </c>
      <c r="O520" s="25">
        <v>0</v>
      </c>
      <c r="P520" s="25">
        <v>0</v>
      </c>
      <c r="Q520" s="25">
        <f t="shared" si="82"/>
        <v>48</v>
      </c>
      <c r="R520" s="25">
        <v>96</v>
      </c>
      <c r="S520" s="25">
        <f t="shared" si="83"/>
        <v>48</v>
      </c>
      <c r="T520" s="25">
        <v>96</v>
      </c>
      <c r="U520" s="29">
        <v>0</v>
      </c>
      <c r="V520" s="25">
        <v>0</v>
      </c>
      <c r="W520" s="25">
        <v>0</v>
      </c>
      <c r="X520" s="25">
        <v>0</v>
      </c>
      <c r="Y520" s="29">
        <v>0</v>
      </c>
      <c r="Z520" s="29">
        <v>0</v>
      </c>
      <c r="AA520" s="29">
        <v>0</v>
      </c>
      <c r="AB520" s="29">
        <v>0</v>
      </c>
      <c r="AC520" s="29">
        <v>0</v>
      </c>
      <c r="AD520" s="29">
        <v>0</v>
      </c>
      <c r="AE520" s="43"/>
      <c r="GR520" s="5"/>
      <c r="GS520" s="5"/>
      <c r="GT520" s="5"/>
      <c r="GU520" s="5"/>
      <c r="GV520" s="5"/>
      <c r="GW520" s="5"/>
      <c r="GX520" s="5"/>
      <c r="GY520" s="5"/>
      <c r="GZ520" s="5"/>
      <c r="HA520" s="5"/>
      <c r="HB520" s="5"/>
      <c r="HC520" s="5"/>
      <c r="HD520" s="5"/>
      <c r="HE520" s="5"/>
      <c r="HF520" s="5"/>
      <c r="HG520" s="5"/>
      <c r="HH520" s="5"/>
      <c r="HI520" s="5"/>
      <c r="HJ520" s="5"/>
      <c r="HK520" s="5"/>
      <c r="HL520" s="5"/>
      <c r="HM520" s="5"/>
      <c r="HN520" s="5"/>
      <c r="HO520" s="5"/>
      <c r="HP520" s="5"/>
    </row>
    <row r="521" spans="3:224" ht="20.100000000000001" customHeight="1">
      <c r="C521" s="24">
        <v>15411005</v>
      </c>
      <c r="D521" s="25" t="s">
        <v>524</v>
      </c>
      <c r="E521" s="25">
        <v>11200003</v>
      </c>
      <c r="F521" s="25">
        <v>0</v>
      </c>
      <c r="G521" s="25">
        <v>1</v>
      </c>
      <c r="H521" s="25">
        <v>50</v>
      </c>
      <c r="I521" s="29">
        <v>0.2</v>
      </c>
      <c r="J521" s="30">
        <v>20</v>
      </c>
      <c r="K521" s="25">
        <v>0</v>
      </c>
      <c r="L521" s="25">
        <v>5940</v>
      </c>
      <c r="M521" s="25">
        <f t="shared" si="81"/>
        <v>0</v>
      </c>
      <c r="N521" s="25">
        <v>0</v>
      </c>
      <c r="O521" s="25">
        <v>0</v>
      </c>
      <c r="P521" s="25">
        <v>0</v>
      </c>
      <c r="Q521" s="25">
        <f t="shared" si="82"/>
        <v>28</v>
      </c>
      <c r="R521" s="25">
        <v>56</v>
      </c>
      <c r="S521" s="25">
        <f t="shared" si="83"/>
        <v>28</v>
      </c>
      <c r="T521" s="25">
        <v>56</v>
      </c>
      <c r="U521" s="29">
        <v>0</v>
      </c>
      <c r="V521" s="25">
        <v>0</v>
      </c>
      <c r="W521" s="25">
        <v>0</v>
      </c>
      <c r="X521" s="25">
        <v>0</v>
      </c>
      <c r="Y521" s="29">
        <v>0</v>
      </c>
      <c r="Z521" s="29">
        <v>0</v>
      </c>
      <c r="AA521" s="29">
        <v>0</v>
      </c>
      <c r="AB521" s="29">
        <v>0</v>
      </c>
      <c r="AC521" s="29">
        <v>0</v>
      </c>
      <c r="AD521" s="29">
        <v>0</v>
      </c>
      <c r="AE521" s="43"/>
      <c r="GR521" s="5"/>
      <c r="GS521" s="5"/>
      <c r="GT521" s="5"/>
      <c r="GU521" s="5"/>
      <c r="GV521" s="5"/>
      <c r="GW521" s="5"/>
      <c r="GX521" s="5"/>
      <c r="GY521" s="5"/>
      <c r="GZ521" s="5"/>
      <c r="HA521" s="5"/>
      <c r="HB521" s="5"/>
      <c r="HC521" s="5"/>
      <c r="HD521" s="5"/>
      <c r="HE521" s="5"/>
      <c r="HF521" s="5"/>
      <c r="HG521" s="5"/>
      <c r="HH521" s="5"/>
      <c r="HI521" s="5"/>
      <c r="HJ521" s="5"/>
      <c r="HK521" s="5"/>
      <c r="HL521" s="5"/>
      <c r="HM521" s="5"/>
      <c r="HN521" s="5"/>
      <c r="HO521" s="5"/>
      <c r="HP521" s="5"/>
    </row>
    <row r="522" spans="3:224" ht="20.100000000000001" customHeight="1">
      <c r="C522" s="24">
        <v>15411006</v>
      </c>
      <c r="D522" s="25" t="s">
        <v>525</v>
      </c>
      <c r="E522" s="25">
        <v>11200003</v>
      </c>
      <c r="F522" s="25">
        <v>14031</v>
      </c>
      <c r="G522" s="25">
        <v>1</v>
      </c>
      <c r="H522" s="25">
        <v>50</v>
      </c>
      <c r="I522" s="29">
        <v>0.2</v>
      </c>
      <c r="J522" s="30">
        <v>20</v>
      </c>
      <c r="K522" s="25">
        <v>0</v>
      </c>
      <c r="L522" s="25">
        <v>7560</v>
      </c>
      <c r="M522" s="25">
        <f t="shared" si="81"/>
        <v>0</v>
      </c>
      <c r="N522" s="25">
        <v>0</v>
      </c>
      <c r="O522" s="25">
        <v>0</v>
      </c>
      <c r="P522" s="25">
        <v>0</v>
      </c>
      <c r="Q522" s="25">
        <f t="shared" si="82"/>
        <v>80</v>
      </c>
      <c r="R522" s="25">
        <v>160</v>
      </c>
      <c r="S522" s="25">
        <f t="shared" si="83"/>
        <v>80</v>
      </c>
      <c r="T522" s="25">
        <v>160</v>
      </c>
      <c r="U522" s="29">
        <v>0</v>
      </c>
      <c r="V522" s="25">
        <v>0</v>
      </c>
      <c r="W522" s="25">
        <v>0</v>
      </c>
      <c r="X522" s="25">
        <v>0</v>
      </c>
      <c r="Y522" s="29">
        <v>0</v>
      </c>
      <c r="Z522" s="29">
        <v>0</v>
      </c>
      <c r="AA522" s="29">
        <v>0</v>
      </c>
      <c r="AB522" s="29">
        <v>0</v>
      </c>
      <c r="AC522" s="29">
        <v>0</v>
      </c>
      <c r="AD522" s="29">
        <v>0</v>
      </c>
      <c r="AE522" s="43"/>
      <c r="GR522" s="5"/>
      <c r="GS522" s="5"/>
      <c r="GT522" s="5"/>
      <c r="GU522" s="5"/>
      <c r="GV522" s="5"/>
      <c r="GW522" s="5"/>
      <c r="GX522" s="5"/>
      <c r="GY522" s="5"/>
      <c r="GZ522" s="5"/>
      <c r="HA522" s="5"/>
      <c r="HB522" s="5"/>
      <c r="HC522" s="5"/>
      <c r="HD522" s="5"/>
      <c r="HE522" s="5"/>
      <c r="HF522" s="5"/>
      <c r="HG522" s="5"/>
      <c r="HH522" s="5"/>
      <c r="HI522" s="5"/>
      <c r="HJ522" s="5"/>
      <c r="HK522" s="5"/>
      <c r="HL522" s="5"/>
      <c r="HM522" s="5"/>
      <c r="HN522" s="5"/>
      <c r="HO522" s="5"/>
      <c r="HP522" s="5"/>
    </row>
    <row r="523" spans="3:224" ht="20.100000000000001" customHeight="1">
      <c r="C523" s="24">
        <v>15411011</v>
      </c>
      <c r="D523" s="36" t="s">
        <v>526</v>
      </c>
      <c r="E523" s="25">
        <v>11200003</v>
      </c>
      <c r="F523" s="25">
        <v>14011</v>
      </c>
      <c r="G523" s="25">
        <v>1</v>
      </c>
      <c r="H523" s="25">
        <v>50</v>
      </c>
      <c r="I523" s="29">
        <v>0.2</v>
      </c>
      <c r="J523" s="30">
        <v>20</v>
      </c>
      <c r="K523" s="25">
        <v>0</v>
      </c>
      <c r="L523" s="25">
        <v>5800</v>
      </c>
      <c r="M523" s="25">
        <f t="shared" si="81"/>
        <v>0</v>
      </c>
      <c r="N523" s="25">
        <v>0</v>
      </c>
      <c r="O523" s="25">
        <v>0</v>
      </c>
      <c r="P523" s="25">
        <v>0</v>
      </c>
      <c r="Q523" s="25">
        <f t="shared" ref="Q523:T523" si="101">ROUND(Q518*1.15,-1)</f>
        <v>70</v>
      </c>
      <c r="R523" s="25">
        <f t="shared" si="101"/>
        <v>150</v>
      </c>
      <c r="S523" s="25">
        <f t="shared" si="101"/>
        <v>70</v>
      </c>
      <c r="T523" s="25">
        <f t="shared" si="101"/>
        <v>150</v>
      </c>
      <c r="U523" s="29">
        <v>0</v>
      </c>
      <c r="V523" s="25">
        <v>0</v>
      </c>
      <c r="W523" s="25">
        <v>0</v>
      </c>
      <c r="X523" s="25">
        <v>0</v>
      </c>
      <c r="Y523" s="29">
        <v>0</v>
      </c>
      <c r="Z523" s="29">
        <v>0</v>
      </c>
      <c r="AA523" s="29">
        <v>0</v>
      </c>
      <c r="AB523" s="29">
        <v>0</v>
      </c>
      <c r="AC523" s="29">
        <v>0</v>
      </c>
      <c r="AD523" s="29">
        <v>0</v>
      </c>
      <c r="AE523" s="43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  <c r="HJ523" s="5"/>
      <c r="HK523" s="5"/>
      <c r="HL523" s="5"/>
      <c r="HM523" s="5"/>
      <c r="HN523" s="5"/>
      <c r="HO523" s="5"/>
      <c r="HP523" s="5"/>
    </row>
    <row r="524" spans="3:224" ht="20.100000000000001" customHeight="1">
      <c r="C524" s="24">
        <v>15411012</v>
      </c>
      <c r="D524" s="36" t="s">
        <v>527</v>
      </c>
      <c r="E524" s="25">
        <v>11200003</v>
      </c>
      <c r="F524" s="25">
        <v>14021</v>
      </c>
      <c r="G524" s="25">
        <v>1</v>
      </c>
      <c r="H524" s="25">
        <v>50</v>
      </c>
      <c r="I524" s="29">
        <v>0.2</v>
      </c>
      <c r="J524" s="30">
        <v>20</v>
      </c>
      <c r="K524" s="25">
        <v>0</v>
      </c>
      <c r="L524" s="25">
        <v>2900</v>
      </c>
      <c r="M524" s="25">
        <f t="shared" si="81"/>
        <v>0</v>
      </c>
      <c r="N524" s="25">
        <v>0</v>
      </c>
      <c r="O524" s="25">
        <v>0</v>
      </c>
      <c r="P524" s="25">
        <v>0</v>
      </c>
      <c r="Q524" s="25">
        <f t="shared" ref="Q524:T524" si="102">ROUND(Q520*1.15,-1)</f>
        <v>60</v>
      </c>
      <c r="R524" s="25">
        <f t="shared" si="102"/>
        <v>110</v>
      </c>
      <c r="S524" s="25">
        <f t="shared" si="102"/>
        <v>60</v>
      </c>
      <c r="T524" s="25">
        <f t="shared" si="102"/>
        <v>110</v>
      </c>
      <c r="U524" s="29">
        <v>0</v>
      </c>
      <c r="V524" s="25">
        <v>0</v>
      </c>
      <c r="W524" s="25">
        <v>0</v>
      </c>
      <c r="X524" s="25">
        <v>0</v>
      </c>
      <c r="Y524" s="29">
        <v>0</v>
      </c>
      <c r="Z524" s="29">
        <v>0</v>
      </c>
      <c r="AA524" s="29">
        <v>0</v>
      </c>
      <c r="AB524" s="29">
        <v>0</v>
      </c>
      <c r="AC524" s="29">
        <v>0</v>
      </c>
      <c r="AD524" s="29">
        <v>0</v>
      </c>
      <c r="AE524" s="43"/>
      <c r="GR524" s="5"/>
      <c r="GS524" s="5"/>
      <c r="GT524" s="5"/>
      <c r="GU524" s="5"/>
      <c r="GV524" s="5"/>
      <c r="GW524" s="5"/>
      <c r="GX524" s="5"/>
      <c r="GY524" s="5"/>
      <c r="GZ524" s="5"/>
      <c r="HA524" s="5"/>
      <c r="HB524" s="5"/>
      <c r="HC524" s="5"/>
      <c r="HD524" s="5"/>
      <c r="HE524" s="5"/>
      <c r="HF524" s="5"/>
      <c r="HG524" s="5"/>
      <c r="HH524" s="5"/>
      <c r="HI524" s="5"/>
      <c r="HJ524" s="5"/>
      <c r="HK524" s="5"/>
      <c r="HL524" s="5"/>
      <c r="HM524" s="5"/>
      <c r="HN524" s="5"/>
      <c r="HO524" s="5"/>
      <c r="HP524" s="5"/>
    </row>
    <row r="525" spans="3:224" ht="20.100000000000001" customHeight="1">
      <c r="C525" s="24">
        <v>15411013</v>
      </c>
      <c r="D525" s="36" t="s">
        <v>528</v>
      </c>
      <c r="E525" s="25">
        <v>11200003</v>
      </c>
      <c r="F525" s="25">
        <v>14031</v>
      </c>
      <c r="G525" s="25">
        <v>1</v>
      </c>
      <c r="H525" s="25">
        <v>50</v>
      </c>
      <c r="I525" s="29">
        <v>0.2</v>
      </c>
      <c r="J525" s="30">
        <v>20</v>
      </c>
      <c r="K525" s="25">
        <v>0</v>
      </c>
      <c r="L525" s="25">
        <v>8700</v>
      </c>
      <c r="M525" s="25">
        <f t="shared" si="81"/>
        <v>0</v>
      </c>
      <c r="N525" s="25">
        <v>0</v>
      </c>
      <c r="O525" s="25">
        <v>0</v>
      </c>
      <c r="P525" s="25">
        <v>0</v>
      </c>
      <c r="Q525" s="25">
        <f t="shared" ref="Q525:T525" si="103">ROUND(Q522*1.15,-1)</f>
        <v>90</v>
      </c>
      <c r="R525" s="25">
        <f t="shared" si="103"/>
        <v>180</v>
      </c>
      <c r="S525" s="25">
        <f t="shared" si="103"/>
        <v>90</v>
      </c>
      <c r="T525" s="25">
        <f t="shared" si="103"/>
        <v>180</v>
      </c>
      <c r="U525" s="29">
        <v>0</v>
      </c>
      <c r="V525" s="25">
        <v>0</v>
      </c>
      <c r="W525" s="25">
        <v>0</v>
      </c>
      <c r="X525" s="25">
        <v>0</v>
      </c>
      <c r="Y525" s="29">
        <v>0</v>
      </c>
      <c r="Z525" s="29">
        <v>0</v>
      </c>
      <c r="AA525" s="29">
        <v>0</v>
      </c>
      <c r="AB525" s="29">
        <v>204903</v>
      </c>
      <c r="AC525" s="29">
        <v>1000</v>
      </c>
      <c r="AD525" s="29">
        <v>1</v>
      </c>
      <c r="AE525" s="43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  <c r="HF525" s="5"/>
      <c r="HG525" s="5"/>
      <c r="HH525" s="5"/>
      <c r="HI525" s="5"/>
      <c r="HJ525" s="5"/>
      <c r="HK525" s="5"/>
      <c r="HL525" s="5"/>
      <c r="HM525" s="5"/>
      <c r="HN525" s="5"/>
      <c r="HO525" s="5"/>
      <c r="HP525" s="5"/>
    </row>
    <row r="526" spans="3:224" ht="20.100000000000001" customHeight="1">
      <c r="C526" s="24">
        <v>15501001</v>
      </c>
      <c r="D526" s="25" t="s">
        <v>529</v>
      </c>
      <c r="E526" s="25">
        <v>11200003</v>
      </c>
      <c r="F526" s="25">
        <v>0</v>
      </c>
      <c r="G526" s="25">
        <v>1</v>
      </c>
      <c r="H526" s="25">
        <v>60</v>
      </c>
      <c r="I526" s="29">
        <v>0.2</v>
      </c>
      <c r="J526" s="30">
        <v>25</v>
      </c>
      <c r="K526" s="25">
        <v>0</v>
      </c>
      <c r="L526" s="25">
        <v>0</v>
      </c>
      <c r="M526" s="25">
        <f t="shared" si="81"/>
        <v>50</v>
      </c>
      <c r="N526" s="25">
        <v>100</v>
      </c>
      <c r="O526" s="25">
        <v>0</v>
      </c>
      <c r="P526" s="25">
        <v>0</v>
      </c>
      <c r="Q526" s="25">
        <f t="shared" si="82"/>
        <v>30</v>
      </c>
      <c r="R526" s="25">
        <v>60</v>
      </c>
      <c r="S526" s="25">
        <f t="shared" si="83"/>
        <v>30</v>
      </c>
      <c r="T526" s="25">
        <v>60</v>
      </c>
      <c r="U526" s="29">
        <v>0</v>
      </c>
      <c r="V526" s="25">
        <v>0</v>
      </c>
      <c r="W526" s="25">
        <v>0</v>
      </c>
      <c r="X526" s="25">
        <v>0</v>
      </c>
      <c r="Y526" s="29">
        <v>0</v>
      </c>
      <c r="Z526" s="29">
        <v>0</v>
      </c>
      <c r="AA526" s="29">
        <v>0</v>
      </c>
      <c r="AB526" s="29">
        <v>0</v>
      </c>
      <c r="AC526" s="29">
        <v>0</v>
      </c>
      <c r="AD526" s="29">
        <v>0</v>
      </c>
      <c r="AE526" s="43"/>
      <c r="GR526" s="5"/>
      <c r="GS526" s="5"/>
      <c r="GT526" s="5"/>
      <c r="GU526" s="5"/>
      <c r="GV526" s="5"/>
      <c r="GW526" s="5"/>
      <c r="GX526" s="5"/>
      <c r="GY526" s="5"/>
      <c r="GZ526" s="5"/>
      <c r="HA526" s="5"/>
      <c r="HB526" s="5"/>
      <c r="HC526" s="5"/>
      <c r="HD526" s="5"/>
      <c r="HE526" s="5"/>
      <c r="HF526" s="5"/>
      <c r="HG526" s="5"/>
      <c r="HH526" s="5"/>
      <c r="HI526" s="5"/>
      <c r="HJ526" s="5"/>
      <c r="HK526" s="5"/>
      <c r="HL526" s="5"/>
      <c r="HM526" s="5"/>
      <c r="HN526" s="5"/>
      <c r="HO526" s="5"/>
      <c r="HP526" s="5"/>
    </row>
    <row r="527" spans="3:224" ht="20.100000000000001" customHeight="1">
      <c r="C527" s="24">
        <v>15501002</v>
      </c>
      <c r="D527" s="25" t="s">
        <v>530</v>
      </c>
      <c r="E527" s="25">
        <v>11200003</v>
      </c>
      <c r="F527" s="25">
        <v>15011</v>
      </c>
      <c r="G527" s="25">
        <v>1</v>
      </c>
      <c r="H527" s="25">
        <v>60</v>
      </c>
      <c r="I527" s="29">
        <v>0.2</v>
      </c>
      <c r="J527" s="30">
        <v>25</v>
      </c>
      <c r="K527" s="25">
        <v>0</v>
      </c>
      <c r="L527" s="25">
        <v>0</v>
      </c>
      <c r="M527" s="25">
        <f t="shared" si="81"/>
        <v>60</v>
      </c>
      <c r="N527" s="25">
        <v>120</v>
      </c>
      <c r="O527" s="25">
        <v>0</v>
      </c>
      <c r="P527" s="25">
        <v>0</v>
      </c>
      <c r="Q527" s="25">
        <f t="shared" si="82"/>
        <v>36</v>
      </c>
      <c r="R527" s="25">
        <v>72</v>
      </c>
      <c r="S527" s="25">
        <f t="shared" si="83"/>
        <v>36</v>
      </c>
      <c r="T527" s="25">
        <v>72</v>
      </c>
      <c r="U527" s="29">
        <v>0</v>
      </c>
      <c r="V527" s="25">
        <v>0</v>
      </c>
      <c r="W527" s="25">
        <v>0</v>
      </c>
      <c r="X527" s="25">
        <v>0</v>
      </c>
      <c r="Y527" s="29">
        <v>0</v>
      </c>
      <c r="Z527" s="29">
        <v>0</v>
      </c>
      <c r="AA527" s="29">
        <v>0</v>
      </c>
      <c r="AB527" s="29">
        <v>0</v>
      </c>
      <c r="AC527" s="29">
        <v>0</v>
      </c>
      <c r="AD527" s="29">
        <v>0</v>
      </c>
      <c r="AE527" s="43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  <c r="HM527" s="5"/>
      <c r="HN527" s="5"/>
      <c r="HO527" s="5"/>
      <c r="HP527" s="5"/>
    </row>
    <row r="528" spans="3:224" ht="20.100000000000001" customHeight="1">
      <c r="C528" s="24">
        <v>15501003</v>
      </c>
      <c r="D528" s="25" t="s">
        <v>531</v>
      </c>
      <c r="E528" s="25">
        <v>11200003</v>
      </c>
      <c r="F528" s="25">
        <v>0</v>
      </c>
      <c r="G528" s="25">
        <v>1</v>
      </c>
      <c r="H528" s="25">
        <v>60</v>
      </c>
      <c r="I528" s="29">
        <v>0.2</v>
      </c>
      <c r="J528" s="30">
        <v>25</v>
      </c>
      <c r="K528" s="25">
        <v>0</v>
      </c>
      <c r="L528" s="25">
        <v>0</v>
      </c>
      <c r="M528" s="25">
        <f t="shared" si="81"/>
        <v>68</v>
      </c>
      <c r="N528" s="25">
        <v>135</v>
      </c>
      <c r="O528" s="25">
        <v>0</v>
      </c>
      <c r="P528" s="25">
        <v>0</v>
      </c>
      <c r="Q528" s="25">
        <f t="shared" si="82"/>
        <v>23</v>
      </c>
      <c r="R528" s="25">
        <v>45</v>
      </c>
      <c r="S528" s="25">
        <f t="shared" si="83"/>
        <v>23</v>
      </c>
      <c r="T528" s="25">
        <v>45</v>
      </c>
      <c r="U528" s="29">
        <v>0</v>
      </c>
      <c r="V528" s="25">
        <v>0</v>
      </c>
      <c r="W528" s="25">
        <v>0</v>
      </c>
      <c r="X528" s="25">
        <v>0</v>
      </c>
      <c r="Y528" s="29">
        <v>0</v>
      </c>
      <c r="Z528" s="29">
        <v>0</v>
      </c>
      <c r="AA528" s="29">
        <v>0</v>
      </c>
      <c r="AB528" s="29">
        <v>0</v>
      </c>
      <c r="AC528" s="29">
        <v>0</v>
      </c>
      <c r="AD528" s="29">
        <v>0</v>
      </c>
      <c r="AE528" s="43"/>
      <c r="GR528" s="5"/>
      <c r="GS528" s="5"/>
      <c r="GT528" s="5"/>
      <c r="GU528" s="5"/>
      <c r="GV528" s="5"/>
      <c r="GW528" s="5"/>
      <c r="GX528" s="5"/>
      <c r="GY528" s="5"/>
      <c r="GZ528" s="5"/>
      <c r="HA528" s="5"/>
      <c r="HB528" s="5"/>
      <c r="HC528" s="5"/>
      <c r="HD528" s="5"/>
      <c r="HE528" s="5"/>
      <c r="HF528" s="5"/>
      <c r="HG528" s="5"/>
      <c r="HH528" s="5"/>
      <c r="HI528" s="5"/>
      <c r="HJ528" s="5"/>
      <c r="HK528" s="5"/>
      <c r="HL528" s="5"/>
      <c r="HM528" s="5"/>
      <c r="HN528" s="5"/>
      <c r="HO528" s="5"/>
      <c r="HP528" s="5"/>
    </row>
    <row r="529" spans="3:224" ht="20.100000000000001" customHeight="1">
      <c r="C529" s="24">
        <v>15501004</v>
      </c>
      <c r="D529" s="25" t="s">
        <v>532</v>
      </c>
      <c r="E529" s="25">
        <v>11200003</v>
      </c>
      <c r="F529" s="25">
        <v>15021</v>
      </c>
      <c r="G529" s="25">
        <v>1</v>
      </c>
      <c r="H529" s="25">
        <v>60</v>
      </c>
      <c r="I529" s="29">
        <v>0.2</v>
      </c>
      <c r="J529" s="30">
        <v>25</v>
      </c>
      <c r="K529" s="25">
        <v>0</v>
      </c>
      <c r="L529" s="25">
        <v>0</v>
      </c>
      <c r="M529" s="25">
        <f t="shared" si="81"/>
        <v>81</v>
      </c>
      <c r="N529" s="25">
        <v>162</v>
      </c>
      <c r="O529" s="25">
        <v>0</v>
      </c>
      <c r="P529" s="25">
        <v>0</v>
      </c>
      <c r="Q529" s="25">
        <f t="shared" si="82"/>
        <v>27</v>
      </c>
      <c r="R529" s="25">
        <v>54</v>
      </c>
      <c r="S529" s="25">
        <f t="shared" si="83"/>
        <v>27</v>
      </c>
      <c r="T529" s="25">
        <v>54</v>
      </c>
      <c r="U529" s="29">
        <v>0</v>
      </c>
      <c r="V529" s="25">
        <v>0</v>
      </c>
      <c r="W529" s="25">
        <v>0</v>
      </c>
      <c r="X529" s="25">
        <v>0</v>
      </c>
      <c r="Y529" s="29">
        <v>0</v>
      </c>
      <c r="Z529" s="29">
        <v>0</v>
      </c>
      <c r="AA529" s="29">
        <v>0</v>
      </c>
      <c r="AB529" s="29">
        <v>0</v>
      </c>
      <c r="AC529" s="29">
        <v>0</v>
      </c>
      <c r="AD529" s="29">
        <v>0</v>
      </c>
      <c r="AE529" s="43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  <c r="HF529" s="5"/>
      <c r="HG529" s="5"/>
      <c r="HH529" s="5"/>
      <c r="HI529" s="5"/>
      <c r="HJ529" s="5"/>
      <c r="HK529" s="5"/>
      <c r="HL529" s="5"/>
      <c r="HM529" s="5"/>
      <c r="HN529" s="5"/>
      <c r="HO529" s="5"/>
      <c r="HP529" s="5"/>
    </row>
    <row r="530" spans="3:224" ht="20.100000000000001" customHeight="1">
      <c r="C530" s="24">
        <v>15501005</v>
      </c>
      <c r="D530" s="25" t="s">
        <v>533</v>
      </c>
      <c r="E530" s="25">
        <v>11200003</v>
      </c>
      <c r="F530" s="25">
        <v>0</v>
      </c>
      <c r="G530" s="25">
        <v>1</v>
      </c>
      <c r="H530" s="25">
        <v>60</v>
      </c>
      <c r="I530" s="29">
        <v>0.2</v>
      </c>
      <c r="J530" s="30">
        <v>25</v>
      </c>
      <c r="K530" s="25">
        <v>0</v>
      </c>
      <c r="L530" s="25">
        <v>0</v>
      </c>
      <c r="M530" s="25">
        <f t="shared" si="81"/>
        <v>38</v>
      </c>
      <c r="N530" s="25">
        <v>75</v>
      </c>
      <c r="O530" s="25">
        <v>0</v>
      </c>
      <c r="P530" s="25">
        <v>0</v>
      </c>
      <c r="Q530" s="25">
        <f t="shared" si="82"/>
        <v>38</v>
      </c>
      <c r="R530" s="25">
        <v>75</v>
      </c>
      <c r="S530" s="25">
        <f t="shared" si="83"/>
        <v>38</v>
      </c>
      <c r="T530" s="25">
        <v>75</v>
      </c>
      <c r="U530" s="29">
        <v>0</v>
      </c>
      <c r="V530" s="25">
        <v>0</v>
      </c>
      <c r="W530" s="25">
        <v>0</v>
      </c>
      <c r="X530" s="25">
        <v>0</v>
      </c>
      <c r="Y530" s="29">
        <v>0</v>
      </c>
      <c r="Z530" s="29">
        <v>0</v>
      </c>
      <c r="AA530" s="29">
        <v>0</v>
      </c>
      <c r="AB530" s="29">
        <v>0</v>
      </c>
      <c r="AC530" s="29">
        <v>0</v>
      </c>
      <c r="AD530" s="29">
        <v>0</v>
      </c>
      <c r="AE530" s="43"/>
      <c r="GR530" s="5"/>
      <c r="GS530" s="5"/>
      <c r="GT530" s="5"/>
      <c r="GU530" s="5"/>
      <c r="GV530" s="5"/>
      <c r="GW530" s="5"/>
      <c r="GX530" s="5"/>
      <c r="GY530" s="5"/>
      <c r="GZ530" s="5"/>
      <c r="HA530" s="5"/>
      <c r="HB530" s="5"/>
      <c r="HC530" s="5"/>
      <c r="HD530" s="5"/>
      <c r="HE530" s="5"/>
      <c r="HF530" s="5"/>
      <c r="HG530" s="5"/>
      <c r="HH530" s="5"/>
      <c r="HI530" s="5"/>
      <c r="HJ530" s="5"/>
      <c r="HK530" s="5"/>
      <c r="HL530" s="5"/>
      <c r="HM530" s="5"/>
      <c r="HN530" s="5"/>
      <c r="HO530" s="5"/>
      <c r="HP530" s="5"/>
    </row>
    <row r="531" spans="3:224" ht="20.100000000000001" customHeight="1">
      <c r="C531" s="24">
        <v>15501006</v>
      </c>
      <c r="D531" s="25" t="s">
        <v>534</v>
      </c>
      <c r="E531" s="25">
        <v>11200003</v>
      </c>
      <c r="F531" s="25">
        <v>15031</v>
      </c>
      <c r="G531" s="25">
        <v>1</v>
      </c>
      <c r="H531" s="25">
        <v>60</v>
      </c>
      <c r="I531" s="29">
        <v>0.2</v>
      </c>
      <c r="J531" s="30">
        <v>25</v>
      </c>
      <c r="K531" s="25">
        <v>0</v>
      </c>
      <c r="L531" s="25">
        <v>0</v>
      </c>
      <c r="M531" s="25">
        <f t="shared" si="81"/>
        <v>45</v>
      </c>
      <c r="N531" s="25">
        <v>90</v>
      </c>
      <c r="O531" s="25">
        <v>0</v>
      </c>
      <c r="P531" s="25">
        <v>0</v>
      </c>
      <c r="Q531" s="25">
        <f t="shared" si="82"/>
        <v>45</v>
      </c>
      <c r="R531" s="25">
        <v>90</v>
      </c>
      <c r="S531" s="25">
        <f t="shared" si="83"/>
        <v>45</v>
      </c>
      <c r="T531" s="25">
        <v>90</v>
      </c>
      <c r="U531" s="29">
        <v>0</v>
      </c>
      <c r="V531" s="25">
        <v>0</v>
      </c>
      <c r="W531" s="25">
        <v>0</v>
      </c>
      <c r="X531" s="25">
        <v>0</v>
      </c>
      <c r="Y531" s="29">
        <v>0</v>
      </c>
      <c r="Z531" s="29">
        <v>0</v>
      </c>
      <c r="AA531" s="29">
        <v>0</v>
      </c>
      <c r="AB531" s="29">
        <v>0</v>
      </c>
      <c r="AC531" s="29">
        <v>0</v>
      </c>
      <c r="AD531" s="29">
        <v>0</v>
      </c>
      <c r="AE531" s="43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5"/>
      <c r="HG531" s="5"/>
      <c r="HH531" s="5"/>
      <c r="HI531" s="5"/>
      <c r="HJ531" s="5"/>
      <c r="HK531" s="5"/>
      <c r="HL531" s="5"/>
      <c r="HM531" s="5"/>
      <c r="HN531" s="5"/>
      <c r="HO531" s="5"/>
      <c r="HP531" s="5"/>
    </row>
    <row r="532" spans="3:224" ht="20.100000000000001" customHeight="1">
      <c r="C532" s="24">
        <v>15502001</v>
      </c>
      <c r="D532" s="25" t="s">
        <v>535</v>
      </c>
      <c r="E532" s="25">
        <v>11200003</v>
      </c>
      <c r="F532" s="25">
        <v>0</v>
      </c>
      <c r="G532" s="25">
        <v>1</v>
      </c>
      <c r="H532" s="25">
        <v>60</v>
      </c>
      <c r="I532" s="29">
        <v>0.2</v>
      </c>
      <c r="J532" s="30">
        <v>25</v>
      </c>
      <c r="K532" s="25">
        <v>0</v>
      </c>
      <c r="L532" s="25">
        <v>0</v>
      </c>
      <c r="M532" s="25">
        <f t="shared" si="81"/>
        <v>68</v>
      </c>
      <c r="N532" s="25">
        <v>135</v>
      </c>
      <c r="O532" s="25">
        <v>0</v>
      </c>
      <c r="P532" s="25">
        <v>0</v>
      </c>
      <c r="Q532" s="25">
        <f t="shared" si="82"/>
        <v>0</v>
      </c>
      <c r="R532" s="25">
        <v>0</v>
      </c>
      <c r="S532" s="25">
        <f t="shared" si="83"/>
        <v>93</v>
      </c>
      <c r="T532" s="25">
        <v>185</v>
      </c>
      <c r="U532" s="29">
        <v>0</v>
      </c>
      <c r="V532" s="25">
        <v>0</v>
      </c>
      <c r="W532" s="25">
        <v>0</v>
      </c>
      <c r="X532" s="25">
        <v>0</v>
      </c>
      <c r="Y532" s="29">
        <v>0</v>
      </c>
      <c r="Z532" s="29">
        <v>0</v>
      </c>
      <c r="AA532" s="29">
        <v>0</v>
      </c>
      <c r="AB532" s="29">
        <v>0</v>
      </c>
      <c r="AC532" s="29">
        <v>0</v>
      </c>
      <c r="AD532" s="29">
        <v>0</v>
      </c>
      <c r="AE532" s="43"/>
      <c r="GR532" s="5"/>
      <c r="GS532" s="5"/>
      <c r="GT532" s="5"/>
      <c r="GU532" s="5"/>
      <c r="GV532" s="5"/>
      <c r="GW532" s="5"/>
      <c r="GX532" s="5"/>
      <c r="GY532" s="5"/>
      <c r="GZ532" s="5"/>
      <c r="HA532" s="5"/>
      <c r="HB532" s="5"/>
      <c r="HC532" s="5"/>
      <c r="HD532" s="5"/>
      <c r="HE532" s="5"/>
      <c r="HF532" s="5"/>
      <c r="HG532" s="5"/>
      <c r="HH532" s="5"/>
      <c r="HI532" s="5"/>
      <c r="HJ532" s="5"/>
      <c r="HK532" s="5"/>
      <c r="HL532" s="5"/>
      <c r="HM532" s="5"/>
      <c r="HN532" s="5"/>
      <c r="HO532" s="5"/>
      <c r="HP532" s="5"/>
    </row>
    <row r="533" spans="3:224" ht="20.100000000000001" customHeight="1">
      <c r="C533" s="24">
        <v>15502002</v>
      </c>
      <c r="D533" s="25" t="s">
        <v>536</v>
      </c>
      <c r="E533" s="25">
        <v>11200003</v>
      </c>
      <c r="F533" s="25">
        <v>15011</v>
      </c>
      <c r="G533" s="25">
        <v>1</v>
      </c>
      <c r="H533" s="25">
        <v>60</v>
      </c>
      <c r="I533" s="29">
        <v>0.2</v>
      </c>
      <c r="J533" s="30">
        <v>25</v>
      </c>
      <c r="K533" s="25">
        <v>0</v>
      </c>
      <c r="L533" s="25">
        <v>0</v>
      </c>
      <c r="M533" s="25">
        <f t="shared" si="81"/>
        <v>78</v>
      </c>
      <c r="N533" s="25">
        <v>156</v>
      </c>
      <c r="O533" s="25">
        <v>0</v>
      </c>
      <c r="P533" s="25">
        <v>0</v>
      </c>
      <c r="Q533" s="25">
        <f t="shared" si="82"/>
        <v>0</v>
      </c>
      <c r="R533" s="25">
        <v>0</v>
      </c>
      <c r="S533" s="25">
        <f t="shared" si="83"/>
        <v>108</v>
      </c>
      <c r="T533" s="25">
        <v>216</v>
      </c>
      <c r="U533" s="29">
        <v>0</v>
      </c>
      <c r="V533" s="25">
        <v>0</v>
      </c>
      <c r="W533" s="25">
        <v>0</v>
      </c>
      <c r="X533" s="25">
        <v>0</v>
      </c>
      <c r="Y533" s="29">
        <v>0</v>
      </c>
      <c r="Z533" s="29">
        <v>0</v>
      </c>
      <c r="AA533" s="29">
        <v>0</v>
      </c>
      <c r="AB533" s="29">
        <v>0</v>
      </c>
      <c r="AC533" s="29">
        <v>0</v>
      </c>
      <c r="AD533" s="29">
        <v>0</v>
      </c>
      <c r="AE533" s="43"/>
      <c r="GR533" s="5"/>
      <c r="GS533" s="5"/>
      <c r="GT533" s="5"/>
      <c r="GU533" s="5"/>
      <c r="GV533" s="5"/>
      <c r="GW533" s="5"/>
      <c r="GX533" s="5"/>
      <c r="GY533" s="5"/>
      <c r="GZ533" s="5"/>
      <c r="HA533" s="5"/>
      <c r="HB533" s="5"/>
      <c r="HC533" s="5"/>
      <c r="HD533" s="5"/>
      <c r="HE533" s="5"/>
      <c r="HF533" s="5"/>
      <c r="HG533" s="5"/>
      <c r="HH533" s="5"/>
      <c r="HI533" s="5"/>
      <c r="HJ533" s="5"/>
      <c r="HK533" s="5"/>
      <c r="HL533" s="5"/>
      <c r="HM533" s="5"/>
      <c r="HN533" s="5"/>
      <c r="HO533" s="5"/>
      <c r="HP533" s="5"/>
    </row>
    <row r="534" spans="3:224" ht="20.100000000000001" customHeight="1">
      <c r="C534" s="24">
        <v>15502003</v>
      </c>
      <c r="D534" s="25" t="s">
        <v>537</v>
      </c>
      <c r="E534" s="25">
        <v>11200003</v>
      </c>
      <c r="F534" s="25">
        <v>0</v>
      </c>
      <c r="G534" s="25">
        <v>1</v>
      </c>
      <c r="H534" s="25">
        <v>60</v>
      </c>
      <c r="I534" s="29">
        <v>0.2</v>
      </c>
      <c r="J534" s="30">
        <v>25</v>
      </c>
      <c r="K534" s="25">
        <v>0</v>
      </c>
      <c r="L534" s="25">
        <v>0</v>
      </c>
      <c r="M534" s="25">
        <f t="shared" si="81"/>
        <v>91</v>
      </c>
      <c r="N534" s="25">
        <v>182</v>
      </c>
      <c r="O534" s="25">
        <v>0</v>
      </c>
      <c r="P534" s="25">
        <v>0</v>
      </c>
      <c r="Q534" s="25">
        <f t="shared" si="82"/>
        <v>0</v>
      </c>
      <c r="R534" s="25">
        <v>0</v>
      </c>
      <c r="S534" s="25">
        <f t="shared" si="83"/>
        <v>70</v>
      </c>
      <c r="T534" s="25">
        <v>139</v>
      </c>
      <c r="U534" s="29">
        <v>0</v>
      </c>
      <c r="V534" s="25">
        <v>0</v>
      </c>
      <c r="W534" s="25">
        <v>0</v>
      </c>
      <c r="X534" s="25">
        <v>0</v>
      </c>
      <c r="Y534" s="29">
        <v>0</v>
      </c>
      <c r="Z534" s="29">
        <v>0</v>
      </c>
      <c r="AA534" s="29">
        <v>0</v>
      </c>
      <c r="AB534" s="29">
        <v>0</v>
      </c>
      <c r="AC534" s="29">
        <v>0</v>
      </c>
      <c r="AD534" s="29">
        <v>0</v>
      </c>
      <c r="AE534" s="43"/>
      <c r="GR534" s="5"/>
      <c r="GS534" s="5"/>
      <c r="GT534" s="5"/>
      <c r="GU534" s="5"/>
      <c r="GV534" s="5"/>
      <c r="GW534" s="5"/>
      <c r="GX534" s="5"/>
      <c r="GY534" s="5"/>
      <c r="GZ534" s="5"/>
      <c r="HA534" s="5"/>
      <c r="HB534" s="5"/>
      <c r="HC534" s="5"/>
      <c r="HD534" s="5"/>
      <c r="HE534" s="5"/>
      <c r="HF534" s="5"/>
      <c r="HG534" s="5"/>
      <c r="HH534" s="5"/>
      <c r="HI534" s="5"/>
      <c r="HJ534" s="5"/>
      <c r="HK534" s="5"/>
      <c r="HL534" s="5"/>
      <c r="HM534" s="5"/>
      <c r="HN534" s="5"/>
      <c r="HO534" s="5"/>
      <c r="HP534" s="5"/>
    </row>
    <row r="535" spans="3:224" ht="20.100000000000001" customHeight="1">
      <c r="C535" s="24">
        <v>15502004</v>
      </c>
      <c r="D535" s="25" t="s">
        <v>538</v>
      </c>
      <c r="E535" s="25">
        <v>11200003</v>
      </c>
      <c r="F535" s="25">
        <v>15021</v>
      </c>
      <c r="G535" s="25">
        <v>1</v>
      </c>
      <c r="H535" s="25">
        <v>60</v>
      </c>
      <c r="I535" s="29">
        <v>0.2</v>
      </c>
      <c r="J535" s="30">
        <v>25</v>
      </c>
      <c r="K535" s="25">
        <v>0</v>
      </c>
      <c r="L535" s="25">
        <v>0</v>
      </c>
      <c r="M535" s="25">
        <f t="shared" si="81"/>
        <v>106</v>
      </c>
      <c r="N535" s="25">
        <v>211</v>
      </c>
      <c r="O535" s="25">
        <v>0</v>
      </c>
      <c r="P535" s="25">
        <v>0</v>
      </c>
      <c r="Q535" s="25">
        <f t="shared" si="82"/>
        <v>0</v>
      </c>
      <c r="R535" s="25">
        <v>0</v>
      </c>
      <c r="S535" s="25">
        <f t="shared" si="83"/>
        <v>81</v>
      </c>
      <c r="T535" s="25">
        <v>162</v>
      </c>
      <c r="U535" s="29">
        <v>0</v>
      </c>
      <c r="V535" s="25">
        <v>0</v>
      </c>
      <c r="W535" s="25">
        <v>0</v>
      </c>
      <c r="X535" s="25">
        <v>0</v>
      </c>
      <c r="Y535" s="29">
        <v>0</v>
      </c>
      <c r="Z535" s="29">
        <v>0</v>
      </c>
      <c r="AA535" s="29">
        <v>0</v>
      </c>
      <c r="AB535" s="29">
        <v>0</v>
      </c>
      <c r="AC535" s="29">
        <v>0</v>
      </c>
      <c r="AD535" s="29">
        <v>0</v>
      </c>
      <c r="AE535" s="43"/>
      <c r="GR535" s="5"/>
      <c r="GS535" s="5"/>
      <c r="GT535" s="5"/>
      <c r="GU535" s="5"/>
      <c r="GV535" s="5"/>
      <c r="GW535" s="5"/>
      <c r="GX535" s="5"/>
      <c r="GY535" s="5"/>
      <c r="GZ535" s="5"/>
      <c r="HA535" s="5"/>
      <c r="HB535" s="5"/>
      <c r="HC535" s="5"/>
      <c r="HD535" s="5"/>
      <c r="HE535" s="5"/>
      <c r="HF535" s="5"/>
      <c r="HG535" s="5"/>
      <c r="HH535" s="5"/>
      <c r="HI535" s="5"/>
      <c r="HJ535" s="5"/>
      <c r="HK535" s="5"/>
      <c r="HL535" s="5"/>
      <c r="HM535" s="5"/>
      <c r="HN535" s="5"/>
      <c r="HO535" s="5"/>
      <c r="HP535" s="5"/>
    </row>
    <row r="536" spans="3:224" ht="20.100000000000001" customHeight="1">
      <c r="C536" s="24">
        <v>15502005</v>
      </c>
      <c r="D536" s="25" t="s">
        <v>539</v>
      </c>
      <c r="E536" s="25">
        <v>11200003</v>
      </c>
      <c r="F536" s="25">
        <v>0</v>
      </c>
      <c r="G536" s="25">
        <v>1</v>
      </c>
      <c r="H536" s="25">
        <v>60</v>
      </c>
      <c r="I536" s="29">
        <v>0.2</v>
      </c>
      <c r="J536" s="30">
        <v>25</v>
      </c>
      <c r="K536" s="25">
        <v>0</v>
      </c>
      <c r="L536" s="25">
        <v>0</v>
      </c>
      <c r="M536" s="25">
        <f t="shared" si="81"/>
        <v>51</v>
      </c>
      <c r="N536" s="25">
        <v>101</v>
      </c>
      <c r="O536" s="25">
        <v>0</v>
      </c>
      <c r="P536" s="25">
        <v>0</v>
      </c>
      <c r="Q536" s="25">
        <f t="shared" si="82"/>
        <v>0</v>
      </c>
      <c r="R536" s="25">
        <v>0</v>
      </c>
      <c r="S536" s="25">
        <f t="shared" si="83"/>
        <v>116</v>
      </c>
      <c r="T536" s="25">
        <v>231</v>
      </c>
      <c r="U536" s="29">
        <v>0</v>
      </c>
      <c r="V536" s="25">
        <v>0</v>
      </c>
      <c r="W536" s="25">
        <v>0</v>
      </c>
      <c r="X536" s="25">
        <v>0</v>
      </c>
      <c r="Y536" s="29">
        <v>0</v>
      </c>
      <c r="Z536" s="29">
        <v>0</v>
      </c>
      <c r="AA536" s="29">
        <v>0</v>
      </c>
      <c r="AB536" s="29">
        <v>0</v>
      </c>
      <c r="AC536" s="29">
        <v>0</v>
      </c>
      <c r="AD536" s="29">
        <v>0</v>
      </c>
      <c r="AE536" s="43"/>
      <c r="GR536" s="5"/>
      <c r="GS536" s="5"/>
      <c r="GT536" s="5"/>
      <c r="GU536" s="5"/>
      <c r="GV536" s="5"/>
      <c r="GW536" s="5"/>
      <c r="GX536" s="5"/>
      <c r="GY536" s="5"/>
      <c r="GZ536" s="5"/>
      <c r="HA536" s="5"/>
      <c r="HB536" s="5"/>
      <c r="HC536" s="5"/>
      <c r="HD536" s="5"/>
      <c r="HE536" s="5"/>
      <c r="HF536" s="5"/>
      <c r="HG536" s="5"/>
      <c r="HH536" s="5"/>
      <c r="HI536" s="5"/>
      <c r="HJ536" s="5"/>
      <c r="HK536" s="5"/>
      <c r="HL536" s="5"/>
      <c r="HM536" s="5"/>
      <c r="HN536" s="5"/>
      <c r="HO536" s="5"/>
      <c r="HP536" s="5"/>
    </row>
    <row r="537" spans="3:224" ht="20.100000000000001" customHeight="1">
      <c r="C537" s="24">
        <v>15502006</v>
      </c>
      <c r="D537" s="25" t="s">
        <v>540</v>
      </c>
      <c r="E537" s="25">
        <v>11200003</v>
      </c>
      <c r="F537" s="25">
        <v>15031</v>
      </c>
      <c r="G537" s="25">
        <v>1</v>
      </c>
      <c r="H537" s="25">
        <v>60</v>
      </c>
      <c r="I537" s="29">
        <v>0.2</v>
      </c>
      <c r="J537" s="30">
        <v>25</v>
      </c>
      <c r="K537" s="25">
        <v>0</v>
      </c>
      <c r="L537" s="25">
        <v>0</v>
      </c>
      <c r="M537" s="25">
        <f t="shared" si="81"/>
        <v>59</v>
      </c>
      <c r="N537" s="25">
        <v>117</v>
      </c>
      <c r="O537" s="25">
        <v>0</v>
      </c>
      <c r="P537" s="25">
        <v>0</v>
      </c>
      <c r="Q537" s="25">
        <f t="shared" si="82"/>
        <v>0</v>
      </c>
      <c r="R537" s="25">
        <v>0</v>
      </c>
      <c r="S537" s="25">
        <f t="shared" si="83"/>
        <v>135</v>
      </c>
      <c r="T537" s="25">
        <v>270</v>
      </c>
      <c r="U537" s="29">
        <v>0</v>
      </c>
      <c r="V537" s="25">
        <v>0</v>
      </c>
      <c r="W537" s="25">
        <v>0</v>
      </c>
      <c r="X537" s="25">
        <v>0</v>
      </c>
      <c r="Y537" s="29">
        <v>0</v>
      </c>
      <c r="Z537" s="29">
        <v>0</v>
      </c>
      <c r="AA537" s="29">
        <v>0</v>
      </c>
      <c r="AB537" s="29">
        <v>0</v>
      </c>
      <c r="AC537" s="29">
        <v>0</v>
      </c>
      <c r="AD537" s="29">
        <v>0</v>
      </c>
      <c r="AE537" s="43"/>
      <c r="GR537" s="5"/>
      <c r="GS537" s="5"/>
      <c r="GT537" s="5"/>
      <c r="GU537" s="5"/>
      <c r="GV537" s="5"/>
      <c r="GW537" s="5"/>
      <c r="GX537" s="5"/>
      <c r="GY537" s="5"/>
      <c r="GZ537" s="5"/>
      <c r="HA537" s="5"/>
      <c r="HB537" s="5"/>
      <c r="HC537" s="5"/>
      <c r="HD537" s="5"/>
      <c r="HE537" s="5"/>
      <c r="HF537" s="5"/>
      <c r="HG537" s="5"/>
      <c r="HH537" s="5"/>
      <c r="HI537" s="5"/>
      <c r="HJ537" s="5"/>
      <c r="HK537" s="5"/>
      <c r="HL537" s="5"/>
      <c r="HM537" s="5"/>
      <c r="HN537" s="5"/>
      <c r="HO537" s="5"/>
      <c r="HP537" s="5"/>
    </row>
    <row r="538" spans="3:224" ht="20.100000000000001" customHeight="1">
      <c r="C538" s="24">
        <v>15503001</v>
      </c>
      <c r="D538" s="25" t="s">
        <v>541</v>
      </c>
      <c r="E538" s="25">
        <v>11200003</v>
      </c>
      <c r="F538" s="25">
        <v>0</v>
      </c>
      <c r="G538" s="25">
        <v>1</v>
      </c>
      <c r="H538" s="25">
        <v>60</v>
      </c>
      <c r="I538" s="29">
        <v>0.2</v>
      </c>
      <c r="J538" s="30">
        <v>25</v>
      </c>
      <c r="K538" s="25">
        <v>0</v>
      </c>
      <c r="L538" s="25">
        <v>2080</v>
      </c>
      <c r="M538" s="25">
        <f t="shared" si="81"/>
        <v>36</v>
      </c>
      <c r="N538" s="25">
        <v>72</v>
      </c>
      <c r="O538" s="25">
        <v>0</v>
      </c>
      <c r="P538" s="25">
        <v>0</v>
      </c>
      <c r="Q538" s="25">
        <f t="shared" si="82"/>
        <v>61</v>
      </c>
      <c r="R538" s="25">
        <v>122</v>
      </c>
      <c r="S538" s="25">
        <f t="shared" si="83"/>
        <v>0</v>
      </c>
      <c r="T538" s="25">
        <v>0</v>
      </c>
      <c r="U538" s="29">
        <v>0</v>
      </c>
      <c r="V538" s="25">
        <v>0</v>
      </c>
      <c r="W538" s="25">
        <v>0</v>
      </c>
      <c r="X538" s="25">
        <v>0</v>
      </c>
      <c r="Y538" s="29">
        <v>0</v>
      </c>
      <c r="Z538" s="29">
        <v>0</v>
      </c>
      <c r="AA538" s="29">
        <v>0</v>
      </c>
      <c r="AB538" s="29">
        <v>0</v>
      </c>
      <c r="AC538" s="29">
        <v>0</v>
      </c>
      <c r="AD538" s="29">
        <v>0</v>
      </c>
      <c r="AE538" s="43"/>
      <c r="GR538" s="5"/>
      <c r="GS538" s="5"/>
      <c r="GT538" s="5"/>
      <c r="GU538" s="5"/>
      <c r="GV538" s="5"/>
      <c r="GW538" s="5"/>
      <c r="GX538" s="5"/>
      <c r="GY538" s="5"/>
      <c r="GZ538" s="5"/>
      <c r="HA538" s="5"/>
      <c r="HB538" s="5"/>
      <c r="HC538" s="5"/>
      <c r="HD538" s="5"/>
      <c r="HE538" s="5"/>
      <c r="HF538" s="5"/>
      <c r="HG538" s="5"/>
      <c r="HH538" s="5"/>
      <c r="HI538" s="5"/>
      <c r="HJ538" s="5"/>
      <c r="HK538" s="5"/>
      <c r="HL538" s="5"/>
      <c r="HM538" s="5"/>
      <c r="HN538" s="5"/>
      <c r="HO538" s="5"/>
      <c r="HP538" s="5"/>
    </row>
    <row r="539" spans="3:224" ht="20.100000000000001" customHeight="1">
      <c r="C539" s="24">
        <v>15503002</v>
      </c>
      <c r="D539" s="25" t="s">
        <v>542</v>
      </c>
      <c r="E539" s="25">
        <v>11200003</v>
      </c>
      <c r="F539" s="25">
        <v>15011</v>
      </c>
      <c r="G539" s="25">
        <v>1</v>
      </c>
      <c r="H539" s="25">
        <v>60</v>
      </c>
      <c r="I539" s="29">
        <v>0.2</v>
      </c>
      <c r="J539" s="30">
        <v>25</v>
      </c>
      <c r="K539" s="25">
        <v>0</v>
      </c>
      <c r="L539" s="25">
        <v>2520</v>
      </c>
      <c r="M539" s="25">
        <f t="shared" si="81"/>
        <v>42</v>
      </c>
      <c r="N539" s="25">
        <v>84</v>
      </c>
      <c r="O539" s="25">
        <v>0</v>
      </c>
      <c r="P539" s="25">
        <v>0</v>
      </c>
      <c r="Q539" s="25">
        <f t="shared" si="82"/>
        <v>72</v>
      </c>
      <c r="R539" s="25">
        <v>144</v>
      </c>
      <c r="S539" s="25">
        <f t="shared" si="83"/>
        <v>0</v>
      </c>
      <c r="T539" s="25">
        <v>0</v>
      </c>
      <c r="U539" s="29">
        <v>0</v>
      </c>
      <c r="V539" s="25">
        <v>0</v>
      </c>
      <c r="W539" s="25">
        <v>0</v>
      </c>
      <c r="X539" s="25">
        <v>0</v>
      </c>
      <c r="Y539" s="29">
        <v>0</v>
      </c>
      <c r="Z539" s="29">
        <v>0</v>
      </c>
      <c r="AA539" s="29">
        <v>0</v>
      </c>
      <c r="AB539" s="29">
        <v>0</v>
      </c>
      <c r="AC539" s="29">
        <v>0</v>
      </c>
      <c r="AD539" s="29">
        <v>0</v>
      </c>
      <c r="AE539" s="43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  <c r="HF539" s="5"/>
      <c r="HG539" s="5"/>
      <c r="HH539" s="5"/>
      <c r="HI539" s="5"/>
      <c r="HJ539" s="5"/>
      <c r="HK539" s="5"/>
      <c r="HL539" s="5"/>
      <c r="HM539" s="5"/>
      <c r="HN539" s="5"/>
      <c r="HO539" s="5"/>
      <c r="HP539" s="5"/>
    </row>
    <row r="540" spans="3:224" ht="20.100000000000001" customHeight="1">
      <c r="C540" s="24">
        <v>15503003</v>
      </c>
      <c r="D540" s="25" t="s">
        <v>543</v>
      </c>
      <c r="E540" s="25">
        <v>11200003</v>
      </c>
      <c r="F540" s="25">
        <v>0</v>
      </c>
      <c r="G540" s="25">
        <v>1</v>
      </c>
      <c r="H540" s="25">
        <v>60</v>
      </c>
      <c r="I540" s="29">
        <v>0.2</v>
      </c>
      <c r="J540" s="30">
        <v>25</v>
      </c>
      <c r="K540" s="25">
        <v>0</v>
      </c>
      <c r="L540" s="25">
        <v>1040</v>
      </c>
      <c r="M540" s="25">
        <f t="shared" si="81"/>
        <v>49</v>
      </c>
      <c r="N540" s="25">
        <v>97</v>
      </c>
      <c r="O540" s="25">
        <v>0</v>
      </c>
      <c r="P540" s="25">
        <v>0</v>
      </c>
      <c r="Q540" s="25">
        <f t="shared" si="82"/>
        <v>46</v>
      </c>
      <c r="R540" s="25">
        <v>92</v>
      </c>
      <c r="S540" s="25">
        <f t="shared" si="83"/>
        <v>0</v>
      </c>
      <c r="T540" s="25">
        <v>0</v>
      </c>
      <c r="U540" s="29">
        <v>0</v>
      </c>
      <c r="V540" s="25">
        <v>0</v>
      </c>
      <c r="W540" s="25">
        <v>0</v>
      </c>
      <c r="X540" s="25">
        <v>0</v>
      </c>
      <c r="Y540" s="29">
        <v>0</v>
      </c>
      <c r="Z540" s="29">
        <v>0</v>
      </c>
      <c r="AA540" s="29">
        <v>0</v>
      </c>
      <c r="AB540" s="29">
        <v>0</v>
      </c>
      <c r="AC540" s="29">
        <v>0</v>
      </c>
      <c r="AD540" s="29">
        <v>0</v>
      </c>
      <c r="AE540" s="43"/>
      <c r="GR540" s="5"/>
      <c r="GS540" s="5"/>
      <c r="GT540" s="5"/>
      <c r="GU540" s="5"/>
      <c r="GV540" s="5"/>
      <c r="GW540" s="5"/>
      <c r="GX540" s="5"/>
      <c r="GY540" s="5"/>
      <c r="GZ540" s="5"/>
      <c r="HA540" s="5"/>
      <c r="HB540" s="5"/>
      <c r="HC540" s="5"/>
      <c r="HD540" s="5"/>
      <c r="HE540" s="5"/>
      <c r="HF540" s="5"/>
      <c r="HG540" s="5"/>
      <c r="HH540" s="5"/>
      <c r="HI540" s="5"/>
      <c r="HJ540" s="5"/>
      <c r="HK540" s="5"/>
      <c r="HL540" s="5"/>
      <c r="HM540" s="5"/>
      <c r="HN540" s="5"/>
      <c r="HO540" s="5"/>
      <c r="HP540" s="5"/>
    </row>
    <row r="541" spans="3:224" ht="20.100000000000001" customHeight="1">
      <c r="C541" s="24">
        <v>15503004</v>
      </c>
      <c r="D541" s="25" t="s">
        <v>544</v>
      </c>
      <c r="E541" s="25">
        <v>11200003</v>
      </c>
      <c r="F541" s="25">
        <v>15021</v>
      </c>
      <c r="G541" s="25">
        <v>1</v>
      </c>
      <c r="H541" s="25">
        <v>60</v>
      </c>
      <c r="I541" s="29">
        <v>0.2</v>
      </c>
      <c r="J541" s="30">
        <v>25</v>
      </c>
      <c r="K541" s="25">
        <v>0</v>
      </c>
      <c r="L541" s="25">
        <v>1260</v>
      </c>
      <c r="M541" s="25">
        <f t="shared" si="81"/>
        <v>57</v>
      </c>
      <c r="N541" s="25">
        <v>113</v>
      </c>
      <c r="O541" s="25">
        <v>0</v>
      </c>
      <c r="P541" s="25">
        <v>0</v>
      </c>
      <c r="Q541" s="25">
        <f t="shared" si="82"/>
        <v>54</v>
      </c>
      <c r="R541" s="25">
        <v>108</v>
      </c>
      <c r="S541" s="25">
        <f t="shared" si="83"/>
        <v>0</v>
      </c>
      <c r="T541" s="25">
        <v>0</v>
      </c>
      <c r="U541" s="29">
        <v>0</v>
      </c>
      <c r="V541" s="25">
        <v>0</v>
      </c>
      <c r="W541" s="25">
        <v>0</v>
      </c>
      <c r="X541" s="25">
        <v>0</v>
      </c>
      <c r="Y541" s="29">
        <v>0</v>
      </c>
      <c r="Z541" s="29">
        <v>0</v>
      </c>
      <c r="AA541" s="29">
        <v>0</v>
      </c>
      <c r="AB541" s="29">
        <v>0</v>
      </c>
      <c r="AC541" s="29">
        <v>0</v>
      </c>
      <c r="AD541" s="29">
        <v>0</v>
      </c>
      <c r="AE541" s="43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  <c r="HF541" s="5"/>
      <c r="HG541" s="5"/>
      <c r="HH541" s="5"/>
      <c r="HI541" s="5"/>
      <c r="HJ541" s="5"/>
      <c r="HK541" s="5"/>
      <c r="HL541" s="5"/>
      <c r="HM541" s="5"/>
      <c r="HN541" s="5"/>
      <c r="HO541" s="5"/>
      <c r="HP541" s="5"/>
    </row>
    <row r="542" spans="3:224" ht="20.100000000000001" customHeight="1">
      <c r="C542" s="24">
        <v>15503005</v>
      </c>
      <c r="D542" s="25" t="s">
        <v>545</v>
      </c>
      <c r="E542" s="25">
        <v>11200003</v>
      </c>
      <c r="F542" s="25">
        <v>0</v>
      </c>
      <c r="G542" s="25">
        <v>1</v>
      </c>
      <c r="H542" s="25">
        <v>60</v>
      </c>
      <c r="I542" s="29">
        <v>0.2</v>
      </c>
      <c r="J542" s="30">
        <v>25</v>
      </c>
      <c r="K542" s="25">
        <v>0</v>
      </c>
      <c r="L542" s="25">
        <v>3120</v>
      </c>
      <c r="M542" s="25">
        <f t="shared" si="81"/>
        <v>27</v>
      </c>
      <c r="N542" s="25">
        <v>54</v>
      </c>
      <c r="O542" s="25">
        <v>0</v>
      </c>
      <c r="P542" s="25">
        <v>0</v>
      </c>
      <c r="Q542" s="25">
        <f t="shared" si="82"/>
        <v>77</v>
      </c>
      <c r="R542" s="25">
        <v>153</v>
      </c>
      <c r="S542" s="25">
        <f t="shared" si="83"/>
        <v>0</v>
      </c>
      <c r="T542" s="25">
        <v>0</v>
      </c>
      <c r="U542" s="29">
        <v>0</v>
      </c>
      <c r="V542" s="25">
        <v>0</v>
      </c>
      <c r="W542" s="25">
        <v>0</v>
      </c>
      <c r="X542" s="25">
        <v>0</v>
      </c>
      <c r="Y542" s="29">
        <v>0</v>
      </c>
      <c r="Z542" s="29">
        <v>0</v>
      </c>
      <c r="AA542" s="29">
        <v>0</v>
      </c>
      <c r="AB542" s="29">
        <v>0</v>
      </c>
      <c r="AC542" s="29">
        <v>0</v>
      </c>
      <c r="AD542" s="29">
        <v>0</v>
      </c>
      <c r="AE542" s="43"/>
      <c r="GR542" s="5"/>
      <c r="GS542" s="5"/>
      <c r="GT542" s="5"/>
      <c r="GU542" s="5"/>
      <c r="GV542" s="5"/>
      <c r="GW542" s="5"/>
      <c r="GX542" s="5"/>
      <c r="GY542" s="5"/>
      <c r="GZ542" s="5"/>
      <c r="HA542" s="5"/>
      <c r="HB542" s="5"/>
      <c r="HC542" s="5"/>
      <c r="HD542" s="5"/>
      <c r="HE542" s="5"/>
      <c r="HF542" s="5"/>
      <c r="HG542" s="5"/>
      <c r="HH542" s="5"/>
      <c r="HI542" s="5"/>
      <c r="HJ542" s="5"/>
      <c r="HK542" s="5"/>
      <c r="HL542" s="5"/>
      <c r="HM542" s="5"/>
      <c r="HN542" s="5"/>
      <c r="HO542" s="5"/>
      <c r="HP542" s="5"/>
    </row>
    <row r="543" spans="3:224" ht="20.100000000000001" customHeight="1">
      <c r="C543" s="24">
        <v>15503006</v>
      </c>
      <c r="D543" s="25" t="s">
        <v>546</v>
      </c>
      <c r="E543" s="25">
        <v>11200003</v>
      </c>
      <c r="F543" s="25">
        <v>15031</v>
      </c>
      <c r="G543" s="25">
        <v>1</v>
      </c>
      <c r="H543" s="25">
        <v>60</v>
      </c>
      <c r="I543" s="29">
        <v>0.2</v>
      </c>
      <c r="J543" s="30">
        <v>25</v>
      </c>
      <c r="K543" s="25">
        <v>0</v>
      </c>
      <c r="L543" s="25">
        <v>3780</v>
      </c>
      <c r="M543" s="25">
        <f t="shared" si="81"/>
        <v>32</v>
      </c>
      <c r="N543" s="25">
        <v>63</v>
      </c>
      <c r="O543" s="25">
        <v>0</v>
      </c>
      <c r="P543" s="25">
        <v>0</v>
      </c>
      <c r="Q543" s="25">
        <f t="shared" si="82"/>
        <v>90</v>
      </c>
      <c r="R543" s="25">
        <v>180</v>
      </c>
      <c r="S543" s="25">
        <f t="shared" si="83"/>
        <v>0</v>
      </c>
      <c r="T543" s="25">
        <v>0</v>
      </c>
      <c r="U543" s="29">
        <v>0</v>
      </c>
      <c r="V543" s="25">
        <v>0</v>
      </c>
      <c r="W543" s="25">
        <v>0</v>
      </c>
      <c r="X543" s="25">
        <v>0</v>
      </c>
      <c r="Y543" s="29">
        <v>0</v>
      </c>
      <c r="Z543" s="29">
        <v>0</v>
      </c>
      <c r="AA543" s="29">
        <v>0</v>
      </c>
      <c r="AB543" s="29">
        <v>0</v>
      </c>
      <c r="AC543" s="29">
        <v>0</v>
      </c>
      <c r="AD543" s="29">
        <v>0</v>
      </c>
      <c r="AE543" s="43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5"/>
      <c r="HG543" s="5"/>
      <c r="HH543" s="5"/>
      <c r="HI543" s="5"/>
      <c r="HJ543" s="5"/>
      <c r="HK543" s="5"/>
      <c r="HL543" s="5"/>
      <c r="HM543" s="5"/>
      <c r="HN543" s="5"/>
      <c r="HO543" s="5"/>
      <c r="HP543" s="5"/>
    </row>
    <row r="544" spans="3:224" s="3" customFormat="1" ht="20.100000000000001" customHeight="1">
      <c r="C544" s="26">
        <v>15503007</v>
      </c>
      <c r="D544" s="40" t="s">
        <v>547</v>
      </c>
      <c r="E544" s="28">
        <v>11200003</v>
      </c>
      <c r="F544" s="28">
        <v>0</v>
      </c>
      <c r="G544" s="28">
        <v>1</v>
      </c>
      <c r="H544" s="28">
        <v>60</v>
      </c>
      <c r="I544" s="31">
        <v>0.2</v>
      </c>
      <c r="J544" s="30">
        <v>25</v>
      </c>
      <c r="K544" s="28">
        <v>0</v>
      </c>
      <c r="L544" s="28">
        <v>4200</v>
      </c>
      <c r="M544" s="28">
        <v>40</v>
      </c>
      <c r="N544" s="28">
        <v>75</v>
      </c>
      <c r="O544" s="28">
        <v>0</v>
      </c>
      <c r="P544" s="28">
        <v>0</v>
      </c>
      <c r="Q544" s="28">
        <f t="shared" ref="Q544" si="104">ROUND(R544/2,0)</f>
        <v>100</v>
      </c>
      <c r="R544" s="28">
        <v>200</v>
      </c>
      <c r="S544" s="28">
        <f t="shared" ref="S544" si="105">ROUND(T544/2,0)</f>
        <v>0</v>
      </c>
      <c r="T544" s="28">
        <v>0</v>
      </c>
      <c r="U544" s="31">
        <v>0</v>
      </c>
      <c r="V544" s="28">
        <v>0</v>
      </c>
      <c r="W544" s="28">
        <v>0</v>
      </c>
      <c r="X544" s="28">
        <v>0</v>
      </c>
      <c r="Y544" s="31">
        <v>0</v>
      </c>
      <c r="Z544" s="31">
        <v>0</v>
      </c>
      <c r="AA544" s="31">
        <v>0</v>
      </c>
      <c r="AB544" s="31">
        <v>202101</v>
      </c>
      <c r="AC544" s="31">
        <v>500</v>
      </c>
      <c r="AD544" s="31">
        <v>1</v>
      </c>
      <c r="AE544" s="45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  <c r="BT544" s="33"/>
      <c r="BU544" s="33"/>
      <c r="BV544" s="33"/>
      <c r="BW544" s="33"/>
      <c r="BX544" s="33"/>
      <c r="BY544" s="33"/>
      <c r="BZ544" s="33"/>
      <c r="CA544" s="33"/>
      <c r="CB544" s="33"/>
      <c r="CC544" s="33"/>
      <c r="CD544" s="33"/>
      <c r="CE544" s="33"/>
      <c r="CF544" s="33"/>
      <c r="CG544" s="33"/>
      <c r="CH544" s="33"/>
      <c r="CI544" s="33"/>
      <c r="CJ544" s="33"/>
      <c r="CK544" s="33"/>
      <c r="CL544" s="33"/>
      <c r="CM544" s="33"/>
      <c r="CN544" s="33"/>
      <c r="CO544" s="33"/>
      <c r="CP544" s="33"/>
      <c r="CQ544" s="33"/>
      <c r="CR544" s="33"/>
      <c r="CS544" s="33"/>
      <c r="CT544" s="33"/>
      <c r="CU544" s="33"/>
      <c r="CV544" s="33"/>
      <c r="CW544" s="33"/>
      <c r="CX544" s="33"/>
      <c r="CY544" s="33"/>
      <c r="CZ544" s="33"/>
      <c r="DA544" s="33"/>
      <c r="DB544" s="33"/>
      <c r="DC544" s="33"/>
      <c r="DD544" s="33"/>
      <c r="DE544" s="33"/>
      <c r="DF544" s="33"/>
      <c r="DG544" s="33"/>
      <c r="DH544" s="33"/>
      <c r="DI544" s="33"/>
      <c r="DJ544" s="33"/>
      <c r="DK544" s="33"/>
      <c r="DL544" s="33"/>
      <c r="DM544" s="33"/>
      <c r="DN544" s="33"/>
      <c r="DO544" s="33"/>
      <c r="DP544" s="33"/>
      <c r="DQ544" s="33"/>
      <c r="DR544" s="33"/>
      <c r="DS544" s="33"/>
      <c r="DT544" s="33"/>
      <c r="DU544" s="33"/>
      <c r="DV544" s="33"/>
      <c r="DW544" s="33"/>
      <c r="DX544" s="33"/>
      <c r="DY544" s="33"/>
      <c r="DZ544" s="33"/>
      <c r="EA544" s="33"/>
      <c r="EB544" s="33"/>
      <c r="EC544" s="33"/>
      <c r="ED544" s="33"/>
      <c r="EE544" s="33"/>
      <c r="EF544" s="33"/>
      <c r="EG544" s="33"/>
      <c r="EH544" s="33"/>
      <c r="EI544" s="33"/>
      <c r="EJ544" s="33"/>
      <c r="EK544" s="33"/>
      <c r="EL544" s="33"/>
      <c r="EM544" s="33"/>
      <c r="EN544" s="33"/>
      <c r="EO544" s="33"/>
      <c r="EP544" s="33"/>
      <c r="EQ544" s="33"/>
      <c r="ER544" s="33"/>
      <c r="ES544" s="33"/>
      <c r="ET544" s="33"/>
      <c r="EU544" s="33"/>
      <c r="EV544" s="33"/>
      <c r="EW544" s="33"/>
      <c r="EX544" s="33"/>
      <c r="EY544" s="33"/>
      <c r="EZ544" s="33"/>
      <c r="FA544" s="33"/>
      <c r="FB544" s="33"/>
      <c r="FC544" s="33"/>
      <c r="FD544" s="33"/>
      <c r="FE544" s="33"/>
      <c r="FF544" s="33"/>
      <c r="FG544" s="33"/>
      <c r="FH544" s="33"/>
      <c r="FI544" s="33"/>
      <c r="FJ544" s="33"/>
      <c r="FK544" s="33"/>
      <c r="FL544" s="33"/>
      <c r="FM544" s="33"/>
      <c r="FN544" s="33"/>
      <c r="FO544" s="33"/>
      <c r="FP544" s="33"/>
      <c r="FQ544" s="33"/>
      <c r="FR544" s="33"/>
      <c r="FS544" s="33"/>
      <c r="FT544" s="33"/>
      <c r="FU544" s="33"/>
      <c r="FV544" s="33"/>
      <c r="FW544" s="33"/>
      <c r="FX544" s="33"/>
      <c r="FY544" s="33"/>
      <c r="FZ544" s="33"/>
      <c r="GA544" s="33"/>
      <c r="GB544" s="33"/>
      <c r="GC544" s="33"/>
      <c r="GD544" s="33"/>
      <c r="GE544" s="33"/>
      <c r="GF544" s="33"/>
      <c r="GG544" s="33"/>
      <c r="GH544" s="33"/>
      <c r="GI544" s="33"/>
      <c r="GJ544" s="33"/>
      <c r="GK544" s="33"/>
      <c r="GL544" s="33"/>
      <c r="GM544" s="33"/>
      <c r="GN544" s="33"/>
      <c r="GO544" s="33"/>
      <c r="GP544" s="33"/>
      <c r="GQ544" s="33"/>
      <c r="GR544" s="33"/>
      <c r="GS544" s="33"/>
      <c r="GT544" s="33"/>
      <c r="GU544" s="33"/>
      <c r="GV544" s="33"/>
      <c r="GW544" s="33"/>
      <c r="GX544" s="33"/>
      <c r="GY544" s="33"/>
      <c r="GZ544" s="33"/>
      <c r="HA544" s="33"/>
      <c r="HB544" s="33"/>
      <c r="HC544" s="33"/>
      <c r="HD544" s="33"/>
      <c r="HE544" s="33"/>
      <c r="HF544" s="33"/>
      <c r="HG544" s="33"/>
      <c r="HH544" s="33"/>
      <c r="HI544" s="33"/>
      <c r="HJ544" s="33"/>
      <c r="HK544" s="33"/>
      <c r="HL544" s="33"/>
      <c r="HM544" s="33"/>
      <c r="HN544" s="33"/>
      <c r="HO544" s="33"/>
      <c r="HP544" s="33"/>
    </row>
    <row r="545" spans="3:224" ht="20.100000000000001" customHeight="1">
      <c r="C545" s="24">
        <v>15504001</v>
      </c>
      <c r="D545" s="25" t="s">
        <v>548</v>
      </c>
      <c r="E545" s="25">
        <v>11200003</v>
      </c>
      <c r="F545" s="25">
        <v>0</v>
      </c>
      <c r="G545" s="25">
        <v>1</v>
      </c>
      <c r="H545" s="25">
        <v>60</v>
      </c>
      <c r="I545" s="29">
        <v>0.2</v>
      </c>
      <c r="J545" s="30">
        <v>25</v>
      </c>
      <c r="K545" s="25">
        <v>0</v>
      </c>
      <c r="L545" s="25">
        <v>0</v>
      </c>
      <c r="M545" s="25">
        <f t="shared" si="81"/>
        <v>56</v>
      </c>
      <c r="N545" s="25">
        <v>112</v>
      </c>
      <c r="O545" s="25">
        <v>0</v>
      </c>
      <c r="P545" s="25">
        <v>0</v>
      </c>
      <c r="Q545" s="25">
        <f t="shared" si="82"/>
        <v>60</v>
      </c>
      <c r="R545" s="25">
        <v>120</v>
      </c>
      <c r="S545" s="25">
        <f t="shared" si="83"/>
        <v>60</v>
      </c>
      <c r="T545" s="25">
        <v>120</v>
      </c>
      <c r="U545" s="29">
        <v>0</v>
      </c>
      <c r="V545" s="25">
        <v>0</v>
      </c>
      <c r="W545" s="25">
        <v>0</v>
      </c>
      <c r="X545" s="25">
        <v>0</v>
      </c>
      <c r="Y545" s="29">
        <v>0</v>
      </c>
      <c r="Z545" s="29">
        <v>0</v>
      </c>
      <c r="AA545" s="29">
        <v>0</v>
      </c>
      <c r="AB545" s="29">
        <v>0</v>
      </c>
      <c r="AC545" s="29">
        <v>0</v>
      </c>
      <c r="AD545" s="29">
        <v>0</v>
      </c>
      <c r="AE545" s="43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  <c r="HF545" s="5"/>
      <c r="HG545" s="5"/>
      <c r="HH545" s="5"/>
      <c r="HI545" s="5"/>
      <c r="HJ545" s="5"/>
      <c r="HK545" s="5"/>
      <c r="HL545" s="5"/>
      <c r="HM545" s="5"/>
      <c r="HN545" s="5"/>
      <c r="HO545" s="5"/>
      <c r="HP545" s="5"/>
    </row>
    <row r="546" spans="3:224" ht="20.100000000000001" customHeight="1">
      <c r="C546" s="24">
        <v>15504002</v>
      </c>
      <c r="D546" s="25" t="s">
        <v>549</v>
      </c>
      <c r="E546" s="25">
        <v>11200003</v>
      </c>
      <c r="F546" s="25">
        <v>15011</v>
      </c>
      <c r="G546" s="25">
        <v>1</v>
      </c>
      <c r="H546" s="25">
        <v>60</v>
      </c>
      <c r="I546" s="29">
        <v>0.2</v>
      </c>
      <c r="J546" s="30">
        <v>25</v>
      </c>
      <c r="K546" s="25">
        <v>0</v>
      </c>
      <c r="L546" s="25">
        <v>0</v>
      </c>
      <c r="M546" s="25">
        <f t="shared" ref="M546:M585" si="106">ROUND(N546/2,0)</f>
        <v>66</v>
      </c>
      <c r="N546" s="25">
        <v>132</v>
      </c>
      <c r="O546" s="25">
        <v>0</v>
      </c>
      <c r="P546" s="25">
        <v>0</v>
      </c>
      <c r="Q546" s="25">
        <f t="shared" ref="Q546:Q585" si="107">ROUND(R546/2,0)</f>
        <v>72</v>
      </c>
      <c r="R546" s="25">
        <v>144</v>
      </c>
      <c r="S546" s="25">
        <f t="shared" ref="S546:S585" si="108">ROUND(T546/2,0)</f>
        <v>72</v>
      </c>
      <c r="T546" s="25">
        <v>144</v>
      </c>
      <c r="U546" s="29">
        <v>0</v>
      </c>
      <c r="V546" s="25">
        <v>0</v>
      </c>
      <c r="W546" s="25">
        <v>0</v>
      </c>
      <c r="X546" s="25">
        <v>0</v>
      </c>
      <c r="Y546" s="29">
        <v>0</v>
      </c>
      <c r="Z546" s="29">
        <v>0</v>
      </c>
      <c r="AA546" s="29">
        <v>0</v>
      </c>
      <c r="AB546" s="29">
        <v>0</v>
      </c>
      <c r="AC546" s="29">
        <v>0</v>
      </c>
      <c r="AD546" s="29">
        <v>0</v>
      </c>
      <c r="AE546" s="43"/>
      <c r="GR546" s="5"/>
      <c r="GS546" s="5"/>
      <c r="GT546" s="5"/>
      <c r="GU546" s="5"/>
      <c r="GV546" s="5"/>
      <c r="GW546" s="5"/>
      <c r="GX546" s="5"/>
      <c r="GY546" s="5"/>
      <c r="GZ546" s="5"/>
      <c r="HA546" s="5"/>
      <c r="HB546" s="5"/>
      <c r="HC546" s="5"/>
      <c r="HD546" s="5"/>
      <c r="HE546" s="5"/>
      <c r="HF546" s="5"/>
      <c r="HG546" s="5"/>
      <c r="HH546" s="5"/>
      <c r="HI546" s="5"/>
      <c r="HJ546" s="5"/>
      <c r="HK546" s="5"/>
      <c r="HL546" s="5"/>
      <c r="HM546" s="5"/>
      <c r="HN546" s="5"/>
      <c r="HO546" s="5"/>
      <c r="HP546" s="5"/>
    </row>
    <row r="547" spans="3:224" ht="20.100000000000001" customHeight="1">
      <c r="C547" s="24">
        <v>15504003</v>
      </c>
      <c r="D547" s="25" t="s">
        <v>550</v>
      </c>
      <c r="E547" s="25">
        <v>11200003</v>
      </c>
      <c r="F547" s="25">
        <v>0</v>
      </c>
      <c r="G547" s="25">
        <v>1</v>
      </c>
      <c r="H547" s="25">
        <v>60</v>
      </c>
      <c r="I547" s="29">
        <v>0.2</v>
      </c>
      <c r="J547" s="30">
        <v>25</v>
      </c>
      <c r="K547" s="25">
        <v>0</v>
      </c>
      <c r="L547" s="25">
        <v>0</v>
      </c>
      <c r="M547" s="25">
        <f t="shared" si="106"/>
        <v>76</v>
      </c>
      <c r="N547" s="25">
        <v>151</v>
      </c>
      <c r="O547" s="25">
        <v>0</v>
      </c>
      <c r="P547" s="25">
        <v>0</v>
      </c>
      <c r="Q547" s="25">
        <f t="shared" si="107"/>
        <v>45</v>
      </c>
      <c r="R547" s="25">
        <v>90</v>
      </c>
      <c r="S547" s="25">
        <f t="shared" si="108"/>
        <v>45</v>
      </c>
      <c r="T547" s="25">
        <v>90</v>
      </c>
      <c r="U547" s="29">
        <v>0</v>
      </c>
      <c r="V547" s="25">
        <v>0</v>
      </c>
      <c r="W547" s="25">
        <v>0</v>
      </c>
      <c r="X547" s="25">
        <v>0</v>
      </c>
      <c r="Y547" s="29">
        <v>0</v>
      </c>
      <c r="Z547" s="29">
        <v>0</v>
      </c>
      <c r="AA547" s="29">
        <v>0</v>
      </c>
      <c r="AB547" s="29">
        <v>0</v>
      </c>
      <c r="AC547" s="29">
        <v>0</v>
      </c>
      <c r="AD547" s="29">
        <v>0</v>
      </c>
      <c r="AE547" s="43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  <c r="HJ547" s="5"/>
      <c r="HK547" s="5"/>
      <c r="HL547" s="5"/>
      <c r="HM547" s="5"/>
      <c r="HN547" s="5"/>
      <c r="HO547" s="5"/>
      <c r="HP547" s="5"/>
    </row>
    <row r="548" spans="3:224" ht="20.100000000000001" customHeight="1">
      <c r="C548" s="24">
        <v>15504004</v>
      </c>
      <c r="D548" s="25" t="s">
        <v>551</v>
      </c>
      <c r="E548" s="25">
        <v>11200003</v>
      </c>
      <c r="F548" s="25">
        <v>15021</v>
      </c>
      <c r="G548" s="25">
        <v>1</v>
      </c>
      <c r="H548" s="25">
        <v>60</v>
      </c>
      <c r="I548" s="29">
        <v>0.2</v>
      </c>
      <c r="J548" s="30">
        <v>25</v>
      </c>
      <c r="K548" s="25">
        <v>0</v>
      </c>
      <c r="L548" s="25">
        <v>0</v>
      </c>
      <c r="M548" s="25">
        <f t="shared" si="106"/>
        <v>89</v>
      </c>
      <c r="N548" s="25">
        <v>178</v>
      </c>
      <c r="O548" s="25">
        <v>0</v>
      </c>
      <c r="P548" s="25">
        <v>0</v>
      </c>
      <c r="Q548" s="25">
        <f t="shared" si="107"/>
        <v>54</v>
      </c>
      <c r="R548" s="25">
        <v>108</v>
      </c>
      <c r="S548" s="25">
        <f t="shared" si="108"/>
        <v>54</v>
      </c>
      <c r="T548" s="25">
        <v>108</v>
      </c>
      <c r="U548" s="29">
        <v>0</v>
      </c>
      <c r="V548" s="25">
        <v>0</v>
      </c>
      <c r="W548" s="25">
        <v>0</v>
      </c>
      <c r="X548" s="25">
        <v>0</v>
      </c>
      <c r="Y548" s="29">
        <v>0</v>
      </c>
      <c r="Z548" s="29">
        <v>0</v>
      </c>
      <c r="AA548" s="29">
        <v>0</v>
      </c>
      <c r="AB548" s="29">
        <v>0</v>
      </c>
      <c r="AC548" s="29">
        <v>0</v>
      </c>
      <c r="AD548" s="29">
        <v>0</v>
      </c>
      <c r="AE548" s="43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  <c r="HF548" s="5"/>
      <c r="HG548" s="5"/>
      <c r="HH548" s="5"/>
      <c r="HI548" s="5"/>
      <c r="HJ548" s="5"/>
      <c r="HK548" s="5"/>
      <c r="HL548" s="5"/>
      <c r="HM548" s="5"/>
      <c r="HN548" s="5"/>
      <c r="HO548" s="5"/>
      <c r="HP548" s="5"/>
    </row>
    <row r="549" spans="3:224" ht="20.100000000000001" customHeight="1">
      <c r="C549" s="24">
        <v>15504005</v>
      </c>
      <c r="D549" s="25" t="s">
        <v>552</v>
      </c>
      <c r="E549" s="25">
        <v>11200003</v>
      </c>
      <c r="F549" s="25">
        <v>0</v>
      </c>
      <c r="G549" s="25">
        <v>1</v>
      </c>
      <c r="H549" s="25">
        <v>60</v>
      </c>
      <c r="I549" s="29">
        <v>0.2</v>
      </c>
      <c r="J549" s="30">
        <v>25</v>
      </c>
      <c r="K549" s="25">
        <v>0</v>
      </c>
      <c r="L549" s="25">
        <v>0</v>
      </c>
      <c r="M549" s="25">
        <f t="shared" si="106"/>
        <v>42</v>
      </c>
      <c r="N549" s="25">
        <v>84</v>
      </c>
      <c r="O549" s="25">
        <v>0</v>
      </c>
      <c r="P549" s="25">
        <v>0</v>
      </c>
      <c r="Q549" s="25">
        <f t="shared" si="107"/>
        <v>75</v>
      </c>
      <c r="R549" s="25">
        <v>150</v>
      </c>
      <c r="S549" s="25">
        <f t="shared" si="108"/>
        <v>75</v>
      </c>
      <c r="T549" s="25">
        <v>150</v>
      </c>
      <c r="U549" s="29">
        <v>0</v>
      </c>
      <c r="V549" s="25">
        <v>0</v>
      </c>
      <c r="W549" s="25">
        <v>0</v>
      </c>
      <c r="X549" s="25">
        <v>0</v>
      </c>
      <c r="Y549" s="29">
        <v>0</v>
      </c>
      <c r="Z549" s="29">
        <v>0</v>
      </c>
      <c r="AA549" s="29">
        <v>0</v>
      </c>
      <c r="AB549" s="29">
        <v>0</v>
      </c>
      <c r="AC549" s="29">
        <v>0</v>
      </c>
      <c r="AD549" s="29">
        <v>0</v>
      </c>
      <c r="AE549" s="43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  <c r="HF549" s="5"/>
      <c r="HG549" s="5"/>
      <c r="HH549" s="5"/>
      <c r="HI549" s="5"/>
      <c r="HJ549" s="5"/>
      <c r="HK549" s="5"/>
      <c r="HL549" s="5"/>
      <c r="HM549" s="5"/>
      <c r="HN549" s="5"/>
      <c r="HO549" s="5"/>
      <c r="HP549" s="5"/>
    </row>
    <row r="550" spans="3:224" ht="20.100000000000001" customHeight="1">
      <c r="C550" s="24">
        <v>15504006</v>
      </c>
      <c r="D550" s="25" t="s">
        <v>553</v>
      </c>
      <c r="E550" s="25">
        <v>11200003</v>
      </c>
      <c r="F550" s="25">
        <v>15031</v>
      </c>
      <c r="G550" s="25">
        <v>1</v>
      </c>
      <c r="H550" s="25">
        <v>60</v>
      </c>
      <c r="I550" s="29">
        <v>0.2</v>
      </c>
      <c r="J550" s="30">
        <v>25</v>
      </c>
      <c r="K550" s="25">
        <v>0</v>
      </c>
      <c r="L550" s="25">
        <v>0</v>
      </c>
      <c r="M550" s="25">
        <f t="shared" si="106"/>
        <v>50</v>
      </c>
      <c r="N550" s="25">
        <v>99</v>
      </c>
      <c r="O550" s="25">
        <v>0</v>
      </c>
      <c r="P550" s="25">
        <v>0</v>
      </c>
      <c r="Q550" s="25">
        <f t="shared" si="107"/>
        <v>90</v>
      </c>
      <c r="R550" s="25">
        <v>180</v>
      </c>
      <c r="S550" s="25">
        <f t="shared" si="108"/>
        <v>90</v>
      </c>
      <c r="T550" s="25">
        <v>180</v>
      </c>
      <c r="U550" s="29">
        <v>0</v>
      </c>
      <c r="V550" s="25">
        <v>0</v>
      </c>
      <c r="W550" s="25">
        <v>0</v>
      </c>
      <c r="X550" s="25">
        <v>0</v>
      </c>
      <c r="Y550" s="29">
        <v>0</v>
      </c>
      <c r="Z550" s="29">
        <v>0</v>
      </c>
      <c r="AA550" s="29">
        <v>0</v>
      </c>
      <c r="AB550" s="29">
        <v>0</v>
      </c>
      <c r="AC550" s="29">
        <v>0</v>
      </c>
      <c r="AD550" s="29">
        <v>0</v>
      </c>
      <c r="AE550" s="43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  <c r="HF550" s="5"/>
      <c r="HG550" s="5"/>
      <c r="HH550" s="5"/>
      <c r="HI550" s="5"/>
      <c r="HJ550" s="5"/>
      <c r="HK550" s="5"/>
      <c r="HL550" s="5"/>
      <c r="HM550" s="5"/>
      <c r="HN550" s="5"/>
      <c r="HO550" s="5"/>
      <c r="HP550" s="5"/>
    </row>
    <row r="551" spans="3:224" ht="20.100000000000001" customHeight="1">
      <c r="C551" s="24">
        <v>15505001</v>
      </c>
      <c r="D551" s="25" t="s">
        <v>554</v>
      </c>
      <c r="E551" s="25">
        <v>11200003</v>
      </c>
      <c r="F551" s="25">
        <v>0</v>
      </c>
      <c r="G551" s="25">
        <v>1</v>
      </c>
      <c r="H551" s="25">
        <v>60</v>
      </c>
      <c r="I551" s="29">
        <v>0.2</v>
      </c>
      <c r="J551" s="30">
        <v>25</v>
      </c>
      <c r="K551" s="25">
        <v>0</v>
      </c>
      <c r="L551" s="25">
        <v>5250</v>
      </c>
      <c r="M551" s="25">
        <f t="shared" si="106"/>
        <v>78</v>
      </c>
      <c r="N551" s="25">
        <v>156</v>
      </c>
      <c r="O551" s="25">
        <v>0</v>
      </c>
      <c r="P551" s="25">
        <v>0</v>
      </c>
      <c r="Q551" s="25">
        <f t="shared" si="107"/>
        <v>30</v>
      </c>
      <c r="R551" s="25">
        <v>60</v>
      </c>
      <c r="S551" s="25">
        <f t="shared" si="108"/>
        <v>0</v>
      </c>
      <c r="T551" s="25">
        <v>0</v>
      </c>
      <c r="U551" s="29">
        <v>0</v>
      </c>
      <c r="V551" s="25">
        <v>0</v>
      </c>
      <c r="W551" s="25">
        <v>0</v>
      </c>
      <c r="X551" s="25">
        <v>0</v>
      </c>
      <c r="Y551" s="29">
        <v>0</v>
      </c>
      <c r="Z551" s="29">
        <v>0</v>
      </c>
      <c r="AA551" s="29">
        <v>0</v>
      </c>
      <c r="AB551" s="29">
        <v>0</v>
      </c>
      <c r="AC551" s="29">
        <v>0</v>
      </c>
      <c r="AD551" s="29">
        <v>0</v>
      </c>
      <c r="AE551" s="43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  <c r="HF551" s="5"/>
      <c r="HG551" s="5"/>
      <c r="HH551" s="5"/>
      <c r="HI551" s="5"/>
      <c r="HJ551" s="5"/>
      <c r="HK551" s="5"/>
      <c r="HL551" s="5"/>
      <c r="HM551" s="5"/>
      <c r="HN551" s="5"/>
      <c r="HO551" s="5"/>
      <c r="HP551" s="5"/>
    </row>
    <row r="552" spans="3:224" ht="20.100000000000001" customHeight="1">
      <c r="C552" s="24">
        <v>15505002</v>
      </c>
      <c r="D552" s="25" t="s">
        <v>555</v>
      </c>
      <c r="E552" s="25">
        <v>11200003</v>
      </c>
      <c r="F552" s="25">
        <v>15011</v>
      </c>
      <c r="G552" s="25">
        <v>1</v>
      </c>
      <c r="H552" s="25">
        <v>60</v>
      </c>
      <c r="I552" s="29">
        <v>0.2</v>
      </c>
      <c r="J552" s="30">
        <v>25</v>
      </c>
      <c r="K552" s="25">
        <v>0</v>
      </c>
      <c r="L552" s="25">
        <v>6300</v>
      </c>
      <c r="M552" s="25">
        <f t="shared" si="106"/>
        <v>90</v>
      </c>
      <c r="N552" s="25">
        <v>180</v>
      </c>
      <c r="O552" s="25">
        <v>0</v>
      </c>
      <c r="P552" s="25">
        <v>0</v>
      </c>
      <c r="Q552" s="25">
        <f t="shared" si="107"/>
        <v>36</v>
      </c>
      <c r="R552" s="25">
        <v>72</v>
      </c>
      <c r="S552" s="25">
        <f t="shared" si="108"/>
        <v>0</v>
      </c>
      <c r="T552" s="25">
        <v>0</v>
      </c>
      <c r="U552" s="29">
        <v>0</v>
      </c>
      <c r="V552" s="25">
        <v>0</v>
      </c>
      <c r="W552" s="25">
        <v>0</v>
      </c>
      <c r="X552" s="25">
        <v>0</v>
      </c>
      <c r="Y552" s="29">
        <v>0</v>
      </c>
      <c r="Z552" s="29">
        <v>0</v>
      </c>
      <c r="AA552" s="29">
        <v>0</v>
      </c>
      <c r="AB552" s="29">
        <v>0</v>
      </c>
      <c r="AC552" s="29">
        <v>0</v>
      </c>
      <c r="AD552" s="29">
        <v>0</v>
      </c>
      <c r="AE552" s="43"/>
      <c r="GR552" s="5"/>
      <c r="GS552" s="5"/>
      <c r="GT552" s="5"/>
      <c r="GU552" s="5"/>
      <c r="GV552" s="5"/>
      <c r="GW552" s="5"/>
      <c r="GX552" s="5"/>
      <c r="GY552" s="5"/>
      <c r="GZ552" s="5"/>
      <c r="HA552" s="5"/>
      <c r="HB552" s="5"/>
      <c r="HC552" s="5"/>
      <c r="HD552" s="5"/>
      <c r="HE552" s="5"/>
      <c r="HF552" s="5"/>
      <c r="HG552" s="5"/>
      <c r="HH552" s="5"/>
      <c r="HI552" s="5"/>
      <c r="HJ552" s="5"/>
      <c r="HK552" s="5"/>
      <c r="HL552" s="5"/>
      <c r="HM552" s="5"/>
      <c r="HN552" s="5"/>
      <c r="HO552" s="5"/>
      <c r="HP552" s="5"/>
    </row>
    <row r="553" spans="3:224" ht="20.100000000000001" customHeight="1">
      <c r="C553" s="24">
        <v>15505003</v>
      </c>
      <c r="D553" s="25" t="s">
        <v>556</v>
      </c>
      <c r="E553" s="25">
        <v>11200003</v>
      </c>
      <c r="F553" s="25">
        <v>0</v>
      </c>
      <c r="G553" s="25">
        <v>1</v>
      </c>
      <c r="H553" s="25">
        <v>60</v>
      </c>
      <c r="I553" s="29">
        <v>0.2</v>
      </c>
      <c r="J553" s="30">
        <v>25</v>
      </c>
      <c r="K553" s="25">
        <v>0</v>
      </c>
      <c r="L553" s="25">
        <v>2630</v>
      </c>
      <c r="M553" s="25">
        <f t="shared" si="106"/>
        <v>106</v>
      </c>
      <c r="N553" s="25">
        <v>211</v>
      </c>
      <c r="O553" s="25">
        <v>0</v>
      </c>
      <c r="P553" s="25">
        <v>0</v>
      </c>
      <c r="Q553" s="25">
        <f t="shared" si="107"/>
        <v>23</v>
      </c>
      <c r="R553" s="25">
        <v>45</v>
      </c>
      <c r="S553" s="25">
        <f t="shared" si="108"/>
        <v>0</v>
      </c>
      <c r="T553" s="25">
        <v>0</v>
      </c>
      <c r="U553" s="29">
        <v>0</v>
      </c>
      <c r="V553" s="25">
        <v>0</v>
      </c>
      <c r="W553" s="25">
        <v>0</v>
      </c>
      <c r="X553" s="25">
        <v>0</v>
      </c>
      <c r="Y553" s="29">
        <v>0</v>
      </c>
      <c r="Z553" s="29">
        <v>0</v>
      </c>
      <c r="AA553" s="29">
        <v>0</v>
      </c>
      <c r="AB553" s="29">
        <v>0</v>
      </c>
      <c r="AC553" s="29">
        <v>0</v>
      </c>
      <c r="AD553" s="29">
        <v>0</v>
      </c>
      <c r="AE553" s="43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  <c r="HN553" s="5"/>
      <c r="HO553" s="5"/>
      <c r="HP553" s="5"/>
    </row>
    <row r="554" spans="3:224" ht="20.100000000000001" customHeight="1">
      <c r="C554" s="24">
        <v>15505004</v>
      </c>
      <c r="D554" s="25" t="s">
        <v>557</v>
      </c>
      <c r="E554" s="25">
        <v>11200003</v>
      </c>
      <c r="F554" s="25">
        <v>15021</v>
      </c>
      <c r="G554" s="25">
        <v>1</v>
      </c>
      <c r="H554" s="25">
        <v>60</v>
      </c>
      <c r="I554" s="29">
        <v>0.2</v>
      </c>
      <c r="J554" s="30">
        <v>25</v>
      </c>
      <c r="K554" s="25">
        <v>0</v>
      </c>
      <c r="L554" s="25">
        <v>3150</v>
      </c>
      <c r="M554" s="25">
        <f t="shared" si="106"/>
        <v>122</v>
      </c>
      <c r="N554" s="25">
        <v>243</v>
      </c>
      <c r="O554" s="25">
        <v>0</v>
      </c>
      <c r="P554" s="25">
        <v>0</v>
      </c>
      <c r="Q554" s="25">
        <f t="shared" si="107"/>
        <v>27</v>
      </c>
      <c r="R554" s="25">
        <v>54</v>
      </c>
      <c r="S554" s="25">
        <f t="shared" si="108"/>
        <v>0</v>
      </c>
      <c r="T554" s="25">
        <v>0</v>
      </c>
      <c r="U554" s="29">
        <v>0</v>
      </c>
      <c r="V554" s="25">
        <v>0</v>
      </c>
      <c r="W554" s="25">
        <v>0</v>
      </c>
      <c r="X554" s="25">
        <v>0</v>
      </c>
      <c r="Y554" s="29">
        <v>0</v>
      </c>
      <c r="Z554" s="29">
        <v>0</v>
      </c>
      <c r="AA554" s="29">
        <v>0</v>
      </c>
      <c r="AB554" s="29">
        <v>0</v>
      </c>
      <c r="AC554" s="29">
        <v>0</v>
      </c>
      <c r="AD554" s="29">
        <v>0</v>
      </c>
      <c r="AE554" s="43"/>
      <c r="GR554" s="5"/>
      <c r="GS554" s="5"/>
      <c r="GT554" s="5"/>
      <c r="GU554" s="5"/>
      <c r="GV554" s="5"/>
      <c r="GW554" s="5"/>
      <c r="GX554" s="5"/>
      <c r="GY554" s="5"/>
      <c r="GZ554" s="5"/>
      <c r="HA554" s="5"/>
      <c r="HB554" s="5"/>
      <c r="HC554" s="5"/>
      <c r="HD554" s="5"/>
      <c r="HE554" s="5"/>
      <c r="HF554" s="5"/>
      <c r="HG554" s="5"/>
      <c r="HH554" s="5"/>
      <c r="HI554" s="5"/>
      <c r="HJ554" s="5"/>
      <c r="HK554" s="5"/>
      <c r="HL554" s="5"/>
      <c r="HM554" s="5"/>
      <c r="HN554" s="5"/>
      <c r="HO554" s="5"/>
      <c r="HP554" s="5"/>
    </row>
    <row r="555" spans="3:224" ht="20.100000000000001" customHeight="1">
      <c r="C555" s="24">
        <v>15505005</v>
      </c>
      <c r="D555" s="25" t="s">
        <v>558</v>
      </c>
      <c r="E555" s="25">
        <v>11200003</v>
      </c>
      <c r="F555" s="25">
        <v>0</v>
      </c>
      <c r="G555" s="25">
        <v>1</v>
      </c>
      <c r="H555" s="25">
        <v>60</v>
      </c>
      <c r="I555" s="29">
        <v>0.2</v>
      </c>
      <c r="J555" s="30">
        <v>25</v>
      </c>
      <c r="K555" s="25">
        <v>0</v>
      </c>
      <c r="L555" s="25">
        <v>7880</v>
      </c>
      <c r="M555" s="25">
        <f t="shared" si="106"/>
        <v>59</v>
      </c>
      <c r="N555" s="25">
        <v>117</v>
      </c>
      <c r="O555" s="25">
        <v>0</v>
      </c>
      <c r="P555" s="25">
        <v>0</v>
      </c>
      <c r="Q555" s="25">
        <f t="shared" si="107"/>
        <v>38</v>
      </c>
      <c r="R555" s="25">
        <v>75</v>
      </c>
      <c r="S555" s="25">
        <f t="shared" si="108"/>
        <v>0</v>
      </c>
      <c r="T555" s="25">
        <v>0</v>
      </c>
      <c r="U555" s="29">
        <v>0</v>
      </c>
      <c r="V555" s="25">
        <v>0</v>
      </c>
      <c r="W555" s="25">
        <v>0</v>
      </c>
      <c r="X555" s="25">
        <v>0</v>
      </c>
      <c r="Y555" s="29">
        <v>0</v>
      </c>
      <c r="Z555" s="29">
        <v>0</v>
      </c>
      <c r="AA555" s="29">
        <v>0</v>
      </c>
      <c r="AB555" s="29">
        <v>0</v>
      </c>
      <c r="AC555" s="29">
        <v>0</v>
      </c>
      <c r="AD555" s="29">
        <v>0</v>
      </c>
      <c r="AE555" s="43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  <c r="HJ555" s="5"/>
      <c r="HK555" s="5"/>
      <c r="HL555" s="5"/>
      <c r="HM555" s="5"/>
      <c r="HN555" s="5"/>
      <c r="HO555" s="5"/>
      <c r="HP555" s="5"/>
    </row>
    <row r="556" spans="3:224" ht="20.100000000000001" customHeight="1">
      <c r="C556" s="24">
        <v>15505006</v>
      </c>
      <c r="D556" s="25" t="s">
        <v>559</v>
      </c>
      <c r="E556" s="25">
        <v>11200003</v>
      </c>
      <c r="F556" s="25">
        <v>15031</v>
      </c>
      <c r="G556" s="25">
        <v>1</v>
      </c>
      <c r="H556" s="25">
        <v>60</v>
      </c>
      <c r="I556" s="29">
        <v>0.2</v>
      </c>
      <c r="J556" s="30">
        <v>25</v>
      </c>
      <c r="K556" s="25">
        <v>0</v>
      </c>
      <c r="L556" s="25">
        <v>9450</v>
      </c>
      <c r="M556" s="25">
        <f t="shared" si="106"/>
        <v>68</v>
      </c>
      <c r="N556" s="25">
        <v>135</v>
      </c>
      <c r="O556" s="25">
        <v>0</v>
      </c>
      <c r="P556" s="25">
        <v>0</v>
      </c>
      <c r="Q556" s="25">
        <f t="shared" si="107"/>
        <v>45</v>
      </c>
      <c r="R556" s="25">
        <v>90</v>
      </c>
      <c r="S556" s="25">
        <f t="shared" si="108"/>
        <v>0</v>
      </c>
      <c r="T556" s="25">
        <v>0</v>
      </c>
      <c r="U556" s="29">
        <v>0</v>
      </c>
      <c r="V556" s="25">
        <v>0</v>
      </c>
      <c r="W556" s="25">
        <v>0</v>
      </c>
      <c r="X556" s="25">
        <v>0</v>
      </c>
      <c r="Y556" s="29">
        <v>0</v>
      </c>
      <c r="Z556" s="29">
        <v>0</v>
      </c>
      <c r="AA556" s="29">
        <v>0</v>
      </c>
      <c r="AB556" s="29">
        <v>0</v>
      </c>
      <c r="AC556" s="29">
        <v>0</v>
      </c>
      <c r="AD556" s="29">
        <v>0</v>
      </c>
      <c r="AE556" s="43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  <c r="HJ556" s="5"/>
      <c r="HK556" s="5"/>
      <c r="HL556" s="5"/>
      <c r="HM556" s="5"/>
      <c r="HN556" s="5"/>
      <c r="HO556" s="5"/>
      <c r="HP556" s="5"/>
    </row>
    <row r="557" spans="3:224" ht="20.100000000000001" customHeight="1">
      <c r="C557" s="24">
        <v>15506001</v>
      </c>
      <c r="D557" s="25" t="s">
        <v>560</v>
      </c>
      <c r="E557" s="25">
        <v>11200002</v>
      </c>
      <c r="F557" s="25">
        <v>0</v>
      </c>
      <c r="G557" s="25">
        <v>1</v>
      </c>
      <c r="H557" s="25">
        <v>60</v>
      </c>
      <c r="I557" s="29">
        <v>0.2</v>
      </c>
      <c r="J557" s="30">
        <v>25</v>
      </c>
      <c r="K557" s="25">
        <v>0</v>
      </c>
      <c r="L557" s="25">
        <v>0</v>
      </c>
      <c r="M557" s="25">
        <f t="shared" si="106"/>
        <v>150</v>
      </c>
      <c r="N557" s="25">
        <v>300</v>
      </c>
      <c r="O557" s="25">
        <v>0</v>
      </c>
      <c r="P557" s="25">
        <v>0</v>
      </c>
      <c r="Q557" s="25">
        <f t="shared" si="107"/>
        <v>45</v>
      </c>
      <c r="R557" s="25">
        <v>90</v>
      </c>
      <c r="S557" s="25">
        <f t="shared" si="108"/>
        <v>0</v>
      </c>
      <c r="T557" s="25">
        <v>0</v>
      </c>
      <c r="U557" s="29">
        <v>0</v>
      </c>
      <c r="V557" s="25">
        <v>0</v>
      </c>
      <c r="W557" s="25">
        <v>0</v>
      </c>
      <c r="X557" s="25">
        <v>0</v>
      </c>
      <c r="Y557" s="29">
        <v>0</v>
      </c>
      <c r="Z557" s="29">
        <v>0</v>
      </c>
      <c r="AA557" s="29">
        <v>0</v>
      </c>
      <c r="AB557" s="29">
        <v>0</v>
      </c>
      <c r="AC557" s="29">
        <v>0</v>
      </c>
      <c r="AD557" s="29">
        <v>0</v>
      </c>
      <c r="AE557" s="43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  <c r="HF557" s="5"/>
      <c r="HG557" s="5"/>
      <c r="HH557" s="5"/>
      <c r="HI557" s="5"/>
      <c r="HJ557" s="5"/>
      <c r="HK557" s="5"/>
      <c r="HL557" s="5"/>
      <c r="HM557" s="5"/>
      <c r="HN557" s="5"/>
      <c r="HO557" s="5"/>
      <c r="HP557" s="5"/>
    </row>
    <row r="558" spans="3:224" ht="20.100000000000001" customHeight="1">
      <c r="C558" s="24">
        <v>15506002</v>
      </c>
      <c r="D558" s="25" t="s">
        <v>561</v>
      </c>
      <c r="E558" s="25">
        <v>11200002</v>
      </c>
      <c r="F558" s="25">
        <v>0</v>
      </c>
      <c r="G558" s="25">
        <v>1</v>
      </c>
      <c r="H558" s="25">
        <v>60</v>
      </c>
      <c r="I558" s="29">
        <v>0.2</v>
      </c>
      <c r="J558" s="30">
        <v>25</v>
      </c>
      <c r="K558" s="25">
        <v>0</v>
      </c>
      <c r="L558" s="25">
        <v>0</v>
      </c>
      <c r="M558" s="25">
        <f t="shared" si="106"/>
        <v>180</v>
      </c>
      <c r="N558" s="25">
        <v>360</v>
      </c>
      <c r="O558" s="25">
        <v>0</v>
      </c>
      <c r="P558" s="25">
        <v>0</v>
      </c>
      <c r="Q558" s="25">
        <f t="shared" si="107"/>
        <v>54</v>
      </c>
      <c r="R558" s="25">
        <v>108</v>
      </c>
      <c r="S558" s="25">
        <f t="shared" si="108"/>
        <v>0</v>
      </c>
      <c r="T558" s="25">
        <v>0</v>
      </c>
      <c r="U558" s="29">
        <v>0</v>
      </c>
      <c r="V558" s="25">
        <v>0</v>
      </c>
      <c r="W558" s="25">
        <v>0</v>
      </c>
      <c r="X558" s="25">
        <v>0</v>
      </c>
      <c r="Y558" s="29">
        <v>0</v>
      </c>
      <c r="Z558" s="29">
        <v>0</v>
      </c>
      <c r="AA558" s="29">
        <v>0</v>
      </c>
      <c r="AB558" s="29">
        <v>0</v>
      </c>
      <c r="AC558" s="29">
        <v>0</v>
      </c>
      <c r="AD558" s="29">
        <v>0</v>
      </c>
      <c r="AE558" s="43"/>
      <c r="GR558" s="5"/>
      <c r="GS558" s="5"/>
      <c r="GT558" s="5"/>
      <c r="GU558" s="5"/>
      <c r="GV558" s="5"/>
      <c r="GW558" s="5"/>
      <c r="GX558" s="5"/>
      <c r="GY558" s="5"/>
      <c r="GZ558" s="5"/>
      <c r="HA558" s="5"/>
      <c r="HB558" s="5"/>
      <c r="HC558" s="5"/>
      <c r="HD558" s="5"/>
      <c r="HE558" s="5"/>
      <c r="HF558" s="5"/>
      <c r="HG558" s="5"/>
      <c r="HH558" s="5"/>
      <c r="HI558" s="5"/>
      <c r="HJ558" s="5"/>
      <c r="HK558" s="5"/>
      <c r="HL558" s="5"/>
      <c r="HM558" s="5"/>
      <c r="HN558" s="5"/>
      <c r="HO558" s="5"/>
      <c r="HP558" s="5"/>
    </row>
    <row r="559" spans="3:224" ht="20.100000000000001" customHeight="1">
      <c r="C559" s="24">
        <v>15506003</v>
      </c>
      <c r="D559" s="36" t="s">
        <v>562</v>
      </c>
      <c r="E559" s="25">
        <v>11200002</v>
      </c>
      <c r="F559" s="25">
        <v>15051</v>
      </c>
      <c r="G559" s="25">
        <v>1</v>
      </c>
      <c r="H559" s="25">
        <v>60</v>
      </c>
      <c r="I559" s="29">
        <v>0.2</v>
      </c>
      <c r="J559" s="30">
        <v>25</v>
      </c>
      <c r="K559" s="25">
        <v>0</v>
      </c>
      <c r="L559" s="25">
        <v>0</v>
      </c>
      <c r="M559" s="25">
        <v>200</v>
      </c>
      <c r="N559" s="25">
        <v>400</v>
      </c>
      <c r="O559" s="25">
        <v>0</v>
      </c>
      <c r="P559" s="25">
        <v>0</v>
      </c>
      <c r="Q559" s="25">
        <v>56</v>
      </c>
      <c r="R559" s="25">
        <v>120</v>
      </c>
      <c r="S559" s="25">
        <f t="shared" ref="S559" si="109">ROUND(T559/2,0)</f>
        <v>0</v>
      </c>
      <c r="T559" s="25">
        <v>0</v>
      </c>
      <c r="U559" s="29">
        <v>0</v>
      </c>
      <c r="V559" s="25">
        <v>0</v>
      </c>
      <c r="W559" s="25">
        <v>0</v>
      </c>
      <c r="X559" s="25">
        <v>0</v>
      </c>
      <c r="Y559" s="29">
        <v>0</v>
      </c>
      <c r="Z559" s="29">
        <v>0</v>
      </c>
      <c r="AA559" s="29">
        <v>0</v>
      </c>
      <c r="AB559" s="29">
        <v>200103</v>
      </c>
      <c r="AC559" s="29">
        <v>500</v>
      </c>
      <c r="AD559" s="29">
        <v>1</v>
      </c>
      <c r="AE559" s="43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  <c r="HJ559" s="5"/>
      <c r="HK559" s="5"/>
      <c r="HL559" s="5"/>
      <c r="HM559" s="5"/>
      <c r="HN559" s="5"/>
      <c r="HO559" s="5"/>
      <c r="HP559" s="5"/>
    </row>
    <row r="560" spans="3:224" ht="20.100000000000001" customHeight="1">
      <c r="C560" s="24">
        <v>15507001</v>
      </c>
      <c r="D560" s="25" t="s">
        <v>563</v>
      </c>
      <c r="E560" s="25">
        <v>11200002</v>
      </c>
      <c r="F560" s="25">
        <v>0</v>
      </c>
      <c r="G560" s="25">
        <v>1</v>
      </c>
      <c r="H560" s="25">
        <v>60</v>
      </c>
      <c r="I560" s="29">
        <v>0.2</v>
      </c>
      <c r="J560" s="30">
        <v>25</v>
      </c>
      <c r="K560" s="25">
        <v>0</v>
      </c>
      <c r="L560" s="25">
        <v>0</v>
      </c>
      <c r="M560" s="25">
        <f t="shared" si="106"/>
        <v>150</v>
      </c>
      <c r="N560" s="25">
        <v>300</v>
      </c>
      <c r="O560" s="25">
        <v>0</v>
      </c>
      <c r="P560" s="25">
        <v>0</v>
      </c>
      <c r="Q560" s="25">
        <f t="shared" si="107"/>
        <v>0</v>
      </c>
      <c r="R560" s="25">
        <v>0</v>
      </c>
      <c r="S560" s="25">
        <f t="shared" si="108"/>
        <v>45</v>
      </c>
      <c r="T560" s="25">
        <v>90</v>
      </c>
      <c r="U560" s="29">
        <v>0</v>
      </c>
      <c r="V560" s="25">
        <v>0</v>
      </c>
      <c r="W560" s="25">
        <v>0</v>
      </c>
      <c r="X560" s="25">
        <v>0</v>
      </c>
      <c r="Y560" s="29">
        <v>0</v>
      </c>
      <c r="Z560" s="29">
        <v>0</v>
      </c>
      <c r="AA560" s="29">
        <v>0</v>
      </c>
      <c r="AB560" s="29">
        <v>0</v>
      </c>
      <c r="AC560" s="29">
        <v>0</v>
      </c>
      <c r="AD560" s="29">
        <v>0</v>
      </c>
      <c r="AE560" s="43"/>
      <c r="GR560" s="5"/>
      <c r="GS560" s="5"/>
      <c r="GT560" s="5"/>
      <c r="GU560" s="5"/>
      <c r="GV560" s="5"/>
      <c r="GW560" s="5"/>
      <c r="GX560" s="5"/>
      <c r="GY560" s="5"/>
      <c r="GZ560" s="5"/>
      <c r="HA560" s="5"/>
      <c r="HB560" s="5"/>
      <c r="HC560" s="5"/>
      <c r="HD560" s="5"/>
      <c r="HE560" s="5"/>
      <c r="HF560" s="5"/>
      <c r="HG560" s="5"/>
      <c r="HH560" s="5"/>
      <c r="HI560" s="5"/>
      <c r="HJ560" s="5"/>
      <c r="HK560" s="5"/>
      <c r="HL560" s="5"/>
      <c r="HM560" s="5"/>
      <c r="HN560" s="5"/>
      <c r="HO560" s="5"/>
      <c r="HP560" s="5"/>
    </row>
    <row r="561" spans="3:224" ht="20.100000000000001" customHeight="1">
      <c r="C561" s="24">
        <v>15507002</v>
      </c>
      <c r="D561" s="25" t="s">
        <v>564</v>
      </c>
      <c r="E561" s="25">
        <v>11200002</v>
      </c>
      <c r="F561" s="25">
        <v>0</v>
      </c>
      <c r="G561" s="25">
        <v>1</v>
      </c>
      <c r="H561" s="25">
        <v>60</v>
      </c>
      <c r="I561" s="29">
        <v>0.2</v>
      </c>
      <c r="J561" s="30">
        <v>25</v>
      </c>
      <c r="K561" s="25">
        <v>0</v>
      </c>
      <c r="L561" s="25">
        <v>0</v>
      </c>
      <c r="M561" s="25">
        <f t="shared" si="106"/>
        <v>180</v>
      </c>
      <c r="N561" s="25">
        <v>360</v>
      </c>
      <c r="O561" s="25">
        <v>0</v>
      </c>
      <c r="P561" s="25">
        <v>0</v>
      </c>
      <c r="Q561" s="25">
        <f t="shared" si="107"/>
        <v>0</v>
      </c>
      <c r="R561" s="25">
        <v>0</v>
      </c>
      <c r="S561" s="25">
        <f t="shared" si="108"/>
        <v>54</v>
      </c>
      <c r="T561" s="25">
        <v>108</v>
      </c>
      <c r="U561" s="29">
        <v>0</v>
      </c>
      <c r="V561" s="25">
        <v>0</v>
      </c>
      <c r="W561" s="25">
        <v>0</v>
      </c>
      <c r="X561" s="25">
        <v>0</v>
      </c>
      <c r="Y561" s="29">
        <v>0</v>
      </c>
      <c r="Z561" s="29">
        <v>0</v>
      </c>
      <c r="AA561" s="29">
        <v>0</v>
      </c>
      <c r="AB561" s="29">
        <v>0</v>
      </c>
      <c r="AC561" s="29">
        <v>0</v>
      </c>
      <c r="AD561" s="29">
        <v>0</v>
      </c>
      <c r="AE561" s="43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  <c r="HF561" s="5"/>
      <c r="HG561" s="5"/>
      <c r="HH561" s="5"/>
      <c r="HI561" s="5"/>
      <c r="HJ561" s="5"/>
      <c r="HK561" s="5"/>
      <c r="HL561" s="5"/>
      <c r="HM561" s="5"/>
      <c r="HN561" s="5"/>
      <c r="HO561" s="5"/>
      <c r="HP561" s="5"/>
    </row>
    <row r="562" spans="3:224" s="3" customFormat="1" ht="20.100000000000001" customHeight="1">
      <c r="C562" s="26">
        <v>15507003</v>
      </c>
      <c r="D562" s="28" t="s">
        <v>565</v>
      </c>
      <c r="E562" s="28">
        <v>11200002</v>
      </c>
      <c r="F562" s="28">
        <v>0</v>
      </c>
      <c r="G562" s="28">
        <v>1</v>
      </c>
      <c r="H562" s="28">
        <v>60</v>
      </c>
      <c r="I562" s="31">
        <v>0.2</v>
      </c>
      <c r="J562" s="30">
        <v>25</v>
      </c>
      <c r="K562" s="28">
        <v>0</v>
      </c>
      <c r="L562" s="28">
        <v>0</v>
      </c>
      <c r="M562" s="28">
        <f t="shared" ref="M562" si="110">ROUND(N562/2,0)</f>
        <v>210</v>
      </c>
      <c r="N562" s="28">
        <v>420</v>
      </c>
      <c r="O562" s="28">
        <v>0</v>
      </c>
      <c r="P562" s="28">
        <v>0</v>
      </c>
      <c r="Q562" s="28">
        <f t="shared" ref="Q562" si="111">ROUND(R562/2,0)</f>
        <v>0</v>
      </c>
      <c r="R562" s="28">
        <v>0</v>
      </c>
      <c r="S562" s="28">
        <f t="shared" ref="S562" si="112">ROUND(T562/2,0)</f>
        <v>60</v>
      </c>
      <c r="T562" s="28">
        <v>120</v>
      </c>
      <c r="U562" s="31">
        <v>0</v>
      </c>
      <c r="V562" s="28">
        <v>0</v>
      </c>
      <c r="W562" s="28">
        <v>0</v>
      </c>
      <c r="X562" s="28">
        <v>0</v>
      </c>
      <c r="Y562" s="31">
        <v>0</v>
      </c>
      <c r="Z562" s="31">
        <v>0</v>
      </c>
      <c r="AA562" s="31">
        <v>0</v>
      </c>
      <c r="AB562" s="31">
        <v>0</v>
      </c>
      <c r="AC562" s="31">
        <v>0</v>
      </c>
      <c r="AD562" s="31">
        <v>0</v>
      </c>
      <c r="AE562" s="45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3"/>
      <c r="BQ562" s="33"/>
      <c r="BR562" s="33"/>
      <c r="BS562" s="33"/>
      <c r="BT562" s="33"/>
      <c r="BU562" s="33"/>
      <c r="BV562" s="33"/>
      <c r="BW562" s="33"/>
      <c r="BX562" s="33"/>
      <c r="BY562" s="33"/>
      <c r="BZ562" s="33"/>
      <c r="CA562" s="33"/>
      <c r="CB562" s="33"/>
      <c r="CC562" s="33"/>
      <c r="CD562" s="33"/>
      <c r="CE562" s="33"/>
      <c r="CF562" s="33"/>
      <c r="CG562" s="33"/>
      <c r="CH562" s="33"/>
      <c r="CI562" s="33"/>
      <c r="CJ562" s="33"/>
      <c r="CK562" s="33"/>
      <c r="CL562" s="33"/>
      <c r="CM562" s="33"/>
      <c r="CN562" s="33"/>
      <c r="CO562" s="33"/>
      <c r="CP562" s="33"/>
      <c r="CQ562" s="33"/>
      <c r="CR562" s="33"/>
      <c r="CS562" s="33"/>
      <c r="CT562" s="33"/>
      <c r="CU562" s="33"/>
      <c r="CV562" s="33"/>
      <c r="CW562" s="33"/>
      <c r="CX562" s="33"/>
      <c r="CY562" s="33"/>
      <c r="CZ562" s="33"/>
      <c r="DA562" s="33"/>
      <c r="DB562" s="33"/>
      <c r="DC562" s="33"/>
      <c r="DD562" s="33"/>
      <c r="DE562" s="33"/>
      <c r="DF562" s="33"/>
      <c r="DG562" s="33"/>
      <c r="DH562" s="33"/>
      <c r="DI562" s="33"/>
      <c r="DJ562" s="33"/>
      <c r="DK562" s="33"/>
      <c r="DL562" s="33"/>
      <c r="DM562" s="33"/>
      <c r="DN562" s="33"/>
      <c r="DO562" s="33"/>
      <c r="DP562" s="33"/>
      <c r="DQ562" s="33"/>
      <c r="DR562" s="33"/>
      <c r="DS562" s="33"/>
      <c r="DT562" s="33"/>
      <c r="DU562" s="33"/>
      <c r="DV562" s="33"/>
      <c r="DW562" s="33"/>
      <c r="DX562" s="33"/>
      <c r="DY562" s="33"/>
      <c r="DZ562" s="33"/>
      <c r="EA562" s="33"/>
      <c r="EB562" s="33"/>
      <c r="EC562" s="33"/>
      <c r="ED562" s="33"/>
      <c r="EE562" s="33"/>
      <c r="EF562" s="33"/>
      <c r="EG562" s="33"/>
      <c r="EH562" s="33"/>
      <c r="EI562" s="33"/>
      <c r="EJ562" s="33"/>
      <c r="EK562" s="33"/>
      <c r="EL562" s="33"/>
      <c r="EM562" s="33"/>
      <c r="EN562" s="33"/>
      <c r="EO562" s="33"/>
      <c r="EP562" s="33"/>
      <c r="EQ562" s="33"/>
      <c r="ER562" s="33"/>
      <c r="ES562" s="33"/>
      <c r="ET562" s="33"/>
      <c r="EU562" s="33"/>
      <c r="EV562" s="33"/>
      <c r="EW562" s="33"/>
      <c r="EX562" s="33"/>
      <c r="EY562" s="33"/>
      <c r="EZ562" s="33"/>
      <c r="FA562" s="33"/>
      <c r="FB562" s="33"/>
      <c r="FC562" s="33"/>
      <c r="FD562" s="33"/>
      <c r="FE562" s="33"/>
      <c r="FF562" s="33"/>
      <c r="FG562" s="33"/>
      <c r="FH562" s="33"/>
      <c r="FI562" s="33"/>
      <c r="FJ562" s="33"/>
      <c r="FK562" s="33"/>
      <c r="FL562" s="33"/>
      <c r="FM562" s="33"/>
      <c r="FN562" s="33"/>
      <c r="FO562" s="33"/>
      <c r="FP562" s="33"/>
      <c r="FQ562" s="33"/>
      <c r="FR562" s="33"/>
      <c r="FS562" s="33"/>
      <c r="FT562" s="33"/>
      <c r="FU562" s="33"/>
      <c r="FV562" s="33"/>
      <c r="FW562" s="33"/>
      <c r="FX562" s="33"/>
      <c r="FY562" s="33"/>
      <c r="FZ562" s="33"/>
      <c r="GA562" s="33"/>
      <c r="GB562" s="33"/>
      <c r="GC562" s="33"/>
      <c r="GD562" s="33"/>
      <c r="GE562" s="33"/>
      <c r="GF562" s="33"/>
      <c r="GG562" s="33"/>
      <c r="GH562" s="33"/>
      <c r="GI562" s="33"/>
      <c r="GJ562" s="33"/>
      <c r="GK562" s="33"/>
      <c r="GL562" s="33"/>
      <c r="GM562" s="33"/>
      <c r="GN562" s="33"/>
      <c r="GO562" s="33"/>
      <c r="GP562" s="33"/>
      <c r="GQ562" s="33"/>
      <c r="GR562" s="33"/>
      <c r="GS562" s="33"/>
      <c r="GT562" s="33"/>
      <c r="GU562" s="33"/>
      <c r="GV562" s="33"/>
      <c r="GW562" s="33"/>
      <c r="GX562" s="33"/>
      <c r="GY562" s="33"/>
      <c r="GZ562" s="33"/>
      <c r="HA562" s="33"/>
      <c r="HB562" s="33"/>
      <c r="HC562" s="33"/>
      <c r="HD562" s="33"/>
      <c r="HE562" s="33"/>
      <c r="HF562" s="33"/>
      <c r="HG562" s="33"/>
      <c r="HH562" s="33"/>
      <c r="HI562" s="33"/>
      <c r="HJ562" s="33"/>
      <c r="HK562" s="33"/>
      <c r="HL562" s="33"/>
      <c r="HM562" s="33"/>
      <c r="HN562" s="33"/>
      <c r="HO562" s="33"/>
      <c r="HP562" s="33"/>
    </row>
    <row r="563" spans="3:224" ht="20.100000000000001" customHeight="1">
      <c r="C563" s="24">
        <v>15508001</v>
      </c>
      <c r="D563" s="25" t="s">
        <v>329</v>
      </c>
      <c r="E563" s="25">
        <v>11200002</v>
      </c>
      <c r="F563" s="25">
        <v>0</v>
      </c>
      <c r="G563" s="25">
        <v>1</v>
      </c>
      <c r="H563" s="25">
        <v>60</v>
      </c>
      <c r="I563" s="29">
        <v>0.2</v>
      </c>
      <c r="J563" s="30">
        <v>25</v>
      </c>
      <c r="K563" s="25">
        <v>0</v>
      </c>
      <c r="L563" s="25">
        <v>0</v>
      </c>
      <c r="M563" s="25">
        <f t="shared" si="106"/>
        <v>25</v>
      </c>
      <c r="N563" s="25">
        <v>50</v>
      </c>
      <c r="O563" s="25">
        <v>0</v>
      </c>
      <c r="P563" s="25">
        <v>0</v>
      </c>
      <c r="Q563" s="25">
        <f t="shared" si="107"/>
        <v>0</v>
      </c>
      <c r="R563" s="25">
        <v>0</v>
      </c>
      <c r="S563" s="25">
        <f t="shared" si="108"/>
        <v>0</v>
      </c>
      <c r="T563" s="25">
        <v>0</v>
      </c>
      <c r="U563" s="29">
        <v>0</v>
      </c>
      <c r="V563" s="25">
        <v>0</v>
      </c>
      <c r="W563" s="25">
        <v>0</v>
      </c>
      <c r="X563" s="25">
        <v>0</v>
      </c>
      <c r="Y563" s="29">
        <v>0</v>
      </c>
      <c r="Z563" s="29">
        <v>0</v>
      </c>
      <c r="AA563" s="29">
        <v>0</v>
      </c>
      <c r="AB563" s="29">
        <v>0</v>
      </c>
      <c r="AC563" s="29">
        <v>0</v>
      </c>
      <c r="AD563" s="29">
        <v>0</v>
      </c>
      <c r="AE563" s="43"/>
      <c r="GR563" s="5"/>
      <c r="GS563" s="5"/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  <c r="HF563" s="5"/>
      <c r="HG563" s="5"/>
      <c r="HH563" s="5"/>
      <c r="HI563" s="5"/>
      <c r="HJ563" s="5"/>
      <c r="HK563" s="5"/>
      <c r="HL563" s="5"/>
      <c r="HM563" s="5"/>
      <c r="HN563" s="5"/>
      <c r="HO563" s="5"/>
      <c r="HP563" s="5"/>
    </row>
    <row r="564" spans="3:224" ht="20.100000000000001" customHeight="1">
      <c r="C564" s="24">
        <v>15508002</v>
      </c>
      <c r="D564" s="25" t="s">
        <v>566</v>
      </c>
      <c r="E564" s="25">
        <v>11200002</v>
      </c>
      <c r="F564" s="25">
        <v>0</v>
      </c>
      <c r="G564" s="25">
        <v>1</v>
      </c>
      <c r="H564" s="25">
        <v>60</v>
      </c>
      <c r="I564" s="29">
        <v>0.2</v>
      </c>
      <c r="J564" s="30">
        <v>25</v>
      </c>
      <c r="K564" s="25">
        <v>0</v>
      </c>
      <c r="L564" s="25">
        <v>0</v>
      </c>
      <c r="M564" s="25">
        <v>30</v>
      </c>
      <c r="N564" s="25">
        <v>65</v>
      </c>
      <c r="O564" s="25">
        <v>0</v>
      </c>
      <c r="P564" s="25">
        <v>0</v>
      </c>
      <c r="Q564" s="25">
        <f t="shared" si="107"/>
        <v>0</v>
      </c>
      <c r="R564" s="25">
        <v>0</v>
      </c>
      <c r="S564" s="25">
        <f t="shared" si="108"/>
        <v>0</v>
      </c>
      <c r="T564" s="25">
        <v>0</v>
      </c>
      <c r="U564" s="29">
        <v>0</v>
      </c>
      <c r="V564" s="25">
        <v>0</v>
      </c>
      <c r="W564" s="25">
        <v>0</v>
      </c>
      <c r="X564" s="25">
        <v>0</v>
      </c>
      <c r="Y564" s="29">
        <v>0</v>
      </c>
      <c r="Z564" s="29">
        <v>0</v>
      </c>
      <c r="AA564" s="29">
        <v>0</v>
      </c>
      <c r="AB564" s="29">
        <v>0</v>
      </c>
      <c r="AC564" s="29">
        <v>0</v>
      </c>
      <c r="AD564" s="29">
        <v>0</v>
      </c>
      <c r="AE564" s="43"/>
      <c r="GR564" s="5"/>
      <c r="GS564" s="5"/>
      <c r="GT564" s="5"/>
      <c r="GU564" s="5"/>
      <c r="GV564" s="5"/>
      <c r="GW564" s="5"/>
      <c r="GX564" s="5"/>
      <c r="GY564" s="5"/>
      <c r="GZ564" s="5"/>
      <c r="HA564" s="5"/>
      <c r="HB564" s="5"/>
      <c r="HC564" s="5"/>
      <c r="HD564" s="5"/>
      <c r="HE564" s="5"/>
      <c r="HF564" s="5"/>
      <c r="HG564" s="5"/>
      <c r="HH564" s="5"/>
      <c r="HI564" s="5"/>
      <c r="HJ564" s="5"/>
      <c r="HK564" s="5"/>
      <c r="HL564" s="5"/>
      <c r="HM564" s="5"/>
      <c r="HN564" s="5"/>
      <c r="HO564" s="5"/>
      <c r="HP564" s="5"/>
    </row>
    <row r="565" spans="3:224" s="3" customFormat="1" ht="20.100000000000001" customHeight="1">
      <c r="C565" s="26">
        <v>15508003</v>
      </c>
      <c r="D565" s="46" t="s">
        <v>567</v>
      </c>
      <c r="E565" s="28">
        <v>11200002</v>
      </c>
      <c r="F565" s="28">
        <v>0</v>
      </c>
      <c r="G565" s="28">
        <v>1</v>
      </c>
      <c r="H565" s="28">
        <v>60</v>
      </c>
      <c r="I565" s="31">
        <v>0.2</v>
      </c>
      <c r="J565" s="30">
        <v>25</v>
      </c>
      <c r="K565" s="28">
        <v>0</v>
      </c>
      <c r="L565" s="28">
        <v>0</v>
      </c>
      <c r="M565" s="28">
        <v>30</v>
      </c>
      <c r="N565" s="28">
        <v>80</v>
      </c>
      <c r="O565" s="28">
        <v>0</v>
      </c>
      <c r="P565" s="28">
        <v>0</v>
      </c>
      <c r="Q565" s="28">
        <f t="shared" ref="Q565" si="113">ROUND(R565/2,0)</f>
        <v>0</v>
      </c>
      <c r="R565" s="28">
        <v>0</v>
      </c>
      <c r="S565" s="28">
        <f t="shared" ref="S565" si="114">ROUND(T565/2,0)</f>
        <v>0</v>
      </c>
      <c r="T565" s="28">
        <v>0</v>
      </c>
      <c r="U565" s="31">
        <v>0</v>
      </c>
      <c r="V565" s="28">
        <v>0</v>
      </c>
      <c r="W565" s="28">
        <v>0</v>
      </c>
      <c r="X565" s="28">
        <v>0</v>
      </c>
      <c r="Y565" s="31">
        <v>0</v>
      </c>
      <c r="Z565" s="31">
        <v>0</v>
      </c>
      <c r="AA565" s="31">
        <v>0</v>
      </c>
      <c r="AB565" s="31">
        <v>0</v>
      </c>
      <c r="AC565" s="31">
        <v>0</v>
      </c>
      <c r="AD565" s="31">
        <v>0</v>
      </c>
      <c r="AE565" s="45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3"/>
      <c r="BQ565" s="33"/>
      <c r="BR565" s="33"/>
      <c r="BS565" s="33"/>
      <c r="BT565" s="33"/>
      <c r="BU565" s="33"/>
      <c r="BV565" s="33"/>
      <c r="BW565" s="33"/>
      <c r="BX565" s="33"/>
      <c r="BY565" s="33"/>
      <c r="BZ565" s="33"/>
      <c r="CA565" s="33"/>
      <c r="CB565" s="33"/>
      <c r="CC565" s="33"/>
      <c r="CD565" s="33"/>
      <c r="CE565" s="33"/>
      <c r="CF565" s="33"/>
      <c r="CG565" s="33"/>
      <c r="CH565" s="33"/>
      <c r="CI565" s="33"/>
      <c r="CJ565" s="33"/>
      <c r="CK565" s="33"/>
      <c r="CL565" s="33"/>
      <c r="CM565" s="33"/>
      <c r="CN565" s="33"/>
      <c r="CO565" s="33"/>
      <c r="CP565" s="33"/>
      <c r="CQ565" s="33"/>
      <c r="CR565" s="33"/>
      <c r="CS565" s="33"/>
      <c r="CT565" s="33"/>
      <c r="CU565" s="33"/>
      <c r="CV565" s="33"/>
      <c r="CW565" s="33"/>
      <c r="CX565" s="33"/>
      <c r="CY565" s="33"/>
      <c r="CZ565" s="33"/>
      <c r="DA565" s="33"/>
      <c r="DB565" s="33"/>
      <c r="DC565" s="33"/>
      <c r="DD565" s="33"/>
      <c r="DE565" s="33"/>
      <c r="DF565" s="33"/>
      <c r="DG565" s="33"/>
      <c r="DH565" s="33"/>
      <c r="DI565" s="33"/>
      <c r="DJ565" s="33"/>
      <c r="DK565" s="33"/>
      <c r="DL565" s="33"/>
      <c r="DM565" s="33"/>
      <c r="DN565" s="33"/>
      <c r="DO565" s="33"/>
      <c r="DP565" s="33"/>
      <c r="DQ565" s="33"/>
      <c r="DR565" s="33"/>
      <c r="DS565" s="33"/>
      <c r="DT565" s="33"/>
      <c r="DU565" s="33"/>
      <c r="DV565" s="33"/>
      <c r="DW565" s="33"/>
      <c r="DX565" s="33"/>
      <c r="DY565" s="33"/>
      <c r="DZ565" s="33"/>
      <c r="EA565" s="33"/>
      <c r="EB565" s="33"/>
      <c r="EC565" s="33"/>
      <c r="ED565" s="33"/>
      <c r="EE565" s="33"/>
      <c r="EF565" s="33"/>
      <c r="EG565" s="33"/>
      <c r="EH565" s="33"/>
      <c r="EI565" s="33"/>
      <c r="EJ565" s="33"/>
      <c r="EK565" s="33"/>
      <c r="EL565" s="33"/>
      <c r="EM565" s="33"/>
      <c r="EN565" s="33"/>
      <c r="EO565" s="33"/>
      <c r="EP565" s="33"/>
      <c r="EQ565" s="33"/>
      <c r="ER565" s="33"/>
      <c r="ES565" s="33"/>
      <c r="ET565" s="33"/>
      <c r="EU565" s="33"/>
      <c r="EV565" s="33"/>
      <c r="EW565" s="33"/>
      <c r="EX565" s="33"/>
      <c r="EY565" s="33"/>
      <c r="EZ565" s="33"/>
      <c r="FA565" s="33"/>
      <c r="FB565" s="33"/>
      <c r="FC565" s="33"/>
      <c r="FD565" s="33"/>
      <c r="FE565" s="33"/>
      <c r="FF565" s="33"/>
      <c r="FG565" s="33"/>
      <c r="FH565" s="33"/>
      <c r="FI565" s="33"/>
      <c r="FJ565" s="33"/>
      <c r="FK565" s="33"/>
      <c r="FL565" s="33"/>
      <c r="FM565" s="33"/>
      <c r="FN565" s="33"/>
      <c r="FO565" s="33"/>
      <c r="FP565" s="33"/>
      <c r="FQ565" s="33"/>
      <c r="FR565" s="33"/>
      <c r="FS565" s="33"/>
      <c r="FT565" s="33"/>
      <c r="FU565" s="33"/>
      <c r="FV565" s="33"/>
      <c r="FW565" s="33"/>
      <c r="FX565" s="33"/>
      <c r="FY565" s="33"/>
      <c r="FZ565" s="33"/>
      <c r="GA565" s="33"/>
      <c r="GB565" s="33"/>
      <c r="GC565" s="33"/>
      <c r="GD565" s="33"/>
      <c r="GE565" s="33"/>
      <c r="GF565" s="33"/>
      <c r="GG565" s="33"/>
      <c r="GH565" s="33"/>
      <c r="GI565" s="33"/>
      <c r="GJ565" s="33"/>
      <c r="GK565" s="33"/>
      <c r="GL565" s="33"/>
      <c r="GM565" s="33"/>
      <c r="GN565" s="33"/>
      <c r="GO565" s="33"/>
      <c r="GP565" s="33"/>
      <c r="GQ565" s="33"/>
      <c r="GR565" s="33"/>
      <c r="GS565" s="33"/>
      <c r="GT565" s="33"/>
      <c r="GU565" s="33"/>
      <c r="GV565" s="33"/>
      <c r="GW565" s="33"/>
      <c r="GX565" s="33"/>
      <c r="GY565" s="33"/>
      <c r="GZ565" s="33"/>
      <c r="HA565" s="33"/>
      <c r="HB565" s="33"/>
      <c r="HC565" s="33"/>
      <c r="HD565" s="33"/>
      <c r="HE565" s="33"/>
      <c r="HF565" s="33"/>
      <c r="HG565" s="33"/>
      <c r="HH565" s="33"/>
      <c r="HI565" s="33"/>
      <c r="HJ565" s="33"/>
      <c r="HK565" s="33"/>
      <c r="HL565" s="33"/>
      <c r="HM565" s="33"/>
      <c r="HN565" s="33"/>
      <c r="HO565" s="33"/>
      <c r="HP565" s="33"/>
    </row>
    <row r="566" spans="3:224" ht="20.100000000000001" customHeight="1">
      <c r="C566" s="24">
        <v>15509001</v>
      </c>
      <c r="D566" s="25" t="s">
        <v>568</v>
      </c>
      <c r="E566" s="25">
        <v>11200001</v>
      </c>
      <c r="F566" s="25">
        <v>0</v>
      </c>
      <c r="G566" s="25">
        <v>1</v>
      </c>
      <c r="H566" s="25">
        <v>60</v>
      </c>
      <c r="I566" s="29">
        <v>0.2</v>
      </c>
      <c r="J566" s="30">
        <v>25</v>
      </c>
      <c r="K566" s="25">
        <v>0</v>
      </c>
      <c r="L566" s="25">
        <v>8650</v>
      </c>
      <c r="M566" s="25">
        <f t="shared" si="106"/>
        <v>0</v>
      </c>
      <c r="N566" s="25">
        <v>0</v>
      </c>
      <c r="O566" s="25">
        <v>0</v>
      </c>
      <c r="P566" s="25">
        <v>0</v>
      </c>
      <c r="Q566" s="25">
        <f t="shared" si="107"/>
        <v>0</v>
      </c>
      <c r="R566" s="25">
        <v>0</v>
      </c>
      <c r="S566" s="25">
        <f t="shared" si="108"/>
        <v>0</v>
      </c>
      <c r="T566" s="25">
        <v>0</v>
      </c>
      <c r="U566" s="29">
        <v>0</v>
      </c>
      <c r="V566" s="25">
        <v>0</v>
      </c>
      <c r="W566" s="25">
        <v>0</v>
      </c>
      <c r="X566" s="25">
        <v>0</v>
      </c>
      <c r="Y566" s="29">
        <v>0</v>
      </c>
      <c r="Z566" s="29">
        <v>0</v>
      </c>
      <c r="AA566" s="29">
        <v>0</v>
      </c>
      <c r="AB566" s="29">
        <v>0</v>
      </c>
      <c r="AC566" s="29">
        <v>0</v>
      </c>
      <c r="AD566" s="29">
        <v>0</v>
      </c>
      <c r="AE566" s="43"/>
      <c r="GR566" s="5"/>
      <c r="GS566" s="5"/>
      <c r="GT566" s="5"/>
      <c r="GU566" s="5"/>
      <c r="GV566" s="5"/>
      <c r="GW566" s="5"/>
      <c r="GX566" s="5"/>
      <c r="GY566" s="5"/>
      <c r="GZ566" s="5"/>
      <c r="HA566" s="5"/>
      <c r="HB566" s="5"/>
      <c r="HC566" s="5"/>
      <c r="HD566" s="5"/>
      <c r="HE566" s="5"/>
      <c r="HF566" s="5"/>
      <c r="HG566" s="5"/>
      <c r="HH566" s="5"/>
      <c r="HI566" s="5"/>
      <c r="HJ566" s="5"/>
      <c r="HK566" s="5"/>
      <c r="HL566" s="5"/>
      <c r="HM566" s="5"/>
      <c r="HN566" s="5"/>
      <c r="HO566" s="5"/>
      <c r="HP566" s="5"/>
    </row>
    <row r="567" spans="3:224" ht="20.100000000000001" customHeight="1">
      <c r="C567" s="24">
        <v>15509002</v>
      </c>
      <c r="D567" s="25" t="s">
        <v>569</v>
      </c>
      <c r="E567" s="25">
        <v>11200001</v>
      </c>
      <c r="F567" s="25">
        <v>0</v>
      </c>
      <c r="G567" s="25">
        <v>1</v>
      </c>
      <c r="H567" s="25">
        <v>60</v>
      </c>
      <c r="I567" s="29">
        <v>0.2</v>
      </c>
      <c r="J567" s="30">
        <v>25</v>
      </c>
      <c r="K567" s="25">
        <v>0</v>
      </c>
      <c r="L567" s="25">
        <v>10080</v>
      </c>
      <c r="M567" s="25">
        <f t="shared" si="106"/>
        <v>0</v>
      </c>
      <c r="N567" s="25">
        <v>0</v>
      </c>
      <c r="O567" s="25">
        <v>0</v>
      </c>
      <c r="P567" s="25">
        <v>0</v>
      </c>
      <c r="Q567" s="25">
        <f t="shared" si="107"/>
        <v>0</v>
      </c>
      <c r="R567" s="25">
        <v>0</v>
      </c>
      <c r="S567" s="25">
        <f t="shared" si="108"/>
        <v>0</v>
      </c>
      <c r="T567" s="25">
        <v>0</v>
      </c>
      <c r="U567" s="29">
        <v>0</v>
      </c>
      <c r="V567" s="25">
        <v>0</v>
      </c>
      <c r="W567" s="25">
        <v>0</v>
      </c>
      <c r="X567" s="25">
        <v>0</v>
      </c>
      <c r="Y567" s="29">
        <v>0</v>
      </c>
      <c r="Z567" s="29">
        <v>0</v>
      </c>
      <c r="AA567" s="29">
        <v>0</v>
      </c>
      <c r="AB567" s="29">
        <v>0</v>
      </c>
      <c r="AC567" s="29">
        <v>0</v>
      </c>
      <c r="AD567" s="29">
        <v>0</v>
      </c>
      <c r="AE567" s="43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  <c r="HF567" s="5"/>
      <c r="HG567" s="5"/>
      <c r="HH567" s="5"/>
      <c r="HI567" s="5"/>
      <c r="HJ567" s="5"/>
      <c r="HK567" s="5"/>
      <c r="HL567" s="5"/>
      <c r="HM567" s="5"/>
      <c r="HN567" s="5"/>
      <c r="HO567" s="5"/>
      <c r="HP567" s="5"/>
    </row>
    <row r="568" spans="3:224" s="3" customFormat="1" ht="20.100000000000001" customHeight="1">
      <c r="C568" s="26">
        <v>15509003</v>
      </c>
      <c r="D568" s="46" t="s">
        <v>570</v>
      </c>
      <c r="E568" s="28">
        <v>11200001</v>
      </c>
      <c r="F568" s="28">
        <v>0</v>
      </c>
      <c r="G568" s="28">
        <v>1</v>
      </c>
      <c r="H568" s="28">
        <v>60</v>
      </c>
      <c r="I568" s="31">
        <v>0.2</v>
      </c>
      <c r="J568" s="30">
        <v>25</v>
      </c>
      <c r="K568" s="28">
        <v>0</v>
      </c>
      <c r="L568" s="28">
        <v>11020</v>
      </c>
      <c r="M568" s="28">
        <f t="shared" ref="M568" si="115">ROUND(N568/2,0)</f>
        <v>0</v>
      </c>
      <c r="N568" s="28">
        <v>0</v>
      </c>
      <c r="O568" s="28">
        <v>0</v>
      </c>
      <c r="P568" s="28">
        <v>0</v>
      </c>
      <c r="Q568" s="28">
        <f t="shared" ref="Q568" si="116">ROUND(R568/2,0)</f>
        <v>0</v>
      </c>
      <c r="R568" s="28">
        <v>0</v>
      </c>
      <c r="S568" s="28">
        <f t="shared" ref="S568" si="117">ROUND(T568/2,0)</f>
        <v>0</v>
      </c>
      <c r="T568" s="28">
        <v>0</v>
      </c>
      <c r="U568" s="31">
        <v>0</v>
      </c>
      <c r="V568" s="28">
        <v>0</v>
      </c>
      <c r="W568" s="28">
        <v>0</v>
      </c>
      <c r="X568" s="28">
        <v>0</v>
      </c>
      <c r="Y568" s="31">
        <v>0</v>
      </c>
      <c r="Z568" s="31">
        <v>0</v>
      </c>
      <c r="AA568" s="31">
        <v>0</v>
      </c>
      <c r="AB568" s="31">
        <v>0</v>
      </c>
      <c r="AC568" s="31">
        <v>0</v>
      </c>
      <c r="AD568" s="31">
        <v>0</v>
      </c>
      <c r="AE568" s="45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3"/>
      <c r="BQ568" s="33"/>
      <c r="BR568" s="33"/>
      <c r="BS568" s="33"/>
      <c r="BT568" s="33"/>
      <c r="BU568" s="33"/>
      <c r="BV568" s="33"/>
      <c r="BW568" s="33"/>
      <c r="BX568" s="33"/>
      <c r="BY568" s="33"/>
      <c r="BZ568" s="33"/>
      <c r="CA568" s="33"/>
      <c r="CB568" s="33"/>
      <c r="CC568" s="33"/>
      <c r="CD568" s="33"/>
      <c r="CE568" s="33"/>
      <c r="CF568" s="33"/>
      <c r="CG568" s="33"/>
      <c r="CH568" s="33"/>
      <c r="CI568" s="33"/>
      <c r="CJ568" s="33"/>
      <c r="CK568" s="33"/>
      <c r="CL568" s="33"/>
      <c r="CM568" s="33"/>
      <c r="CN568" s="33"/>
      <c r="CO568" s="33"/>
      <c r="CP568" s="33"/>
      <c r="CQ568" s="33"/>
      <c r="CR568" s="33"/>
      <c r="CS568" s="33"/>
      <c r="CT568" s="33"/>
      <c r="CU568" s="33"/>
      <c r="CV568" s="33"/>
      <c r="CW568" s="33"/>
      <c r="CX568" s="33"/>
      <c r="CY568" s="33"/>
      <c r="CZ568" s="33"/>
      <c r="DA568" s="33"/>
      <c r="DB568" s="33"/>
      <c r="DC568" s="33"/>
      <c r="DD568" s="33"/>
      <c r="DE568" s="33"/>
      <c r="DF568" s="33"/>
      <c r="DG568" s="33"/>
      <c r="DH568" s="33"/>
      <c r="DI568" s="33"/>
      <c r="DJ568" s="33"/>
      <c r="DK568" s="33"/>
      <c r="DL568" s="33"/>
      <c r="DM568" s="33"/>
      <c r="DN568" s="33"/>
      <c r="DO568" s="33"/>
      <c r="DP568" s="33"/>
      <c r="DQ568" s="33"/>
      <c r="DR568" s="33"/>
      <c r="DS568" s="33"/>
      <c r="DT568" s="33"/>
      <c r="DU568" s="33"/>
      <c r="DV568" s="33"/>
      <c r="DW568" s="33"/>
      <c r="DX568" s="33"/>
      <c r="DY568" s="33"/>
      <c r="DZ568" s="33"/>
      <c r="EA568" s="33"/>
      <c r="EB568" s="33"/>
      <c r="EC568" s="33"/>
      <c r="ED568" s="33"/>
      <c r="EE568" s="33"/>
      <c r="EF568" s="33"/>
      <c r="EG568" s="33"/>
      <c r="EH568" s="33"/>
      <c r="EI568" s="33"/>
      <c r="EJ568" s="33"/>
      <c r="EK568" s="33"/>
      <c r="EL568" s="33"/>
      <c r="EM568" s="33"/>
      <c r="EN568" s="33"/>
      <c r="EO568" s="33"/>
      <c r="EP568" s="33"/>
      <c r="EQ568" s="33"/>
      <c r="ER568" s="33"/>
      <c r="ES568" s="33"/>
      <c r="ET568" s="33"/>
      <c r="EU568" s="33"/>
      <c r="EV568" s="33"/>
      <c r="EW568" s="33"/>
      <c r="EX568" s="33"/>
      <c r="EY568" s="33"/>
      <c r="EZ568" s="33"/>
      <c r="FA568" s="33"/>
      <c r="FB568" s="33"/>
      <c r="FC568" s="33"/>
      <c r="FD568" s="33"/>
      <c r="FE568" s="33"/>
      <c r="FF568" s="33"/>
      <c r="FG568" s="33"/>
      <c r="FH568" s="33"/>
      <c r="FI568" s="33"/>
      <c r="FJ568" s="33"/>
      <c r="FK568" s="33"/>
      <c r="FL568" s="33"/>
      <c r="FM568" s="33"/>
      <c r="FN568" s="33"/>
      <c r="FO568" s="33"/>
      <c r="FP568" s="33"/>
      <c r="FQ568" s="33"/>
      <c r="FR568" s="33"/>
      <c r="FS568" s="33"/>
      <c r="FT568" s="33"/>
      <c r="FU568" s="33"/>
      <c r="FV568" s="33"/>
      <c r="FW568" s="33"/>
      <c r="FX568" s="33"/>
      <c r="FY568" s="33"/>
      <c r="FZ568" s="33"/>
      <c r="GA568" s="33"/>
      <c r="GB568" s="33"/>
      <c r="GC568" s="33"/>
      <c r="GD568" s="33"/>
      <c r="GE568" s="33"/>
      <c r="GF568" s="33"/>
      <c r="GG568" s="33"/>
      <c r="GH568" s="33"/>
      <c r="GI568" s="33"/>
      <c r="GJ568" s="33"/>
      <c r="GK568" s="33"/>
      <c r="GL568" s="33"/>
      <c r="GM568" s="33"/>
      <c r="GN568" s="33"/>
      <c r="GO568" s="33"/>
      <c r="GP568" s="33"/>
      <c r="GQ568" s="33"/>
      <c r="GR568" s="33"/>
      <c r="GS568" s="33"/>
      <c r="GT568" s="33"/>
      <c r="GU568" s="33"/>
      <c r="GV568" s="33"/>
      <c r="GW568" s="33"/>
      <c r="GX568" s="33"/>
      <c r="GY568" s="33"/>
      <c r="GZ568" s="33"/>
      <c r="HA568" s="33"/>
      <c r="HB568" s="33"/>
      <c r="HC568" s="33"/>
      <c r="HD568" s="33"/>
      <c r="HE568" s="33"/>
      <c r="HF568" s="33"/>
      <c r="HG568" s="33"/>
      <c r="HH568" s="33"/>
      <c r="HI568" s="33"/>
      <c r="HJ568" s="33"/>
      <c r="HK568" s="33"/>
      <c r="HL568" s="33"/>
      <c r="HM568" s="33"/>
      <c r="HN568" s="33"/>
      <c r="HO568" s="33"/>
      <c r="HP568" s="33"/>
    </row>
    <row r="569" spans="3:224" ht="20.100000000000001" customHeight="1">
      <c r="C569" s="24">
        <v>15510001</v>
      </c>
      <c r="D569" s="24" t="s">
        <v>571</v>
      </c>
      <c r="E569" s="25">
        <v>11200001</v>
      </c>
      <c r="F569" s="25">
        <v>0</v>
      </c>
      <c r="G569" s="25">
        <v>1</v>
      </c>
      <c r="H569" s="25">
        <v>60</v>
      </c>
      <c r="I569" s="29">
        <v>0.2</v>
      </c>
      <c r="J569" s="30">
        <v>25</v>
      </c>
      <c r="K569" s="25">
        <v>0</v>
      </c>
      <c r="L569" s="25">
        <v>0</v>
      </c>
      <c r="M569" s="25">
        <f t="shared" si="106"/>
        <v>425</v>
      </c>
      <c r="N569" s="25">
        <v>850</v>
      </c>
      <c r="O569" s="25">
        <v>0</v>
      </c>
      <c r="P569" s="25">
        <v>0</v>
      </c>
      <c r="Q569" s="25">
        <f t="shared" si="107"/>
        <v>0</v>
      </c>
      <c r="R569" s="25">
        <v>0</v>
      </c>
      <c r="S569" s="25">
        <f t="shared" si="108"/>
        <v>0</v>
      </c>
      <c r="T569" s="25">
        <v>0</v>
      </c>
      <c r="U569" s="29">
        <v>0</v>
      </c>
      <c r="V569" s="25">
        <v>0</v>
      </c>
      <c r="W569" s="25">
        <v>0</v>
      </c>
      <c r="X569" s="25">
        <v>0</v>
      </c>
      <c r="Y569" s="29">
        <v>0</v>
      </c>
      <c r="Z569" s="29">
        <v>0</v>
      </c>
      <c r="AA569" s="29">
        <v>0</v>
      </c>
      <c r="AB569" s="29">
        <v>0</v>
      </c>
      <c r="AC569" s="29">
        <v>0</v>
      </c>
      <c r="AD569" s="29">
        <v>0</v>
      </c>
      <c r="AE569" s="43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  <c r="HF569" s="5"/>
      <c r="HG569" s="5"/>
      <c r="HH569" s="5"/>
      <c r="HI569" s="5"/>
      <c r="HJ569" s="5"/>
      <c r="HK569" s="5"/>
      <c r="HL569" s="5"/>
      <c r="HM569" s="5"/>
      <c r="HN569" s="5"/>
      <c r="HO569" s="5"/>
      <c r="HP569" s="5"/>
    </row>
    <row r="570" spans="3:224" ht="20.100000000000001" customHeight="1">
      <c r="C570" s="24">
        <v>15510002</v>
      </c>
      <c r="D570" s="24" t="s">
        <v>572</v>
      </c>
      <c r="E570" s="25">
        <v>11200001</v>
      </c>
      <c r="F570" s="25">
        <v>0</v>
      </c>
      <c r="G570" s="25">
        <v>1</v>
      </c>
      <c r="H570" s="25">
        <v>60</v>
      </c>
      <c r="I570" s="29">
        <v>0.2</v>
      </c>
      <c r="J570" s="30">
        <v>25</v>
      </c>
      <c r="K570" s="25">
        <v>0</v>
      </c>
      <c r="L570" s="25">
        <v>0</v>
      </c>
      <c r="M570" s="25">
        <f t="shared" si="106"/>
        <v>504</v>
      </c>
      <c r="N570" s="25">
        <v>1008</v>
      </c>
      <c r="O570" s="25">
        <v>0</v>
      </c>
      <c r="P570" s="25">
        <v>0</v>
      </c>
      <c r="Q570" s="25">
        <f t="shared" si="107"/>
        <v>0</v>
      </c>
      <c r="R570" s="25">
        <v>0</v>
      </c>
      <c r="S570" s="25">
        <f t="shared" si="108"/>
        <v>0</v>
      </c>
      <c r="T570" s="25">
        <v>0</v>
      </c>
      <c r="U570" s="29">
        <v>0</v>
      </c>
      <c r="V570" s="25">
        <v>0</v>
      </c>
      <c r="W570" s="25">
        <v>0</v>
      </c>
      <c r="X570" s="25">
        <v>0</v>
      </c>
      <c r="Y570" s="29">
        <v>0</v>
      </c>
      <c r="Z570" s="29">
        <v>0</v>
      </c>
      <c r="AA570" s="29">
        <v>0</v>
      </c>
      <c r="AB570" s="29">
        <v>0</v>
      </c>
      <c r="AC570" s="29">
        <v>0</v>
      </c>
      <c r="AD570" s="29">
        <v>0</v>
      </c>
      <c r="AE570" s="43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5"/>
      <c r="HG570" s="5"/>
      <c r="HH570" s="5"/>
      <c r="HI570" s="5"/>
      <c r="HJ570" s="5"/>
      <c r="HK570" s="5"/>
      <c r="HL570" s="5"/>
      <c r="HM570" s="5"/>
      <c r="HN570" s="5"/>
      <c r="HO570" s="5"/>
      <c r="HP570" s="5"/>
    </row>
    <row r="571" spans="3:224" ht="20.100000000000001" customHeight="1">
      <c r="C571" s="24">
        <v>15510003</v>
      </c>
      <c r="D571" s="24" t="s">
        <v>573</v>
      </c>
      <c r="E571" s="25">
        <v>11200001</v>
      </c>
      <c r="F571" s="25">
        <v>0</v>
      </c>
      <c r="G571" s="25">
        <v>1</v>
      </c>
      <c r="H571" s="25">
        <v>60</v>
      </c>
      <c r="I571" s="29">
        <v>0.2</v>
      </c>
      <c r="J571" s="30">
        <v>25</v>
      </c>
      <c r="K571" s="25">
        <v>0</v>
      </c>
      <c r="L571" s="25">
        <v>0</v>
      </c>
      <c r="M571" s="25">
        <f t="shared" si="106"/>
        <v>425</v>
      </c>
      <c r="N571" s="25">
        <v>850</v>
      </c>
      <c r="O571" s="25">
        <v>0</v>
      </c>
      <c r="P571" s="25">
        <v>0</v>
      </c>
      <c r="Q571" s="25">
        <f t="shared" si="107"/>
        <v>0</v>
      </c>
      <c r="R571" s="25">
        <v>0</v>
      </c>
      <c r="S571" s="25">
        <f t="shared" si="108"/>
        <v>0</v>
      </c>
      <c r="T571" s="25">
        <v>0</v>
      </c>
      <c r="U571" s="29">
        <v>0</v>
      </c>
      <c r="V571" s="25">
        <v>0</v>
      </c>
      <c r="W571" s="25">
        <v>0</v>
      </c>
      <c r="X571" s="25">
        <v>0</v>
      </c>
      <c r="Y571" s="29">
        <v>0</v>
      </c>
      <c r="Z571" s="29">
        <v>0</v>
      </c>
      <c r="AA571" s="29">
        <v>0</v>
      </c>
      <c r="AB571" s="29">
        <v>0</v>
      </c>
      <c r="AC571" s="29">
        <v>0</v>
      </c>
      <c r="AD571" s="29">
        <v>0</v>
      </c>
      <c r="AE571" s="43"/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  <c r="HF571" s="5"/>
      <c r="HG571" s="5"/>
      <c r="HH571" s="5"/>
      <c r="HI571" s="5"/>
      <c r="HJ571" s="5"/>
      <c r="HK571" s="5"/>
      <c r="HL571" s="5"/>
      <c r="HM571" s="5"/>
      <c r="HN571" s="5"/>
      <c r="HO571" s="5"/>
      <c r="HP571" s="5"/>
    </row>
    <row r="572" spans="3:224" ht="20.100000000000001" customHeight="1">
      <c r="C572" s="24">
        <v>15510004</v>
      </c>
      <c r="D572" s="24" t="s">
        <v>574</v>
      </c>
      <c r="E572" s="25">
        <v>11200001</v>
      </c>
      <c r="F572" s="25">
        <v>0</v>
      </c>
      <c r="G572" s="25">
        <v>1</v>
      </c>
      <c r="H572" s="25">
        <v>60</v>
      </c>
      <c r="I572" s="29">
        <v>0.2</v>
      </c>
      <c r="J572" s="30">
        <v>25</v>
      </c>
      <c r="K572" s="25">
        <v>0</v>
      </c>
      <c r="L572" s="25">
        <v>0</v>
      </c>
      <c r="M572" s="25">
        <f t="shared" si="106"/>
        <v>504</v>
      </c>
      <c r="N572" s="25">
        <v>1008</v>
      </c>
      <c r="O572" s="25">
        <v>0</v>
      </c>
      <c r="P572" s="25">
        <v>0</v>
      </c>
      <c r="Q572" s="25">
        <f t="shared" si="107"/>
        <v>0</v>
      </c>
      <c r="R572" s="25">
        <v>0</v>
      </c>
      <c r="S572" s="25">
        <f t="shared" si="108"/>
        <v>0</v>
      </c>
      <c r="T572" s="25">
        <v>0</v>
      </c>
      <c r="U572" s="29">
        <v>0</v>
      </c>
      <c r="V572" s="25">
        <v>0</v>
      </c>
      <c r="W572" s="25">
        <v>0</v>
      </c>
      <c r="X572" s="25">
        <v>0</v>
      </c>
      <c r="Y572" s="29">
        <v>0</v>
      </c>
      <c r="Z572" s="29">
        <v>0</v>
      </c>
      <c r="AA572" s="29">
        <v>0</v>
      </c>
      <c r="AB572" s="29">
        <v>0</v>
      </c>
      <c r="AC572" s="29">
        <v>0</v>
      </c>
      <c r="AD572" s="29">
        <v>0</v>
      </c>
      <c r="AE572" s="43"/>
      <c r="GR572" s="5"/>
      <c r="GS572" s="5"/>
      <c r="GT572" s="5"/>
      <c r="GU572" s="5"/>
      <c r="GV572" s="5"/>
      <c r="GW572" s="5"/>
      <c r="GX572" s="5"/>
      <c r="GY572" s="5"/>
      <c r="GZ572" s="5"/>
      <c r="HA572" s="5"/>
      <c r="HB572" s="5"/>
      <c r="HC572" s="5"/>
      <c r="HD572" s="5"/>
      <c r="HE572" s="5"/>
      <c r="HF572" s="5"/>
      <c r="HG572" s="5"/>
      <c r="HH572" s="5"/>
      <c r="HI572" s="5"/>
      <c r="HJ572" s="5"/>
      <c r="HK572" s="5"/>
      <c r="HL572" s="5"/>
      <c r="HM572" s="5"/>
      <c r="HN572" s="5"/>
      <c r="HO572" s="5"/>
      <c r="HP572" s="5"/>
    </row>
    <row r="573" spans="3:224" ht="20.100000000000001" customHeight="1">
      <c r="C573" s="24">
        <v>15510011</v>
      </c>
      <c r="D573" s="36" t="s">
        <v>575</v>
      </c>
      <c r="E573" s="25">
        <v>11200001</v>
      </c>
      <c r="F573" s="25">
        <v>15051</v>
      </c>
      <c r="G573" s="25">
        <v>1</v>
      </c>
      <c r="H573" s="25">
        <v>60</v>
      </c>
      <c r="I573" s="29">
        <v>0.2</v>
      </c>
      <c r="J573" s="30">
        <v>25</v>
      </c>
      <c r="K573" s="25">
        <v>0</v>
      </c>
      <c r="L573" s="25">
        <v>0</v>
      </c>
      <c r="M573" s="25">
        <v>520</v>
      </c>
      <c r="N573" s="25">
        <v>1120</v>
      </c>
      <c r="O573" s="25">
        <v>0</v>
      </c>
      <c r="P573" s="25">
        <v>0</v>
      </c>
      <c r="Q573" s="25">
        <f t="shared" ref="Q573:Q574" si="118">ROUND(R573/2,0)</f>
        <v>0</v>
      </c>
      <c r="R573" s="25">
        <v>0</v>
      </c>
      <c r="S573" s="25">
        <f t="shared" ref="S573:S574" si="119">ROUND(T573/2,0)</f>
        <v>0</v>
      </c>
      <c r="T573" s="25">
        <v>0</v>
      </c>
      <c r="U573" s="29">
        <v>0</v>
      </c>
      <c r="V573" s="25">
        <v>0</v>
      </c>
      <c r="W573" s="25">
        <v>0</v>
      </c>
      <c r="X573" s="25">
        <v>0</v>
      </c>
      <c r="Y573" s="29">
        <v>0</v>
      </c>
      <c r="Z573" s="29">
        <v>0</v>
      </c>
      <c r="AA573" s="29">
        <v>0</v>
      </c>
      <c r="AB573" s="29">
        <v>0</v>
      </c>
      <c r="AC573" s="29">
        <v>0</v>
      </c>
      <c r="AD573" s="29">
        <v>0</v>
      </c>
      <c r="AE573" s="47">
        <v>100009</v>
      </c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  <c r="HJ573" s="5"/>
      <c r="HK573" s="5"/>
      <c r="HL573" s="5"/>
      <c r="HM573" s="5"/>
      <c r="HN573" s="5"/>
      <c r="HO573" s="5"/>
      <c r="HP573" s="5"/>
    </row>
    <row r="574" spans="3:224" ht="20.100000000000001" customHeight="1">
      <c r="C574" s="24">
        <v>15510012</v>
      </c>
      <c r="D574" s="36" t="s">
        <v>576</v>
      </c>
      <c r="E574" s="25">
        <v>11200001</v>
      </c>
      <c r="F574" s="25">
        <v>15051</v>
      </c>
      <c r="G574" s="25">
        <v>1</v>
      </c>
      <c r="H574" s="25">
        <v>60</v>
      </c>
      <c r="I574" s="29">
        <v>0.2</v>
      </c>
      <c r="J574" s="30">
        <v>25</v>
      </c>
      <c r="K574" s="25">
        <v>0</v>
      </c>
      <c r="L574" s="25">
        <v>0</v>
      </c>
      <c r="M574" s="25">
        <v>520</v>
      </c>
      <c r="N574" s="25">
        <v>1120</v>
      </c>
      <c r="O574" s="25">
        <v>0</v>
      </c>
      <c r="P574" s="25">
        <v>0</v>
      </c>
      <c r="Q574" s="25">
        <f t="shared" si="118"/>
        <v>0</v>
      </c>
      <c r="R574" s="25">
        <v>0</v>
      </c>
      <c r="S574" s="25">
        <f t="shared" si="119"/>
        <v>0</v>
      </c>
      <c r="T574" s="25">
        <v>0</v>
      </c>
      <c r="U574" s="29">
        <v>0</v>
      </c>
      <c r="V574" s="25">
        <v>0</v>
      </c>
      <c r="W574" s="25">
        <v>0</v>
      </c>
      <c r="X574" s="25">
        <v>0</v>
      </c>
      <c r="Y574" s="29">
        <v>0</v>
      </c>
      <c r="Z574" s="29">
        <v>0</v>
      </c>
      <c r="AA574" s="29">
        <v>0</v>
      </c>
      <c r="AB574" s="29">
        <v>0</v>
      </c>
      <c r="AC574" s="29">
        <v>0</v>
      </c>
      <c r="AD574" s="29">
        <v>0</v>
      </c>
      <c r="AE574" s="43">
        <v>100008</v>
      </c>
      <c r="GR574" s="5"/>
      <c r="GS574" s="5"/>
      <c r="GT574" s="5"/>
      <c r="GU574" s="5"/>
      <c r="GV574" s="5"/>
      <c r="GW574" s="5"/>
      <c r="GX574" s="5"/>
      <c r="GY574" s="5"/>
      <c r="GZ574" s="5"/>
      <c r="HA574" s="5"/>
      <c r="HB574" s="5"/>
      <c r="HC574" s="5"/>
      <c r="HD574" s="5"/>
      <c r="HE574" s="5"/>
      <c r="HF574" s="5"/>
      <c r="HG574" s="5"/>
      <c r="HH574" s="5"/>
      <c r="HI574" s="5"/>
      <c r="HJ574" s="5"/>
      <c r="HK574" s="5"/>
      <c r="HL574" s="5"/>
      <c r="HM574" s="5"/>
      <c r="HN574" s="5"/>
      <c r="HO574" s="5"/>
      <c r="HP574" s="5"/>
    </row>
    <row r="575" spans="3:224" ht="20.100000000000001" customHeight="1">
      <c r="C575" s="24">
        <v>15510121</v>
      </c>
      <c r="D575" s="36" t="s">
        <v>577</v>
      </c>
      <c r="E575" s="25">
        <v>11200001</v>
      </c>
      <c r="F575" s="25">
        <v>15051</v>
      </c>
      <c r="G575" s="25">
        <v>1</v>
      </c>
      <c r="H575" s="25">
        <v>60</v>
      </c>
      <c r="I575" s="29">
        <v>0.2</v>
      </c>
      <c r="J575" s="30">
        <v>25</v>
      </c>
      <c r="K575" s="25">
        <v>0</v>
      </c>
      <c r="L575" s="25">
        <v>0</v>
      </c>
      <c r="M575" s="25">
        <v>520</v>
      </c>
      <c r="N575" s="25">
        <v>1120</v>
      </c>
      <c r="O575" s="25">
        <v>0</v>
      </c>
      <c r="P575" s="25">
        <v>0</v>
      </c>
      <c r="Q575" s="25">
        <f t="shared" ref="Q575:Q579" si="120">ROUND(R575/2,0)</f>
        <v>0</v>
      </c>
      <c r="R575" s="25">
        <v>0</v>
      </c>
      <c r="S575" s="25">
        <f t="shared" ref="S575:S579" si="121">ROUND(T575/2,0)</f>
        <v>0</v>
      </c>
      <c r="T575" s="25">
        <v>0</v>
      </c>
      <c r="U575" s="29">
        <v>0</v>
      </c>
      <c r="V575" s="25">
        <v>0</v>
      </c>
      <c r="W575" s="25">
        <v>0</v>
      </c>
      <c r="X575" s="25">
        <v>0</v>
      </c>
      <c r="Y575" s="29">
        <v>0</v>
      </c>
      <c r="Z575" s="29">
        <v>0</v>
      </c>
      <c r="AA575" s="29">
        <v>0</v>
      </c>
      <c r="AB575" s="29">
        <v>0</v>
      </c>
      <c r="AC575" s="29">
        <v>0</v>
      </c>
      <c r="AD575" s="29">
        <v>0</v>
      </c>
      <c r="AE575" s="43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  <c r="HF575" s="5"/>
      <c r="HG575" s="5"/>
      <c r="HH575" s="5"/>
      <c r="HI575" s="5"/>
      <c r="HJ575" s="5"/>
      <c r="HK575" s="5"/>
      <c r="HL575" s="5"/>
      <c r="HM575" s="5"/>
      <c r="HN575" s="5"/>
      <c r="HO575" s="5"/>
      <c r="HP575" s="5"/>
    </row>
    <row r="576" spans="3:224" ht="20.100000000000001" customHeight="1">
      <c r="C576" s="24">
        <v>15510122</v>
      </c>
      <c r="D576" s="36" t="s">
        <v>578</v>
      </c>
      <c r="E576" s="25">
        <v>11200001</v>
      </c>
      <c r="F576" s="25">
        <v>15051</v>
      </c>
      <c r="G576" s="25">
        <v>1</v>
      </c>
      <c r="H576" s="25">
        <v>60</v>
      </c>
      <c r="I576" s="29">
        <v>0.2</v>
      </c>
      <c r="J576" s="30">
        <v>25</v>
      </c>
      <c r="K576" s="25">
        <v>0</v>
      </c>
      <c r="L576" s="25">
        <v>0</v>
      </c>
      <c r="M576" s="25">
        <v>520</v>
      </c>
      <c r="N576" s="25">
        <v>1120</v>
      </c>
      <c r="O576" s="25">
        <v>0</v>
      </c>
      <c r="P576" s="25">
        <v>0</v>
      </c>
      <c r="Q576" s="25">
        <f t="shared" si="120"/>
        <v>0</v>
      </c>
      <c r="R576" s="25">
        <v>0</v>
      </c>
      <c r="S576" s="25">
        <f t="shared" si="121"/>
        <v>0</v>
      </c>
      <c r="T576" s="25">
        <v>0</v>
      </c>
      <c r="U576" s="29">
        <v>0</v>
      </c>
      <c r="V576" s="25">
        <v>0</v>
      </c>
      <c r="W576" s="25">
        <v>0</v>
      </c>
      <c r="X576" s="25">
        <v>0</v>
      </c>
      <c r="Y576" s="29">
        <v>0</v>
      </c>
      <c r="Z576" s="29">
        <v>0</v>
      </c>
      <c r="AA576" s="29">
        <v>0</v>
      </c>
      <c r="AB576" s="29">
        <v>0</v>
      </c>
      <c r="AC576" s="29">
        <v>0</v>
      </c>
      <c r="AD576" s="29">
        <v>0</v>
      </c>
      <c r="AE576" s="43">
        <v>100010</v>
      </c>
      <c r="GR576" s="5"/>
      <c r="GS576" s="5"/>
      <c r="GT576" s="5"/>
      <c r="GU576" s="5"/>
      <c r="GV576" s="5"/>
      <c r="GW576" s="5"/>
      <c r="GX576" s="5"/>
      <c r="GY576" s="5"/>
      <c r="GZ576" s="5"/>
      <c r="HA576" s="5"/>
      <c r="HB576" s="5"/>
      <c r="HC576" s="5"/>
      <c r="HD576" s="5"/>
      <c r="HE576" s="5"/>
      <c r="HF576" s="5"/>
      <c r="HG576" s="5"/>
      <c r="HH576" s="5"/>
      <c r="HI576" s="5"/>
      <c r="HJ576" s="5"/>
      <c r="HK576" s="5"/>
      <c r="HL576" s="5"/>
      <c r="HM576" s="5"/>
      <c r="HN576" s="5"/>
      <c r="HO576" s="5"/>
      <c r="HP576" s="5"/>
    </row>
    <row r="577" spans="3:224" ht="20.100000000000001" customHeight="1">
      <c r="C577" s="24">
        <v>15510201</v>
      </c>
      <c r="D577" s="24" t="s">
        <v>660</v>
      </c>
      <c r="E577" s="25">
        <v>11200001</v>
      </c>
      <c r="F577" s="25">
        <v>0</v>
      </c>
      <c r="G577" s="25">
        <v>1</v>
      </c>
      <c r="H577" s="25">
        <v>60</v>
      </c>
      <c r="I577" s="29">
        <v>0.2</v>
      </c>
      <c r="J577" s="30">
        <v>25</v>
      </c>
      <c r="K577" s="25">
        <v>0</v>
      </c>
      <c r="L577" s="25">
        <v>0</v>
      </c>
      <c r="M577" s="25">
        <f t="shared" ref="M577:M578" si="122">ROUND(N577/2,0)</f>
        <v>425</v>
      </c>
      <c r="N577" s="25">
        <v>850</v>
      </c>
      <c r="O577" s="25">
        <v>0</v>
      </c>
      <c r="P577" s="25">
        <v>0</v>
      </c>
      <c r="Q577" s="25">
        <f t="shared" si="120"/>
        <v>0</v>
      </c>
      <c r="R577" s="25">
        <v>0</v>
      </c>
      <c r="S577" s="25">
        <f t="shared" si="121"/>
        <v>0</v>
      </c>
      <c r="T577" s="25">
        <v>0</v>
      </c>
      <c r="U577" s="29">
        <v>0</v>
      </c>
      <c r="V577" s="25">
        <v>0</v>
      </c>
      <c r="W577" s="25">
        <v>0</v>
      </c>
      <c r="X577" s="25">
        <v>0</v>
      </c>
      <c r="Y577" s="29">
        <v>0</v>
      </c>
      <c r="Z577" s="29">
        <v>0</v>
      </c>
      <c r="AA577" s="29">
        <v>0</v>
      </c>
      <c r="AB577" s="29">
        <v>0</v>
      </c>
      <c r="AC577" s="29">
        <v>0</v>
      </c>
      <c r="AD577" s="29">
        <v>0</v>
      </c>
      <c r="AE577" s="43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  <c r="HF577" s="5"/>
      <c r="HG577" s="5"/>
      <c r="HH577" s="5"/>
      <c r="HI577" s="5"/>
      <c r="HJ577" s="5"/>
      <c r="HK577" s="5"/>
      <c r="HL577" s="5"/>
      <c r="HM577" s="5"/>
      <c r="HN577" s="5"/>
      <c r="HO577" s="5"/>
      <c r="HP577" s="5"/>
    </row>
    <row r="578" spans="3:224" ht="20.100000000000001" customHeight="1">
      <c r="C578" s="24">
        <v>15510202</v>
      </c>
      <c r="D578" s="24" t="s">
        <v>661</v>
      </c>
      <c r="E578" s="25">
        <v>11200001</v>
      </c>
      <c r="F578" s="25">
        <v>0</v>
      </c>
      <c r="G578" s="25">
        <v>1</v>
      </c>
      <c r="H578" s="25">
        <v>60</v>
      </c>
      <c r="I578" s="29">
        <v>0.2</v>
      </c>
      <c r="J578" s="30">
        <v>25</v>
      </c>
      <c r="K578" s="25">
        <v>0</v>
      </c>
      <c r="L578" s="25">
        <v>0</v>
      </c>
      <c r="M578" s="25">
        <f t="shared" si="122"/>
        <v>504</v>
      </c>
      <c r="N578" s="25">
        <v>1008</v>
      </c>
      <c r="O578" s="25">
        <v>0</v>
      </c>
      <c r="P578" s="25">
        <v>0</v>
      </c>
      <c r="Q578" s="25">
        <f t="shared" si="120"/>
        <v>0</v>
      </c>
      <c r="R578" s="25">
        <v>0</v>
      </c>
      <c r="S578" s="25">
        <f t="shared" si="121"/>
        <v>0</v>
      </c>
      <c r="T578" s="25">
        <v>0</v>
      </c>
      <c r="U578" s="29">
        <v>0</v>
      </c>
      <c r="V578" s="25">
        <v>0</v>
      </c>
      <c r="W578" s="25">
        <v>0</v>
      </c>
      <c r="X578" s="25">
        <v>0</v>
      </c>
      <c r="Y578" s="29">
        <v>0</v>
      </c>
      <c r="Z578" s="29">
        <v>0</v>
      </c>
      <c r="AA578" s="29">
        <v>0</v>
      </c>
      <c r="AB578" s="29">
        <v>0</v>
      </c>
      <c r="AC578" s="29">
        <v>0</v>
      </c>
      <c r="AD578" s="29">
        <v>0</v>
      </c>
      <c r="AE578" s="43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5"/>
      <c r="HG578" s="5"/>
      <c r="HH578" s="5"/>
      <c r="HI578" s="5"/>
      <c r="HJ578" s="5"/>
      <c r="HK578" s="5"/>
      <c r="HL578" s="5"/>
      <c r="HM578" s="5"/>
      <c r="HN578" s="5"/>
      <c r="HO578" s="5"/>
      <c r="HP578" s="5"/>
    </row>
    <row r="579" spans="3:224" ht="20.100000000000001" customHeight="1">
      <c r="C579" s="24">
        <v>15510211</v>
      </c>
      <c r="D579" s="36" t="s">
        <v>662</v>
      </c>
      <c r="E579" s="25">
        <v>11200001</v>
      </c>
      <c r="F579" s="25">
        <v>15051</v>
      </c>
      <c r="G579" s="25">
        <v>1</v>
      </c>
      <c r="H579" s="25">
        <v>60</v>
      </c>
      <c r="I579" s="29">
        <v>0.2</v>
      </c>
      <c r="J579" s="30">
        <v>25</v>
      </c>
      <c r="K579" s="25">
        <v>0</v>
      </c>
      <c r="L579" s="25">
        <v>0</v>
      </c>
      <c r="M579" s="25">
        <v>520</v>
      </c>
      <c r="N579" s="25">
        <v>1120</v>
      </c>
      <c r="O579" s="25">
        <v>0</v>
      </c>
      <c r="P579" s="25">
        <v>0</v>
      </c>
      <c r="Q579" s="25">
        <f t="shared" si="120"/>
        <v>0</v>
      </c>
      <c r="R579" s="25">
        <v>0</v>
      </c>
      <c r="S579" s="25">
        <f t="shared" si="121"/>
        <v>0</v>
      </c>
      <c r="T579" s="25">
        <v>0</v>
      </c>
      <c r="U579" s="29">
        <v>0</v>
      </c>
      <c r="V579" s="25">
        <v>0</v>
      </c>
      <c r="W579" s="25">
        <v>0</v>
      </c>
      <c r="X579" s="25">
        <v>0</v>
      </c>
      <c r="Y579" s="29">
        <v>0</v>
      </c>
      <c r="Z579" s="29">
        <v>0</v>
      </c>
      <c r="AA579" s="29">
        <v>0</v>
      </c>
      <c r="AB579" s="29">
        <v>200103</v>
      </c>
      <c r="AC579" s="29">
        <v>500</v>
      </c>
      <c r="AD579" s="29">
        <v>1</v>
      </c>
      <c r="AE579" s="47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  <c r="HF579" s="5"/>
      <c r="HG579" s="5"/>
      <c r="HH579" s="5"/>
      <c r="HI579" s="5"/>
      <c r="HJ579" s="5"/>
      <c r="HK579" s="5"/>
      <c r="HL579" s="5"/>
      <c r="HM579" s="5"/>
      <c r="HN579" s="5"/>
      <c r="HO579" s="5"/>
      <c r="HP579" s="5"/>
    </row>
    <row r="580" spans="3:224" ht="20.100000000000001" customHeight="1">
      <c r="C580" s="24">
        <v>15511001</v>
      </c>
      <c r="D580" s="25" t="s">
        <v>579</v>
      </c>
      <c r="E580" s="25">
        <v>11200003</v>
      </c>
      <c r="F580" s="25">
        <v>0</v>
      </c>
      <c r="G580" s="25">
        <v>1</v>
      </c>
      <c r="H580" s="25">
        <v>60</v>
      </c>
      <c r="I580" s="29">
        <v>0.2</v>
      </c>
      <c r="J580" s="30">
        <v>25</v>
      </c>
      <c r="K580" s="25">
        <v>0</v>
      </c>
      <c r="L580" s="25">
        <v>6100</v>
      </c>
      <c r="M580" s="25">
        <f t="shared" si="106"/>
        <v>0</v>
      </c>
      <c r="N580" s="25">
        <v>0</v>
      </c>
      <c r="O580" s="25">
        <v>0</v>
      </c>
      <c r="P580" s="25">
        <v>0</v>
      </c>
      <c r="Q580" s="25">
        <f t="shared" si="107"/>
        <v>75</v>
      </c>
      <c r="R580" s="25">
        <v>150</v>
      </c>
      <c r="S580" s="25">
        <f t="shared" si="108"/>
        <v>75</v>
      </c>
      <c r="T580" s="25">
        <v>150</v>
      </c>
      <c r="U580" s="29">
        <v>0</v>
      </c>
      <c r="V580" s="25">
        <v>0</v>
      </c>
      <c r="W580" s="25">
        <v>0</v>
      </c>
      <c r="X580" s="25">
        <v>0</v>
      </c>
      <c r="Y580" s="29">
        <v>0</v>
      </c>
      <c r="Z580" s="29">
        <v>0</v>
      </c>
      <c r="AA580" s="29">
        <v>0</v>
      </c>
      <c r="AB580" s="29">
        <v>0</v>
      </c>
      <c r="AC580" s="29">
        <v>0</v>
      </c>
      <c r="AD580" s="29">
        <v>0</v>
      </c>
      <c r="AE580" s="29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  <c r="HF580" s="5"/>
      <c r="HG580" s="5"/>
      <c r="HH580" s="5"/>
      <c r="HI580" s="5"/>
      <c r="HJ580" s="5"/>
      <c r="HK580" s="5"/>
      <c r="HL580" s="5"/>
      <c r="HM580" s="5"/>
      <c r="HN580" s="5"/>
      <c r="HO580" s="5"/>
      <c r="HP580" s="5"/>
    </row>
    <row r="581" spans="3:224" ht="20.100000000000001" customHeight="1">
      <c r="C581" s="24">
        <v>15511002</v>
      </c>
      <c r="D581" s="25" t="s">
        <v>580</v>
      </c>
      <c r="E581" s="25">
        <v>11200003</v>
      </c>
      <c r="F581" s="25">
        <v>15011</v>
      </c>
      <c r="G581" s="25">
        <v>1</v>
      </c>
      <c r="H581" s="25">
        <v>60</v>
      </c>
      <c r="I581" s="29">
        <v>0.2</v>
      </c>
      <c r="J581" s="30">
        <v>25</v>
      </c>
      <c r="K581" s="25">
        <v>0</v>
      </c>
      <c r="L581" s="25">
        <v>7200</v>
      </c>
      <c r="M581" s="25">
        <f t="shared" si="106"/>
        <v>0</v>
      </c>
      <c r="N581" s="25">
        <v>0</v>
      </c>
      <c r="O581" s="25">
        <v>0</v>
      </c>
      <c r="P581" s="25">
        <v>0</v>
      </c>
      <c r="Q581" s="25">
        <f t="shared" si="107"/>
        <v>90</v>
      </c>
      <c r="R581" s="25">
        <v>180</v>
      </c>
      <c r="S581" s="25">
        <f t="shared" si="108"/>
        <v>90</v>
      </c>
      <c r="T581" s="25">
        <v>180</v>
      </c>
      <c r="U581" s="29">
        <v>0</v>
      </c>
      <c r="V581" s="25">
        <v>0</v>
      </c>
      <c r="W581" s="25">
        <v>0</v>
      </c>
      <c r="X581" s="25">
        <v>0</v>
      </c>
      <c r="Y581" s="29">
        <v>0</v>
      </c>
      <c r="Z581" s="29">
        <v>0</v>
      </c>
      <c r="AA581" s="29">
        <v>0</v>
      </c>
      <c r="AB581" s="29">
        <v>0</v>
      </c>
      <c r="AC581" s="29">
        <v>0</v>
      </c>
      <c r="AD581" s="29">
        <v>0</v>
      </c>
      <c r="AE581" s="29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  <c r="HJ581" s="5"/>
      <c r="HK581" s="5"/>
      <c r="HL581" s="5"/>
      <c r="HM581" s="5"/>
      <c r="HN581" s="5"/>
      <c r="HO581" s="5"/>
      <c r="HP581" s="5"/>
    </row>
    <row r="582" spans="3:224" ht="20.100000000000001" customHeight="1">
      <c r="C582" s="24">
        <v>15511003</v>
      </c>
      <c r="D582" s="25" t="s">
        <v>581</v>
      </c>
      <c r="E582" s="25">
        <v>11200003</v>
      </c>
      <c r="F582" s="25">
        <v>0</v>
      </c>
      <c r="G582" s="25">
        <v>1</v>
      </c>
      <c r="H582" s="25">
        <v>60</v>
      </c>
      <c r="I582" s="29">
        <v>0.2</v>
      </c>
      <c r="J582" s="30">
        <v>25</v>
      </c>
      <c r="K582" s="25">
        <v>0</v>
      </c>
      <c r="L582" s="25">
        <v>3050</v>
      </c>
      <c r="M582" s="25">
        <f t="shared" si="106"/>
        <v>0</v>
      </c>
      <c r="N582" s="25">
        <v>0</v>
      </c>
      <c r="O582" s="25">
        <v>0</v>
      </c>
      <c r="P582" s="25">
        <v>0</v>
      </c>
      <c r="Q582" s="25">
        <f t="shared" si="107"/>
        <v>57</v>
      </c>
      <c r="R582" s="25">
        <v>113</v>
      </c>
      <c r="S582" s="25">
        <f t="shared" si="108"/>
        <v>57</v>
      </c>
      <c r="T582" s="25">
        <v>113</v>
      </c>
      <c r="U582" s="29">
        <v>0</v>
      </c>
      <c r="V582" s="25">
        <v>0</v>
      </c>
      <c r="W582" s="25">
        <v>0</v>
      </c>
      <c r="X582" s="25">
        <v>0</v>
      </c>
      <c r="Y582" s="29">
        <v>0</v>
      </c>
      <c r="Z582" s="29">
        <v>0</v>
      </c>
      <c r="AA582" s="29">
        <v>0</v>
      </c>
      <c r="AB582" s="29">
        <v>0</v>
      </c>
      <c r="AC582" s="29">
        <v>0</v>
      </c>
      <c r="AD582" s="29">
        <v>0</v>
      </c>
      <c r="AE582" s="29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  <c r="HF582" s="5"/>
      <c r="HG582" s="5"/>
      <c r="HH582" s="5"/>
      <c r="HI582" s="5"/>
      <c r="HJ582" s="5"/>
      <c r="HK582" s="5"/>
      <c r="HL582" s="5"/>
      <c r="HM582" s="5"/>
      <c r="HN582" s="5"/>
      <c r="HO582" s="5"/>
      <c r="HP582" s="5"/>
    </row>
    <row r="583" spans="3:224" ht="20.100000000000001" customHeight="1">
      <c r="C583" s="24">
        <v>15511004</v>
      </c>
      <c r="D583" s="25" t="s">
        <v>582</v>
      </c>
      <c r="E583" s="25">
        <v>11200003</v>
      </c>
      <c r="F583" s="25">
        <v>15021</v>
      </c>
      <c r="G583" s="25">
        <v>1</v>
      </c>
      <c r="H583" s="25">
        <v>60</v>
      </c>
      <c r="I583" s="29">
        <v>0.2</v>
      </c>
      <c r="J583" s="30">
        <v>25</v>
      </c>
      <c r="K583" s="25">
        <v>0</v>
      </c>
      <c r="L583" s="25">
        <v>3600</v>
      </c>
      <c r="M583" s="25">
        <f t="shared" si="106"/>
        <v>0</v>
      </c>
      <c r="N583" s="25">
        <v>0</v>
      </c>
      <c r="O583" s="25">
        <v>0</v>
      </c>
      <c r="P583" s="25">
        <v>0</v>
      </c>
      <c r="Q583" s="25">
        <f t="shared" si="107"/>
        <v>68</v>
      </c>
      <c r="R583" s="25">
        <v>135</v>
      </c>
      <c r="S583" s="25">
        <f t="shared" si="108"/>
        <v>68</v>
      </c>
      <c r="T583" s="25">
        <v>135</v>
      </c>
      <c r="U583" s="29">
        <v>0</v>
      </c>
      <c r="V583" s="25">
        <v>0</v>
      </c>
      <c r="W583" s="25">
        <v>0</v>
      </c>
      <c r="X583" s="25">
        <v>0</v>
      </c>
      <c r="Y583" s="29">
        <v>0</v>
      </c>
      <c r="Z583" s="29">
        <v>0</v>
      </c>
      <c r="AA583" s="29">
        <v>0</v>
      </c>
      <c r="AB583" s="29">
        <v>0</v>
      </c>
      <c r="AC583" s="29">
        <v>0</v>
      </c>
      <c r="AD583" s="29">
        <v>0</v>
      </c>
      <c r="AE583" s="29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  <c r="HF583" s="5"/>
      <c r="HG583" s="5"/>
      <c r="HH583" s="5"/>
      <c r="HI583" s="5"/>
      <c r="HJ583" s="5"/>
      <c r="HK583" s="5"/>
      <c r="HL583" s="5"/>
      <c r="HM583" s="5"/>
      <c r="HN583" s="5"/>
      <c r="HO583" s="5"/>
      <c r="HP583" s="5"/>
    </row>
    <row r="584" spans="3:224" ht="20.100000000000001" customHeight="1">
      <c r="C584" s="24">
        <v>15511005</v>
      </c>
      <c r="D584" s="25" t="s">
        <v>583</v>
      </c>
      <c r="E584" s="25">
        <v>11200003</v>
      </c>
      <c r="F584" s="25">
        <v>0</v>
      </c>
      <c r="G584" s="25">
        <v>1</v>
      </c>
      <c r="H584" s="25">
        <v>60</v>
      </c>
      <c r="I584" s="29">
        <v>0.2</v>
      </c>
      <c r="J584" s="30">
        <v>25</v>
      </c>
      <c r="K584" s="25">
        <v>0</v>
      </c>
      <c r="L584" s="25">
        <f>L580*1.5</f>
        <v>9150</v>
      </c>
      <c r="M584" s="25">
        <f t="shared" si="106"/>
        <v>0</v>
      </c>
      <c r="N584" s="25">
        <v>0</v>
      </c>
      <c r="O584" s="25">
        <v>0</v>
      </c>
      <c r="P584" s="25">
        <v>0</v>
      </c>
      <c r="Q584" s="25">
        <f t="shared" si="107"/>
        <v>94</v>
      </c>
      <c r="R584" s="25">
        <v>188</v>
      </c>
      <c r="S584" s="25">
        <f t="shared" si="108"/>
        <v>94</v>
      </c>
      <c r="T584" s="25">
        <v>188</v>
      </c>
      <c r="U584" s="29">
        <v>0</v>
      </c>
      <c r="V584" s="25">
        <v>0</v>
      </c>
      <c r="W584" s="25">
        <v>0</v>
      </c>
      <c r="X584" s="25">
        <v>0</v>
      </c>
      <c r="Y584" s="29">
        <v>0</v>
      </c>
      <c r="Z584" s="29">
        <v>0</v>
      </c>
      <c r="AA584" s="29">
        <v>0</v>
      </c>
      <c r="AB584" s="29">
        <v>0</v>
      </c>
      <c r="AC584" s="29">
        <v>0</v>
      </c>
      <c r="AD584" s="29">
        <v>0</v>
      </c>
      <c r="AE584" s="29"/>
      <c r="GR584" s="5"/>
      <c r="GS584" s="5"/>
      <c r="GT584" s="5"/>
      <c r="GU584" s="5"/>
      <c r="GV584" s="5"/>
      <c r="GW584" s="5"/>
      <c r="GX584" s="5"/>
      <c r="GY584" s="5"/>
      <c r="GZ584" s="5"/>
      <c r="HA584" s="5"/>
      <c r="HB584" s="5"/>
      <c r="HC584" s="5"/>
      <c r="HD584" s="5"/>
      <c r="HE584" s="5"/>
      <c r="HF584" s="5"/>
      <c r="HG584" s="5"/>
      <c r="HH584" s="5"/>
      <c r="HI584" s="5"/>
      <c r="HJ584" s="5"/>
      <c r="HK584" s="5"/>
      <c r="HL584" s="5"/>
      <c r="HM584" s="5"/>
      <c r="HN584" s="5"/>
      <c r="HO584" s="5"/>
      <c r="HP584" s="5"/>
    </row>
    <row r="585" spans="3:224" ht="20.100000000000001" customHeight="1">
      <c r="C585" s="24">
        <v>15511006</v>
      </c>
      <c r="D585" s="25" t="s">
        <v>584</v>
      </c>
      <c r="E585" s="25">
        <v>11200003</v>
      </c>
      <c r="F585" s="25">
        <v>15031</v>
      </c>
      <c r="G585" s="25">
        <v>1</v>
      </c>
      <c r="H585" s="25">
        <v>60</v>
      </c>
      <c r="I585" s="29">
        <v>0.2</v>
      </c>
      <c r="J585" s="30">
        <v>25</v>
      </c>
      <c r="K585" s="25">
        <v>0</v>
      </c>
      <c r="L585" s="25">
        <f>L581*1.5</f>
        <v>10800</v>
      </c>
      <c r="M585" s="25">
        <f t="shared" si="106"/>
        <v>0</v>
      </c>
      <c r="N585" s="25">
        <v>0</v>
      </c>
      <c r="O585" s="25">
        <v>0</v>
      </c>
      <c r="P585" s="25">
        <v>0</v>
      </c>
      <c r="Q585" s="25">
        <f t="shared" si="107"/>
        <v>113</v>
      </c>
      <c r="R585" s="25">
        <v>225</v>
      </c>
      <c r="S585" s="25">
        <f t="shared" si="108"/>
        <v>113</v>
      </c>
      <c r="T585" s="25">
        <v>225</v>
      </c>
      <c r="U585" s="29">
        <v>0</v>
      </c>
      <c r="V585" s="25">
        <v>0</v>
      </c>
      <c r="W585" s="25">
        <v>0</v>
      </c>
      <c r="X585" s="25">
        <v>0</v>
      </c>
      <c r="Y585" s="29">
        <v>0</v>
      </c>
      <c r="Z585" s="29">
        <v>0</v>
      </c>
      <c r="AA585" s="29">
        <v>0</v>
      </c>
      <c r="AB585" s="29">
        <v>0</v>
      </c>
      <c r="AC585" s="29">
        <v>0</v>
      </c>
      <c r="AD585" s="29">
        <v>0</v>
      </c>
      <c r="AE585" s="29"/>
      <c r="GR585" s="5"/>
      <c r="GS585" s="5"/>
      <c r="GT585" s="5"/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  <c r="HF585" s="5"/>
      <c r="HG585" s="5"/>
      <c r="HH585" s="5"/>
      <c r="HI585" s="5"/>
      <c r="HJ585" s="5"/>
      <c r="HK585" s="5"/>
      <c r="HL585" s="5"/>
      <c r="HM585" s="5"/>
      <c r="HN585" s="5"/>
      <c r="HO585" s="5"/>
      <c r="HP585" s="5"/>
    </row>
    <row r="586" spans="3:224" ht="20.100000000000001" customHeight="1">
      <c r="C586" s="24">
        <v>15511011</v>
      </c>
      <c r="D586" s="36" t="s">
        <v>585</v>
      </c>
      <c r="E586" s="25">
        <v>11200003</v>
      </c>
      <c r="F586" s="25">
        <v>15011</v>
      </c>
      <c r="G586" s="25">
        <v>1</v>
      </c>
      <c r="H586" s="25">
        <v>60</v>
      </c>
      <c r="I586" s="29">
        <v>0.2</v>
      </c>
      <c r="J586" s="30">
        <v>25</v>
      </c>
      <c r="K586" s="25">
        <v>0</v>
      </c>
      <c r="L586" s="25">
        <v>8280</v>
      </c>
      <c r="M586" s="25">
        <v>0</v>
      </c>
      <c r="N586" s="25">
        <v>0</v>
      </c>
      <c r="O586" s="25">
        <v>0</v>
      </c>
      <c r="P586" s="25">
        <v>0</v>
      </c>
      <c r="Q586" s="25">
        <v>100</v>
      </c>
      <c r="R586" s="25">
        <v>200</v>
      </c>
      <c r="S586" s="25">
        <v>100</v>
      </c>
      <c r="T586" s="25">
        <v>200</v>
      </c>
      <c r="U586" s="29">
        <v>0</v>
      </c>
      <c r="V586" s="25">
        <v>0</v>
      </c>
      <c r="W586" s="25">
        <v>0</v>
      </c>
      <c r="X586" s="25">
        <v>0</v>
      </c>
      <c r="Y586" s="29">
        <v>0</v>
      </c>
      <c r="Z586" s="29">
        <v>0</v>
      </c>
      <c r="AA586" s="29">
        <v>0</v>
      </c>
      <c r="AB586" s="29">
        <v>0</v>
      </c>
      <c r="AC586" s="29">
        <v>0</v>
      </c>
      <c r="AD586" s="29">
        <v>0</v>
      </c>
      <c r="AE586" s="29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5"/>
      <c r="HG586" s="5"/>
      <c r="HH586" s="5"/>
      <c r="HI586" s="5"/>
      <c r="HJ586" s="5"/>
      <c r="HK586" s="5"/>
      <c r="HL586" s="5"/>
      <c r="HM586" s="5"/>
      <c r="HN586" s="5"/>
      <c r="HO586" s="5"/>
      <c r="HP586" s="5"/>
    </row>
    <row r="587" spans="3:224" ht="20.100000000000001" customHeight="1">
      <c r="C587" s="24">
        <v>15511012</v>
      </c>
      <c r="D587" s="36" t="s">
        <v>586</v>
      </c>
      <c r="E587" s="25">
        <v>11200003</v>
      </c>
      <c r="F587" s="25">
        <v>15021</v>
      </c>
      <c r="G587" s="25">
        <v>1</v>
      </c>
      <c r="H587" s="25">
        <v>60</v>
      </c>
      <c r="I587" s="29">
        <v>0.2</v>
      </c>
      <c r="J587" s="30">
        <v>25</v>
      </c>
      <c r="K587" s="25">
        <v>0</v>
      </c>
      <c r="L587" s="25">
        <v>4140</v>
      </c>
      <c r="M587" s="25">
        <v>0</v>
      </c>
      <c r="N587" s="25">
        <v>0</v>
      </c>
      <c r="O587" s="25">
        <v>0</v>
      </c>
      <c r="P587" s="25">
        <v>0</v>
      </c>
      <c r="Q587" s="25">
        <v>76</v>
      </c>
      <c r="R587" s="25">
        <v>148</v>
      </c>
      <c r="S587" s="25">
        <v>76</v>
      </c>
      <c r="T587" s="25">
        <v>148</v>
      </c>
      <c r="U587" s="29">
        <v>0</v>
      </c>
      <c r="V587" s="25">
        <v>0</v>
      </c>
      <c r="W587" s="25">
        <v>0</v>
      </c>
      <c r="X587" s="25">
        <v>0</v>
      </c>
      <c r="Y587" s="29">
        <v>0</v>
      </c>
      <c r="Z587" s="29">
        <v>0</v>
      </c>
      <c r="AA587" s="29">
        <v>0</v>
      </c>
      <c r="AB587" s="29">
        <v>100402</v>
      </c>
      <c r="AC587" s="29">
        <v>500</v>
      </c>
      <c r="AD587" s="29">
        <v>1</v>
      </c>
      <c r="AE587" s="29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  <c r="HF587" s="5"/>
      <c r="HG587" s="5"/>
      <c r="HH587" s="5"/>
      <c r="HI587" s="5"/>
      <c r="HJ587" s="5"/>
      <c r="HK587" s="5"/>
      <c r="HL587" s="5"/>
      <c r="HM587" s="5"/>
      <c r="HN587" s="5"/>
      <c r="HO587" s="5"/>
      <c r="HP587" s="5"/>
    </row>
    <row r="588" spans="3:224" ht="20.100000000000001" customHeight="1">
      <c r="C588" s="24">
        <v>15511013</v>
      </c>
      <c r="D588" s="36" t="s">
        <v>587</v>
      </c>
      <c r="E588" s="25">
        <v>11200003</v>
      </c>
      <c r="F588" s="25">
        <v>15031</v>
      </c>
      <c r="G588" s="25">
        <v>1</v>
      </c>
      <c r="H588" s="25">
        <v>60</v>
      </c>
      <c r="I588" s="29">
        <v>0.2</v>
      </c>
      <c r="J588" s="30">
        <v>25</v>
      </c>
      <c r="K588" s="25">
        <v>0</v>
      </c>
      <c r="L588" s="25">
        <f>L586*1.5</f>
        <v>12420</v>
      </c>
      <c r="M588" s="25">
        <v>0</v>
      </c>
      <c r="N588" s="25">
        <v>0</v>
      </c>
      <c r="O588" s="25">
        <v>0</v>
      </c>
      <c r="P588" s="25">
        <v>0</v>
      </c>
      <c r="Q588" s="25">
        <v>120</v>
      </c>
      <c r="R588" s="25">
        <v>245</v>
      </c>
      <c r="S588" s="25">
        <v>120</v>
      </c>
      <c r="T588" s="25">
        <v>245</v>
      </c>
      <c r="U588" s="29">
        <v>0</v>
      </c>
      <c r="V588" s="25">
        <v>0</v>
      </c>
      <c r="W588" s="25">
        <v>0</v>
      </c>
      <c r="X588" s="25">
        <v>0</v>
      </c>
      <c r="Y588" s="29">
        <v>0</v>
      </c>
      <c r="Z588" s="29">
        <v>0</v>
      </c>
      <c r="AA588" s="29">
        <v>0</v>
      </c>
      <c r="AB588" s="29">
        <v>200303</v>
      </c>
      <c r="AC588" s="29">
        <v>500</v>
      </c>
      <c r="AD588" s="29">
        <v>1</v>
      </c>
      <c r="AE588" s="29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  <c r="HF588" s="5"/>
      <c r="HG588" s="5"/>
      <c r="HH588" s="5"/>
      <c r="HI588" s="5"/>
      <c r="HJ588" s="5"/>
      <c r="HK588" s="5"/>
      <c r="HL588" s="5"/>
      <c r="HM588" s="5"/>
      <c r="HN588" s="5"/>
      <c r="HO588" s="5"/>
      <c r="HP588" s="5"/>
    </row>
    <row r="589" spans="3:224" ht="20.100000000000001" customHeight="1">
      <c r="C589" s="24">
        <v>15601001</v>
      </c>
      <c r="D589" s="25" t="s">
        <v>530</v>
      </c>
      <c r="E589" s="25">
        <v>11200003</v>
      </c>
      <c r="F589" s="25">
        <v>16011</v>
      </c>
      <c r="G589" s="25">
        <v>1</v>
      </c>
      <c r="H589" s="25">
        <v>60</v>
      </c>
      <c r="I589" s="29">
        <v>0.2</v>
      </c>
      <c r="J589" s="30">
        <v>25</v>
      </c>
      <c r="K589" s="25">
        <v>0</v>
      </c>
      <c r="L589" s="25">
        <v>0</v>
      </c>
      <c r="M589" s="25">
        <v>70</v>
      </c>
      <c r="N589" s="25">
        <v>140</v>
      </c>
      <c r="O589" s="25">
        <v>0</v>
      </c>
      <c r="P589" s="25">
        <v>0</v>
      </c>
      <c r="Q589" s="25">
        <v>40</v>
      </c>
      <c r="R589" s="25">
        <v>90</v>
      </c>
      <c r="S589" s="25">
        <v>40</v>
      </c>
      <c r="T589" s="25">
        <v>90</v>
      </c>
      <c r="U589" s="29">
        <v>0</v>
      </c>
      <c r="V589" s="25">
        <v>0</v>
      </c>
      <c r="W589" s="25">
        <v>0</v>
      </c>
      <c r="X589" s="25">
        <v>0</v>
      </c>
      <c r="Y589" s="29">
        <v>0</v>
      </c>
      <c r="Z589" s="29">
        <v>0</v>
      </c>
      <c r="AA589" s="29">
        <v>0</v>
      </c>
      <c r="AB589" s="29">
        <v>200503</v>
      </c>
      <c r="AC589" s="29">
        <v>100</v>
      </c>
      <c r="AD589" s="29">
        <v>1</v>
      </c>
      <c r="AE589" s="29"/>
      <c r="GR589" s="5"/>
      <c r="GS589" s="5"/>
      <c r="GT589" s="5"/>
      <c r="GU589" s="5"/>
      <c r="GV589" s="5"/>
      <c r="GW589" s="5"/>
      <c r="GX589" s="5"/>
      <c r="GY589" s="5"/>
      <c r="GZ589" s="5"/>
      <c r="HA589" s="5"/>
      <c r="HB589" s="5"/>
      <c r="HC589" s="5"/>
      <c r="HD589" s="5"/>
      <c r="HE589" s="5"/>
      <c r="HF589" s="5"/>
      <c r="HG589" s="5"/>
      <c r="HH589" s="5"/>
      <c r="HI589" s="5"/>
      <c r="HJ589" s="5"/>
      <c r="HK589" s="5"/>
      <c r="HL589" s="5"/>
      <c r="HM589" s="5"/>
      <c r="HN589" s="5"/>
      <c r="HO589" s="5"/>
      <c r="HP589" s="5"/>
    </row>
    <row r="590" spans="3:224" ht="20.100000000000001" customHeight="1">
      <c r="C590" s="24">
        <v>15601002</v>
      </c>
      <c r="D590" s="25" t="s">
        <v>532</v>
      </c>
      <c r="E590" s="25">
        <v>11200003</v>
      </c>
      <c r="F590" s="25">
        <v>16021</v>
      </c>
      <c r="G590" s="25">
        <v>1</v>
      </c>
      <c r="H590" s="25">
        <v>60</v>
      </c>
      <c r="I590" s="29">
        <v>0.2</v>
      </c>
      <c r="J590" s="30">
        <v>25</v>
      </c>
      <c r="K590" s="25">
        <v>0</v>
      </c>
      <c r="L590" s="25">
        <v>0</v>
      </c>
      <c r="M590" s="25">
        <v>100</v>
      </c>
      <c r="N590" s="25">
        <v>190</v>
      </c>
      <c r="O590" s="25">
        <v>0</v>
      </c>
      <c r="P590" s="25">
        <v>0</v>
      </c>
      <c r="Q590" s="25">
        <v>30</v>
      </c>
      <c r="R590" s="25">
        <v>60</v>
      </c>
      <c r="S590" s="25">
        <v>30</v>
      </c>
      <c r="T590" s="25">
        <v>60</v>
      </c>
      <c r="U590" s="29">
        <v>0</v>
      </c>
      <c r="V590" s="25">
        <v>0</v>
      </c>
      <c r="W590" s="25">
        <v>0</v>
      </c>
      <c r="X590" s="25">
        <v>0</v>
      </c>
      <c r="Y590" s="29">
        <v>0</v>
      </c>
      <c r="Z590" s="29">
        <v>0</v>
      </c>
      <c r="AA590" s="29">
        <v>0</v>
      </c>
      <c r="AB590" s="29">
        <v>200603</v>
      </c>
      <c r="AC590" s="29">
        <v>100</v>
      </c>
      <c r="AD590" s="29">
        <v>1</v>
      </c>
      <c r="AE590" s="29"/>
      <c r="GR590" s="5"/>
      <c r="GS590" s="5"/>
      <c r="GT590" s="5"/>
      <c r="GU590" s="5"/>
      <c r="GV590" s="5"/>
      <c r="GW590" s="5"/>
      <c r="GX590" s="5"/>
      <c r="GY590" s="5"/>
      <c r="GZ590" s="5"/>
      <c r="HA590" s="5"/>
      <c r="HB590" s="5"/>
      <c r="HC590" s="5"/>
      <c r="HD590" s="5"/>
      <c r="HE590" s="5"/>
      <c r="HF590" s="5"/>
      <c r="HG590" s="5"/>
      <c r="HH590" s="5"/>
      <c r="HI590" s="5"/>
      <c r="HJ590" s="5"/>
      <c r="HK590" s="5"/>
      <c r="HL590" s="5"/>
      <c r="HM590" s="5"/>
      <c r="HN590" s="5"/>
      <c r="HO590" s="5"/>
      <c r="HP590" s="5"/>
    </row>
    <row r="591" spans="3:224" ht="20.100000000000001" customHeight="1">
      <c r="C591" s="24">
        <v>15601003</v>
      </c>
      <c r="D591" s="25" t="s">
        <v>534</v>
      </c>
      <c r="E591" s="25">
        <v>11200003</v>
      </c>
      <c r="F591" s="25">
        <v>16031</v>
      </c>
      <c r="G591" s="25">
        <v>1</v>
      </c>
      <c r="H591" s="25">
        <v>60</v>
      </c>
      <c r="I591" s="29">
        <v>0.2</v>
      </c>
      <c r="J591" s="30">
        <v>25</v>
      </c>
      <c r="K591" s="25">
        <v>0</v>
      </c>
      <c r="L591" s="25">
        <v>0</v>
      </c>
      <c r="M591" s="25">
        <v>50</v>
      </c>
      <c r="N591" s="25">
        <v>110</v>
      </c>
      <c r="O591" s="25">
        <v>0</v>
      </c>
      <c r="P591" s="25">
        <v>0</v>
      </c>
      <c r="Q591" s="25">
        <v>50</v>
      </c>
      <c r="R591" s="25">
        <v>110</v>
      </c>
      <c r="S591" s="25">
        <v>50</v>
      </c>
      <c r="T591" s="25">
        <v>110</v>
      </c>
      <c r="U591" s="29">
        <v>0</v>
      </c>
      <c r="V591" s="25">
        <v>0</v>
      </c>
      <c r="W591" s="25">
        <v>0</v>
      </c>
      <c r="X591" s="25">
        <v>0</v>
      </c>
      <c r="Y591" s="29">
        <v>0</v>
      </c>
      <c r="Z591" s="29">
        <v>0</v>
      </c>
      <c r="AA591" s="29">
        <v>0</v>
      </c>
      <c r="AB591" s="29">
        <v>200503</v>
      </c>
      <c r="AC591" s="29">
        <v>100</v>
      </c>
      <c r="AD591" s="29">
        <v>1</v>
      </c>
      <c r="AE591" s="29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  <c r="HF591" s="5"/>
      <c r="HG591" s="5"/>
      <c r="HH591" s="5"/>
      <c r="HI591" s="5"/>
      <c r="HJ591" s="5"/>
      <c r="HK591" s="5"/>
      <c r="HL591" s="5"/>
      <c r="HM591" s="5"/>
      <c r="HN591" s="5"/>
      <c r="HO591" s="5"/>
      <c r="HP591" s="5"/>
    </row>
    <row r="592" spans="3:224" ht="20.100000000000001" customHeight="1">
      <c r="C592" s="24">
        <v>15602001</v>
      </c>
      <c r="D592" s="25" t="s">
        <v>536</v>
      </c>
      <c r="E592" s="25">
        <v>11200003</v>
      </c>
      <c r="F592" s="25">
        <v>16011</v>
      </c>
      <c r="G592" s="25">
        <v>1</v>
      </c>
      <c r="H592" s="25">
        <v>60</v>
      </c>
      <c r="I592" s="29">
        <v>0.2</v>
      </c>
      <c r="J592" s="30">
        <v>25</v>
      </c>
      <c r="K592" s="25">
        <v>0</v>
      </c>
      <c r="L592" s="25">
        <v>0</v>
      </c>
      <c r="M592" s="25">
        <v>90</v>
      </c>
      <c r="N592" s="25">
        <v>190</v>
      </c>
      <c r="O592" s="25">
        <v>0</v>
      </c>
      <c r="P592" s="25">
        <v>0</v>
      </c>
      <c r="Q592" s="25">
        <v>0</v>
      </c>
      <c r="R592" s="25">
        <v>0</v>
      </c>
      <c r="S592" s="25">
        <v>130</v>
      </c>
      <c r="T592" s="25">
        <v>260</v>
      </c>
      <c r="U592" s="29">
        <v>0</v>
      </c>
      <c r="V592" s="25">
        <v>0</v>
      </c>
      <c r="W592" s="25">
        <v>0</v>
      </c>
      <c r="X592" s="25">
        <v>0</v>
      </c>
      <c r="Y592" s="29">
        <v>0</v>
      </c>
      <c r="Z592" s="29">
        <v>0</v>
      </c>
      <c r="AA592" s="29">
        <v>0</v>
      </c>
      <c r="AB592" s="29">
        <v>202303</v>
      </c>
      <c r="AC592" s="29">
        <v>100</v>
      </c>
      <c r="AD592" s="29">
        <v>1</v>
      </c>
      <c r="AE592" s="29"/>
      <c r="GR592" s="5"/>
      <c r="GS592" s="5"/>
      <c r="GT592" s="5"/>
      <c r="GU592" s="5"/>
      <c r="GV592" s="5"/>
      <c r="GW592" s="5"/>
      <c r="GX592" s="5"/>
      <c r="GY592" s="5"/>
      <c r="GZ592" s="5"/>
      <c r="HA592" s="5"/>
      <c r="HB592" s="5"/>
      <c r="HC592" s="5"/>
      <c r="HD592" s="5"/>
      <c r="HE592" s="5"/>
      <c r="HF592" s="5"/>
      <c r="HG592" s="5"/>
      <c r="HH592" s="5"/>
      <c r="HI592" s="5"/>
      <c r="HJ592" s="5"/>
      <c r="HK592" s="5"/>
      <c r="HL592" s="5"/>
      <c r="HM592" s="5"/>
      <c r="HN592" s="5"/>
      <c r="HO592" s="5"/>
      <c r="HP592" s="5"/>
    </row>
    <row r="593" spans="3:224" ht="20.100000000000001" customHeight="1">
      <c r="C593" s="24">
        <v>15602002</v>
      </c>
      <c r="D593" s="25" t="s">
        <v>538</v>
      </c>
      <c r="E593" s="25">
        <v>11200003</v>
      </c>
      <c r="F593" s="25">
        <v>16021</v>
      </c>
      <c r="G593" s="25">
        <v>1</v>
      </c>
      <c r="H593" s="25">
        <v>60</v>
      </c>
      <c r="I593" s="29">
        <v>0.2</v>
      </c>
      <c r="J593" s="30">
        <v>25</v>
      </c>
      <c r="K593" s="25">
        <v>0</v>
      </c>
      <c r="L593" s="25">
        <v>0</v>
      </c>
      <c r="M593" s="25">
        <v>130</v>
      </c>
      <c r="N593" s="25">
        <v>250</v>
      </c>
      <c r="O593" s="25">
        <v>0</v>
      </c>
      <c r="P593" s="25">
        <v>0</v>
      </c>
      <c r="Q593" s="25">
        <v>0</v>
      </c>
      <c r="R593" s="25">
        <v>0</v>
      </c>
      <c r="S593" s="25">
        <v>100</v>
      </c>
      <c r="T593" s="25">
        <v>190</v>
      </c>
      <c r="U593" s="29">
        <v>0</v>
      </c>
      <c r="V593" s="25">
        <v>0</v>
      </c>
      <c r="W593" s="25">
        <v>0</v>
      </c>
      <c r="X593" s="25">
        <v>0</v>
      </c>
      <c r="Y593" s="29">
        <v>0</v>
      </c>
      <c r="Z593" s="29">
        <v>0</v>
      </c>
      <c r="AA593" s="29">
        <v>0</v>
      </c>
      <c r="AB593" s="29">
        <v>202303</v>
      </c>
      <c r="AC593" s="29">
        <v>100</v>
      </c>
      <c r="AD593" s="29">
        <v>1</v>
      </c>
      <c r="AE593" s="29"/>
      <c r="GR593" s="5"/>
      <c r="GS593" s="5"/>
      <c r="GT593" s="5"/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  <c r="HF593" s="5"/>
      <c r="HG593" s="5"/>
      <c r="HH593" s="5"/>
      <c r="HI593" s="5"/>
      <c r="HJ593" s="5"/>
      <c r="HK593" s="5"/>
      <c r="HL593" s="5"/>
      <c r="HM593" s="5"/>
      <c r="HN593" s="5"/>
      <c r="HO593" s="5"/>
      <c r="HP593" s="5"/>
    </row>
    <row r="594" spans="3:224" ht="20.100000000000001" customHeight="1">
      <c r="C594" s="24">
        <v>15602003</v>
      </c>
      <c r="D594" s="25" t="s">
        <v>540</v>
      </c>
      <c r="E594" s="25">
        <v>11200003</v>
      </c>
      <c r="F594" s="25">
        <v>16031</v>
      </c>
      <c r="G594" s="25">
        <v>1</v>
      </c>
      <c r="H594" s="25">
        <v>60</v>
      </c>
      <c r="I594" s="29">
        <v>0.2</v>
      </c>
      <c r="J594" s="30">
        <v>25</v>
      </c>
      <c r="K594" s="25">
        <v>0</v>
      </c>
      <c r="L594" s="25">
        <v>0</v>
      </c>
      <c r="M594" s="25">
        <v>70</v>
      </c>
      <c r="N594" s="25">
        <v>140</v>
      </c>
      <c r="O594" s="25">
        <v>0</v>
      </c>
      <c r="P594" s="25">
        <v>0</v>
      </c>
      <c r="Q594" s="25">
        <v>0</v>
      </c>
      <c r="R594" s="25">
        <v>0</v>
      </c>
      <c r="S594" s="25">
        <v>160</v>
      </c>
      <c r="T594" s="25">
        <v>320</v>
      </c>
      <c r="U594" s="29">
        <v>0</v>
      </c>
      <c r="V594" s="25">
        <v>0</v>
      </c>
      <c r="W594" s="25">
        <v>0</v>
      </c>
      <c r="X594" s="25">
        <v>0</v>
      </c>
      <c r="Y594" s="29">
        <v>0</v>
      </c>
      <c r="Z594" s="29">
        <v>0</v>
      </c>
      <c r="AA594" s="29">
        <v>0</v>
      </c>
      <c r="AB594" s="29">
        <v>202303</v>
      </c>
      <c r="AC594" s="29">
        <v>100</v>
      </c>
      <c r="AD594" s="29">
        <v>1</v>
      </c>
      <c r="AE594" s="29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  <c r="HJ594" s="5"/>
      <c r="HK594" s="5"/>
      <c r="HL594" s="5"/>
      <c r="HM594" s="5"/>
      <c r="HN594" s="5"/>
      <c r="HO594" s="5"/>
      <c r="HP594" s="5"/>
    </row>
    <row r="595" spans="3:224" ht="20.100000000000001" customHeight="1">
      <c r="C595" s="24">
        <v>15603001</v>
      </c>
      <c r="D595" s="25" t="s">
        <v>542</v>
      </c>
      <c r="E595" s="25">
        <v>11200003</v>
      </c>
      <c r="F595" s="25">
        <v>16011</v>
      </c>
      <c r="G595" s="25">
        <v>1</v>
      </c>
      <c r="H595" s="25">
        <v>60</v>
      </c>
      <c r="I595" s="29">
        <v>0.2</v>
      </c>
      <c r="J595" s="30">
        <v>25</v>
      </c>
      <c r="K595" s="25">
        <v>0</v>
      </c>
      <c r="L595" s="25">
        <v>3020</v>
      </c>
      <c r="M595" s="25">
        <v>50</v>
      </c>
      <c r="N595" s="25">
        <v>100</v>
      </c>
      <c r="O595" s="25">
        <v>0</v>
      </c>
      <c r="P595" s="25">
        <v>0</v>
      </c>
      <c r="Q595" s="25">
        <v>90</v>
      </c>
      <c r="R595" s="25">
        <v>170</v>
      </c>
      <c r="S595" s="25">
        <v>0</v>
      </c>
      <c r="T595" s="25">
        <v>0</v>
      </c>
      <c r="U595" s="29">
        <v>0</v>
      </c>
      <c r="V595" s="25">
        <v>0</v>
      </c>
      <c r="W595" s="25">
        <v>0</v>
      </c>
      <c r="X595" s="25">
        <v>0</v>
      </c>
      <c r="Y595" s="29">
        <v>0</v>
      </c>
      <c r="Z595" s="29">
        <v>0</v>
      </c>
      <c r="AA595" s="29">
        <v>0</v>
      </c>
      <c r="AB595" s="29">
        <v>200403</v>
      </c>
      <c r="AC595" s="29">
        <v>100</v>
      </c>
      <c r="AD595" s="29">
        <v>1</v>
      </c>
      <c r="AE595" s="29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  <c r="HF595" s="5"/>
      <c r="HG595" s="5"/>
      <c r="HH595" s="5"/>
      <c r="HI595" s="5"/>
      <c r="HJ595" s="5"/>
      <c r="HK595" s="5"/>
      <c r="HL595" s="5"/>
      <c r="HM595" s="5"/>
      <c r="HN595" s="5"/>
      <c r="HO595" s="5"/>
      <c r="HP595" s="5"/>
    </row>
    <row r="596" spans="3:224" ht="20.100000000000001" customHeight="1">
      <c r="C596" s="24">
        <v>15603002</v>
      </c>
      <c r="D596" s="25" t="s">
        <v>544</v>
      </c>
      <c r="E596" s="25">
        <v>11200003</v>
      </c>
      <c r="F596" s="25">
        <v>16021</v>
      </c>
      <c r="G596" s="25">
        <v>1</v>
      </c>
      <c r="H596" s="25">
        <v>60</v>
      </c>
      <c r="I596" s="29">
        <v>0.2</v>
      </c>
      <c r="J596" s="30">
        <v>25</v>
      </c>
      <c r="K596" s="25">
        <v>0</v>
      </c>
      <c r="L596" s="25">
        <v>1510</v>
      </c>
      <c r="M596" s="25">
        <v>70</v>
      </c>
      <c r="N596" s="25">
        <v>140</v>
      </c>
      <c r="O596" s="25">
        <v>0</v>
      </c>
      <c r="P596" s="25">
        <v>0</v>
      </c>
      <c r="Q596" s="25">
        <v>60</v>
      </c>
      <c r="R596" s="25">
        <v>130</v>
      </c>
      <c r="S596" s="25">
        <v>0</v>
      </c>
      <c r="T596" s="25">
        <v>0</v>
      </c>
      <c r="U596" s="29">
        <v>0</v>
      </c>
      <c r="V596" s="25">
        <v>0</v>
      </c>
      <c r="W596" s="25">
        <v>0</v>
      </c>
      <c r="X596" s="25">
        <v>0</v>
      </c>
      <c r="Y596" s="29">
        <v>0</v>
      </c>
      <c r="Z596" s="29">
        <v>0</v>
      </c>
      <c r="AA596" s="29">
        <v>0</v>
      </c>
      <c r="AB596" s="29">
        <v>200403</v>
      </c>
      <c r="AC596" s="29">
        <v>100</v>
      </c>
      <c r="AD596" s="29">
        <v>1</v>
      </c>
      <c r="AE596" s="29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  <c r="HF596" s="5"/>
      <c r="HG596" s="5"/>
      <c r="HH596" s="5"/>
      <c r="HI596" s="5"/>
      <c r="HJ596" s="5"/>
      <c r="HK596" s="5"/>
      <c r="HL596" s="5"/>
      <c r="HM596" s="5"/>
      <c r="HN596" s="5"/>
      <c r="HO596" s="5"/>
      <c r="HP596" s="5"/>
    </row>
    <row r="597" spans="3:224" ht="20.100000000000001" customHeight="1">
      <c r="C597" s="24">
        <v>15603003</v>
      </c>
      <c r="D597" s="25" t="s">
        <v>546</v>
      </c>
      <c r="E597" s="25">
        <v>11200003</v>
      </c>
      <c r="F597" s="25">
        <v>16031</v>
      </c>
      <c r="G597" s="25">
        <v>1</v>
      </c>
      <c r="H597" s="25">
        <v>60</v>
      </c>
      <c r="I597" s="29">
        <v>0.2</v>
      </c>
      <c r="J597" s="30">
        <v>25</v>
      </c>
      <c r="K597" s="25">
        <v>0</v>
      </c>
      <c r="L597" s="25">
        <v>4540</v>
      </c>
      <c r="M597" s="25">
        <v>40</v>
      </c>
      <c r="N597" s="25">
        <v>80</v>
      </c>
      <c r="O597" s="25">
        <v>0</v>
      </c>
      <c r="P597" s="25">
        <v>0</v>
      </c>
      <c r="Q597" s="25">
        <v>110</v>
      </c>
      <c r="R597" s="25">
        <v>220</v>
      </c>
      <c r="S597" s="25">
        <v>0</v>
      </c>
      <c r="T597" s="25">
        <v>0</v>
      </c>
      <c r="U597" s="29">
        <v>0</v>
      </c>
      <c r="V597" s="25">
        <v>0</v>
      </c>
      <c r="W597" s="25">
        <v>0</v>
      </c>
      <c r="X597" s="25">
        <v>0</v>
      </c>
      <c r="Y597" s="29">
        <v>0</v>
      </c>
      <c r="Z597" s="29">
        <v>0</v>
      </c>
      <c r="AA597" s="29">
        <v>0</v>
      </c>
      <c r="AB597" s="29">
        <v>200403</v>
      </c>
      <c r="AC597" s="29">
        <v>100</v>
      </c>
      <c r="AD597" s="29">
        <v>1</v>
      </c>
      <c r="AE597" s="29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  <c r="HJ597" s="5"/>
      <c r="HK597" s="5"/>
      <c r="HL597" s="5"/>
      <c r="HM597" s="5"/>
      <c r="HN597" s="5"/>
      <c r="HO597" s="5"/>
      <c r="HP597" s="5"/>
    </row>
    <row r="598" spans="3:224" ht="20.100000000000001" customHeight="1">
      <c r="C598" s="24">
        <v>15604001</v>
      </c>
      <c r="D598" s="25" t="s">
        <v>549</v>
      </c>
      <c r="E598" s="25">
        <v>11200003</v>
      </c>
      <c r="F598" s="25">
        <v>16011</v>
      </c>
      <c r="G598" s="25">
        <v>1</v>
      </c>
      <c r="H598" s="25">
        <v>60</v>
      </c>
      <c r="I598" s="29">
        <v>0.2</v>
      </c>
      <c r="J598" s="30">
        <v>25</v>
      </c>
      <c r="K598" s="25">
        <v>0</v>
      </c>
      <c r="L598" s="25">
        <v>0</v>
      </c>
      <c r="M598" s="25">
        <v>80</v>
      </c>
      <c r="N598" s="25">
        <v>160</v>
      </c>
      <c r="O598" s="25">
        <v>0</v>
      </c>
      <c r="P598" s="25">
        <v>0</v>
      </c>
      <c r="Q598" s="25">
        <v>90</v>
      </c>
      <c r="R598" s="25">
        <v>170</v>
      </c>
      <c r="S598" s="25">
        <v>90</v>
      </c>
      <c r="T598" s="25">
        <v>170</v>
      </c>
      <c r="U598" s="29">
        <v>0</v>
      </c>
      <c r="V598" s="25">
        <v>0</v>
      </c>
      <c r="W598" s="25">
        <v>0</v>
      </c>
      <c r="X598" s="25">
        <v>0</v>
      </c>
      <c r="Y598" s="29">
        <v>0</v>
      </c>
      <c r="Z598" s="29">
        <v>0</v>
      </c>
      <c r="AA598" s="29">
        <v>0</v>
      </c>
      <c r="AB598" s="29">
        <v>202203</v>
      </c>
      <c r="AC598" s="29">
        <v>100</v>
      </c>
      <c r="AD598" s="29">
        <v>1</v>
      </c>
      <c r="AE598" s="29"/>
      <c r="GR598" s="5"/>
      <c r="GS598" s="5"/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  <c r="HF598" s="5"/>
      <c r="HG598" s="5"/>
      <c r="HH598" s="5"/>
      <c r="HI598" s="5"/>
      <c r="HJ598" s="5"/>
      <c r="HK598" s="5"/>
      <c r="HL598" s="5"/>
      <c r="HM598" s="5"/>
      <c r="HN598" s="5"/>
      <c r="HO598" s="5"/>
      <c r="HP598" s="5"/>
    </row>
    <row r="599" spans="3:224" ht="20.100000000000001" customHeight="1">
      <c r="C599" s="24">
        <v>15604002</v>
      </c>
      <c r="D599" s="25" t="s">
        <v>551</v>
      </c>
      <c r="E599" s="25">
        <v>11200003</v>
      </c>
      <c r="F599" s="25">
        <v>16021</v>
      </c>
      <c r="G599" s="25">
        <v>1</v>
      </c>
      <c r="H599" s="25">
        <v>60</v>
      </c>
      <c r="I599" s="29">
        <v>0.2</v>
      </c>
      <c r="J599" s="30">
        <v>25</v>
      </c>
      <c r="K599" s="25">
        <v>0</v>
      </c>
      <c r="L599" s="25">
        <v>0</v>
      </c>
      <c r="M599" s="25">
        <v>110</v>
      </c>
      <c r="N599" s="25">
        <v>210</v>
      </c>
      <c r="O599" s="25">
        <v>0</v>
      </c>
      <c r="P599" s="25">
        <v>0</v>
      </c>
      <c r="Q599" s="25">
        <v>60</v>
      </c>
      <c r="R599" s="25">
        <v>130</v>
      </c>
      <c r="S599" s="25">
        <v>60</v>
      </c>
      <c r="T599" s="25">
        <v>130</v>
      </c>
      <c r="U599" s="29">
        <v>0</v>
      </c>
      <c r="V599" s="25">
        <v>0</v>
      </c>
      <c r="W599" s="25">
        <v>0</v>
      </c>
      <c r="X599" s="25">
        <v>0</v>
      </c>
      <c r="Y599" s="29">
        <v>0</v>
      </c>
      <c r="Z599" s="29">
        <v>0</v>
      </c>
      <c r="AA599" s="29">
        <v>0</v>
      </c>
      <c r="AB599" s="29">
        <v>202303</v>
      </c>
      <c r="AC599" s="29">
        <v>100</v>
      </c>
      <c r="AD599" s="29">
        <v>1</v>
      </c>
      <c r="AE599" s="29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5"/>
      <c r="HG599" s="5"/>
      <c r="HH599" s="5"/>
      <c r="HI599" s="5"/>
      <c r="HJ599" s="5"/>
      <c r="HK599" s="5"/>
      <c r="HL599" s="5"/>
      <c r="HM599" s="5"/>
      <c r="HN599" s="5"/>
      <c r="HO599" s="5"/>
      <c r="HP599" s="5"/>
    </row>
    <row r="600" spans="3:224" ht="20.100000000000001" customHeight="1">
      <c r="C600" s="24">
        <v>15604003</v>
      </c>
      <c r="D600" s="25" t="s">
        <v>553</v>
      </c>
      <c r="E600" s="25">
        <v>11200003</v>
      </c>
      <c r="F600" s="25">
        <v>16031</v>
      </c>
      <c r="G600" s="25">
        <v>1</v>
      </c>
      <c r="H600" s="25">
        <v>60</v>
      </c>
      <c r="I600" s="29">
        <v>0.2</v>
      </c>
      <c r="J600" s="30">
        <v>25</v>
      </c>
      <c r="K600" s="25">
        <v>0</v>
      </c>
      <c r="L600" s="25">
        <v>0</v>
      </c>
      <c r="M600" s="25">
        <v>60</v>
      </c>
      <c r="N600" s="25">
        <v>120</v>
      </c>
      <c r="O600" s="25">
        <v>0</v>
      </c>
      <c r="P600" s="25">
        <v>0</v>
      </c>
      <c r="Q600" s="25">
        <v>110</v>
      </c>
      <c r="R600" s="25">
        <v>220</v>
      </c>
      <c r="S600" s="25">
        <v>110</v>
      </c>
      <c r="T600" s="25">
        <v>220</v>
      </c>
      <c r="U600" s="29">
        <v>0</v>
      </c>
      <c r="V600" s="25">
        <v>0</v>
      </c>
      <c r="W600" s="25">
        <v>0</v>
      </c>
      <c r="X600" s="25">
        <v>0</v>
      </c>
      <c r="Y600" s="29">
        <v>0</v>
      </c>
      <c r="Z600" s="29">
        <v>0</v>
      </c>
      <c r="AA600" s="29">
        <v>0</v>
      </c>
      <c r="AB600" s="29">
        <v>202203</v>
      </c>
      <c r="AC600" s="29">
        <v>100</v>
      </c>
      <c r="AD600" s="29">
        <v>1</v>
      </c>
      <c r="AE600" s="29"/>
      <c r="GR600" s="5"/>
      <c r="GS600" s="5"/>
      <c r="GT600" s="5"/>
      <c r="GU600" s="5"/>
      <c r="GV600" s="5"/>
      <c r="GW600" s="5"/>
      <c r="GX600" s="5"/>
      <c r="GY600" s="5"/>
      <c r="GZ600" s="5"/>
      <c r="HA600" s="5"/>
      <c r="HB600" s="5"/>
      <c r="HC600" s="5"/>
      <c r="HD600" s="5"/>
      <c r="HE600" s="5"/>
      <c r="HF600" s="5"/>
      <c r="HG600" s="5"/>
      <c r="HH600" s="5"/>
      <c r="HI600" s="5"/>
      <c r="HJ600" s="5"/>
      <c r="HK600" s="5"/>
      <c r="HL600" s="5"/>
      <c r="HM600" s="5"/>
      <c r="HN600" s="5"/>
      <c r="HO600" s="5"/>
      <c r="HP600" s="5"/>
    </row>
    <row r="601" spans="3:224" ht="20.100000000000001" customHeight="1">
      <c r="C601" s="24">
        <v>15605001</v>
      </c>
      <c r="D601" s="25" t="s">
        <v>555</v>
      </c>
      <c r="E601" s="25">
        <v>11200003</v>
      </c>
      <c r="F601" s="25">
        <v>16011</v>
      </c>
      <c r="G601" s="25">
        <v>1</v>
      </c>
      <c r="H601" s="25">
        <v>60</v>
      </c>
      <c r="I601" s="29">
        <v>0.2</v>
      </c>
      <c r="J601" s="30">
        <v>25</v>
      </c>
      <c r="K601" s="25">
        <v>0</v>
      </c>
      <c r="L601" s="25">
        <v>7560</v>
      </c>
      <c r="M601" s="25">
        <v>110</v>
      </c>
      <c r="N601" s="25">
        <v>220</v>
      </c>
      <c r="O601" s="25">
        <v>0</v>
      </c>
      <c r="P601" s="25">
        <v>0</v>
      </c>
      <c r="Q601" s="25">
        <v>40</v>
      </c>
      <c r="R601" s="25">
        <v>90</v>
      </c>
      <c r="S601" s="25">
        <v>0</v>
      </c>
      <c r="T601" s="25">
        <v>0</v>
      </c>
      <c r="U601" s="29">
        <v>0</v>
      </c>
      <c r="V601" s="25">
        <v>0</v>
      </c>
      <c r="W601" s="25">
        <v>0</v>
      </c>
      <c r="X601" s="25">
        <v>0</v>
      </c>
      <c r="Y601" s="29">
        <v>0</v>
      </c>
      <c r="Z601" s="29">
        <v>0</v>
      </c>
      <c r="AA601" s="29">
        <v>0</v>
      </c>
      <c r="AB601" s="29">
        <v>200103</v>
      </c>
      <c r="AC601" s="29">
        <v>100</v>
      </c>
      <c r="AD601" s="29">
        <v>1</v>
      </c>
      <c r="AE601" s="29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  <c r="HF601" s="5"/>
      <c r="HG601" s="5"/>
      <c r="HH601" s="5"/>
      <c r="HI601" s="5"/>
      <c r="HJ601" s="5"/>
      <c r="HK601" s="5"/>
      <c r="HL601" s="5"/>
      <c r="HM601" s="5"/>
      <c r="HN601" s="5"/>
      <c r="HO601" s="5"/>
      <c r="HP601" s="5"/>
    </row>
    <row r="602" spans="3:224" ht="20.100000000000001" customHeight="1">
      <c r="C602" s="24">
        <v>15605002</v>
      </c>
      <c r="D602" s="25" t="s">
        <v>557</v>
      </c>
      <c r="E602" s="25">
        <v>11200003</v>
      </c>
      <c r="F602" s="25">
        <v>16021</v>
      </c>
      <c r="G602" s="25">
        <v>1</v>
      </c>
      <c r="H602" s="25">
        <v>60</v>
      </c>
      <c r="I602" s="29">
        <v>0.2</v>
      </c>
      <c r="J602" s="30">
        <v>25</v>
      </c>
      <c r="K602" s="25">
        <v>0</v>
      </c>
      <c r="L602" s="25">
        <v>3780</v>
      </c>
      <c r="M602" s="25">
        <v>150</v>
      </c>
      <c r="N602" s="25">
        <v>290</v>
      </c>
      <c r="O602" s="25">
        <v>0</v>
      </c>
      <c r="P602" s="25">
        <v>0</v>
      </c>
      <c r="Q602" s="25">
        <v>30</v>
      </c>
      <c r="R602" s="25">
        <v>60</v>
      </c>
      <c r="S602" s="25">
        <v>0</v>
      </c>
      <c r="T602" s="25">
        <v>0</v>
      </c>
      <c r="U602" s="29">
        <v>0</v>
      </c>
      <c r="V602" s="25">
        <v>0</v>
      </c>
      <c r="W602" s="25">
        <v>0</v>
      </c>
      <c r="X602" s="25">
        <v>0</v>
      </c>
      <c r="Y602" s="29">
        <v>0</v>
      </c>
      <c r="Z602" s="29">
        <v>0</v>
      </c>
      <c r="AA602" s="29">
        <v>0</v>
      </c>
      <c r="AB602" s="29">
        <v>200103</v>
      </c>
      <c r="AC602" s="29">
        <v>100</v>
      </c>
      <c r="AD602" s="29">
        <v>1</v>
      </c>
      <c r="AE602" s="29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  <c r="HF602" s="5"/>
      <c r="HG602" s="5"/>
      <c r="HH602" s="5"/>
      <c r="HI602" s="5"/>
      <c r="HJ602" s="5"/>
      <c r="HK602" s="5"/>
      <c r="HL602" s="5"/>
      <c r="HM602" s="5"/>
      <c r="HN602" s="5"/>
      <c r="HO602" s="5"/>
      <c r="HP602" s="5"/>
    </row>
    <row r="603" spans="3:224" ht="20.100000000000001" customHeight="1">
      <c r="C603" s="24">
        <v>15605003</v>
      </c>
      <c r="D603" s="25" t="s">
        <v>559</v>
      </c>
      <c r="E603" s="25">
        <v>11200003</v>
      </c>
      <c r="F603" s="25">
        <v>16031</v>
      </c>
      <c r="G603" s="25">
        <v>1</v>
      </c>
      <c r="H603" s="25">
        <v>60</v>
      </c>
      <c r="I603" s="29">
        <v>0.2</v>
      </c>
      <c r="J603" s="30">
        <v>25</v>
      </c>
      <c r="K603" s="25">
        <v>0</v>
      </c>
      <c r="L603" s="25">
        <v>11340</v>
      </c>
      <c r="M603" s="25">
        <v>80</v>
      </c>
      <c r="N603" s="25">
        <v>160</v>
      </c>
      <c r="O603" s="25">
        <v>0</v>
      </c>
      <c r="P603" s="25">
        <v>0</v>
      </c>
      <c r="Q603" s="25">
        <v>50</v>
      </c>
      <c r="R603" s="25">
        <v>110</v>
      </c>
      <c r="S603" s="25">
        <v>0</v>
      </c>
      <c r="T603" s="25">
        <v>0</v>
      </c>
      <c r="U603" s="29">
        <v>0</v>
      </c>
      <c r="V603" s="25">
        <v>0</v>
      </c>
      <c r="W603" s="25">
        <v>0</v>
      </c>
      <c r="X603" s="25">
        <v>0</v>
      </c>
      <c r="Y603" s="29">
        <v>0</v>
      </c>
      <c r="Z603" s="29">
        <v>0</v>
      </c>
      <c r="AA603" s="29">
        <v>0</v>
      </c>
      <c r="AB603" s="29">
        <v>200103</v>
      </c>
      <c r="AC603" s="29">
        <v>100</v>
      </c>
      <c r="AD603" s="29">
        <v>1</v>
      </c>
      <c r="AE603" s="29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  <c r="HF603" s="5"/>
      <c r="HG603" s="5"/>
      <c r="HH603" s="5"/>
      <c r="HI603" s="5"/>
      <c r="HJ603" s="5"/>
      <c r="HK603" s="5"/>
      <c r="HL603" s="5"/>
      <c r="HM603" s="5"/>
      <c r="HN603" s="5"/>
      <c r="HO603" s="5"/>
      <c r="HP603" s="5"/>
    </row>
    <row r="604" spans="3:224" ht="20.100000000000001" customHeight="1">
      <c r="C604" s="24">
        <v>15606001</v>
      </c>
      <c r="D604" s="25" t="s">
        <v>561</v>
      </c>
      <c r="E604" s="25">
        <v>11200002</v>
      </c>
      <c r="F604" s="25">
        <v>16051</v>
      </c>
      <c r="G604" s="25">
        <v>1</v>
      </c>
      <c r="H604" s="25">
        <v>60</v>
      </c>
      <c r="I604" s="29">
        <v>0.2</v>
      </c>
      <c r="J604" s="30">
        <v>25</v>
      </c>
      <c r="K604" s="25">
        <v>0</v>
      </c>
      <c r="L604" s="25">
        <v>0</v>
      </c>
      <c r="M604" s="25">
        <v>220</v>
      </c>
      <c r="N604" s="25">
        <v>430</v>
      </c>
      <c r="O604" s="25">
        <v>0</v>
      </c>
      <c r="P604" s="25">
        <v>0</v>
      </c>
      <c r="Q604" s="25">
        <v>60</v>
      </c>
      <c r="R604" s="25">
        <v>130</v>
      </c>
      <c r="S604" s="25">
        <v>0</v>
      </c>
      <c r="T604" s="25">
        <v>0</v>
      </c>
      <c r="U604" s="29">
        <v>0</v>
      </c>
      <c r="V604" s="25">
        <v>0</v>
      </c>
      <c r="W604" s="25">
        <v>0</v>
      </c>
      <c r="X604" s="25">
        <v>0</v>
      </c>
      <c r="Y604" s="29">
        <v>0</v>
      </c>
      <c r="Z604" s="29">
        <v>0</v>
      </c>
      <c r="AA604" s="29">
        <v>0</v>
      </c>
      <c r="AB604" s="29">
        <v>100402</v>
      </c>
      <c r="AC604" s="29">
        <v>100</v>
      </c>
      <c r="AD604" s="29">
        <v>1</v>
      </c>
      <c r="AE604" s="29"/>
      <c r="GR604" s="5"/>
      <c r="GS604" s="5"/>
      <c r="GT604" s="5"/>
      <c r="GU604" s="5"/>
      <c r="GV604" s="5"/>
      <c r="GW604" s="5"/>
      <c r="GX604" s="5"/>
      <c r="GY604" s="5"/>
      <c r="GZ604" s="5"/>
      <c r="HA604" s="5"/>
      <c r="HB604" s="5"/>
      <c r="HC604" s="5"/>
      <c r="HD604" s="5"/>
      <c r="HE604" s="5"/>
      <c r="HF604" s="5"/>
      <c r="HG604" s="5"/>
      <c r="HH604" s="5"/>
      <c r="HI604" s="5"/>
      <c r="HJ604" s="5"/>
      <c r="HK604" s="5"/>
      <c r="HL604" s="5"/>
      <c r="HM604" s="5"/>
      <c r="HN604" s="5"/>
      <c r="HO604" s="5"/>
      <c r="HP604" s="5"/>
    </row>
    <row r="605" spans="3:224" ht="20.100000000000001" customHeight="1">
      <c r="C605" s="24">
        <v>15607001</v>
      </c>
      <c r="D605" s="25" t="s">
        <v>564</v>
      </c>
      <c r="E605" s="25">
        <v>11200002</v>
      </c>
      <c r="F605" s="25">
        <v>0</v>
      </c>
      <c r="G605" s="25">
        <v>1</v>
      </c>
      <c r="H605" s="25">
        <v>60</v>
      </c>
      <c r="I605" s="29">
        <v>0.2</v>
      </c>
      <c r="J605" s="30">
        <v>25</v>
      </c>
      <c r="K605" s="25">
        <v>0</v>
      </c>
      <c r="L605" s="25">
        <v>0</v>
      </c>
      <c r="M605" s="25">
        <v>220</v>
      </c>
      <c r="N605" s="25">
        <v>430</v>
      </c>
      <c r="O605" s="25">
        <v>0</v>
      </c>
      <c r="P605" s="25">
        <v>0</v>
      </c>
      <c r="Q605" s="25">
        <v>0</v>
      </c>
      <c r="R605" s="25">
        <v>0</v>
      </c>
      <c r="S605" s="25">
        <v>60</v>
      </c>
      <c r="T605" s="25">
        <v>130</v>
      </c>
      <c r="U605" s="29">
        <v>0</v>
      </c>
      <c r="V605" s="25">
        <v>0</v>
      </c>
      <c r="W605" s="25">
        <v>0</v>
      </c>
      <c r="X605" s="25">
        <v>0</v>
      </c>
      <c r="Y605" s="29">
        <v>0</v>
      </c>
      <c r="Z605" s="29">
        <v>0</v>
      </c>
      <c r="AA605" s="29">
        <v>0</v>
      </c>
      <c r="AB605" s="29">
        <v>200203</v>
      </c>
      <c r="AC605" s="29">
        <v>100</v>
      </c>
      <c r="AD605" s="29">
        <v>1</v>
      </c>
      <c r="AE605" s="29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  <c r="HF605" s="5"/>
      <c r="HG605" s="5"/>
      <c r="HH605" s="5"/>
      <c r="HI605" s="5"/>
      <c r="HJ605" s="5"/>
      <c r="HK605" s="5"/>
      <c r="HL605" s="5"/>
      <c r="HM605" s="5"/>
      <c r="HN605" s="5"/>
      <c r="HO605" s="5"/>
      <c r="HP605" s="5"/>
    </row>
    <row r="606" spans="3:224" ht="20.100000000000001" customHeight="1">
      <c r="C606" s="24">
        <v>15608001</v>
      </c>
      <c r="D606" s="25" t="s">
        <v>566</v>
      </c>
      <c r="E606" s="25">
        <v>11200002</v>
      </c>
      <c r="F606" s="25">
        <v>0</v>
      </c>
      <c r="G606" s="25">
        <v>1</v>
      </c>
      <c r="H606" s="25">
        <v>60</v>
      </c>
      <c r="I606" s="29">
        <v>0.2</v>
      </c>
      <c r="J606" s="30">
        <v>25</v>
      </c>
      <c r="K606" s="25">
        <v>0</v>
      </c>
      <c r="L606" s="25">
        <v>0</v>
      </c>
      <c r="M606" s="25">
        <v>40</v>
      </c>
      <c r="N606" s="25">
        <v>100</v>
      </c>
      <c r="O606" s="25">
        <v>0</v>
      </c>
      <c r="P606" s="25">
        <v>0</v>
      </c>
      <c r="Q606" s="25">
        <v>0</v>
      </c>
      <c r="R606" s="25">
        <v>0</v>
      </c>
      <c r="S606" s="25">
        <v>0</v>
      </c>
      <c r="T606" s="25">
        <v>0</v>
      </c>
      <c r="U606" s="29">
        <v>0</v>
      </c>
      <c r="V606" s="25">
        <v>0</v>
      </c>
      <c r="W606" s="25">
        <v>0</v>
      </c>
      <c r="X606" s="25">
        <v>0</v>
      </c>
      <c r="Y606" s="29">
        <v>0</v>
      </c>
      <c r="Z606" s="29">
        <v>0</v>
      </c>
      <c r="AA606" s="29">
        <v>0</v>
      </c>
      <c r="AB606" s="29">
        <v>0</v>
      </c>
      <c r="AC606" s="29">
        <v>0</v>
      </c>
      <c r="AD606" s="29">
        <v>0</v>
      </c>
      <c r="AE606" s="29"/>
      <c r="GR606" s="5"/>
      <c r="GS606" s="5"/>
      <c r="GT606" s="5"/>
      <c r="GU606" s="5"/>
      <c r="GV606" s="5"/>
      <c r="GW606" s="5"/>
      <c r="GX606" s="5"/>
      <c r="GY606" s="5"/>
      <c r="GZ606" s="5"/>
      <c r="HA606" s="5"/>
      <c r="HB606" s="5"/>
      <c r="HC606" s="5"/>
      <c r="HD606" s="5"/>
      <c r="HE606" s="5"/>
      <c r="HF606" s="5"/>
      <c r="HG606" s="5"/>
      <c r="HH606" s="5"/>
      <c r="HI606" s="5"/>
      <c r="HJ606" s="5"/>
      <c r="HK606" s="5"/>
      <c r="HL606" s="5"/>
      <c r="HM606" s="5"/>
      <c r="HN606" s="5"/>
      <c r="HO606" s="5"/>
      <c r="HP606" s="5"/>
    </row>
    <row r="607" spans="3:224" ht="20.100000000000001" customHeight="1">
      <c r="C607" s="24">
        <v>15609001</v>
      </c>
      <c r="D607" s="25" t="s">
        <v>569</v>
      </c>
      <c r="E607" s="25">
        <v>11200001</v>
      </c>
      <c r="F607" s="25">
        <v>0</v>
      </c>
      <c r="G607" s="25">
        <v>1</v>
      </c>
      <c r="H607" s="25">
        <v>60</v>
      </c>
      <c r="I607" s="29">
        <v>0.2</v>
      </c>
      <c r="J607" s="30">
        <v>25</v>
      </c>
      <c r="K607" s="25">
        <v>0</v>
      </c>
      <c r="L607" s="25">
        <v>12100</v>
      </c>
      <c r="M607" s="25">
        <v>0</v>
      </c>
      <c r="N607" s="25">
        <v>0</v>
      </c>
      <c r="O607" s="25">
        <v>0</v>
      </c>
      <c r="P607" s="25">
        <v>0</v>
      </c>
      <c r="Q607" s="25">
        <v>0</v>
      </c>
      <c r="R607" s="25">
        <v>0</v>
      </c>
      <c r="S607" s="25">
        <v>0</v>
      </c>
      <c r="T607" s="25">
        <v>0</v>
      </c>
      <c r="U607" s="29">
        <v>0</v>
      </c>
      <c r="V607" s="25">
        <v>0</v>
      </c>
      <c r="W607" s="25">
        <v>0</v>
      </c>
      <c r="X607" s="25">
        <v>0</v>
      </c>
      <c r="Y607" s="29">
        <v>0</v>
      </c>
      <c r="Z607" s="29">
        <v>0</v>
      </c>
      <c r="AA607" s="29">
        <v>0</v>
      </c>
      <c r="AB607" s="29">
        <v>200303</v>
      </c>
      <c r="AC607" s="29">
        <v>100</v>
      </c>
      <c r="AD607" s="29">
        <v>1</v>
      </c>
      <c r="AE607" s="29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  <c r="HF607" s="5"/>
      <c r="HG607" s="5"/>
      <c r="HH607" s="5"/>
      <c r="HI607" s="5"/>
      <c r="HJ607" s="5"/>
      <c r="HK607" s="5"/>
      <c r="HL607" s="5"/>
      <c r="HM607" s="5"/>
      <c r="HN607" s="5"/>
      <c r="HO607" s="5"/>
      <c r="HP607" s="5"/>
    </row>
    <row r="608" spans="3:224" ht="20.100000000000001" customHeight="1">
      <c r="C608" s="24">
        <v>15610001</v>
      </c>
      <c r="D608" s="24" t="s">
        <v>572</v>
      </c>
      <c r="E608" s="25">
        <v>11200001</v>
      </c>
      <c r="F608" s="25">
        <v>16051</v>
      </c>
      <c r="G608" s="25">
        <v>1</v>
      </c>
      <c r="H608" s="25">
        <v>60</v>
      </c>
      <c r="I608" s="29">
        <v>0.2</v>
      </c>
      <c r="J608" s="30">
        <v>25</v>
      </c>
      <c r="K608" s="25">
        <v>0</v>
      </c>
      <c r="L608" s="25">
        <v>0</v>
      </c>
      <c r="M608" s="25">
        <v>600</v>
      </c>
      <c r="N608" s="25">
        <v>1320</v>
      </c>
      <c r="O608" s="25">
        <v>0</v>
      </c>
      <c r="P608" s="25">
        <v>0</v>
      </c>
      <c r="Q608" s="25">
        <v>0</v>
      </c>
      <c r="R608" s="25">
        <v>0</v>
      </c>
      <c r="S608" s="25">
        <v>0</v>
      </c>
      <c r="T608" s="25">
        <v>0</v>
      </c>
      <c r="U608" s="29">
        <v>0</v>
      </c>
      <c r="V608" s="25">
        <v>0</v>
      </c>
      <c r="W608" s="25">
        <v>0</v>
      </c>
      <c r="X608" s="25">
        <v>0</v>
      </c>
      <c r="Y608" s="29">
        <v>0</v>
      </c>
      <c r="Z608" s="29">
        <v>0</v>
      </c>
      <c r="AA608" s="29">
        <v>0</v>
      </c>
      <c r="AB608" s="29">
        <v>200903</v>
      </c>
      <c r="AC608" s="29">
        <v>100</v>
      </c>
      <c r="AD608" s="29">
        <v>1</v>
      </c>
      <c r="AE608" s="29"/>
      <c r="GR608" s="5"/>
      <c r="GS608" s="5"/>
      <c r="GT608" s="5"/>
      <c r="GU608" s="5"/>
      <c r="GV608" s="5"/>
      <c r="GW608" s="5"/>
      <c r="GX608" s="5"/>
      <c r="GY608" s="5"/>
      <c r="GZ608" s="5"/>
      <c r="HA608" s="5"/>
      <c r="HB608" s="5"/>
      <c r="HC608" s="5"/>
      <c r="HD608" s="5"/>
      <c r="HE608" s="5"/>
      <c r="HF608" s="5"/>
      <c r="HG608" s="5"/>
      <c r="HH608" s="5"/>
      <c r="HI608" s="5"/>
      <c r="HJ608" s="5"/>
      <c r="HK608" s="5"/>
      <c r="HL608" s="5"/>
      <c r="HM608" s="5"/>
      <c r="HN608" s="5"/>
      <c r="HO608" s="5"/>
      <c r="HP608" s="5"/>
    </row>
    <row r="609" spans="3:224" ht="20.100000000000001" customHeight="1">
      <c r="C609" s="24">
        <v>15610002</v>
      </c>
      <c r="D609" s="24" t="s">
        <v>574</v>
      </c>
      <c r="E609" s="25">
        <v>11200001</v>
      </c>
      <c r="F609" s="25">
        <v>16051</v>
      </c>
      <c r="G609" s="25">
        <v>1</v>
      </c>
      <c r="H609" s="25">
        <v>60</v>
      </c>
      <c r="I609" s="29">
        <v>0.2</v>
      </c>
      <c r="J609" s="30">
        <v>25</v>
      </c>
      <c r="K609" s="25">
        <v>0</v>
      </c>
      <c r="L609" s="25">
        <v>0</v>
      </c>
      <c r="M609" s="25">
        <v>600</v>
      </c>
      <c r="N609" s="25">
        <v>1320</v>
      </c>
      <c r="O609" s="25">
        <v>0</v>
      </c>
      <c r="P609" s="25">
        <v>0</v>
      </c>
      <c r="Q609" s="25">
        <v>0</v>
      </c>
      <c r="R609" s="25">
        <v>0</v>
      </c>
      <c r="S609" s="25">
        <v>0</v>
      </c>
      <c r="T609" s="25">
        <v>0</v>
      </c>
      <c r="U609" s="29">
        <v>0</v>
      </c>
      <c r="V609" s="25">
        <v>0</v>
      </c>
      <c r="W609" s="25">
        <v>0</v>
      </c>
      <c r="X609" s="25">
        <v>0</v>
      </c>
      <c r="Y609" s="29">
        <v>0</v>
      </c>
      <c r="Z609" s="29">
        <v>0</v>
      </c>
      <c r="AA609" s="29">
        <v>0</v>
      </c>
      <c r="AB609" s="29">
        <v>200903</v>
      </c>
      <c r="AC609" s="29">
        <v>100</v>
      </c>
      <c r="AD609" s="29">
        <v>1</v>
      </c>
      <c r="AE609" s="29"/>
      <c r="GR609" s="5"/>
      <c r="GS609" s="5"/>
      <c r="GT609" s="5"/>
      <c r="GU609" s="5"/>
      <c r="GV609" s="5"/>
      <c r="GW609" s="5"/>
      <c r="GX609" s="5"/>
      <c r="GY609" s="5"/>
      <c r="GZ609" s="5"/>
      <c r="HA609" s="5"/>
      <c r="HB609" s="5"/>
      <c r="HC609" s="5"/>
      <c r="HD609" s="5"/>
      <c r="HE609" s="5"/>
      <c r="HF609" s="5"/>
      <c r="HG609" s="5"/>
      <c r="HH609" s="5"/>
      <c r="HI609" s="5"/>
      <c r="HJ609" s="5"/>
      <c r="HK609" s="5"/>
      <c r="HL609" s="5"/>
      <c r="HM609" s="5"/>
      <c r="HN609" s="5"/>
      <c r="HO609" s="5"/>
      <c r="HP609" s="5"/>
    </row>
    <row r="610" spans="3:224" ht="20.100000000000001" customHeight="1">
      <c r="C610" s="24">
        <v>15610201</v>
      </c>
      <c r="D610" s="60" t="s">
        <v>664</v>
      </c>
      <c r="E610" s="25">
        <v>11200001</v>
      </c>
      <c r="F610" s="25">
        <v>16051</v>
      </c>
      <c r="G610" s="25">
        <v>1</v>
      </c>
      <c r="H610" s="25">
        <v>60</v>
      </c>
      <c r="I610" s="29">
        <v>0.2</v>
      </c>
      <c r="J610" s="30">
        <v>25</v>
      </c>
      <c r="K610" s="25">
        <v>0</v>
      </c>
      <c r="L610" s="25">
        <v>0</v>
      </c>
      <c r="M610" s="25">
        <v>600</v>
      </c>
      <c r="N610" s="25">
        <v>1320</v>
      </c>
      <c r="O610" s="25">
        <v>0</v>
      </c>
      <c r="P610" s="25">
        <v>0</v>
      </c>
      <c r="Q610" s="25">
        <v>0</v>
      </c>
      <c r="R610" s="25">
        <v>0</v>
      </c>
      <c r="S610" s="25">
        <v>0</v>
      </c>
      <c r="T610" s="25">
        <v>0</v>
      </c>
      <c r="U610" s="29">
        <v>0</v>
      </c>
      <c r="V610" s="25">
        <v>0</v>
      </c>
      <c r="W610" s="25">
        <v>0</v>
      </c>
      <c r="X610" s="25">
        <v>0</v>
      </c>
      <c r="Y610" s="29">
        <v>0</v>
      </c>
      <c r="Z610" s="29">
        <v>0</v>
      </c>
      <c r="AA610" s="29">
        <v>0</v>
      </c>
      <c r="AB610" s="29">
        <v>200903</v>
      </c>
      <c r="AC610" s="29">
        <v>100</v>
      </c>
      <c r="AD610" s="29">
        <v>1</v>
      </c>
      <c r="AE610" s="29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5"/>
      <c r="HG610" s="5"/>
      <c r="HH610" s="5"/>
      <c r="HI610" s="5"/>
      <c r="HJ610" s="5"/>
      <c r="HK610" s="5"/>
      <c r="HL610" s="5"/>
      <c r="HM610" s="5"/>
      <c r="HN610" s="5"/>
      <c r="HO610" s="5"/>
      <c r="HP610" s="5"/>
    </row>
    <row r="611" spans="3:224" ht="20.100000000000001" customHeight="1">
      <c r="C611" s="24">
        <v>15611001</v>
      </c>
      <c r="D611" s="25" t="s">
        <v>580</v>
      </c>
      <c r="E611" s="25">
        <v>11200003</v>
      </c>
      <c r="F611" s="25">
        <v>16011</v>
      </c>
      <c r="G611" s="25">
        <v>1</v>
      </c>
      <c r="H611" s="25">
        <v>60</v>
      </c>
      <c r="I611" s="29">
        <v>0.2</v>
      </c>
      <c r="J611" s="30">
        <v>25</v>
      </c>
      <c r="K611" s="25">
        <v>0</v>
      </c>
      <c r="L611" s="25">
        <v>10370</v>
      </c>
      <c r="M611" s="25">
        <v>0</v>
      </c>
      <c r="N611" s="25">
        <v>0</v>
      </c>
      <c r="O611" s="25">
        <v>0</v>
      </c>
      <c r="P611" s="25">
        <v>0</v>
      </c>
      <c r="Q611" s="25">
        <v>110</v>
      </c>
      <c r="R611" s="25">
        <v>220</v>
      </c>
      <c r="S611" s="25">
        <v>110</v>
      </c>
      <c r="T611" s="25">
        <v>220</v>
      </c>
      <c r="U611" s="29">
        <v>0</v>
      </c>
      <c r="V611" s="25">
        <v>0</v>
      </c>
      <c r="W611" s="25">
        <v>0</v>
      </c>
      <c r="X611" s="25">
        <v>0</v>
      </c>
      <c r="Y611" s="29">
        <v>0</v>
      </c>
      <c r="Z611" s="29">
        <v>0</v>
      </c>
      <c r="AA611" s="29">
        <v>0</v>
      </c>
      <c r="AB611" s="29">
        <v>201003</v>
      </c>
      <c r="AC611" s="29">
        <v>100</v>
      </c>
      <c r="AD611" s="29">
        <v>1</v>
      </c>
      <c r="AE611" s="29"/>
      <c r="GR611" s="5"/>
      <c r="GS611" s="5"/>
      <c r="GT611" s="5"/>
      <c r="GU611" s="5"/>
      <c r="GV611" s="5"/>
      <c r="GW611" s="5"/>
      <c r="GX611" s="5"/>
      <c r="GY611" s="5"/>
      <c r="GZ611" s="5"/>
      <c r="HA611" s="5"/>
      <c r="HB611" s="5"/>
      <c r="HC611" s="5"/>
      <c r="HD611" s="5"/>
      <c r="HE611" s="5"/>
      <c r="HF611" s="5"/>
      <c r="HG611" s="5"/>
      <c r="HH611" s="5"/>
      <c r="HI611" s="5"/>
      <c r="HJ611" s="5"/>
      <c r="HK611" s="5"/>
      <c r="HL611" s="5"/>
      <c r="HM611" s="5"/>
      <c r="HN611" s="5"/>
      <c r="HO611" s="5"/>
      <c r="HP611" s="5"/>
    </row>
    <row r="612" spans="3:224" ht="20.100000000000001" customHeight="1">
      <c r="C612" s="24">
        <v>15611002</v>
      </c>
      <c r="D612" s="41" t="s">
        <v>663</v>
      </c>
      <c r="E612" s="25">
        <v>11200003</v>
      </c>
      <c r="F612" s="25">
        <v>16021</v>
      </c>
      <c r="G612" s="25">
        <v>1</v>
      </c>
      <c r="H612" s="25">
        <v>60</v>
      </c>
      <c r="I612" s="29">
        <v>0.2</v>
      </c>
      <c r="J612" s="30">
        <v>25</v>
      </c>
      <c r="K612" s="25">
        <v>0</v>
      </c>
      <c r="L612" s="25">
        <v>5180</v>
      </c>
      <c r="M612" s="25">
        <v>0</v>
      </c>
      <c r="N612" s="25">
        <v>0</v>
      </c>
      <c r="O612" s="25">
        <v>0</v>
      </c>
      <c r="P612" s="25">
        <v>0</v>
      </c>
      <c r="Q612" s="25">
        <v>80</v>
      </c>
      <c r="R612" s="25">
        <v>160</v>
      </c>
      <c r="S612" s="25">
        <v>80</v>
      </c>
      <c r="T612" s="25">
        <v>160</v>
      </c>
      <c r="U612" s="29">
        <v>0</v>
      </c>
      <c r="V612" s="25">
        <v>0</v>
      </c>
      <c r="W612" s="25">
        <v>0</v>
      </c>
      <c r="X612" s="25">
        <v>0</v>
      </c>
      <c r="Y612" s="29">
        <v>0</v>
      </c>
      <c r="Z612" s="29">
        <v>0</v>
      </c>
      <c r="AA612" s="29">
        <v>0</v>
      </c>
      <c r="AB612" s="29">
        <v>201003</v>
      </c>
      <c r="AC612" s="29">
        <v>100</v>
      </c>
      <c r="AD612" s="29">
        <v>1</v>
      </c>
      <c r="AE612" s="29"/>
      <c r="GR612" s="5"/>
      <c r="GS612" s="5"/>
      <c r="GT612" s="5"/>
      <c r="GU612" s="5"/>
      <c r="GV612" s="5"/>
      <c r="GW612" s="5"/>
      <c r="GX612" s="5"/>
      <c r="GY612" s="5"/>
      <c r="GZ612" s="5"/>
      <c r="HA612" s="5"/>
      <c r="HB612" s="5"/>
      <c r="HC612" s="5"/>
      <c r="HD612" s="5"/>
      <c r="HE612" s="5"/>
      <c r="HF612" s="5"/>
      <c r="HG612" s="5"/>
      <c r="HH612" s="5"/>
      <c r="HI612" s="5"/>
      <c r="HJ612" s="5"/>
      <c r="HK612" s="5"/>
      <c r="HL612" s="5"/>
      <c r="HM612" s="5"/>
      <c r="HN612" s="5"/>
      <c r="HO612" s="5"/>
      <c r="HP612" s="5"/>
    </row>
    <row r="613" spans="3:224" ht="20.100000000000001" customHeight="1">
      <c r="C613" s="24">
        <v>15611003</v>
      </c>
      <c r="D613" s="25" t="s">
        <v>584</v>
      </c>
      <c r="E613" s="25">
        <v>11200003</v>
      </c>
      <c r="F613" s="25">
        <v>16031</v>
      </c>
      <c r="G613" s="25">
        <v>1</v>
      </c>
      <c r="H613" s="25">
        <v>60</v>
      </c>
      <c r="I613" s="29">
        <v>0.2</v>
      </c>
      <c r="J613" s="30">
        <v>25</v>
      </c>
      <c r="K613" s="25">
        <v>0</v>
      </c>
      <c r="L613" s="25">
        <v>15550</v>
      </c>
      <c r="M613" s="25">
        <v>0</v>
      </c>
      <c r="N613" s="25">
        <v>0</v>
      </c>
      <c r="O613" s="25">
        <v>0</v>
      </c>
      <c r="P613" s="25">
        <v>0</v>
      </c>
      <c r="Q613" s="25">
        <v>140</v>
      </c>
      <c r="R613" s="25">
        <v>270</v>
      </c>
      <c r="S613" s="25">
        <v>140</v>
      </c>
      <c r="T613" s="25">
        <v>270</v>
      </c>
      <c r="U613" s="29">
        <v>0</v>
      </c>
      <c r="V613" s="25">
        <v>0</v>
      </c>
      <c r="W613" s="25">
        <v>0</v>
      </c>
      <c r="X613" s="25">
        <v>0</v>
      </c>
      <c r="Y613" s="29">
        <v>0</v>
      </c>
      <c r="Z613" s="29">
        <v>0</v>
      </c>
      <c r="AA613" s="29">
        <v>0</v>
      </c>
      <c r="AB613" s="29">
        <v>201003</v>
      </c>
      <c r="AC613" s="29">
        <v>100</v>
      </c>
      <c r="AD613" s="29">
        <v>1</v>
      </c>
      <c r="AE613" s="29"/>
      <c r="GR613" s="5"/>
      <c r="GS613" s="5"/>
      <c r="GT613" s="5"/>
      <c r="GU613" s="5"/>
      <c r="GV613" s="5"/>
      <c r="GW613" s="5"/>
      <c r="GX613" s="5"/>
      <c r="GY613" s="5"/>
      <c r="GZ613" s="5"/>
      <c r="HA613" s="5"/>
      <c r="HB613" s="5"/>
      <c r="HC613" s="5"/>
      <c r="HD613" s="5"/>
      <c r="HE613" s="5"/>
      <c r="HF613" s="5"/>
      <c r="HG613" s="5"/>
      <c r="HH613" s="5"/>
      <c r="HI613" s="5"/>
      <c r="HJ613" s="5"/>
      <c r="HK613" s="5"/>
      <c r="HL613" s="5"/>
      <c r="HM613" s="5"/>
      <c r="HN613" s="5"/>
      <c r="HO613" s="5"/>
      <c r="HP613" s="5"/>
    </row>
    <row r="614" spans="3:224" ht="20.100000000000001" customHeight="1">
      <c r="C614" s="24">
        <v>15701001</v>
      </c>
      <c r="D614" s="25" t="s">
        <v>530</v>
      </c>
      <c r="E614" s="25">
        <v>11200003</v>
      </c>
      <c r="F614" s="25">
        <v>17011</v>
      </c>
      <c r="G614" s="25">
        <v>1</v>
      </c>
      <c r="H614" s="25">
        <v>60</v>
      </c>
      <c r="I614" s="29">
        <v>0.2</v>
      </c>
      <c r="J614" s="30">
        <v>30</v>
      </c>
      <c r="K614" s="25">
        <v>0</v>
      </c>
      <c r="L614" s="25">
        <v>0</v>
      </c>
      <c r="M614" s="25">
        <v>106</v>
      </c>
      <c r="N614" s="25">
        <v>210</v>
      </c>
      <c r="O614" s="25">
        <v>0</v>
      </c>
      <c r="P614" s="25">
        <v>0</v>
      </c>
      <c r="Q614" s="25">
        <v>60</v>
      </c>
      <c r="R614" s="25">
        <v>136</v>
      </c>
      <c r="S614" s="25">
        <v>60</v>
      </c>
      <c r="T614" s="25">
        <v>136</v>
      </c>
      <c r="U614" s="29">
        <v>0</v>
      </c>
      <c r="V614" s="25">
        <v>0</v>
      </c>
      <c r="W614" s="25">
        <v>0</v>
      </c>
      <c r="X614" s="25">
        <v>0</v>
      </c>
      <c r="Y614" s="29">
        <v>0</v>
      </c>
      <c r="Z614" s="29">
        <v>0</v>
      </c>
      <c r="AA614" s="29">
        <v>0</v>
      </c>
      <c r="AB614" s="29">
        <v>200503</v>
      </c>
      <c r="AC614" s="29">
        <v>200</v>
      </c>
      <c r="AD614" s="29">
        <v>1</v>
      </c>
      <c r="AE614" s="29"/>
      <c r="GR614" s="5"/>
      <c r="GS614" s="5"/>
      <c r="GT614" s="5"/>
      <c r="GU614" s="5"/>
      <c r="GV614" s="5"/>
      <c r="GW614" s="5"/>
      <c r="GX614" s="5"/>
      <c r="GY614" s="5"/>
      <c r="GZ614" s="5"/>
      <c r="HA614" s="5"/>
      <c r="HB614" s="5"/>
      <c r="HC614" s="5"/>
      <c r="HD614" s="5"/>
      <c r="HE614" s="5"/>
      <c r="HF614" s="5"/>
      <c r="HG614" s="5"/>
      <c r="HH614" s="5"/>
      <c r="HI614" s="5"/>
      <c r="HJ614" s="5"/>
      <c r="HK614" s="5"/>
      <c r="HL614" s="5"/>
      <c r="HM614" s="5"/>
      <c r="HN614" s="5"/>
      <c r="HO614" s="5"/>
      <c r="HP614" s="5"/>
    </row>
    <row r="615" spans="3:224" ht="20.100000000000001" customHeight="1">
      <c r="C615" s="24">
        <v>15701002</v>
      </c>
      <c r="D615" s="25" t="s">
        <v>532</v>
      </c>
      <c r="E615" s="25">
        <v>11200003</v>
      </c>
      <c r="F615" s="25">
        <v>17021</v>
      </c>
      <c r="G615" s="25">
        <v>1</v>
      </c>
      <c r="H615" s="25">
        <v>60</v>
      </c>
      <c r="I615" s="29">
        <v>0.2</v>
      </c>
      <c r="J615" s="30">
        <v>30</v>
      </c>
      <c r="K615" s="25">
        <v>0</v>
      </c>
      <c r="L615" s="25">
        <v>0</v>
      </c>
      <c r="M615" s="25">
        <v>150</v>
      </c>
      <c r="N615" s="25">
        <v>286</v>
      </c>
      <c r="O615" s="25">
        <v>0</v>
      </c>
      <c r="P615" s="25">
        <v>0</v>
      </c>
      <c r="Q615" s="25">
        <v>46</v>
      </c>
      <c r="R615" s="25">
        <v>90</v>
      </c>
      <c r="S615" s="25">
        <v>46</v>
      </c>
      <c r="T615" s="25">
        <v>90</v>
      </c>
      <c r="U615" s="29">
        <v>0</v>
      </c>
      <c r="V615" s="25">
        <v>0</v>
      </c>
      <c r="W615" s="25">
        <v>0</v>
      </c>
      <c r="X615" s="25">
        <v>0</v>
      </c>
      <c r="Y615" s="29">
        <v>0</v>
      </c>
      <c r="Z615" s="29">
        <v>0</v>
      </c>
      <c r="AA615" s="29">
        <v>0</v>
      </c>
      <c r="AB615" s="29">
        <v>200603</v>
      </c>
      <c r="AC615" s="29">
        <v>200</v>
      </c>
      <c r="AD615" s="29">
        <v>1</v>
      </c>
      <c r="AE615" s="29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  <c r="HF615" s="5"/>
      <c r="HG615" s="5"/>
      <c r="HH615" s="5"/>
      <c r="HI615" s="5"/>
      <c r="HJ615" s="5"/>
      <c r="HK615" s="5"/>
      <c r="HL615" s="5"/>
      <c r="HM615" s="5"/>
      <c r="HN615" s="5"/>
      <c r="HO615" s="5"/>
      <c r="HP615" s="5"/>
    </row>
    <row r="616" spans="3:224" ht="20.100000000000001" customHeight="1">
      <c r="C616" s="24">
        <v>15701003</v>
      </c>
      <c r="D616" s="25" t="s">
        <v>534</v>
      </c>
      <c r="E616" s="25">
        <v>11200003</v>
      </c>
      <c r="F616" s="25">
        <v>17031</v>
      </c>
      <c r="G616" s="25">
        <v>1</v>
      </c>
      <c r="H616" s="25">
        <v>60</v>
      </c>
      <c r="I616" s="29">
        <v>0.2</v>
      </c>
      <c r="J616" s="30">
        <v>30</v>
      </c>
      <c r="K616" s="25">
        <v>0</v>
      </c>
      <c r="L616" s="25">
        <v>0</v>
      </c>
      <c r="M616" s="25">
        <v>76</v>
      </c>
      <c r="N616" s="25">
        <v>166</v>
      </c>
      <c r="O616" s="25">
        <v>0</v>
      </c>
      <c r="P616" s="25">
        <v>0</v>
      </c>
      <c r="Q616" s="25">
        <v>76</v>
      </c>
      <c r="R616" s="25">
        <v>166</v>
      </c>
      <c r="S616" s="25">
        <v>76</v>
      </c>
      <c r="T616" s="25">
        <v>166</v>
      </c>
      <c r="U616" s="29">
        <v>0</v>
      </c>
      <c r="V616" s="25">
        <v>0</v>
      </c>
      <c r="W616" s="25">
        <v>0</v>
      </c>
      <c r="X616" s="25">
        <v>0</v>
      </c>
      <c r="Y616" s="29">
        <v>0</v>
      </c>
      <c r="Z616" s="29">
        <v>0</v>
      </c>
      <c r="AA616" s="29">
        <v>0</v>
      </c>
      <c r="AB616" s="29">
        <v>200503</v>
      </c>
      <c r="AC616" s="29">
        <v>200</v>
      </c>
      <c r="AD616" s="29">
        <v>1</v>
      </c>
      <c r="AE616" s="29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  <c r="HF616" s="5"/>
      <c r="HG616" s="5"/>
      <c r="HH616" s="5"/>
      <c r="HI616" s="5"/>
      <c r="HJ616" s="5"/>
      <c r="HK616" s="5"/>
      <c r="HL616" s="5"/>
      <c r="HM616" s="5"/>
      <c r="HN616" s="5"/>
      <c r="HO616" s="5"/>
      <c r="HP616" s="5"/>
    </row>
    <row r="617" spans="3:224" ht="20.100000000000001" customHeight="1">
      <c r="C617" s="24">
        <v>15702001</v>
      </c>
      <c r="D617" s="25" t="s">
        <v>536</v>
      </c>
      <c r="E617" s="25">
        <v>11200003</v>
      </c>
      <c r="F617" s="25">
        <v>17011</v>
      </c>
      <c r="G617" s="25">
        <v>1</v>
      </c>
      <c r="H617" s="25">
        <v>60</v>
      </c>
      <c r="I617" s="29">
        <v>0.2</v>
      </c>
      <c r="J617" s="30">
        <v>30</v>
      </c>
      <c r="K617" s="25">
        <v>0</v>
      </c>
      <c r="L617" s="25">
        <v>0</v>
      </c>
      <c r="M617" s="25">
        <v>136</v>
      </c>
      <c r="N617" s="25">
        <v>286</v>
      </c>
      <c r="O617" s="25">
        <v>0</v>
      </c>
      <c r="P617" s="25">
        <v>0</v>
      </c>
      <c r="Q617" s="25">
        <v>0</v>
      </c>
      <c r="R617" s="25">
        <v>0</v>
      </c>
      <c r="S617" s="25">
        <v>196</v>
      </c>
      <c r="T617" s="25">
        <v>390</v>
      </c>
      <c r="U617" s="29">
        <v>0</v>
      </c>
      <c r="V617" s="25">
        <v>0</v>
      </c>
      <c r="W617" s="25">
        <v>0</v>
      </c>
      <c r="X617" s="25">
        <v>0</v>
      </c>
      <c r="Y617" s="29">
        <v>0</v>
      </c>
      <c r="Z617" s="29">
        <v>0</v>
      </c>
      <c r="AA617" s="29">
        <v>0</v>
      </c>
      <c r="AB617" s="29">
        <v>202303</v>
      </c>
      <c r="AC617" s="29">
        <v>200</v>
      </c>
      <c r="AD617" s="29">
        <v>1</v>
      </c>
      <c r="AE617" s="29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  <c r="HF617" s="5"/>
      <c r="HG617" s="5"/>
      <c r="HH617" s="5"/>
      <c r="HI617" s="5"/>
      <c r="HJ617" s="5"/>
      <c r="HK617" s="5"/>
      <c r="HL617" s="5"/>
      <c r="HM617" s="5"/>
      <c r="HN617" s="5"/>
      <c r="HO617" s="5"/>
      <c r="HP617" s="5"/>
    </row>
    <row r="618" spans="3:224" ht="20.100000000000001" customHeight="1">
      <c r="C618" s="24">
        <v>15702002</v>
      </c>
      <c r="D618" s="25" t="s">
        <v>538</v>
      </c>
      <c r="E618" s="25">
        <v>11200003</v>
      </c>
      <c r="F618" s="25">
        <v>17021</v>
      </c>
      <c r="G618" s="25">
        <v>1</v>
      </c>
      <c r="H618" s="25">
        <v>60</v>
      </c>
      <c r="I618" s="29">
        <v>0.2</v>
      </c>
      <c r="J618" s="30">
        <v>30</v>
      </c>
      <c r="K618" s="25">
        <v>0</v>
      </c>
      <c r="L618" s="25">
        <v>0</v>
      </c>
      <c r="M618" s="25">
        <v>196</v>
      </c>
      <c r="N618" s="25">
        <v>376</v>
      </c>
      <c r="O618" s="25">
        <v>0</v>
      </c>
      <c r="P618" s="25">
        <v>0</v>
      </c>
      <c r="Q618" s="25">
        <v>0</v>
      </c>
      <c r="R618" s="25">
        <v>0</v>
      </c>
      <c r="S618" s="25">
        <v>150</v>
      </c>
      <c r="T618" s="25">
        <v>286</v>
      </c>
      <c r="U618" s="29">
        <v>0</v>
      </c>
      <c r="V618" s="25">
        <v>0</v>
      </c>
      <c r="W618" s="25">
        <v>0</v>
      </c>
      <c r="X618" s="25">
        <v>0</v>
      </c>
      <c r="Y618" s="29">
        <v>0</v>
      </c>
      <c r="Z618" s="29">
        <v>0</v>
      </c>
      <c r="AA618" s="29">
        <v>0</v>
      </c>
      <c r="AB618" s="29">
        <v>202303</v>
      </c>
      <c r="AC618" s="29">
        <v>200</v>
      </c>
      <c r="AD618" s="29">
        <v>1</v>
      </c>
      <c r="AE618" s="29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  <c r="HJ618" s="5"/>
      <c r="HK618" s="5"/>
      <c r="HL618" s="5"/>
      <c r="HM618" s="5"/>
      <c r="HN618" s="5"/>
      <c r="HO618" s="5"/>
      <c r="HP618" s="5"/>
    </row>
    <row r="619" spans="3:224" ht="20.100000000000001" customHeight="1">
      <c r="C619" s="24">
        <v>15702003</v>
      </c>
      <c r="D619" s="25" t="s">
        <v>540</v>
      </c>
      <c r="E619" s="25">
        <v>11200003</v>
      </c>
      <c r="F619" s="25">
        <v>17031</v>
      </c>
      <c r="G619" s="25">
        <v>1</v>
      </c>
      <c r="H619" s="25">
        <v>60</v>
      </c>
      <c r="I619" s="29">
        <v>0.2</v>
      </c>
      <c r="J619" s="30">
        <v>30</v>
      </c>
      <c r="K619" s="25">
        <v>0</v>
      </c>
      <c r="L619" s="25">
        <v>0</v>
      </c>
      <c r="M619" s="25">
        <v>106</v>
      </c>
      <c r="N619" s="25">
        <v>210</v>
      </c>
      <c r="O619" s="25">
        <v>0</v>
      </c>
      <c r="P619" s="25">
        <v>0</v>
      </c>
      <c r="Q619" s="25">
        <v>0</v>
      </c>
      <c r="R619" s="25">
        <v>0</v>
      </c>
      <c r="S619" s="25">
        <v>240</v>
      </c>
      <c r="T619" s="25">
        <v>480</v>
      </c>
      <c r="U619" s="29">
        <v>0</v>
      </c>
      <c r="V619" s="25">
        <v>0</v>
      </c>
      <c r="W619" s="25">
        <v>0</v>
      </c>
      <c r="X619" s="25">
        <v>0</v>
      </c>
      <c r="Y619" s="29">
        <v>0</v>
      </c>
      <c r="Z619" s="29">
        <v>0</v>
      </c>
      <c r="AA619" s="29">
        <v>0</v>
      </c>
      <c r="AB619" s="29">
        <v>202303</v>
      </c>
      <c r="AC619" s="29">
        <v>200</v>
      </c>
      <c r="AD619" s="29">
        <v>1</v>
      </c>
      <c r="AE619" s="29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  <c r="HF619" s="5"/>
      <c r="HG619" s="5"/>
      <c r="HH619" s="5"/>
      <c r="HI619" s="5"/>
      <c r="HJ619" s="5"/>
      <c r="HK619" s="5"/>
      <c r="HL619" s="5"/>
      <c r="HM619" s="5"/>
      <c r="HN619" s="5"/>
      <c r="HO619" s="5"/>
      <c r="HP619" s="5"/>
    </row>
    <row r="620" spans="3:224" ht="20.100000000000001" customHeight="1">
      <c r="C620" s="24">
        <v>15703001</v>
      </c>
      <c r="D620" s="25" t="s">
        <v>542</v>
      </c>
      <c r="E620" s="25">
        <v>11200003</v>
      </c>
      <c r="F620" s="25">
        <v>17011</v>
      </c>
      <c r="G620" s="25">
        <v>1</v>
      </c>
      <c r="H620" s="25">
        <v>60</v>
      </c>
      <c r="I620" s="29">
        <v>0.2</v>
      </c>
      <c r="J620" s="30">
        <v>30</v>
      </c>
      <c r="K620" s="25">
        <v>0</v>
      </c>
      <c r="L620" s="25">
        <v>4530</v>
      </c>
      <c r="M620" s="25">
        <v>76</v>
      </c>
      <c r="N620" s="25">
        <v>150</v>
      </c>
      <c r="O620" s="25">
        <v>0</v>
      </c>
      <c r="P620" s="25">
        <v>0</v>
      </c>
      <c r="Q620" s="25">
        <v>136</v>
      </c>
      <c r="R620" s="25">
        <v>256</v>
      </c>
      <c r="S620" s="25">
        <v>0</v>
      </c>
      <c r="T620" s="25">
        <v>0</v>
      </c>
      <c r="U620" s="29">
        <v>0</v>
      </c>
      <c r="V620" s="25">
        <v>0</v>
      </c>
      <c r="W620" s="25">
        <v>0</v>
      </c>
      <c r="X620" s="25">
        <v>0</v>
      </c>
      <c r="Y620" s="29">
        <v>0</v>
      </c>
      <c r="Z620" s="29">
        <v>0</v>
      </c>
      <c r="AA620" s="29">
        <v>0</v>
      </c>
      <c r="AB620" s="29">
        <v>200403</v>
      </c>
      <c r="AC620" s="29">
        <v>200</v>
      </c>
      <c r="AD620" s="29">
        <v>1</v>
      </c>
      <c r="AE620" s="29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  <c r="HF620" s="5"/>
      <c r="HG620" s="5"/>
      <c r="HH620" s="5"/>
      <c r="HI620" s="5"/>
      <c r="HJ620" s="5"/>
      <c r="HK620" s="5"/>
      <c r="HL620" s="5"/>
      <c r="HM620" s="5"/>
      <c r="HN620" s="5"/>
      <c r="HO620" s="5"/>
      <c r="HP620" s="5"/>
    </row>
    <row r="621" spans="3:224" ht="20.100000000000001" customHeight="1">
      <c r="C621" s="24">
        <v>15703002</v>
      </c>
      <c r="D621" s="25" t="s">
        <v>544</v>
      </c>
      <c r="E621" s="25">
        <v>11200003</v>
      </c>
      <c r="F621" s="25">
        <v>17021</v>
      </c>
      <c r="G621" s="25">
        <v>1</v>
      </c>
      <c r="H621" s="25">
        <v>60</v>
      </c>
      <c r="I621" s="29">
        <v>0.2</v>
      </c>
      <c r="J621" s="30">
        <v>30</v>
      </c>
      <c r="K621" s="25">
        <v>0</v>
      </c>
      <c r="L621" s="25">
        <v>2270</v>
      </c>
      <c r="M621" s="25">
        <v>106</v>
      </c>
      <c r="N621" s="25">
        <v>210</v>
      </c>
      <c r="O621" s="25">
        <v>0</v>
      </c>
      <c r="P621" s="25">
        <v>0</v>
      </c>
      <c r="Q621" s="25">
        <v>90</v>
      </c>
      <c r="R621" s="25">
        <v>196</v>
      </c>
      <c r="S621" s="25">
        <v>0</v>
      </c>
      <c r="T621" s="25">
        <v>0</v>
      </c>
      <c r="U621" s="29">
        <v>0</v>
      </c>
      <c r="V621" s="25">
        <v>0</v>
      </c>
      <c r="W621" s="25">
        <v>0</v>
      </c>
      <c r="X621" s="25">
        <v>0</v>
      </c>
      <c r="Y621" s="29">
        <v>0</v>
      </c>
      <c r="Z621" s="29">
        <v>0</v>
      </c>
      <c r="AA621" s="29">
        <v>0</v>
      </c>
      <c r="AB621" s="29">
        <v>200403</v>
      </c>
      <c r="AC621" s="29">
        <v>200</v>
      </c>
      <c r="AD621" s="29">
        <v>1</v>
      </c>
      <c r="AE621" s="29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  <c r="HF621" s="5"/>
      <c r="HG621" s="5"/>
      <c r="HH621" s="5"/>
      <c r="HI621" s="5"/>
      <c r="HJ621" s="5"/>
      <c r="HK621" s="5"/>
      <c r="HL621" s="5"/>
      <c r="HM621" s="5"/>
      <c r="HN621" s="5"/>
      <c r="HO621" s="5"/>
      <c r="HP621" s="5"/>
    </row>
    <row r="622" spans="3:224" ht="20.100000000000001" customHeight="1">
      <c r="C622" s="24">
        <v>15703003</v>
      </c>
      <c r="D622" s="25" t="s">
        <v>546</v>
      </c>
      <c r="E622" s="25">
        <v>11200003</v>
      </c>
      <c r="F622" s="25">
        <v>17031</v>
      </c>
      <c r="G622" s="25">
        <v>1</v>
      </c>
      <c r="H622" s="25">
        <v>60</v>
      </c>
      <c r="I622" s="29">
        <v>0.2</v>
      </c>
      <c r="J622" s="30">
        <v>30</v>
      </c>
      <c r="K622" s="25">
        <v>0</v>
      </c>
      <c r="L622" s="25">
        <v>6810</v>
      </c>
      <c r="M622" s="25">
        <v>60</v>
      </c>
      <c r="N622" s="25">
        <v>120</v>
      </c>
      <c r="O622" s="25">
        <v>0</v>
      </c>
      <c r="P622" s="25">
        <v>0</v>
      </c>
      <c r="Q622" s="25">
        <v>166</v>
      </c>
      <c r="R622" s="25">
        <v>330</v>
      </c>
      <c r="S622" s="25">
        <v>0</v>
      </c>
      <c r="T622" s="25">
        <v>0</v>
      </c>
      <c r="U622" s="29">
        <v>0</v>
      </c>
      <c r="V622" s="25">
        <v>0</v>
      </c>
      <c r="W622" s="25">
        <v>0</v>
      </c>
      <c r="X622" s="25">
        <v>0</v>
      </c>
      <c r="Y622" s="29">
        <v>0</v>
      </c>
      <c r="Z622" s="29">
        <v>0</v>
      </c>
      <c r="AA622" s="29">
        <v>0</v>
      </c>
      <c r="AB622" s="29">
        <v>200403</v>
      </c>
      <c r="AC622" s="29">
        <v>200</v>
      </c>
      <c r="AD622" s="29">
        <v>1</v>
      </c>
      <c r="AE622" s="29"/>
      <c r="GR622" s="5"/>
      <c r="GS622" s="5"/>
      <c r="GT622" s="5"/>
      <c r="GU622" s="5"/>
      <c r="GV622" s="5"/>
      <c r="GW622" s="5"/>
      <c r="GX622" s="5"/>
      <c r="GY622" s="5"/>
      <c r="GZ622" s="5"/>
      <c r="HA622" s="5"/>
      <c r="HB622" s="5"/>
      <c r="HC622" s="5"/>
      <c r="HD622" s="5"/>
      <c r="HE622" s="5"/>
      <c r="HF622" s="5"/>
      <c r="HG622" s="5"/>
      <c r="HH622" s="5"/>
      <c r="HI622" s="5"/>
      <c r="HJ622" s="5"/>
      <c r="HK622" s="5"/>
      <c r="HL622" s="5"/>
      <c r="HM622" s="5"/>
      <c r="HN622" s="5"/>
      <c r="HO622" s="5"/>
      <c r="HP622" s="5"/>
    </row>
    <row r="623" spans="3:224" ht="20.100000000000001" customHeight="1">
      <c r="C623" s="24">
        <v>15704001</v>
      </c>
      <c r="D623" s="25" t="s">
        <v>549</v>
      </c>
      <c r="E623" s="25">
        <v>11200003</v>
      </c>
      <c r="F623" s="25">
        <v>17011</v>
      </c>
      <c r="G623" s="25">
        <v>1</v>
      </c>
      <c r="H623" s="25">
        <v>60</v>
      </c>
      <c r="I623" s="29">
        <v>0.2</v>
      </c>
      <c r="J623" s="30">
        <v>30</v>
      </c>
      <c r="K623" s="25">
        <v>0</v>
      </c>
      <c r="L623" s="25">
        <v>0</v>
      </c>
      <c r="M623" s="25">
        <v>120</v>
      </c>
      <c r="N623" s="25">
        <v>240</v>
      </c>
      <c r="O623" s="25">
        <v>0</v>
      </c>
      <c r="P623" s="25">
        <v>0</v>
      </c>
      <c r="Q623" s="25">
        <v>136</v>
      </c>
      <c r="R623" s="25">
        <v>256</v>
      </c>
      <c r="S623" s="25">
        <v>136</v>
      </c>
      <c r="T623" s="25">
        <v>256</v>
      </c>
      <c r="U623" s="29">
        <v>0</v>
      </c>
      <c r="V623" s="25">
        <v>0</v>
      </c>
      <c r="W623" s="25">
        <v>0</v>
      </c>
      <c r="X623" s="25">
        <v>0</v>
      </c>
      <c r="Y623" s="29">
        <v>0</v>
      </c>
      <c r="Z623" s="29">
        <v>0</v>
      </c>
      <c r="AA623" s="29">
        <v>0</v>
      </c>
      <c r="AB623" s="29">
        <v>202203</v>
      </c>
      <c r="AC623" s="29">
        <v>200</v>
      </c>
      <c r="AD623" s="29">
        <v>1</v>
      </c>
      <c r="AE623" s="29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  <c r="HF623" s="5"/>
      <c r="HG623" s="5"/>
      <c r="HH623" s="5"/>
      <c r="HI623" s="5"/>
      <c r="HJ623" s="5"/>
      <c r="HK623" s="5"/>
      <c r="HL623" s="5"/>
      <c r="HM623" s="5"/>
      <c r="HN623" s="5"/>
      <c r="HO623" s="5"/>
      <c r="HP623" s="5"/>
    </row>
    <row r="624" spans="3:224" ht="20.100000000000001" customHeight="1">
      <c r="C624" s="24">
        <v>15704002</v>
      </c>
      <c r="D624" s="25" t="s">
        <v>551</v>
      </c>
      <c r="E624" s="25">
        <v>11200003</v>
      </c>
      <c r="F624" s="25">
        <v>17021</v>
      </c>
      <c r="G624" s="25">
        <v>1</v>
      </c>
      <c r="H624" s="25">
        <v>60</v>
      </c>
      <c r="I624" s="29">
        <v>0.2</v>
      </c>
      <c r="J624" s="30">
        <v>30</v>
      </c>
      <c r="K624" s="25">
        <v>0</v>
      </c>
      <c r="L624" s="25">
        <v>0</v>
      </c>
      <c r="M624" s="25">
        <v>166</v>
      </c>
      <c r="N624" s="25">
        <v>316</v>
      </c>
      <c r="O624" s="25">
        <v>0</v>
      </c>
      <c r="P624" s="25">
        <v>0</v>
      </c>
      <c r="Q624" s="25">
        <v>90</v>
      </c>
      <c r="R624" s="25">
        <v>196</v>
      </c>
      <c r="S624" s="25">
        <v>90</v>
      </c>
      <c r="T624" s="25">
        <v>196</v>
      </c>
      <c r="U624" s="29">
        <v>0</v>
      </c>
      <c r="V624" s="25">
        <v>0</v>
      </c>
      <c r="W624" s="25">
        <v>0</v>
      </c>
      <c r="X624" s="25">
        <v>0</v>
      </c>
      <c r="Y624" s="29">
        <v>0</v>
      </c>
      <c r="Z624" s="29">
        <v>0</v>
      </c>
      <c r="AA624" s="29">
        <v>0</v>
      </c>
      <c r="AB624" s="29">
        <v>202303</v>
      </c>
      <c r="AC624" s="29">
        <v>200</v>
      </c>
      <c r="AD624" s="29">
        <v>1</v>
      </c>
      <c r="AE624" s="29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5"/>
      <c r="HE624" s="5"/>
      <c r="HF624" s="5"/>
      <c r="HG624" s="5"/>
      <c r="HH624" s="5"/>
      <c r="HI624" s="5"/>
      <c r="HJ624" s="5"/>
      <c r="HK624" s="5"/>
      <c r="HL624" s="5"/>
      <c r="HM624" s="5"/>
      <c r="HN624" s="5"/>
      <c r="HO624" s="5"/>
      <c r="HP624" s="5"/>
    </row>
    <row r="625" spans="3:224" ht="20.100000000000001" customHeight="1">
      <c r="C625" s="24">
        <v>15704003</v>
      </c>
      <c r="D625" s="25" t="s">
        <v>553</v>
      </c>
      <c r="E625" s="25">
        <v>11200003</v>
      </c>
      <c r="F625" s="25">
        <v>17031</v>
      </c>
      <c r="G625" s="25">
        <v>1</v>
      </c>
      <c r="H625" s="25">
        <v>60</v>
      </c>
      <c r="I625" s="29">
        <v>0.2</v>
      </c>
      <c r="J625" s="30">
        <v>30</v>
      </c>
      <c r="K625" s="25">
        <v>0</v>
      </c>
      <c r="L625" s="25">
        <v>0</v>
      </c>
      <c r="M625" s="25">
        <v>90</v>
      </c>
      <c r="N625" s="25">
        <v>180</v>
      </c>
      <c r="O625" s="25">
        <v>0</v>
      </c>
      <c r="P625" s="25">
        <v>0</v>
      </c>
      <c r="Q625" s="25">
        <v>166</v>
      </c>
      <c r="R625" s="25">
        <v>330</v>
      </c>
      <c r="S625" s="25">
        <v>166</v>
      </c>
      <c r="T625" s="25">
        <v>330</v>
      </c>
      <c r="U625" s="29">
        <v>0</v>
      </c>
      <c r="V625" s="25">
        <v>0</v>
      </c>
      <c r="W625" s="25">
        <v>0</v>
      </c>
      <c r="X625" s="25">
        <v>0</v>
      </c>
      <c r="Y625" s="29">
        <v>0</v>
      </c>
      <c r="Z625" s="29">
        <v>0</v>
      </c>
      <c r="AA625" s="29">
        <v>0</v>
      </c>
      <c r="AB625" s="29">
        <v>202203</v>
      </c>
      <c r="AC625" s="29">
        <v>200</v>
      </c>
      <c r="AD625" s="29">
        <v>1</v>
      </c>
      <c r="AE625" s="29"/>
      <c r="GR625" s="5"/>
      <c r="GS625" s="5"/>
      <c r="GT625" s="5"/>
      <c r="GU625" s="5"/>
      <c r="GV625" s="5"/>
      <c r="GW625" s="5"/>
      <c r="GX625" s="5"/>
      <c r="GY625" s="5"/>
      <c r="GZ625" s="5"/>
      <c r="HA625" s="5"/>
      <c r="HB625" s="5"/>
      <c r="HC625" s="5"/>
      <c r="HD625" s="5"/>
      <c r="HE625" s="5"/>
      <c r="HF625" s="5"/>
      <c r="HG625" s="5"/>
      <c r="HH625" s="5"/>
      <c r="HI625" s="5"/>
      <c r="HJ625" s="5"/>
      <c r="HK625" s="5"/>
      <c r="HL625" s="5"/>
      <c r="HM625" s="5"/>
      <c r="HN625" s="5"/>
      <c r="HO625" s="5"/>
      <c r="HP625" s="5"/>
    </row>
    <row r="626" spans="3:224" ht="20.100000000000001" customHeight="1">
      <c r="C626" s="24">
        <v>15705001</v>
      </c>
      <c r="D626" s="25" t="s">
        <v>555</v>
      </c>
      <c r="E626" s="25">
        <v>11200003</v>
      </c>
      <c r="F626" s="25">
        <v>17011</v>
      </c>
      <c r="G626" s="25">
        <v>1</v>
      </c>
      <c r="H626" s="25">
        <v>60</v>
      </c>
      <c r="I626" s="29">
        <v>0.2</v>
      </c>
      <c r="J626" s="30">
        <v>30</v>
      </c>
      <c r="K626" s="25">
        <v>0</v>
      </c>
      <c r="L626" s="25">
        <v>11340</v>
      </c>
      <c r="M626" s="25">
        <v>166</v>
      </c>
      <c r="N626" s="25">
        <v>330</v>
      </c>
      <c r="O626" s="25">
        <v>0</v>
      </c>
      <c r="P626" s="25">
        <v>0</v>
      </c>
      <c r="Q626" s="25">
        <v>60</v>
      </c>
      <c r="R626" s="25">
        <v>136</v>
      </c>
      <c r="S626" s="25">
        <v>0</v>
      </c>
      <c r="T626" s="25">
        <v>0</v>
      </c>
      <c r="U626" s="29">
        <v>0</v>
      </c>
      <c r="V626" s="25">
        <v>0</v>
      </c>
      <c r="W626" s="25">
        <v>0</v>
      </c>
      <c r="X626" s="25">
        <v>0</v>
      </c>
      <c r="Y626" s="29">
        <v>0</v>
      </c>
      <c r="Z626" s="29">
        <v>0</v>
      </c>
      <c r="AA626" s="29">
        <v>0</v>
      </c>
      <c r="AB626" s="29">
        <v>200103</v>
      </c>
      <c r="AC626" s="29">
        <v>200</v>
      </c>
      <c r="AD626" s="29">
        <v>1</v>
      </c>
      <c r="AE626" s="29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  <c r="HF626" s="5"/>
      <c r="HG626" s="5"/>
      <c r="HH626" s="5"/>
      <c r="HI626" s="5"/>
      <c r="HJ626" s="5"/>
      <c r="HK626" s="5"/>
      <c r="HL626" s="5"/>
      <c r="HM626" s="5"/>
      <c r="HN626" s="5"/>
      <c r="HO626" s="5"/>
      <c r="HP626" s="5"/>
    </row>
    <row r="627" spans="3:224" ht="20.100000000000001" customHeight="1">
      <c r="C627" s="24">
        <v>15705002</v>
      </c>
      <c r="D627" s="25" t="s">
        <v>557</v>
      </c>
      <c r="E627" s="25">
        <v>11200003</v>
      </c>
      <c r="F627" s="25">
        <v>17021</v>
      </c>
      <c r="G627" s="25">
        <v>1</v>
      </c>
      <c r="H627" s="25">
        <v>60</v>
      </c>
      <c r="I627" s="29">
        <v>0.2</v>
      </c>
      <c r="J627" s="30">
        <v>30</v>
      </c>
      <c r="K627" s="25">
        <v>0</v>
      </c>
      <c r="L627" s="25">
        <v>5670</v>
      </c>
      <c r="M627" s="25">
        <v>226</v>
      </c>
      <c r="N627" s="25">
        <v>436</v>
      </c>
      <c r="O627" s="25">
        <v>0</v>
      </c>
      <c r="P627" s="25">
        <v>0</v>
      </c>
      <c r="Q627" s="25">
        <v>46</v>
      </c>
      <c r="R627" s="25">
        <v>90</v>
      </c>
      <c r="S627" s="25">
        <v>0</v>
      </c>
      <c r="T627" s="25">
        <v>0</v>
      </c>
      <c r="U627" s="29">
        <v>0</v>
      </c>
      <c r="V627" s="25">
        <v>0</v>
      </c>
      <c r="W627" s="25">
        <v>0</v>
      </c>
      <c r="X627" s="25">
        <v>0</v>
      </c>
      <c r="Y627" s="29">
        <v>0</v>
      </c>
      <c r="Z627" s="29">
        <v>0</v>
      </c>
      <c r="AA627" s="29">
        <v>0</v>
      </c>
      <c r="AB627" s="29">
        <v>200103</v>
      </c>
      <c r="AC627" s="29">
        <v>200</v>
      </c>
      <c r="AD627" s="29">
        <v>1</v>
      </c>
      <c r="AE627" s="29"/>
      <c r="GR627" s="5"/>
      <c r="GS627" s="5"/>
      <c r="GT627" s="5"/>
      <c r="GU627" s="5"/>
      <c r="GV627" s="5"/>
      <c r="GW627" s="5"/>
      <c r="GX627" s="5"/>
      <c r="GY627" s="5"/>
      <c r="GZ627" s="5"/>
      <c r="HA627" s="5"/>
      <c r="HB627" s="5"/>
      <c r="HC627" s="5"/>
      <c r="HD627" s="5"/>
      <c r="HE627" s="5"/>
      <c r="HF627" s="5"/>
      <c r="HG627" s="5"/>
      <c r="HH627" s="5"/>
      <c r="HI627" s="5"/>
      <c r="HJ627" s="5"/>
      <c r="HK627" s="5"/>
      <c r="HL627" s="5"/>
      <c r="HM627" s="5"/>
      <c r="HN627" s="5"/>
      <c r="HO627" s="5"/>
      <c r="HP627" s="5"/>
    </row>
    <row r="628" spans="3:224" ht="20.100000000000001" customHeight="1">
      <c r="C628" s="24">
        <v>15705003</v>
      </c>
      <c r="D628" s="25" t="s">
        <v>559</v>
      </c>
      <c r="E628" s="25">
        <v>11200003</v>
      </c>
      <c r="F628" s="25">
        <v>17031</v>
      </c>
      <c r="G628" s="25">
        <v>1</v>
      </c>
      <c r="H628" s="25">
        <v>60</v>
      </c>
      <c r="I628" s="29">
        <v>0.2</v>
      </c>
      <c r="J628" s="30">
        <v>30</v>
      </c>
      <c r="K628" s="25">
        <v>0</v>
      </c>
      <c r="L628" s="25">
        <v>17010</v>
      </c>
      <c r="M628" s="25">
        <v>120</v>
      </c>
      <c r="N628" s="25">
        <v>240</v>
      </c>
      <c r="O628" s="25">
        <v>0</v>
      </c>
      <c r="P628" s="25">
        <v>0</v>
      </c>
      <c r="Q628" s="25">
        <v>76</v>
      </c>
      <c r="R628" s="25">
        <v>166</v>
      </c>
      <c r="S628" s="25">
        <v>0</v>
      </c>
      <c r="T628" s="25">
        <v>0</v>
      </c>
      <c r="U628" s="29">
        <v>0</v>
      </c>
      <c r="V628" s="25">
        <v>0</v>
      </c>
      <c r="W628" s="25">
        <v>0</v>
      </c>
      <c r="X628" s="25">
        <v>0</v>
      </c>
      <c r="Y628" s="29">
        <v>0</v>
      </c>
      <c r="Z628" s="29">
        <v>0</v>
      </c>
      <c r="AA628" s="29">
        <v>0</v>
      </c>
      <c r="AB628" s="29">
        <v>200103</v>
      </c>
      <c r="AC628" s="29">
        <v>200</v>
      </c>
      <c r="AD628" s="29">
        <v>1</v>
      </c>
      <c r="AE628" s="29"/>
      <c r="GR628" s="5"/>
      <c r="GS628" s="5"/>
      <c r="GT628" s="5"/>
      <c r="GU628" s="5"/>
      <c r="GV628" s="5"/>
      <c r="GW628" s="5"/>
      <c r="GX628" s="5"/>
      <c r="GY628" s="5"/>
      <c r="GZ628" s="5"/>
      <c r="HA628" s="5"/>
      <c r="HB628" s="5"/>
      <c r="HC628" s="5"/>
      <c r="HD628" s="5"/>
      <c r="HE628" s="5"/>
      <c r="HF628" s="5"/>
      <c r="HG628" s="5"/>
      <c r="HH628" s="5"/>
      <c r="HI628" s="5"/>
      <c r="HJ628" s="5"/>
      <c r="HK628" s="5"/>
      <c r="HL628" s="5"/>
      <c r="HM628" s="5"/>
      <c r="HN628" s="5"/>
      <c r="HO628" s="5"/>
      <c r="HP628" s="5"/>
    </row>
    <row r="629" spans="3:224" ht="20.100000000000001" customHeight="1">
      <c r="C629" s="24">
        <v>15706001</v>
      </c>
      <c r="D629" s="25" t="s">
        <v>561</v>
      </c>
      <c r="E629" s="25">
        <v>11200002</v>
      </c>
      <c r="F629" s="25">
        <v>17051</v>
      </c>
      <c r="G629" s="25">
        <v>1</v>
      </c>
      <c r="H629" s="25">
        <v>60</v>
      </c>
      <c r="I629" s="29">
        <v>0.2</v>
      </c>
      <c r="J629" s="30">
        <v>30</v>
      </c>
      <c r="K629" s="25">
        <v>0</v>
      </c>
      <c r="L629" s="25">
        <v>0</v>
      </c>
      <c r="M629" s="25">
        <v>330</v>
      </c>
      <c r="N629" s="25">
        <v>646</v>
      </c>
      <c r="O629" s="25">
        <v>0</v>
      </c>
      <c r="P629" s="25">
        <v>0</v>
      </c>
      <c r="Q629" s="25">
        <v>90</v>
      </c>
      <c r="R629" s="25">
        <v>196</v>
      </c>
      <c r="S629" s="25">
        <v>0</v>
      </c>
      <c r="T629" s="25">
        <v>0</v>
      </c>
      <c r="U629" s="29">
        <v>0</v>
      </c>
      <c r="V629" s="25">
        <v>0</v>
      </c>
      <c r="W629" s="25">
        <v>0</v>
      </c>
      <c r="X629" s="25">
        <v>0</v>
      </c>
      <c r="Y629" s="29">
        <v>0</v>
      </c>
      <c r="Z629" s="29">
        <v>0</v>
      </c>
      <c r="AA629" s="29">
        <v>0</v>
      </c>
      <c r="AB629" s="29">
        <v>100402</v>
      </c>
      <c r="AC629" s="29">
        <v>200</v>
      </c>
      <c r="AD629" s="29">
        <v>1</v>
      </c>
      <c r="AE629" s="29"/>
      <c r="GR629" s="5"/>
      <c r="GS629" s="5"/>
      <c r="GT629" s="5"/>
      <c r="GU629" s="5"/>
      <c r="GV629" s="5"/>
      <c r="GW629" s="5"/>
      <c r="GX629" s="5"/>
      <c r="GY629" s="5"/>
      <c r="GZ629" s="5"/>
      <c r="HA629" s="5"/>
      <c r="HB629" s="5"/>
      <c r="HC629" s="5"/>
      <c r="HD629" s="5"/>
      <c r="HE629" s="5"/>
      <c r="HF629" s="5"/>
      <c r="HG629" s="5"/>
      <c r="HH629" s="5"/>
      <c r="HI629" s="5"/>
      <c r="HJ629" s="5"/>
      <c r="HK629" s="5"/>
      <c r="HL629" s="5"/>
      <c r="HM629" s="5"/>
      <c r="HN629" s="5"/>
      <c r="HO629" s="5"/>
      <c r="HP629" s="5"/>
    </row>
    <row r="630" spans="3:224" ht="20.100000000000001" customHeight="1">
      <c r="C630" s="24">
        <v>15707001</v>
      </c>
      <c r="D630" s="25" t="s">
        <v>564</v>
      </c>
      <c r="E630" s="25">
        <v>11200002</v>
      </c>
      <c r="F630" s="25">
        <v>0</v>
      </c>
      <c r="G630" s="25">
        <v>1</v>
      </c>
      <c r="H630" s="25">
        <v>60</v>
      </c>
      <c r="I630" s="29">
        <v>0.2</v>
      </c>
      <c r="J630" s="30">
        <v>30</v>
      </c>
      <c r="K630" s="25">
        <v>0</v>
      </c>
      <c r="L630" s="25">
        <v>0</v>
      </c>
      <c r="M630" s="25">
        <v>330</v>
      </c>
      <c r="N630" s="25">
        <v>646</v>
      </c>
      <c r="O630" s="25">
        <v>0</v>
      </c>
      <c r="P630" s="25">
        <v>0</v>
      </c>
      <c r="Q630" s="25">
        <v>0</v>
      </c>
      <c r="R630" s="25">
        <v>0</v>
      </c>
      <c r="S630" s="25">
        <v>90</v>
      </c>
      <c r="T630" s="25">
        <v>196</v>
      </c>
      <c r="U630" s="29">
        <v>0</v>
      </c>
      <c r="V630" s="25">
        <v>0</v>
      </c>
      <c r="W630" s="25">
        <v>0</v>
      </c>
      <c r="X630" s="25">
        <v>0</v>
      </c>
      <c r="Y630" s="29">
        <v>0</v>
      </c>
      <c r="Z630" s="29">
        <v>0</v>
      </c>
      <c r="AA630" s="29">
        <v>0</v>
      </c>
      <c r="AB630" s="29">
        <v>200203</v>
      </c>
      <c r="AC630" s="29">
        <v>200</v>
      </c>
      <c r="AD630" s="29">
        <v>1</v>
      </c>
      <c r="AE630" s="29"/>
      <c r="GR630" s="5"/>
      <c r="GS630" s="5"/>
      <c r="GT630" s="5"/>
      <c r="GU630" s="5"/>
      <c r="GV630" s="5"/>
      <c r="GW630" s="5"/>
      <c r="GX630" s="5"/>
      <c r="GY630" s="5"/>
      <c r="GZ630" s="5"/>
      <c r="HA630" s="5"/>
      <c r="HB630" s="5"/>
      <c r="HC630" s="5"/>
      <c r="HD630" s="5"/>
      <c r="HE630" s="5"/>
      <c r="HF630" s="5"/>
      <c r="HG630" s="5"/>
      <c r="HH630" s="5"/>
      <c r="HI630" s="5"/>
      <c r="HJ630" s="5"/>
      <c r="HK630" s="5"/>
      <c r="HL630" s="5"/>
      <c r="HM630" s="5"/>
      <c r="HN630" s="5"/>
      <c r="HO630" s="5"/>
      <c r="HP630" s="5"/>
    </row>
    <row r="631" spans="3:224" ht="20.100000000000001" customHeight="1">
      <c r="C631" s="24">
        <v>15708001</v>
      </c>
      <c r="D631" s="25" t="s">
        <v>566</v>
      </c>
      <c r="E631" s="25">
        <v>11200002</v>
      </c>
      <c r="F631" s="25">
        <v>0</v>
      </c>
      <c r="G631" s="25">
        <v>1</v>
      </c>
      <c r="H631" s="25">
        <v>60</v>
      </c>
      <c r="I631" s="29">
        <v>0.2</v>
      </c>
      <c r="J631" s="30">
        <v>30</v>
      </c>
      <c r="K631" s="25">
        <v>0</v>
      </c>
      <c r="L631" s="25">
        <v>0</v>
      </c>
      <c r="M631" s="25">
        <v>60</v>
      </c>
      <c r="N631" s="25">
        <v>150</v>
      </c>
      <c r="O631" s="25">
        <v>0</v>
      </c>
      <c r="P631" s="25">
        <v>0</v>
      </c>
      <c r="Q631" s="25">
        <v>0</v>
      </c>
      <c r="R631" s="25">
        <v>0</v>
      </c>
      <c r="S631" s="25">
        <v>0</v>
      </c>
      <c r="T631" s="25">
        <v>0</v>
      </c>
      <c r="U631" s="29">
        <v>0</v>
      </c>
      <c r="V631" s="25">
        <v>0</v>
      </c>
      <c r="W631" s="25">
        <v>0</v>
      </c>
      <c r="X631" s="25">
        <v>0</v>
      </c>
      <c r="Y631" s="29">
        <v>0</v>
      </c>
      <c r="Z631" s="29">
        <v>0</v>
      </c>
      <c r="AA631" s="29">
        <v>0</v>
      </c>
      <c r="AB631" s="29">
        <v>0</v>
      </c>
      <c r="AC631" s="29">
        <v>0</v>
      </c>
      <c r="AD631" s="29">
        <v>0</v>
      </c>
      <c r="AE631" s="29"/>
      <c r="GR631" s="5"/>
      <c r="GS631" s="5"/>
      <c r="GT631" s="5"/>
      <c r="GU631" s="5"/>
      <c r="GV631" s="5"/>
      <c r="GW631" s="5"/>
      <c r="GX631" s="5"/>
      <c r="GY631" s="5"/>
      <c r="GZ631" s="5"/>
      <c r="HA631" s="5"/>
      <c r="HB631" s="5"/>
      <c r="HC631" s="5"/>
      <c r="HD631" s="5"/>
      <c r="HE631" s="5"/>
      <c r="HF631" s="5"/>
      <c r="HG631" s="5"/>
      <c r="HH631" s="5"/>
      <c r="HI631" s="5"/>
      <c r="HJ631" s="5"/>
      <c r="HK631" s="5"/>
      <c r="HL631" s="5"/>
      <c r="HM631" s="5"/>
      <c r="HN631" s="5"/>
      <c r="HO631" s="5"/>
      <c r="HP631" s="5"/>
    </row>
    <row r="632" spans="3:224" ht="20.100000000000001" customHeight="1">
      <c r="C632" s="24">
        <v>15709001</v>
      </c>
      <c r="D632" s="25" t="s">
        <v>569</v>
      </c>
      <c r="E632" s="25">
        <v>11200001</v>
      </c>
      <c r="F632" s="25">
        <v>0</v>
      </c>
      <c r="G632" s="25">
        <v>1</v>
      </c>
      <c r="H632" s="25">
        <v>60</v>
      </c>
      <c r="I632" s="29">
        <v>0.2</v>
      </c>
      <c r="J632" s="30">
        <v>30</v>
      </c>
      <c r="K632" s="25">
        <v>0</v>
      </c>
      <c r="L632" s="25">
        <v>18150</v>
      </c>
      <c r="M632" s="25">
        <v>0</v>
      </c>
      <c r="N632" s="25">
        <v>0</v>
      </c>
      <c r="O632" s="25">
        <v>0</v>
      </c>
      <c r="P632" s="25">
        <v>0</v>
      </c>
      <c r="Q632" s="25">
        <v>0</v>
      </c>
      <c r="R632" s="25">
        <v>0</v>
      </c>
      <c r="S632" s="25">
        <v>0</v>
      </c>
      <c r="T632" s="25">
        <v>0</v>
      </c>
      <c r="U632" s="29">
        <v>0</v>
      </c>
      <c r="V632" s="25">
        <v>0</v>
      </c>
      <c r="W632" s="25">
        <v>0</v>
      </c>
      <c r="X632" s="25">
        <v>0</v>
      </c>
      <c r="Y632" s="29">
        <v>0</v>
      </c>
      <c r="Z632" s="29">
        <v>0</v>
      </c>
      <c r="AA632" s="29">
        <v>0</v>
      </c>
      <c r="AB632" s="29">
        <v>200303</v>
      </c>
      <c r="AC632" s="29">
        <v>200</v>
      </c>
      <c r="AD632" s="29">
        <v>1</v>
      </c>
      <c r="AE632" s="29"/>
      <c r="GR632" s="5"/>
      <c r="GS632" s="5"/>
      <c r="GT632" s="5"/>
      <c r="GU632" s="5"/>
      <c r="GV632" s="5"/>
      <c r="GW632" s="5"/>
      <c r="GX632" s="5"/>
      <c r="GY632" s="5"/>
      <c r="GZ632" s="5"/>
      <c r="HA632" s="5"/>
      <c r="HB632" s="5"/>
      <c r="HC632" s="5"/>
      <c r="HD632" s="5"/>
      <c r="HE632" s="5"/>
      <c r="HF632" s="5"/>
      <c r="HG632" s="5"/>
      <c r="HH632" s="5"/>
      <c r="HI632" s="5"/>
      <c r="HJ632" s="5"/>
      <c r="HK632" s="5"/>
      <c r="HL632" s="5"/>
      <c r="HM632" s="5"/>
      <c r="HN632" s="5"/>
      <c r="HO632" s="5"/>
      <c r="HP632" s="5"/>
    </row>
    <row r="633" spans="3:224" ht="20.100000000000001" customHeight="1">
      <c r="C633" s="24">
        <v>15710001</v>
      </c>
      <c r="D633" s="24" t="s">
        <v>572</v>
      </c>
      <c r="E633" s="25">
        <v>11200001</v>
      </c>
      <c r="F633" s="25">
        <v>17051</v>
      </c>
      <c r="G633" s="25">
        <v>1</v>
      </c>
      <c r="H633" s="25">
        <v>60</v>
      </c>
      <c r="I633" s="29">
        <v>0.2</v>
      </c>
      <c r="J633" s="30">
        <v>30</v>
      </c>
      <c r="K633" s="25">
        <v>0</v>
      </c>
      <c r="L633" s="25">
        <v>0</v>
      </c>
      <c r="M633" s="25">
        <v>900</v>
      </c>
      <c r="N633" s="25">
        <v>1816</v>
      </c>
      <c r="O633" s="25">
        <v>0</v>
      </c>
      <c r="P633" s="25">
        <v>0</v>
      </c>
      <c r="Q633" s="25">
        <v>0</v>
      </c>
      <c r="R633" s="25">
        <v>0</v>
      </c>
      <c r="S633" s="25">
        <v>0</v>
      </c>
      <c r="T633" s="25">
        <v>0</v>
      </c>
      <c r="U633" s="29">
        <v>0</v>
      </c>
      <c r="V633" s="25">
        <v>0</v>
      </c>
      <c r="W633" s="25">
        <v>0</v>
      </c>
      <c r="X633" s="25">
        <v>0</v>
      </c>
      <c r="Y633" s="29">
        <v>0</v>
      </c>
      <c r="Z633" s="29">
        <v>0</v>
      </c>
      <c r="AA633" s="29">
        <v>0</v>
      </c>
      <c r="AB633" s="29">
        <v>200903</v>
      </c>
      <c r="AC633" s="29">
        <v>200</v>
      </c>
      <c r="AD633" s="29">
        <v>1</v>
      </c>
      <c r="AE633" s="29"/>
      <c r="GR633" s="5"/>
      <c r="GS633" s="5"/>
      <c r="GT633" s="5"/>
      <c r="GU633" s="5"/>
      <c r="GV633" s="5"/>
      <c r="GW633" s="5"/>
      <c r="GX633" s="5"/>
      <c r="GY633" s="5"/>
      <c r="GZ633" s="5"/>
      <c r="HA633" s="5"/>
      <c r="HB633" s="5"/>
      <c r="HC633" s="5"/>
      <c r="HD633" s="5"/>
      <c r="HE633" s="5"/>
      <c r="HF633" s="5"/>
      <c r="HG633" s="5"/>
      <c r="HH633" s="5"/>
      <c r="HI633" s="5"/>
      <c r="HJ633" s="5"/>
      <c r="HK633" s="5"/>
      <c r="HL633" s="5"/>
      <c r="HM633" s="5"/>
      <c r="HN633" s="5"/>
      <c r="HO633" s="5"/>
      <c r="HP633" s="5"/>
    </row>
    <row r="634" spans="3:224" ht="20.100000000000001" customHeight="1">
      <c r="C634" s="24">
        <v>15710002</v>
      </c>
      <c r="D634" s="24" t="s">
        <v>574</v>
      </c>
      <c r="E634" s="25">
        <v>11200001</v>
      </c>
      <c r="F634" s="25">
        <v>17051</v>
      </c>
      <c r="G634" s="25">
        <v>1</v>
      </c>
      <c r="H634" s="25">
        <v>60</v>
      </c>
      <c r="I634" s="29">
        <v>0.2</v>
      </c>
      <c r="J634" s="30">
        <v>30</v>
      </c>
      <c r="K634" s="25">
        <v>0</v>
      </c>
      <c r="L634" s="25">
        <v>0</v>
      </c>
      <c r="M634" s="25">
        <v>900</v>
      </c>
      <c r="N634" s="25">
        <v>1816</v>
      </c>
      <c r="O634" s="25">
        <v>0</v>
      </c>
      <c r="P634" s="25">
        <v>0</v>
      </c>
      <c r="Q634" s="25">
        <v>0</v>
      </c>
      <c r="R634" s="25">
        <v>0</v>
      </c>
      <c r="S634" s="25">
        <v>0</v>
      </c>
      <c r="T634" s="25">
        <v>0</v>
      </c>
      <c r="U634" s="29">
        <v>0</v>
      </c>
      <c r="V634" s="25">
        <v>0</v>
      </c>
      <c r="W634" s="25">
        <v>0</v>
      </c>
      <c r="X634" s="25">
        <v>0</v>
      </c>
      <c r="Y634" s="29">
        <v>0</v>
      </c>
      <c r="Z634" s="29">
        <v>0</v>
      </c>
      <c r="AA634" s="29">
        <v>0</v>
      </c>
      <c r="AB634" s="29">
        <v>200903</v>
      </c>
      <c r="AC634" s="29">
        <v>200</v>
      </c>
      <c r="AD634" s="29">
        <v>1</v>
      </c>
      <c r="AE634" s="29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  <c r="HF634" s="5"/>
      <c r="HG634" s="5"/>
      <c r="HH634" s="5"/>
      <c r="HI634" s="5"/>
      <c r="HJ634" s="5"/>
      <c r="HK634" s="5"/>
      <c r="HL634" s="5"/>
      <c r="HM634" s="5"/>
      <c r="HN634" s="5"/>
      <c r="HO634" s="5"/>
      <c r="HP634" s="5"/>
    </row>
    <row r="635" spans="3:224" ht="20.100000000000001" customHeight="1">
      <c r="C635" s="24">
        <v>15710201</v>
      </c>
      <c r="D635" s="24" t="s">
        <v>665</v>
      </c>
      <c r="E635" s="25">
        <v>11200001</v>
      </c>
      <c r="F635" s="25">
        <v>17051</v>
      </c>
      <c r="G635" s="25">
        <v>1</v>
      </c>
      <c r="H635" s="25">
        <v>60</v>
      </c>
      <c r="I635" s="29">
        <v>0.2</v>
      </c>
      <c r="J635" s="30">
        <v>30</v>
      </c>
      <c r="K635" s="25">
        <v>0</v>
      </c>
      <c r="L635" s="25">
        <v>0</v>
      </c>
      <c r="M635" s="25">
        <v>900</v>
      </c>
      <c r="N635" s="25">
        <v>1816</v>
      </c>
      <c r="O635" s="25">
        <v>0</v>
      </c>
      <c r="P635" s="25">
        <v>0</v>
      </c>
      <c r="Q635" s="25">
        <v>0</v>
      </c>
      <c r="R635" s="25">
        <v>0</v>
      </c>
      <c r="S635" s="25">
        <v>0</v>
      </c>
      <c r="T635" s="25">
        <v>0</v>
      </c>
      <c r="U635" s="29">
        <v>0</v>
      </c>
      <c r="V635" s="25">
        <v>0</v>
      </c>
      <c r="W635" s="25">
        <v>0</v>
      </c>
      <c r="X635" s="25">
        <v>0</v>
      </c>
      <c r="Y635" s="29">
        <v>0</v>
      </c>
      <c r="Z635" s="29">
        <v>0</v>
      </c>
      <c r="AA635" s="29">
        <v>0</v>
      </c>
      <c r="AB635" s="29">
        <v>200903</v>
      </c>
      <c r="AC635" s="29">
        <v>200</v>
      </c>
      <c r="AD635" s="29">
        <v>1</v>
      </c>
      <c r="AE635" s="29"/>
      <c r="GR635" s="5"/>
      <c r="GS635" s="5"/>
      <c r="GT635" s="5"/>
      <c r="GU635" s="5"/>
      <c r="GV635" s="5"/>
      <c r="GW635" s="5"/>
      <c r="GX635" s="5"/>
      <c r="GY635" s="5"/>
      <c r="GZ635" s="5"/>
      <c r="HA635" s="5"/>
      <c r="HB635" s="5"/>
      <c r="HC635" s="5"/>
      <c r="HD635" s="5"/>
      <c r="HE635" s="5"/>
      <c r="HF635" s="5"/>
      <c r="HG635" s="5"/>
      <c r="HH635" s="5"/>
      <c r="HI635" s="5"/>
      <c r="HJ635" s="5"/>
      <c r="HK635" s="5"/>
      <c r="HL635" s="5"/>
      <c r="HM635" s="5"/>
      <c r="HN635" s="5"/>
      <c r="HO635" s="5"/>
      <c r="HP635" s="5"/>
    </row>
    <row r="636" spans="3:224" ht="20.100000000000001" customHeight="1">
      <c r="C636" s="24">
        <v>15711001</v>
      </c>
      <c r="D636" s="25" t="s">
        <v>580</v>
      </c>
      <c r="E636" s="25">
        <v>11200003</v>
      </c>
      <c r="F636" s="25">
        <v>17011</v>
      </c>
      <c r="G636" s="25">
        <v>1</v>
      </c>
      <c r="H636" s="25">
        <v>60</v>
      </c>
      <c r="I636" s="29">
        <v>0.2</v>
      </c>
      <c r="J636" s="30">
        <v>30</v>
      </c>
      <c r="K636" s="25">
        <v>0</v>
      </c>
      <c r="L636" s="25">
        <v>15560</v>
      </c>
      <c r="M636" s="25">
        <v>0</v>
      </c>
      <c r="N636" s="25">
        <v>0</v>
      </c>
      <c r="O636" s="25">
        <v>0</v>
      </c>
      <c r="P636" s="25">
        <v>0</v>
      </c>
      <c r="Q636" s="25">
        <v>166</v>
      </c>
      <c r="R636" s="25">
        <v>330</v>
      </c>
      <c r="S636" s="25">
        <v>166</v>
      </c>
      <c r="T636" s="25">
        <v>330</v>
      </c>
      <c r="U636" s="29">
        <v>0</v>
      </c>
      <c r="V636" s="25">
        <v>0</v>
      </c>
      <c r="W636" s="25">
        <v>0</v>
      </c>
      <c r="X636" s="25">
        <v>0</v>
      </c>
      <c r="Y636" s="29">
        <v>0</v>
      </c>
      <c r="Z636" s="29">
        <v>0</v>
      </c>
      <c r="AA636" s="29">
        <v>0</v>
      </c>
      <c r="AB636" s="29">
        <v>201003</v>
      </c>
      <c r="AC636" s="29">
        <v>200</v>
      </c>
      <c r="AD636" s="29">
        <v>1</v>
      </c>
      <c r="AE636" s="29"/>
      <c r="GR636" s="5"/>
      <c r="GS636" s="5"/>
      <c r="GT636" s="5"/>
      <c r="GU636" s="5"/>
      <c r="GV636" s="5"/>
      <c r="GW636" s="5"/>
      <c r="GX636" s="5"/>
      <c r="GY636" s="5"/>
      <c r="GZ636" s="5"/>
      <c r="HA636" s="5"/>
      <c r="HB636" s="5"/>
      <c r="HC636" s="5"/>
      <c r="HD636" s="5"/>
      <c r="HE636" s="5"/>
      <c r="HF636" s="5"/>
      <c r="HG636" s="5"/>
      <c r="HH636" s="5"/>
      <c r="HI636" s="5"/>
      <c r="HJ636" s="5"/>
      <c r="HK636" s="5"/>
      <c r="HL636" s="5"/>
      <c r="HM636" s="5"/>
      <c r="HN636" s="5"/>
      <c r="HO636" s="5"/>
      <c r="HP636" s="5"/>
    </row>
    <row r="637" spans="3:224" ht="20.100000000000001" customHeight="1">
      <c r="C637" s="24">
        <v>15711002</v>
      </c>
      <c r="D637" s="25" t="s">
        <v>582</v>
      </c>
      <c r="E637" s="25">
        <v>11200003</v>
      </c>
      <c r="F637" s="25">
        <v>17021</v>
      </c>
      <c r="G637" s="25">
        <v>1</v>
      </c>
      <c r="H637" s="25">
        <v>60</v>
      </c>
      <c r="I637" s="29">
        <v>0.2</v>
      </c>
      <c r="J637" s="30">
        <v>30</v>
      </c>
      <c r="K637" s="25">
        <v>0</v>
      </c>
      <c r="L637" s="25">
        <v>7770</v>
      </c>
      <c r="M637" s="25">
        <v>0</v>
      </c>
      <c r="N637" s="25">
        <v>0</v>
      </c>
      <c r="O637" s="25">
        <v>0</v>
      </c>
      <c r="P637" s="25">
        <v>0</v>
      </c>
      <c r="Q637" s="25">
        <v>120</v>
      </c>
      <c r="R637" s="25">
        <v>240</v>
      </c>
      <c r="S637" s="25">
        <v>120</v>
      </c>
      <c r="T637" s="25">
        <v>240</v>
      </c>
      <c r="U637" s="29">
        <v>0</v>
      </c>
      <c r="V637" s="25">
        <v>0</v>
      </c>
      <c r="W637" s="25">
        <v>0</v>
      </c>
      <c r="X637" s="25">
        <v>0</v>
      </c>
      <c r="Y637" s="29">
        <v>0</v>
      </c>
      <c r="Z637" s="29">
        <v>0</v>
      </c>
      <c r="AA637" s="29">
        <v>0</v>
      </c>
      <c r="AB637" s="29">
        <v>201003</v>
      </c>
      <c r="AC637" s="29">
        <v>200</v>
      </c>
      <c r="AD637" s="29">
        <v>1</v>
      </c>
      <c r="AE637" s="29"/>
      <c r="GR637" s="5"/>
      <c r="GS637" s="5"/>
      <c r="GT637" s="5"/>
      <c r="GU637" s="5"/>
      <c r="GV637" s="5"/>
      <c r="GW637" s="5"/>
      <c r="GX637" s="5"/>
      <c r="GY637" s="5"/>
      <c r="GZ637" s="5"/>
      <c r="HA637" s="5"/>
      <c r="HB637" s="5"/>
      <c r="HC637" s="5"/>
      <c r="HD637" s="5"/>
      <c r="HE637" s="5"/>
      <c r="HF637" s="5"/>
      <c r="HG637" s="5"/>
      <c r="HH637" s="5"/>
      <c r="HI637" s="5"/>
      <c r="HJ637" s="5"/>
      <c r="HK637" s="5"/>
      <c r="HL637" s="5"/>
      <c r="HM637" s="5"/>
      <c r="HN637" s="5"/>
      <c r="HO637" s="5"/>
      <c r="HP637" s="5"/>
    </row>
    <row r="638" spans="3:224" ht="20.100000000000001" customHeight="1">
      <c r="C638" s="24">
        <v>15711003</v>
      </c>
      <c r="D638" s="25" t="s">
        <v>584</v>
      </c>
      <c r="E638" s="25">
        <v>11200003</v>
      </c>
      <c r="F638" s="25">
        <v>17031</v>
      </c>
      <c r="G638" s="25">
        <v>1</v>
      </c>
      <c r="H638" s="25">
        <v>60</v>
      </c>
      <c r="I638" s="29">
        <v>0.2</v>
      </c>
      <c r="J638" s="30">
        <v>30</v>
      </c>
      <c r="K638" s="25">
        <v>0</v>
      </c>
      <c r="L638" s="25">
        <v>23330</v>
      </c>
      <c r="M638" s="25">
        <v>0</v>
      </c>
      <c r="N638" s="25">
        <v>0</v>
      </c>
      <c r="O638" s="25">
        <v>0</v>
      </c>
      <c r="P638" s="25">
        <v>0</v>
      </c>
      <c r="Q638" s="25">
        <v>210</v>
      </c>
      <c r="R638" s="25">
        <v>406</v>
      </c>
      <c r="S638" s="25">
        <v>210</v>
      </c>
      <c r="T638" s="25">
        <v>406</v>
      </c>
      <c r="U638" s="29">
        <v>0</v>
      </c>
      <c r="V638" s="25">
        <v>0</v>
      </c>
      <c r="W638" s="25">
        <v>0</v>
      </c>
      <c r="X638" s="25">
        <v>0</v>
      </c>
      <c r="Y638" s="29">
        <v>0</v>
      </c>
      <c r="Z638" s="29">
        <v>0</v>
      </c>
      <c r="AA638" s="29">
        <v>0</v>
      </c>
      <c r="AB638" s="29">
        <v>201003</v>
      </c>
      <c r="AC638" s="29">
        <v>200</v>
      </c>
      <c r="AD638" s="29">
        <v>1</v>
      </c>
      <c r="AE638" s="29"/>
      <c r="GR638" s="5"/>
      <c r="GS638" s="5"/>
      <c r="GT638" s="5"/>
      <c r="GU638" s="5"/>
      <c r="GV638" s="5"/>
      <c r="GW638" s="5"/>
      <c r="GX638" s="5"/>
      <c r="GY638" s="5"/>
      <c r="GZ638" s="5"/>
      <c r="HA638" s="5"/>
      <c r="HB638" s="5"/>
      <c r="HC638" s="5"/>
      <c r="HD638" s="5"/>
      <c r="HE638" s="5"/>
      <c r="HF638" s="5"/>
      <c r="HG638" s="5"/>
      <c r="HH638" s="5"/>
      <c r="HI638" s="5"/>
      <c r="HJ638" s="5"/>
      <c r="HK638" s="5"/>
      <c r="HL638" s="5"/>
      <c r="HM638" s="5"/>
      <c r="HN638" s="5"/>
      <c r="HO638" s="5"/>
      <c r="HP638" s="5"/>
    </row>
    <row r="639" spans="3:224" ht="20.100000000000001" customHeight="1">
      <c r="C639" s="24">
        <v>15801001</v>
      </c>
      <c r="D639" s="25" t="s">
        <v>530</v>
      </c>
      <c r="E639" s="25">
        <v>11200003</v>
      </c>
      <c r="F639" s="25">
        <v>18011</v>
      </c>
      <c r="G639" s="25">
        <v>1</v>
      </c>
      <c r="H639" s="25">
        <v>60</v>
      </c>
      <c r="I639" s="29">
        <v>0.2</v>
      </c>
      <c r="J639" s="30">
        <v>35</v>
      </c>
      <c r="K639" s="25">
        <v>0</v>
      </c>
      <c r="L639" s="25">
        <v>0</v>
      </c>
      <c r="M639" s="25">
        <v>159</v>
      </c>
      <c r="N639" s="25">
        <v>315</v>
      </c>
      <c r="O639" s="25">
        <v>0</v>
      </c>
      <c r="P639" s="25">
        <v>0</v>
      </c>
      <c r="Q639" s="25">
        <v>90</v>
      </c>
      <c r="R639" s="25">
        <v>204</v>
      </c>
      <c r="S639" s="25">
        <v>90</v>
      </c>
      <c r="T639" s="25">
        <v>204</v>
      </c>
      <c r="U639" s="29">
        <v>0</v>
      </c>
      <c r="V639" s="25">
        <v>0</v>
      </c>
      <c r="W639" s="25">
        <v>0</v>
      </c>
      <c r="X639" s="25">
        <v>0</v>
      </c>
      <c r="Y639" s="29">
        <v>0</v>
      </c>
      <c r="Z639" s="29">
        <v>0</v>
      </c>
      <c r="AA639" s="29">
        <v>0</v>
      </c>
      <c r="AB639" s="29">
        <v>200503</v>
      </c>
      <c r="AC639" s="29">
        <v>200</v>
      </c>
      <c r="AD639" s="29">
        <v>1</v>
      </c>
      <c r="AE639" s="29"/>
      <c r="GR639" s="5"/>
      <c r="GS639" s="5"/>
      <c r="GT639" s="5"/>
      <c r="GU639" s="5"/>
      <c r="GV639" s="5"/>
      <c r="GW639" s="5"/>
      <c r="GX639" s="5"/>
      <c r="GY639" s="5"/>
      <c r="GZ639" s="5"/>
      <c r="HA639" s="5"/>
      <c r="HB639" s="5"/>
      <c r="HC639" s="5"/>
      <c r="HD639" s="5"/>
      <c r="HE639" s="5"/>
      <c r="HF639" s="5"/>
      <c r="HG639" s="5"/>
      <c r="HH639" s="5"/>
      <c r="HI639" s="5"/>
      <c r="HJ639" s="5"/>
      <c r="HK639" s="5"/>
      <c r="HL639" s="5"/>
      <c r="HM639" s="5"/>
      <c r="HN639" s="5"/>
      <c r="HO639" s="5"/>
      <c r="HP639" s="5"/>
    </row>
    <row r="640" spans="3:224" ht="20.100000000000001" customHeight="1">
      <c r="C640" s="24">
        <v>15801002</v>
      </c>
      <c r="D640" s="25" t="s">
        <v>532</v>
      </c>
      <c r="E640" s="25">
        <v>11200003</v>
      </c>
      <c r="F640" s="25">
        <v>18021</v>
      </c>
      <c r="G640" s="25">
        <v>1</v>
      </c>
      <c r="H640" s="25">
        <v>60</v>
      </c>
      <c r="I640" s="29">
        <v>0.2</v>
      </c>
      <c r="J640" s="30">
        <v>35</v>
      </c>
      <c r="K640" s="25">
        <v>0</v>
      </c>
      <c r="L640" s="25">
        <v>0</v>
      </c>
      <c r="M640" s="25">
        <v>225</v>
      </c>
      <c r="N640" s="25">
        <v>429</v>
      </c>
      <c r="O640" s="25">
        <v>0</v>
      </c>
      <c r="P640" s="25">
        <v>0</v>
      </c>
      <c r="Q640" s="25">
        <v>69</v>
      </c>
      <c r="R640" s="25">
        <v>135</v>
      </c>
      <c r="S640" s="25">
        <v>69</v>
      </c>
      <c r="T640" s="25">
        <v>135</v>
      </c>
      <c r="U640" s="29">
        <v>0</v>
      </c>
      <c r="V640" s="25">
        <v>0</v>
      </c>
      <c r="W640" s="25">
        <v>0</v>
      </c>
      <c r="X640" s="25">
        <v>0</v>
      </c>
      <c r="Y640" s="29">
        <v>0</v>
      </c>
      <c r="Z640" s="29">
        <v>0</v>
      </c>
      <c r="AA640" s="29">
        <v>0</v>
      </c>
      <c r="AB640" s="29">
        <v>200603</v>
      </c>
      <c r="AC640" s="29">
        <v>200</v>
      </c>
      <c r="AD640" s="29">
        <v>1</v>
      </c>
      <c r="AE640" s="29"/>
      <c r="GR640" s="5"/>
      <c r="GS640" s="5"/>
      <c r="GT640" s="5"/>
      <c r="GU640" s="5"/>
      <c r="GV640" s="5"/>
      <c r="GW640" s="5"/>
      <c r="GX640" s="5"/>
      <c r="GY640" s="5"/>
      <c r="GZ640" s="5"/>
      <c r="HA640" s="5"/>
      <c r="HB640" s="5"/>
      <c r="HC640" s="5"/>
      <c r="HD640" s="5"/>
      <c r="HE640" s="5"/>
      <c r="HF640" s="5"/>
      <c r="HG640" s="5"/>
      <c r="HH640" s="5"/>
      <c r="HI640" s="5"/>
      <c r="HJ640" s="5"/>
      <c r="HK640" s="5"/>
      <c r="HL640" s="5"/>
      <c r="HM640" s="5"/>
      <c r="HN640" s="5"/>
      <c r="HO640" s="5"/>
      <c r="HP640" s="5"/>
    </row>
    <row r="641" spans="3:224" ht="20.100000000000001" customHeight="1">
      <c r="C641" s="24">
        <v>15801003</v>
      </c>
      <c r="D641" s="25" t="s">
        <v>534</v>
      </c>
      <c r="E641" s="25">
        <v>11200003</v>
      </c>
      <c r="F641" s="25">
        <v>18031</v>
      </c>
      <c r="G641" s="25">
        <v>1</v>
      </c>
      <c r="H641" s="25">
        <v>60</v>
      </c>
      <c r="I641" s="29">
        <v>0.2</v>
      </c>
      <c r="J641" s="30">
        <v>35</v>
      </c>
      <c r="K641" s="25">
        <v>0</v>
      </c>
      <c r="L641" s="25">
        <v>0</v>
      </c>
      <c r="M641" s="25">
        <v>114</v>
      </c>
      <c r="N641" s="25">
        <v>249</v>
      </c>
      <c r="O641" s="25">
        <v>0</v>
      </c>
      <c r="P641" s="25">
        <v>0</v>
      </c>
      <c r="Q641" s="25">
        <v>114</v>
      </c>
      <c r="R641" s="25">
        <v>249</v>
      </c>
      <c r="S641" s="25">
        <v>114</v>
      </c>
      <c r="T641" s="25">
        <v>249</v>
      </c>
      <c r="U641" s="29">
        <v>0</v>
      </c>
      <c r="V641" s="25">
        <v>0</v>
      </c>
      <c r="W641" s="25">
        <v>0</v>
      </c>
      <c r="X641" s="25">
        <v>0</v>
      </c>
      <c r="Y641" s="29">
        <v>0</v>
      </c>
      <c r="Z641" s="29">
        <v>0</v>
      </c>
      <c r="AA641" s="29">
        <v>0</v>
      </c>
      <c r="AB641" s="29">
        <v>200503</v>
      </c>
      <c r="AC641" s="29">
        <v>200</v>
      </c>
      <c r="AD641" s="29">
        <v>1</v>
      </c>
      <c r="AE641" s="29"/>
      <c r="GR641" s="5"/>
      <c r="GS641" s="5"/>
      <c r="GT641" s="5"/>
      <c r="GU641" s="5"/>
      <c r="GV641" s="5"/>
      <c r="GW641" s="5"/>
      <c r="GX641" s="5"/>
      <c r="GY641" s="5"/>
      <c r="GZ641" s="5"/>
      <c r="HA641" s="5"/>
      <c r="HB641" s="5"/>
      <c r="HC641" s="5"/>
      <c r="HD641" s="5"/>
      <c r="HE641" s="5"/>
      <c r="HF641" s="5"/>
      <c r="HG641" s="5"/>
      <c r="HH641" s="5"/>
      <c r="HI641" s="5"/>
      <c r="HJ641" s="5"/>
      <c r="HK641" s="5"/>
      <c r="HL641" s="5"/>
      <c r="HM641" s="5"/>
      <c r="HN641" s="5"/>
      <c r="HO641" s="5"/>
      <c r="HP641" s="5"/>
    </row>
    <row r="642" spans="3:224" ht="20.100000000000001" customHeight="1">
      <c r="C642" s="24">
        <v>15802001</v>
      </c>
      <c r="D642" s="25" t="s">
        <v>536</v>
      </c>
      <c r="E642" s="25">
        <v>11200003</v>
      </c>
      <c r="F642" s="25">
        <v>18011</v>
      </c>
      <c r="G642" s="25">
        <v>1</v>
      </c>
      <c r="H642" s="25">
        <v>60</v>
      </c>
      <c r="I642" s="29">
        <v>0.2</v>
      </c>
      <c r="J642" s="30">
        <v>35</v>
      </c>
      <c r="K642" s="25">
        <v>0</v>
      </c>
      <c r="L642" s="25">
        <v>0</v>
      </c>
      <c r="M642" s="25">
        <v>204</v>
      </c>
      <c r="N642" s="25">
        <v>429</v>
      </c>
      <c r="O642" s="25">
        <v>0</v>
      </c>
      <c r="P642" s="25">
        <v>0</v>
      </c>
      <c r="Q642" s="25">
        <v>0</v>
      </c>
      <c r="R642" s="25">
        <v>0</v>
      </c>
      <c r="S642" s="25">
        <v>294</v>
      </c>
      <c r="T642" s="25">
        <v>585</v>
      </c>
      <c r="U642" s="29">
        <v>0</v>
      </c>
      <c r="V642" s="25">
        <v>0</v>
      </c>
      <c r="W642" s="25">
        <v>0</v>
      </c>
      <c r="X642" s="25">
        <v>0</v>
      </c>
      <c r="Y642" s="29">
        <v>0</v>
      </c>
      <c r="Z642" s="29">
        <v>0</v>
      </c>
      <c r="AA642" s="29">
        <v>0</v>
      </c>
      <c r="AB642" s="29">
        <v>202303</v>
      </c>
      <c r="AC642" s="29">
        <v>200</v>
      </c>
      <c r="AD642" s="29">
        <v>1</v>
      </c>
      <c r="AE642" s="29"/>
      <c r="GR642" s="5"/>
      <c r="GS642" s="5"/>
      <c r="GT642" s="5"/>
      <c r="GU642" s="5"/>
      <c r="GV642" s="5"/>
      <c r="GW642" s="5"/>
      <c r="GX642" s="5"/>
      <c r="GY642" s="5"/>
      <c r="GZ642" s="5"/>
      <c r="HA642" s="5"/>
      <c r="HB642" s="5"/>
      <c r="HC642" s="5"/>
      <c r="HD642" s="5"/>
      <c r="HE642" s="5"/>
      <c r="HF642" s="5"/>
      <c r="HG642" s="5"/>
      <c r="HH642" s="5"/>
      <c r="HI642" s="5"/>
      <c r="HJ642" s="5"/>
      <c r="HK642" s="5"/>
      <c r="HL642" s="5"/>
      <c r="HM642" s="5"/>
      <c r="HN642" s="5"/>
      <c r="HO642" s="5"/>
      <c r="HP642" s="5"/>
    </row>
    <row r="643" spans="3:224" ht="20.100000000000001" customHeight="1">
      <c r="C643" s="24">
        <v>15802002</v>
      </c>
      <c r="D643" s="25" t="s">
        <v>538</v>
      </c>
      <c r="E643" s="25">
        <v>11200003</v>
      </c>
      <c r="F643" s="25">
        <v>18021</v>
      </c>
      <c r="G643" s="25">
        <v>1</v>
      </c>
      <c r="H643" s="25">
        <v>60</v>
      </c>
      <c r="I643" s="29">
        <v>0.2</v>
      </c>
      <c r="J643" s="30">
        <v>35</v>
      </c>
      <c r="K643" s="25">
        <v>0</v>
      </c>
      <c r="L643" s="25">
        <v>0</v>
      </c>
      <c r="M643" s="25">
        <v>294</v>
      </c>
      <c r="N643" s="25">
        <v>564</v>
      </c>
      <c r="O643" s="25">
        <v>0</v>
      </c>
      <c r="P643" s="25">
        <v>0</v>
      </c>
      <c r="Q643" s="25">
        <v>0</v>
      </c>
      <c r="R643" s="25">
        <v>0</v>
      </c>
      <c r="S643" s="25">
        <v>225</v>
      </c>
      <c r="T643" s="25">
        <v>429</v>
      </c>
      <c r="U643" s="29">
        <v>0</v>
      </c>
      <c r="V643" s="25">
        <v>0</v>
      </c>
      <c r="W643" s="25">
        <v>0</v>
      </c>
      <c r="X643" s="25">
        <v>0</v>
      </c>
      <c r="Y643" s="29">
        <v>0</v>
      </c>
      <c r="Z643" s="29">
        <v>0</v>
      </c>
      <c r="AA643" s="29">
        <v>0</v>
      </c>
      <c r="AB643" s="29">
        <v>202303</v>
      </c>
      <c r="AC643" s="29">
        <v>200</v>
      </c>
      <c r="AD643" s="29">
        <v>1</v>
      </c>
      <c r="AE643" s="29"/>
      <c r="GR643" s="5"/>
      <c r="GS643" s="5"/>
      <c r="GT643" s="5"/>
      <c r="GU643" s="5"/>
      <c r="GV643" s="5"/>
      <c r="GW643" s="5"/>
      <c r="GX643" s="5"/>
      <c r="GY643" s="5"/>
      <c r="GZ643" s="5"/>
      <c r="HA643" s="5"/>
      <c r="HB643" s="5"/>
      <c r="HC643" s="5"/>
      <c r="HD643" s="5"/>
      <c r="HE643" s="5"/>
      <c r="HF643" s="5"/>
      <c r="HG643" s="5"/>
      <c r="HH643" s="5"/>
      <c r="HI643" s="5"/>
      <c r="HJ643" s="5"/>
      <c r="HK643" s="5"/>
      <c r="HL643" s="5"/>
      <c r="HM643" s="5"/>
      <c r="HN643" s="5"/>
      <c r="HO643" s="5"/>
      <c r="HP643" s="5"/>
    </row>
    <row r="644" spans="3:224" ht="20.100000000000001" customHeight="1">
      <c r="C644" s="24">
        <v>15802003</v>
      </c>
      <c r="D644" s="25" t="s">
        <v>540</v>
      </c>
      <c r="E644" s="25">
        <v>11200003</v>
      </c>
      <c r="F644" s="25">
        <v>18031</v>
      </c>
      <c r="G644" s="25">
        <v>1</v>
      </c>
      <c r="H644" s="25">
        <v>60</v>
      </c>
      <c r="I644" s="29">
        <v>0.2</v>
      </c>
      <c r="J644" s="30">
        <v>35</v>
      </c>
      <c r="K644" s="25">
        <v>0</v>
      </c>
      <c r="L644" s="25">
        <v>0</v>
      </c>
      <c r="M644" s="25">
        <v>159</v>
      </c>
      <c r="N644" s="25">
        <v>315</v>
      </c>
      <c r="O644" s="25">
        <v>0</v>
      </c>
      <c r="P644" s="25">
        <v>0</v>
      </c>
      <c r="Q644" s="25">
        <v>0</v>
      </c>
      <c r="R644" s="25">
        <v>0</v>
      </c>
      <c r="S644" s="25">
        <v>360</v>
      </c>
      <c r="T644" s="25">
        <v>720</v>
      </c>
      <c r="U644" s="29">
        <v>0</v>
      </c>
      <c r="V644" s="25">
        <v>0</v>
      </c>
      <c r="W644" s="25">
        <v>0</v>
      </c>
      <c r="X644" s="25">
        <v>0</v>
      </c>
      <c r="Y644" s="29">
        <v>0</v>
      </c>
      <c r="Z644" s="29">
        <v>0</v>
      </c>
      <c r="AA644" s="29">
        <v>0</v>
      </c>
      <c r="AB644" s="29">
        <v>202303</v>
      </c>
      <c r="AC644" s="29">
        <v>200</v>
      </c>
      <c r="AD644" s="29">
        <v>1</v>
      </c>
      <c r="AE644" s="29"/>
      <c r="GR644" s="5"/>
      <c r="GS644" s="5"/>
      <c r="GT644" s="5"/>
      <c r="GU644" s="5"/>
      <c r="GV644" s="5"/>
      <c r="GW644" s="5"/>
      <c r="GX644" s="5"/>
      <c r="GY644" s="5"/>
      <c r="GZ644" s="5"/>
      <c r="HA644" s="5"/>
      <c r="HB644" s="5"/>
      <c r="HC644" s="5"/>
      <c r="HD644" s="5"/>
      <c r="HE644" s="5"/>
      <c r="HF644" s="5"/>
      <c r="HG644" s="5"/>
      <c r="HH644" s="5"/>
      <c r="HI644" s="5"/>
      <c r="HJ644" s="5"/>
      <c r="HK644" s="5"/>
      <c r="HL644" s="5"/>
      <c r="HM644" s="5"/>
      <c r="HN644" s="5"/>
      <c r="HO644" s="5"/>
      <c r="HP644" s="5"/>
    </row>
    <row r="645" spans="3:224" ht="20.100000000000001" customHeight="1">
      <c r="C645" s="24">
        <v>15803001</v>
      </c>
      <c r="D645" s="25" t="s">
        <v>542</v>
      </c>
      <c r="E645" s="25">
        <v>11200003</v>
      </c>
      <c r="F645" s="25">
        <v>18011</v>
      </c>
      <c r="G645" s="25">
        <v>1</v>
      </c>
      <c r="H645" s="25">
        <v>60</v>
      </c>
      <c r="I645" s="29">
        <v>0.2</v>
      </c>
      <c r="J645" s="30">
        <v>35</v>
      </c>
      <c r="K645" s="25">
        <v>0</v>
      </c>
      <c r="L645" s="25">
        <v>6795</v>
      </c>
      <c r="M645" s="25">
        <v>114</v>
      </c>
      <c r="N645" s="25">
        <v>225</v>
      </c>
      <c r="O645" s="25">
        <v>0</v>
      </c>
      <c r="P645" s="25">
        <v>0</v>
      </c>
      <c r="Q645" s="25">
        <v>204</v>
      </c>
      <c r="R645" s="25">
        <v>384</v>
      </c>
      <c r="S645" s="25">
        <v>0</v>
      </c>
      <c r="T645" s="25">
        <v>0</v>
      </c>
      <c r="U645" s="29">
        <v>0</v>
      </c>
      <c r="V645" s="25">
        <v>0</v>
      </c>
      <c r="W645" s="25">
        <v>0</v>
      </c>
      <c r="X645" s="25">
        <v>0</v>
      </c>
      <c r="Y645" s="29">
        <v>0</v>
      </c>
      <c r="Z645" s="29">
        <v>0</v>
      </c>
      <c r="AA645" s="29">
        <v>0</v>
      </c>
      <c r="AB645" s="29">
        <v>200403</v>
      </c>
      <c r="AC645" s="29">
        <v>200</v>
      </c>
      <c r="AD645" s="29">
        <v>1</v>
      </c>
      <c r="AE645" s="29"/>
      <c r="GR645" s="5"/>
      <c r="GS645" s="5"/>
      <c r="GT645" s="5"/>
      <c r="GU645" s="5"/>
      <c r="GV645" s="5"/>
      <c r="GW645" s="5"/>
      <c r="GX645" s="5"/>
      <c r="GY645" s="5"/>
      <c r="GZ645" s="5"/>
      <c r="HA645" s="5"/>
      <c r="HB645" s="5"/>
      <c r="HC645" s="5"/>
      <c r="HD645" s="5"/>
      <c r="HE645" s="5"/>
      <c r="HF645" s="5"/>
      <c r="HG645" s="5"/>
      <c r="HH645" s="5"/>
      <c r="HI645" s="5"/>
      <c r="HJ645" s="5"/>
      <c r="HK645" s="5"/>
      <c r="HL645" s="5"/>
      <c r="HM645" s="5"/>
      <c r="HN645" s="5"/>
      <c r="HO645" s="5"/>
      <c r="HP645" s="5"/>
    </row>
    <row r="646" spans="3:224" ht="20.100000000000001" customHeight="1">
      <c r="C646" s="24">
        <v>15803002</v>
      </c>
      <c r="D646" s="25" t="s">
        <v>544</v>
      </c>
      <c r="E646" s="25">
        <v>11200003</v>
      </c>
      <c r="F646" s="25">
        <v>18021</v>
      </c>
      <c r="G646" s="25">
        <v>1</v>
      </c>
      <c r="H646" s="25">
        <v>60</v>
      </c>
      <c r="I646" s="29">
        <v>0.2</v>
      </c>
      <c r="J646" s="30">
        <v>35</v>
      </c>
      <c r="K646" s="25">
        <v>0</v>
      </c>
      <c r="L646" s="25">
        <v>3405</v>
      </c>
      <c r="M646" s="25">
        <v>159</v>
      </c>
      <c r="N646" s="25">
        <v>315</v>
      </c>
      <c r="O646" s="25">
        <v>0</v>
      </c>
      <c r="P646" s="25">
        <v>0</v>
      </c>
      <c r="Q646" s="25">
        <v>135</v>
      </c>
      <c r="R646" s="25">
        <v>294</v>
      </c>
      <c r="S646" s="25">
        <v>0</v>
      </c>
      <c r="T646" s="25">
        <v>0</v>
      </c>
      <c r="U646" s="29">
        <v>0</v>
      </c>
      <c r="V646" s="25">
        <v>0</v>
      </c>
      <c r="W646" s="25">
        <v>0</v>
      </c>
      <c r="X646" s="25">
        <v>0</v>
      </c>
      <c r="Y646" s="29">
        <v>0</v>
      </c>
      <c r="Z646" s="29">
        <v>0</v>
      </c>
      <c r="AA646" s="29">
        <v>0</v>
      </c>
      <c r="AB646" s="29">
        <v>200403</v>
      </c>
      <c r="AC646" s="29">
        <v>200</v>
      </c>
      <c r="AD646" s="29">
        <v>1</v>
      </c>
      <c r="AE646" s="29"/>
      <c r="GR646" s="5"/>
      <c r="GS646" s="5"/>
      <c r="GT646" s="5"/>
      <c r="GU646" s="5"/>
      <c r="GV646" s="5"/>
      <c r="GW646" s="5"/>
      <c r="GX646" s="5"/>
      <c r="GY646" s="5"/>
      <c r="GZ646" s="5"/>
      <c r="HA646" s="5"/>
      <c r="HB646" s="5"/>
      <c r="HC646" s="5"/>
      <c r="HD646" s="5"/>
      <c r="HE646" s="5"/>
      <c r="HF646" s="5"/>
      <c r="HG646" s="5"/>
      <c r="HH646" s="5"/>
      <c r="HI646" s="5"/>
      <c r="HJ646" s="5"/>
      <c r="HK646" s="5"/>
      <c r="HL646" s="5"/>
      <c r="HM646" s="5"/>
      <c r="HN646" s="5"/>
      <c r="HO646" s="5"/>
      <c r="HP646" s="5"/>
    </row>
    <row r="647" spans="3:224" ht="20.100000000000001" customHeight="1">
      <c r="C647" s="24">
        <v>15803003</v>
      </c>
      <c r="D647" s="25" t="s">
        <v>546</v>
      </c>
      <c r="E647" s="25">
        <v>11200003</v>
      </c>
      <c r="F647" s="25">
        <v>18031</v>
      </c>
      <c r="G647" s="25">
        <v>1</v>
      </c>
      <c r="H647" s="25">
        <v>60</v>
      </c>
      <c r="I647" s="29">
        <v>0.2</v>
      </c>
      <c r="J647" s="30">
        <v>35</v>
      </c>
      <c r="K647" s="25">
        <v>0</v>
      </c>
      <c r="L647" s="25">
        <v>10215</v>
      </c>
      <c r="M647" s="25">
        <v>90</v>
      </c>
      <c r="N647" s="25">
        <v>180</v>
      </c>
      <c r="O647" s="25">
        <v>0</v>
      </c>
      <c r="P647" s="25">
        <v>0</v>
      </c>
      <c r="Q647" s="25">
        <v>249</v>
      </c>
      <c r="R647" s="25">
        <v>495</v>
      </c>
      <c r="S647" s="25">
        <v>0</v>
      </c>
      <c r="T647" s="25">
        <v>0</v>
      </c>
      <c r="U647" s="29">
        <v>0</v>
      </c>
      <c r="V647" s="25">
        <v>0</v>
      </c>
      <c r="W647" s="25">
        <v>0</v>
      </c>
      <c r="X647" s="25">
        <v>0</v>
      </c>
      <c r="Y647" s="29">
        <v>0</v>
      </c>
      <c r="Z647" s="29">
        <v>0</v>
      </c>
      <c r="AA647" s="29">
        <v>0</v>
      </c>
      <c r="AB647" s="29">
        <v>200403</v>
      </c>
      <c r="AC647" s="29">
        <v>200</v>
      </c>
      <c r="AD647" s="29">
        <v>1</v>
      </c>
      <c r="AE647" s="29"/>
      <c r="GR647" s="5"/>
      <c r="GS647" s="5"/>
      <c r="GT647" s="5"/>
      <c r="GU647" s="5"/>
      <c r="GV647" s="5"/>
      <c r="GW647" s="5"/>
      <c r="GX647" s="5"/>
      <c r="GY647" s="5"/>
      <c r="GZ647" s="5"/>
      <c r="HA647" s="5"/>
      <c r="HB647" s="5"/>
      <c r="HC647" s="5"/>
      <c r="HD647" s="5"/>
      <c r="HE647" s="5"/>
      <c r="HF647" s="5"/>
      <c r="HG647" s="5"/>
      <c r="HH647" s="5"/>
      <c r="HI647" s="5"/>
      <c r="HJ647" s="5"/>
      <c r="HK647" s="5"/>
      <c r="HL647" s="5"/>
      <c r="HM647" s="5"/>
      <c r="HN647" s="5"/>
      <c r="HO647" s="5"/>
      <c r="HP647" s="5"/>
    </row>
    <row r="648" spans="3:224" ht="20.100000000000001" customHeight="1">
      <c r="C648" s="24">
        <v>15804001</v>
      </c>
      <c r="D648" s="25" t="s">
        <v>549</v>
      </c>
      <c r="E648" s="25">
        <v>11200003</v>
      </c>
      <c r="F648" s="25">
        <v>18011</v>
      </c>
      <c r="G648" s="25">
        <v>1</v>
      </c>
      <c r="H648" s="25">
        <v>60</v>
      </c>
      <c r="I648" s="29">
        <v>0.2</v>
      </c>
      <c r="J648" s="30">
        <v>35</v>
      </c>
      <c r="K648" s="25">
        <v>0</v>
      </c>
      <c r="L648" s="25">
        <v>0</v>
      </c>
      <c r="M648" s="25">
        <v>180</v>
      </c>
      <c r="N648" s="25">
        <v>360</v>
      </c>
      <c r="O648" s="25">
        <v>0</v>
      </c>
      <c r="P648" s="25">
        <v>0</v>
      </c>
      <c r="Q648" s="25">
        <v>204</v>
      </c>
      <c r="R648" s="25">
        <v>384</v>
      </c>
      <c r="S648" s="25">
        <v>204</v>
      </c>
      <c r="T648" s="25">
        <v>384</v>
      </c>
      <c r="U648" s="29">
        <v>0</v>
      </c>
      <c r="V648" s="25">
        <v>0</v>
      </c>
      <c r="W648" s="25">
        <v>0</v>
      </c>
      <c r="X648" s="25">
        <v>0</v>
      </c>
      <c r="Y648" s="29">
        <v>0</v>
      </c>
      <c r="Z648" s="29">
        <v>0</v>
      </c>
      <c r="AA648" s="29">
        <v>0</v>
      </c>
      <c r="AB648" s="29">
        <v>202203</v>
      </c>
      <c r="AC648" s="29">
        <v>200</v>
      </c>
      <c r="AD648" s="29">
        <v>1</v>
      </c>
      <c r="AE648" s="29"/>
      <c r="GR648" s="5"/>
      <c r="GS648" s="5"/>
      <c r="GT648" s="5"/>
      <c r="GU648" s="5"/>
      <c r="GV648" s="5"/>
      <c r="GW648" s="5"/>
      <c r="GX648" s="5"/>
      <c r="GY648" s="5"/>
      <c r="GZ648" s="5"/>
      <c r="HA648" s="5"/>
      <c r="HB648" s="5"/>
      <c r="HC648" s="5"/>
      <c r="HD648" s="5"/>
      <c r="HE648" s="5"/>
      <c r="HF648" s="5"/>
      <c r="HG648" s="5"/>
      <c r="HH648" s="5"/>
      <c r="HI648" s="5"/>
      <c r="HJ648" s="5"/>
      <c r="HK648" s="5"/>
      <c r="HL648" s="5"/>
      <c r="HM648" s="5"/>
      <c r="HN648" s="5"/>
      <c r="HO648" s="5"/>
      <c r="HP648" s="5"/>
    </row>
    <row r="649" spans="3:224" ht="20.100000000000001" customHeight="1">
      <c r="C649" s="24">
        <v>15804002</v>
      </c>
      <c r="D649" s="25" t="s">
        <v>551</v>
      </c>
      <c r="E649" s="25">
        <v>11200003</v>
      </c>
      <c r="F649" s="25">
        <v>18021</v>
      </c>
      <c r="G649" s="25">
        <v>1</v>
      </c>
      <c r="H649" s="25">
        <v>60</v>
      </c>
      <c r="I649" s="29">
        <v>0.2</v>
      </c>
      <c r="J649" s="30">
        <v>35</v>
      </c>
      <c r="K649" s="25">
        <v>0</v>
      </c>
      <c r="L649" s="25">
        <v>0</v>
      </c>
      <c r="M649" s="25">
        <v>249</v>
      </c>
      <c r="N649" s="25">
        <v>474</v>
      </c>
      <c r="O649" s="25">
        <v>0</v>
      </c>
      <c r="P649" s="25">
        <v>0</v>
      </c>
      <c r="Q649" s="25">
        <v>135</v>
      </c>
      <c r="R649" s="25">
        <v>294</v>
      </c>
      <c r="S649" s="25">
        <v>135</v>
      </c>
      <c r="T649" s="25">
        <v>294</v>
      </c>
      <c r="U649" s="29">
        <v>0</v>
      </c>
      <c r="V649" s="25">
        <v>0</v>
      </c>
      <c r="W649" s="25">
        <v>0</v>
      </c>
      <c r="X649" s="25">
        <v>0</v>
      </c>
      <c r="Y649" s="29">
        <v>0</v>
      </c>
      <c r="Z649" s="29">
        <v>0</v>
      </c>
      <c r="AA649" s="29">
        <v>0</v>
      </c>
      <c r="AB649" s="29">
        <v>202303</v>
      </c>
      <c r="AC649" s="29">
        <v>200</v>
      </c>
      <c r="AD649" s="29">
        <v>1</v>
      </c>
      <c r="AE649" s="29"/>
      <c r="GR649" s="5"/>
      <c r="GS649" s="5"/>
      <c r="GT649" s="5"/>
      <c r="GU649" s="5"/>
      <c r="GV649" s="5"/>
      <c r="GW649" s="5"/>
      <c r="GX649" s="5"/>
      <c r="GY649" s="5"/>
      <c r="GZ649" s="5"/>
      <c r="HA649" s="5"/>
      <c r="HB649" s="5"/>
      <c r="HC649" s="5"/>
      <c r="HD649" s="5"/>
      <c r="HE649" s="5"/>
      <c r="HF649" s="5"/>
      <c r="HG649" s="5"/>
      <c r="HH649" s="5"/>
      <c r="HI649" s="5"/>
      <c r="HJ649" s="5"/>
      <c r="HK649" s="5"/>
      <c r="HL649" s="5"/>
      <c r="HM649" s="5"/>
      <c r="HN649" s="5"/>
      <c r="HO649" s="5"/>
      <c r="HP649" s="5"/>
    </row>
    <row r="650" spans="3:224" ht="20.100000000000001" customHeight="1">
      <c r="C650" s="24">
        <v>15804003</v>
      </c>
      <c r="D650" s="25" t="s">
        <v>553</v>
      </c>
      <c r="E650" s="25">
        <v>11200003</v>
      </c>
      <c r="F650" s="25">
        <v>18031</v>
      </c>
      <c r="G650" s="25">
        <v>1</v>
      </c>
      <c r="H650" s="25">
        <v>60</v>
      </c>
      <c r="I650" s="29">
        <v>0.2</v>
      </c>
      <c r="J650" s="30">
        <v>35</v>
      </c>
      <c r="K650" s="25">
        <v>0</v>
      </c>
      <c r="L650" s="25">
        <v>0</v>
      </c>
      <c r="M650" s="25">
        <v>135</v>
      </c>
      <c r="N650" s="25">
        <v>270</v>
      </c>
      <c r="O650" s="25">
        <v>0</v>
      </c>
      <c r="P650" s="25">
        <v>0</v>
      </c>
      <c r="Q650" s="25">
        <v>249</v>
      </c>
      <c r="R650" s="25">
        <v>495</v>
      </c>
      <c r="S650" s="25">
        <v>249</v>
      </c>
      <c r="T650" s="25">
        <v>495</v>
      </c>
      <c r="U650" s="29">
        <v>0</v>
      </c>
      <c r="V650" s="25">
        <v>0</v>
      </c>
      <c r="W650" s="25">
        <v>0</v>
      </c>
      <c r="X650" s="25">
        <v>0</v>
      </c>
      <c r="Y650" s="29">
        <v>0</v>
      </c>
      <c r="Z650" s="29">
        <v>0</v>
      </c>
      <c r="AA650" s="29">
        <v>0</v>
      </c>
      <c r="AB650" s="29">
        <v>202203</v>
      </c>
      <c r="AC650" s="29">
        <v>200</v>
      </c>
      <c r="AD650" s="29">
        <v>1</v>
      </c>
      <c r="AE650" s="29"/>
      <c r="GR650" s="5"/>
      <c r="GS650" s="5"/>
      <c r="GT650" s="5"/>
      <c r="GU650" s="5"/>
      <c r="GV650" s="5"/>
      <c r="GW650" s="5"/>
      <c r="GX650" s="5"/>
      <c r="GY650" s="5"/>
      <c r="GZ650" s="5"/>
      <c r="HA650" s="5"/>
      <c r="HB650" s="5"/>
      <c r="HC650" s="5"/>
      <c r="HD650" s="5"/>
      <c r="HE650" s="5"/>
      <c r="HF650" s="5"/>
      <c r="HG650" s="5"/>
      <c r="HH650" s="5"/>
      <c r="HI650" s="5"/>
      <c r="HJ650" s="5"/>
      <c r="HK650" s="5"/>
      <c r="HL650" s="5"/>
      <c r="HM650" s="5"/>
      <c r="HN650" s="5"/>
      <c r="HO650" s="5"/>
      <c r="HP650" s="5"/>
    </row>
    <row r="651" spans="3:224" ht="20.100000000000001" customHeight="1">
      <c r="C651" s="24">
        <v>15805001</v>
      </c>
      <c r="D651" s="25" t="s">
        <v>555</v>
      </c>
      <c r="E651" s="25">
        <v>11200003</v>
      </c>
      <c r="F651" s="25">
        <v>18011</v>
      </c>
      <c r="G651" s="25">
        <v>1</v>
      </c>
      <c r="H651" s="25">
        <v>60</v>
      </c>
      <c r="I651" s="29">
        <v>0.2</v>
      </c>
      <c r="J651" s="30">
        <v>35</v>
      </c>
      <c r="K651" s="25">
        <v>0</v>
      </c>
      <c r="L651" s="25">
        <v>17010</v>
      </c>
      <c r="M651" s="25">
        <v>249</v>
      </c>
      <c r="N651" s="25">
        <v>495</v>
      </c>
      <c r="O651" s="25">
        <v>0</v>
      </c>
      <c r="P651" s="25">
        <v>0</v>
      </c>
      <c r="Q651" s="25">
        <v>90</v>
      </c>
      <c r="R651" s="25">
        <v>204</v>
      </c>
      <c r="S651" s="25">
        <v>0</v>
      </c>
      <c r="T651" s="25">
        <v>0</v>
      </c>
      <c r="U651" s="29">
        <v>0</v>
      </c>
      <c r="V651" s="25">
        <v>0</v>
      </c>
      <c r="W651" s="25">
        <v>0</v>
      </c>
      <c r="X651" s="25">
        <v>0</v>
      </c>
      <c r="Y651" s="29">
        <v>0</v>
      </c>
      <c r="Z651" s="29">
        <v>0</v>
      </c>
      <c r="AA651" s="29">
        <v>0</v>
      </c>
      <c r="AB651" s="29">
        <v>200103</v>
      </c>
      <c r="AC651" s="29">
        <v>200</v>
      </c>
      <c r="AD651" s="29">
        <v>1</v>
      </c>
      <c r="AE651" s="29"/>
      <c r="GR651" s="5"/>
      <c r="GS651" s="5"/>
      <c r="GT651" s="5"/>
      <c r="GU651" s="5"/>
      <c r="GV651" s="5"/>
      <c r="GW651" s="5"/>
      <c r="GX651" s="5"/>
      <c r="GY651" s="5"/>
      <c r="GZ651" s="5"/>
      <c r="HA651" s="5"/>
      <c r="HB651" s="5"/>
      <c r="HC651" s="5"/>
      <c r="HD651" s="5"/>
      <c r="HE651" s="5"/>
      <c r="HF651" s="5"/>
      <c r="HG651" s="5"/>
      <c r="HH651" s="5"/>
      <c r="HI651" s="5"/>
      <c r="HJ651" s="5"/>
      <c r="HK651" s="5"/>
      <c r="HL651" s="5"/>
      <c r="HM651" s="5"/>
      <c r="HN651" s="5"/>
      <c r="HO651" s="5"/>
      <c r="HP651" s="5"/>
    </row>
    <row r="652" spans="3:224" ht="20.100000000000001" customHeight="1">
      <c r="C652" s="24">
        <v>15805002</v>
      </c>
      <c r="D652" s="25" t="s">
        <v>557</v>
      </c>
      <c r="E652" s="25">
        <v>11200003</v>
      </c>
      <c r="F652" s="25">
        <v>18021</v>
      </c>
      <c r="G652" s="25">
        <v>1</v>
      </c>
      <c r="H652" s="25">
        <v>60</v>
      </c>
      <c r="I652" s="29">
        <v>0.2</v>
      </c>
      <c r="J652" s="30">
        <v>35</v>
      </c>
      <c r="K652" s="25">
        <v>0</v>
      </c>
      <c r="L652" s="25">
        <v>8505</v>
      </c>
      <c r="M652" s="25">
        <v>339</v>
      </c>
      <c r="N652" s="25">
        <v>654</v>
      </c>
      <c r="O652" s="25">
        <v>0</v>
      </c>
      <c r="P652" s="25">
        <v>0</v>
      </c>
      <c r="Q652" s="25">
        <v>69</v>
      </c>
      <c r="R652" s="25">
        <v>135</v>
      </c>
      <c r="S652" s="25">
        <v>0</v>
      </c>
      <c r="T652" s="25">
        <v>0</v>
      </c>
      <c r="U652" s="29">
        <v>0</v>
      </c>
      <c r="V652" s="25">
        <v>0</v>
      </c>
      <c r="W652" s="25">
        <v>0</v>
      </c>
      <c r="X652" s="25">
        <v>0</v>
      </c>
      <c r="Y652" s="29">
        <v>0</v>
      </c>
      <c r="Z652" s="29">
        <v>0</v>
      </c>
      <c r="AA652" s="29">
        <v>0</v>
      </c>
      <c r="AB652" s="29">
        <v>200103</v>
      </c>
      <c r="AC652" s="29">
        <v>200</v>
      </c>
      <c r="AD652" s="29">
        <v>1</v>
      </c>
      <c r="AE652" s="29"/>
      <c r="GR652" s="5"/>
      <c r="GS652" s="5"/>
      <c r="GT652" s="5"/>
      <c r="GU652" s="5"/>
      <c r="GV652" s="5"/>
      <c r="GW652" s="5"/>
      <c r="GX652" s="5"/>
      <c r="GY652" s="5"/>
      <c r="GZ652" s="5"/>
      <c r="HA652" s="5"/>
      <c r="HB652" s="5"/>
      <c r="HC652" s="5"/>
      <c r="HD652" s="5"/>
      <c r="HE652" s="5"/>
      <c r="HF652" s="5"/>
      <c r="HG652" s="5"/>
      <c r="HH652" s="5"/>
      <c r="HI652" s="5"/>
      <c r="HJ652" s="5"/>
      <c r="HK652" s="5"/>
      <c r="HL652" s="5"/>
      <c r="HM652" s="5"/>
      <c r="HN652" s="5"/>
      <c r="HO652" s="5"/>
      <c r="HP652" s="5"/>
    </row>
    <row r="653" spans="3:224" ht="20.100000000000001" customHeight="1">
      <c r="C653" s="24">
        <v>15805003</v>
      </c>
      <c r="D653" s="25" t="s">
        <v>559</v>
      </c>
      <c r="E653" s="25">
        <v>11200003</v>
      </c>
      <c r="F653" s="25">
        <v>18031</v>
      </c>
      <c r="G653" s="25">
        <v>1</v>
      </c>
      <c r="H653" s="25">
        <v>60</v>
      </c>
      <c r="I653" s="29">
        <v>0.2</v>
      </c>
      <c r="J653" s="30">
        <v>35</v>
      </c>
      <c r="K653" s="25">
        <v>0</v>
      </c>
      <c r="L653" s="25">
        <v>25515</v>
      </c>
      <c r="M653" s="25">
        <v>180</v>
      </c>
      <c r="N653" s="25">
        <v>360</v>
      </c>
      <c r="O653" s="25">
        <v>0</v>
      </c>
      <c r="P653" s="25">
        <v>0</v>
      </c>
      <c r="Q653" s="25">
        <v>114</v>
      </c>
      <c r="R653" s="25">
        <v>249</v>
      </c>
      <c r="S653" s="25">
        <v>0</v>
      </c>
      <c r="T653" s="25">
        <v>0</v>
      </c>
      <c r="U653" s="29">
        <v>0</v>
      </c>
      <c r="V653" s="25">
        <v>0</v>
      </c>
      <c r="W653" s="25">
        <v>0</v>
      </c>
      <c r="X653" s="25">
        <v>0</v>
      </c>
      <c r="Y653" s="29">
        <v>0</v>
      </c>
      <c r="Z653" s="29">
        <v>0</v>
      </c>
      <c r="AA653" s="29">
        <v>0</v>
      </c>
      <c r="AB653" s="29">
        <v>200103</v>
      </c>
      <c r="AC653" s="29">
        <v>200</v>
      </c>
      <c r="AD653" s="29">
        <v>1</v>
      </c>
      <c r="AE653" s="29"/>
      <c r="GR653" s="5"/>
      <c r="GS653" s="5"/>
      <c r="GT653" s="5"/>
      <c r="GU653" s="5"/>
      <c r="GV653" s="5"/>
      <c r="GW653" s="5"/>
      <c r="GX653" s="5"/>
      <c r="GY653" s="5"/>
      <c r="GZ653" s="5"/>
      <c r="HA653" s="5"/>
      <c r="HB653" s="5"/>
      <c r="HC653" s="5"/>
      <c r="HD653" s="5"/>
      <c r="HE653" s="5"/>
      <c r="HF653" s="5"/>
      <c r="HG653" s="5"/>
      <c r="HH653" s="5"/>
      <c r="HI653" s="5"/>
      <c r="HJ653" s="5"/>
      <c r="HK653" s="5"/>
      <c r="HL653" s="5"/>
      <c r="HM653" s="5"/>
      <c r="HN653" s="5"/>
      <c r="HO653" s="5"/>
      <c r="HP653" s="5"/>
    </row>
    <row r="654" spans="3:224" ht="20.100000000000001" customHeight="1">
      <c r="C654" s="24">
        <v>15806001</v>
      </c>
      <c r="D654" s="25" t="s">
        <v>561</v>
      </c>
      <c r="E654" s="25">
        <v>11200002</v>
      </c>
      <c r="F654" s="25">
        <v>18051</v>
      </c>
      <c r="G654" s="25">
        <v>1</v>
      </c>
      <c r="H654" s="25">
        <v>60</v>
      </c>
      <c r="I654" s="29">
        <v>0.2</v>
      </c>
      <c r="J654" s="30">
        <v>35</v>
      </c>
      <c r="K654" s="25">
        <v>0</v>
      </c>
      <c r="L654" s="25">
        <v>0</v>
      </c>
      <c r="M654" s="25">
        <v>495</v>
      </c>
      <c r="N654" s="25">
        <v>969</v>
      </c>
      <c r="O654" s="25">
        <v>0</v>
      </c>
      <c r="P654" s="25">
        <v>0</v>
      </c>
      <c r="Q654" s="25">
        <v>135</v>
      </c>
      <c r="R654" s="25">
        <v>294</v>
      </c>
      <c r="S654" s="25">
        <v>0</v>
      </c>
      <c r="T654" s="25">
        <v>0</v>
      </c>
      <c r="U654" s="29">
        <v>0</v>
      </c>
      <c r="V654" s="25">
        <v>0</v>
      </c>
      <c r="W654" s="25">
        <v>0</v>
      </c>
      <c r="X654" s="25">
        <v>0</v>
      </c>
      <c r="Y654" s="29">
        <v>0</v>
      </c>
      <c r="Z654" s="29">
        <v>0</v>
      </c>
      <c r="AA654" s="29">
        <v>0</v>
      </c>
      <c r="AB654" s="29">
        <v>100402</v>
      </c>
      <c r="AC654" s="29">
        <v>200</v>
      </c>
      <c r="AD654" s="29">
        <v>1</v>
      </c>
      <c r="AE654" s="29"/>
      <c r="GR654" s="5"/>
      <c r="GS654" s="5"/>
      <c r="GT654" s="5"/>
      <c r="GU654" s="5"/>
      <c r="GV654" s="5"/>
      <c r="GW654" s="5"/>
      <c r="GX654" s="5"/>
      <c r="GY654" s="5"/>
      <c r="GZ654" s="5"/>
      <c r="HA654" s="5"/>
      <c r="HB654" s="5"/>
      <c r="HC654" s="5"/>
      <c r="HD654" s="5"/>
      <c r="HE654" s="5"/>
      <c r="HF654" s="5"/>
      <c r="HG654" s="5"/>
      <c r="HH654" s="5"/>
      <c r="HI654" s="5"/>
      <c r="HJ654" s="5"/>
      <c r="HK654" s="5"/>
      <c r="HL654" s="5"/>
      <c r="HM654" s="5"/>
      <c r="HN654" s="5"/>
      <c r="HO654" s="5"/>
      <c r="HP654" s="5"/>
    </row>
    <row r="655" spans="3:224" ht="20.100000000000001" customHeight="1">
      <c r="C655" s="24">
        <v>15807001</v>
      </c>
      <c r="D655" s="25" t="s">
        <v>564</v>
      </c>
      <c r="E655" s="25">
        <v>11200002</v>
      </c>
      <c r="F655" s="25">
        <v>0</v>
      </c>
      <c r="G655" s="25">
        <v>1</v>
      </c>
      <c r="H655" s="25">
        <v>60</v>
      </c>
      <c r="I655" s="29">
        <v>0.2</v>
      </c>
      <c r="J655" s="30">
        <v>35</v>
      </c>
      <c r="K655" s="25">
        <v>0</v>
      </c>
      <c r="L655" s="25">
        <v>0</v>
      </c>
      <c r="M655" s="25">
        <v>495</v>
      </c>
      <c r="N655" s="25">
        <v>969</v>
      </c>
      <c r="O655" s="25">
        <v>0</v>
      </c>
      <c r="P655" s="25">
        <v>0</v>
      </c>
      <c r="Q655" s="25">
        <v>0</v>
      </c>
      <c r="R655" s="25">
        <v>0</v>
      </c>
      <c r="S655" s="25">
        <v>135</v>
      </c>
      <c r="T655" s="25">
        <v>294</v>
      </c>
      <c r="U655" s="29">
        <v>0</v>
      </c>
      <c r="V655" s="25">
        <v>0</v>
      </c>
      <c r="W655" s="25">
        <v>0</v>
      </c>
      <c r="X655" s="25">
        <v>0</v>
      </c>
      <c r="Y655" s="29">
        <v>0</v>
      </c>
      <c r="Z655" s="29">
        <v>0</v>
      </c>
      <c r="AA655" s="29">
        <v>0</v>
      </c>
      <c r="AB655" s="29">
        <v>200203</v>
      </c>
      <c r="AC655" s="29">
        <v>200</v>
      </c>
      <c r="AD655" s="29">
        <v>1</v>
      </c>
      <c r="AE655" s="29"/>
      <c r="GR655" s="5"/>
      <c r="GS655" s="5"/>
      <c r="GT655" s="5"/>
      <c r="GU655" s="5"/>
      <c r="GV655" s="5"/>
      <c r="GW655" s="5"/>
      <c r="GX655" s="5"/>
      <c r="GY655" s="5"/>
      <c r="GZ655" s="5"/>
      <c r="HA655" s="5"/>
      <c r="HB655" s="5"/>
      <c r="HC655" s="5"/>
      <c r="HD655" s="5"/>
      <c r="HE655" s="5"/>
      <c r="HF655" s="5"/>
      <c r="HG655" s="5"/>
      <c r="HH655" s="5"/>
      <c r="HI655" s="5"/>
      <c r="HJ655" s="5"/>
      <c r="HK655" s="5"/>
      <c r="HL655" s="5"/>
      <c r="HM655" s="5"/>
      <c r="HN655" s="5"/>
      <c r="HO655" s="5"/>
      <c r="HP655" s="5"/>
    </row>
    <row r="656" spans="3:224" ht="20.100000000000001" customHeight="1">
      <c r="C656" s="24">
        <v>15808001</v>
      </c>
      <c r="D656" s="25" t="s">
        <v>566</v>
      </c>
      <c r="E656" s="25">
        <v>11200002</v>
      </c>
      <c r="F656" s="25">
        <v>0</v>
      </c>
      <c r="G656" s="25">
        <v>1</v>
      </c>
      <c r="H656" s="25">
        <v>60</v>
      </c>
      <c r="I656" s="29">
        <v>0.2</v>
      </c>
      <c r="J656" s="30">
        <v>35</v>
      </c>
      <c r="K656" s="25">
        <v>0</v>
      </c>
      <c r="L656" s="25">
        <v>0</v>
      </c>
      <c r="M656" s="25">
        <v>90</v>
      </c>
      <c r="N656" s="25">
        <v>225</v>
      </c>
      <c r="O656" s="25">
        <v>0</v>
      </c>
      <c r="P656" s="25">
        <v>0</v>
      </c>
      <c r="Q656" s="25">
        <v>0</v>
      </c>
      <c r="R656" s="25">
        <v>0</v>
      </c>
      <c r="S656" s="25">
        <v>0</v>
      </c>
      <c r="T656" s="25">
        <v>0</v>
      </c>
      <c r="U656" s="29">
        <v>0</v>
      </c>
      <c r="V656" s="25">
        <v>0</v>
      </c>
      <c r="W656" s="25">
        <v>0</v>
      </c>
      <c r="X656" s="25">
        <v>0</v>
      </c>
      <c r="Y656" s="29">
        <v>0</v>
      </c>
      <c r="Z656" s="29">
        <v>0</v>
      </c>
      <c r="AA656" s="29">
        <v>0</v>
      </c>
      <c r="AB656" s="29">
        <v>0</v>
      </c>
      <c r="AC656" s="29">
        <v>0</v>
      </c>
      <c r="AD656" s="29">
        <v>0</v>
      </c>
      <c r="AE656" s="29"/>
      <c r="GR656" s="5"/>
      <c r="GS656" s="5"/>
      <c r="GT656" s="5"/>
      <c r="GU656" s="5"/>
      <c r="GV656" s="5"/>
      <c r="GW656" s="5"/>
      <c r="GX656" s="5"/>
      <c r="GY656" s="5"/>
      <c r="GZ656" s="5"/>
      <c r="HA656" s="5"/>
      <c r="HB656" s="5"/>
      <c r="HC656" s="5"/>
      <c r="HD656" s="5"/>
      <c r="HE656" s="5"/>
      <c r="HF656" s="5"/>
      <c r="HG656" s="5"/>
      <c r="HH656" s="5"/>
      <c r="HI656" s="5"/>
      <c r="HJ656" s="5"/>
      <c r="HK656" s="5"/>
      <c r="HL656" s="5"/>
      <c r="HM656" s="5"/>
      <c r="HN656" s="5"/>
      <c r="HO656" s="5"/>
      <c r="HP656" s="5"/>
    </row>
    <row r="657" spans="3:224" ht="20.100000000000001" customHeight="1">
      <c r="C657" s="24">
        <v>15809001</v>
      </c>
      <c r="D657" s="25" t="s">
        <v>569</v>
      </c>
      <c r="E657" s="25">
        <v>11200001</v>
      </c>
      <c r="F657" s="25">
        <v>0</v>
      </c>
      <c r="G657" s="25">
        <v>1</v>
      </c>
      <c r="H657" s="25">
        <v>60</v>
      </c>
      <c r="I657" s="29">
        <v>0.2</v>
      </c>
      <c r="J657" s="30">
        <v>35</v>
      </c>
      <c r="K657" s="25">
        <v>0</v>
      </c>
      <c r="L657" s="25">
        <v>27225</v>
      </c>
      <c r="M657" s="25">
        <v>0</v>
      </c>
      <c r="N657" s="25">
        <v>0</v>
      </c>
      <c r="O657" s="25">
        <v>0</v>
      </c>
      <c r="P657" s="25">
        <v>0</v>
      </c>
      <c r="Q657" s="25">
        <v>0</v>
      </c>
      <c r="R657" s="25">
        <v>0</v>
      </c>
      <c r="S657" s="25">
        <v>0</v>
      </c>
      <c r="T657" s="25">
        <v>0</v>
      </c>
      <c r="U657" s="29">
        <v>0</v>
      </c>
      <c r="V657" s="25">
        <v>0</v>
      </c>
      <c r="W657" s="25">
        <v>0</v>
      </c>
      <c r="X657" s="25">
        <v>0</v>
      </c>
      <c r="Y657" s="29">
        <v>0</v>
      </c>
      <c r="Z657" s="29">
        <v>0</v>
      </c>
      <c r="AA657" s="29">
        <v>0</v>
      </c>
      <c r="AB657" s="29">
        <v>200303</v>
      </c>
      <c r="AC657" s="29">
        <v>200</v>
      </c>
      <c r="AD657" s="29">
        <v>1</v>
      </c>
      <c r="AE657" s="29"/>
      <c r="GR657" s="5"/>
      <c r="GS657" s="5"/>
      <c r="GT657" s="5"/>
      <c r="GU657" s="5"/>
      <c r="GV657" s="5"/>
      <c r="GW657" s="5"/>
      <c r="GX657" s="5"/>
      <c r="GY657" s="5"/>
      <c r="GZ657" s="5"/>
      <c r="HA657" s="5"/>
      <c r="HB657" s="5"/>
      <c r="HC657" s="5"/>
      <c r="HD657" s="5"/>
      <c r="HE657" s="5"/>
      <c r="HF657" s="5"/>
      <c r="HG657" s="5"/>
      <c r="HH657" s="5"/>
      <c r="HI657" s="5"/>
      <c r="HJ657" s="5"/>
      <c r="HK657" s="5"/>
      <c r="HL657" s="5"/>
      <c r="HM657" s="5"/>
      <c r="HN657" s="5"/>
      <c r="HO657" s="5"/>
      <c r="HP657" s="5"/>
    </row>
    <row r="658" spans="3:224" ht="20.100000000000001" customHeight="1">
      <c r="C658" s="24">
        <v>15810001</v>
      </c>
      <c r="D658" s="25" t="s">
        <v>572</v>
      </c>
      <c r="E658" s="25">
        <v>11200001</v>
      </c>
      <c r="F658" s="25">
        <v>18051</v>
      </c>
      <c r="G658" s="25">
        <v>1</v>
      </c>
      <c r="H658" s="25">
        <v>60</v>
      </c>
      <c r="I658" s="29">
        <v>0.2</v>
      </c>
      <c r="J658" s="30">
        <v>35</v>
      </c>
      <c r="K658" s="25">
        <v>0</v>
      </c>
      <c r="L658" s="25">
        <v>0</v>
      </c>
      <c r="M658" s="25">
        <v>1350</v>
      </c>
      <c r="N658" s="25">
        <v>2724</v>
      </c>
      <c r="O658" s="25">
        <v>0</v>
      </c>
      <c r="P658" s="25">
        <v>0</v>
      </c>
      <c r="Q658" s="25">
        <v>0</v>
      </c>
      <c r="R658" s="25">
        <v>0</v>
      </c>
      <c r="S658" s="25">
        <v>0</v>
      </c>
      <c r="T658" s="25">
        <v>0</v>
      </c>
      <c r="U658" s="29">
        <v>0</v>
      </c>
      <c r="V658" s="25">
        <v>0</v>
      </c>
      <c r="W658" s="25">
        <v>0</v>
      </c>
      <c r="X658" s="25">
        <v>0</v>
      </c>
      <c r="Y658" s="29">
        <v>0</v>
      </c>
      <c r="Z658" s="29">
        <v>0</v>
      </c>
      <c r="AA658" s="29">
        <v>0</v>
      </c>
      <c r="AB658" s="29">
        <v>200903</v>
      </c>
      <c r="AC658" s="29">
        <v>200</v>
      </c>
      <c r="AD658" s="29">
        <v>1</v>
      </c>
      <c r="AE658" s="29"/>
      <c r="GR658" s="5"/>
      <c r="GS658" s="5"/>
      <c r="GT658" s="5"/>
      <c r="GU658" s="5"/>
      <c r="GV658" s="5"/>
      <c r="GW658" s="5"/>
      <c r="GX658" s="5"/>
      <c r="GY658" s="5"/>
      <c r="GZ658" s="5"/>
      <c r="HA658" s="5"/>
      <c r="HB658" s="5"/>
      <c r="HC658" s="5"/>
      <c r="HD658" s="5"/>
      <c r="HE658" s="5"/>
      <c r="HF658" s="5"/>
      <c r="HG658" s="5"/>
      <c r="HH658" s="5"/>
      <c r="HI658" s="5"/>
      <c r="HJ658" s="5"/>
      <c r="HK658" s="5"/>
      <c r="HL658" s="5"/>
      <c r="HM658" s="5"/>
      <c r="HN658" s="5"/>
      <c r="HO658" s="5"/>
      <c r="HP658" s="5"/>
    </row>
    <row r="659" spans="3:224" ht="20.100000000000001" customHeight="1">
      <c r="C659" s="24">
        <v>15810002</v>
      </c>
      <c r="D659" s="25" t="s">
        <v>574</v>
      </c>
      <c r="E659" s="25">
        <v>11200001</v>
      </c>
      <c r="F659" s="25">
        <v>18051</v>
      </c>
      <c r="G659" s="25">
        <v>1</v>
      </c>
      <c r="H659" s="25">
        <v>60</v>
      </c>
      <c r="I659" s="29">
        <v>0.2</v>
      </c>
      <c r="J659" s="30">
        <v>35</v>
      </c>
      <c r="K659" s="25">
        <v>0</v>
      </c>
      <c r="L659" s="25">
        <v>0</v>
      </c>
      <c r="M659" s="25">
        <v>1350</v>
      </c>
      <c r="N659" s="25">
        <v>2724</v>
      </c>
      <c r="O659" s="25">
        <v>0</v>
      </c>
      <c r="P659" s="25">
        <v>0</v>
      </c>
      <c r="Q659" s="25">
        <v>0</v>
      </c>
      <c r="R659" s="25">
        <v>0</v>
      </c>
      <c r="S659" s="25">
        <v>0</v>
      </c>
      <c r="T659" s="25">
        <v>0</v>
      </c>
      <c r="U659" s="29">
        <v>0</v>
      </c>
      <c r="V659" s="25">
        <v>0</v>
      </c>
      <c r="W659" s="25">
        <v>0</v>
      </c>
      <c r="X659" s="25">
        <v>0</v>
      </c>
      <c r="Y659" s="29">
        <v>0</v>
      </c>
      <c r="Z659" s="29">
        <v>0</v>
      </c>
      <c r="AA659" s="29">
        <v>0</v>
      </c>
      <c r="AB659" s="29">
        <v>200903</v>
      </c>
      <c r="AC659" s="29">
        <v>200</v>
      </c>
      <c r="AD659" s="29">
        <v>1</v>
      </c>
      <c r="AE659" s="29"/>
      <c r="GR659" s="5"/>
      <c r="GS659" s="5"/>
      <c r="GT659" s="5"/>
      <c r="GU659" s="5"/>
      <c r="GV659" s="5"/>
      <c r="GW659" s="5"/>
      <c r="GX659" s="5"/>
      <c r="GY659" s="5"/>
      <c r="GZ659" s="5"/>
      <c r="HA659" s="5"/>
      <c r="HB659" s="5"/>
      <c r="HC659" s="5"/>
      <c r="HD659" s="5"/>
      <c r="HE659" s="5"/>
      <c r="HF659" s="5"/>
      <c r="HG659" s="5"/>
      <c r="HH659" s="5"/>
      <c r="HI659" s="5"/>
      <c r="HJ659" s="5"/>
      <c r="HK659" s="5"/>
      <c r="HL659" s="5"/>
      <c r="HM659" s="5"/>
      <c r="HN659" s="5"/>
      <c r="HO659" s="5"/>
      <c r="HP659" s="5"/>
    </row>
    <row r="660" spans="3:224" ht="20.100000000000001" customHeight="1">
      <c r="C660" s="24">
        <v>15810201</v>
      </c>
      <c r="D660" s="25" t="s">
        <v>665</v>
      </c>
      <c r="E660" s="25">
        <v>11200001</v>
      </c>
      <c r="F660" s="25">
        <v>18051</v>
      </c>
      <c r="G660" s="25">
        <v>1</v>
      </c>
      <c r="H660" s="25">
        <v>60</v>
      </c>
      <c r="I660" s="29">
        <v>0.2</v>
      </c>
      <c r="J660" s="30">
        <v>35</v>
      </c>
      <c r="K660" s="25">
        <v>0</v>
      </c>
      <c r="L660" s="25">
        <v>0</v>
      </c>
      <c r="M660" s="25">
        <v>1350</v>
      </c>
      <c r="N660" s="25">
        <v>2724</v>
      </c>
      <c r="O660" s="25">
        <v>0</v>
      </c>
      <c r="P660" s="25">
        <v>0</v>
      </c>
      <c r="Q660" s="25">
        <v>0</v>
      </c>
      <c r="R660" s="25">
        <v>0</v>
      </c>
      <c r="S660" s="25">
        <v>0</v>
      </c>
      <c r="T660" s="25">
        <v>0</v>
      </c>
      <c r="U660" s="29">
        <v>0</v>
      </c>
      <c r="V660" s="25">
        <v>0</v>
      </c>
      <c r="W660" s="25">
        <v>0</v>
      </c>
      <c r="X660" s="25">
        <v>0</v>
      </c>
      <c r="Y660" s="29">
        <v>0</v>
      </c>
      <c r="Z660" s="29">
        <v>0</v>
      </c>
      <c r="AA660" s="29">
        <v>0</v>
      </c>
      <c r="AB660" s="29">
        <v>200903</v>
      </c>
      <c r="AC660" s="29">
        <v>200</v>
      </c>
      <c r="AD660" s="29">
        <v>1</v>
      </c>
      <c r="AE660" s="29"/>
      <c r="GR660" s="5"/>
      <c r="GS660" s="5"/>
      <c r="GT660" s="5"/>
      <c r="GU660" s="5"/>
      <c r="GV660" s="5"/>
      <c r="GW660" s="5"/>
      <c r="GX660" s="5"/>
      <c r="GY660" s="5"/>
      <c r="GZ660" s="5"/>
      <c r="HA660" s="5"/>
      <c r="HB660" s="5"/>
      <c r="HC660" s="5"/>
      <c r="HD660" s="5"/>
      <c r="HE660" s="5"/>
      <c r="HF660" s="5"/>
      <c r="HG660" s="5"/>
      <c r="HH660" s="5"/>
      <c r="HI660" s="5"/>
      <c r="HJ660" s="5"/>
      <c r="HK660" s="5"/>
      <c r="HL660" s="5"/>
      <c r="HM660" s="5"/>
      <c r="HN660" s="5"/>
      <c r="HO660" s="5"/>
      <c r="HP660" s="5"/>
    </row>
    <row r="661" spans="3:224" ht="20.100000000000001" customHeight="1">
      <c r="C661" s="24">
        <v>15811001</v>
      </c>
      <c r="D661" s="25" t="s">
        <v>580</v>
      </c>
      <c r="E661" s="25">
        <v>11200003</v>
      </c>
      <c r="F661" s="25">
        <v>18011</v>
      </c>
      <c r="G661" s="25">
        <v>1</v>
      </c>
      <c r="H661" s="25">
        <v>60</v>
      </c>
      <c r="I661" s="29">
        <v>0.2</v>
      </c>
      <c r="J661" s="30">
        <v>35</v>
      </c>
      <c r="K661" s="25">
        <v>0</v>
      </c>
      <c r="L661" s="25">
        <v>23340</v>
      </c>
      <c r="M661" s="25">
        <v>0</v>
      </c>
      <c r="N661" s="25">
        <v>0</v>
      </c>
      <c r="O661" s="25">
        <v>0</v>
      </c>
      <c r="P661" s="25">
        <v>0</v>
      </c>
      <c r="Q661" s="25">
        <v>249</v>
      </c>
      <c r="R661" s="25">
        <v>495</v>
      </c>
      <c r="S661" s="25">
        <v>249</v>
      </c>
      <c r="T661" s="25">
        <v>495</v>
      </c>
      <c r="U661" s="29">
        <v>0</v>
      </c>
      <c r="V661" s="25">
        <v>0</v>
      </c>
      <c r="W661" s="25">
        <v>0</v>
      </c>
      <c r="X661" s="25">
        <v>0</v>
      </c>
      <c r="Y661" s="29">
        <v>0</v>
      </c>
      <c r="Z661" s="29">
        <v>0</v>
      </c>
      <c r="AA661" s="29">
        <v>0</v>
      </c>
      <c r="AB661" s="29">
        <v>201003</v>
      </c>
      <c r="AC661" s="29">
        <v>200</v>
      </c>
      <c r="AD661" s="29">
        <v>1</v>
      </c>
      <c r="AE661" s="29"/>
      <c r="GR661" s="5"/>
      <c r="GS661" s="5"/>
      <c r="GT661" s="5"/>
      <c r="GU661" s="5"/>
      <c r="GV661" s="5"/>
      <c r="GW661" s="5"/>
      <c r="GX661" s="5"/>
      <c r="GY661" s="5"/>
      <c r="GZ661" s="5"/>
      <c r="HA661" s="5"/>
      <c r="HB661" s="5"/>
      <c r="HC661" s="5"/>
      <c r="HD661" s="5"/>
      <c r="HE661" s="5"/>
      <c r="HF661" s="5"/>
      <c r="HG661" s="5"/>
      <c r="HH661" s="5"/>
      <c r="HI661" s="5"/>
      <c r="HJ661" s="5"/>
      <c r="HK661" s="5"/>
      <c r="HL661" s="5"/>
      <c r="HM661" s="5"/>
      <c r="HN661" s="5"/>
      <c r="HO661" s="5"/>
      <c r="HP661" s="5"/>
    </row>
    <row r="662" spans="3:224" ht="20.100000000000001" customHeight="1">
      <c r="C662" s="24">
        <v>15811002</v>
      </c>
      <c r="D662" s="25" t="s">
        <v>582</v>
      </c>
      <c r="E662" s="25">
        <v>11200003</v>
      </c>
      <c r="F662" s="25">
        <v>18021</v>
      </c>
      <c r="G662" s="25">
        <v>1</v>
      </c>
      <c r="H662" s="25">
        <v>60</v>
      </c>
      <c r="I662" s="29">
        <v>0.2</v>
      </c>
      <c r="J662" s="30">
        <v>35</v>
      </c>
      <c r="K662" s="25">
        <v>0</v>
      </c>
      <c r="L662" s="25">
        <v>11655</v>
      </c>
      <c r="M662" s="25">
        <v>0</v>
      </c>
      <c r="N662" s="25">
        <v>0</v>
      </c>
      <c r="O662" s="25">
        <v>0</v>
      </c>
      <c r="P662" s="25">
        <v>0</v>
      </c>
      <c r="Q662" s="25">
        <v>180</v>
      </c>
      <c r="R662" s="25">
        <v>360</v>
      </c>
      <c r="S662" s="25">
        <v>180</v>
      </c>
      <c r="T662" s="25">
        <v>360</v>
      </c>
      <c r="U662" s="29">
        <v>0</v>
      </c>
      <c r="V662" s="25">
        <v>0</v>
      </c>
      <c r="W662" s="25">
        <v>0</v>
      </c>
      <c r="X662" s="25">
        <v>0</v>
      </c>
      <c r="Y662" s="29">
        <v>0</v>
      </c>
      <c r="Z662" s="29">
        <v>0</v>
      </c>
      <c r="AA662" s="29">
        <v>0</v>
      </c>
      <c r="AB662" s="29">
        <v>201003</v>
      </c>
      <c r="AC662" s="29">
        <v>200</v>
      </c>
      <c r="AD662" s="29">
        <v>1</v>
      </c>
      <c r="AE662" s="29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/>
      <c r="HE662" s="5"/>
      <c r="HF662" s="5"/>
      <c r="HG662" s="5"/>
      <c r="HH662" s="5"/>
      <c r="HI662" s="5"/>
      <c r="HJ662" s="5"/>
      <c r="HK662" s="5"/>
      <c r="HL662" s="5"/>
      <c r="HM662" s="5"/>
      <c r="HN662" s="5"/>
      <c r="HO662" s="5"/>
      <c r="HP662" s="5"/>
    </row>
    <row r="663" spans="3:224" ht="20.100000000000001" customHeight="1">
      <c r="C663" s="24">
        <v>15811003</v>
      </c>
      <c r="D663" s="25" t="s">
        <v>584</v>
      </c>
      <c r="E663" s="25">
        <v>11200003</v>
      </c>
      <c r="F663" s="25">
        <v>18031</v>
      </c>
      <c r="G663" s="25">
        <v>1</v>
      </c>
      <c r="H663" s="25">
        <v>60</v>
      </c>
      <c r="I663" s="29">
        <v>0.2</v>
      </c>
      <c r="J663" s="30">
        <v>35</v>
      </c>
      <c r="K663" s="25">
        <v>0</v>
      </c>
      <c r="L663" s="25">
        <v>34995</v>
      </c>
      <c r="M663" s="25">
        <v>0</v>
      </c>
      <c r="N663" s="25">
        <v>0</v>
      </c>
      <c r="O663" s="25">
        <v>0</v>
      </c>
      <c r="P663" s="25">
        <v>0</v>
      </c>
      <c r="Q663" s="25">
        <v>315</v>
      </c>
      <c r="R663" s="25">
        <v>609</v>
      </c>
      <c r="S663" s="25">
        <v>315</v>
      </c>
      <c r="T663" s="25">
        <v>609</v>
      </c>
      <c r="U663" s="29">
        <v>0</v>
      </c>
      <c r="V663" s="25">
        <v>0</v>
      </c>
      <c r="W663" s="25">
        <v>0</v>
      </c>
      <c r="X663" s="25">
        <v>0</v>
      </c>
      <c r="Y663" s="29">
        <v>0</v>
      </c>
      <c r="Z663" s="29">
        <v>0</v>
      </c>
      <c r="AA663" s="29">
        <v>0</v>
      </c>
      <c r="AB663" s="29">
        <v>201003</v>
      </c>
      <c r="AC663" s="29">
        <v>200</v>
      </c>
      <c r="AD663" s="29">
        <v>1</v>
      </c>
      <c r="AE663" s="29"/>
      <c r="GR663" s="5"/>
      <c r="GS663" s="5"/>
      <c r="GT663" s="5"/>
      <c r="GU663" s="5"/>
      <c r="GV663" s="5"/>
      <c r="GW663" s="5"/>
      <c r="GX663" s="5"/>
      <c r="GY663" s="5"/>
      <c r="GZ663" s="5"/>
      <c r="HA663" s="5"/>
      <c r="HB663" s="5"/>
      <c r="HC663" s="5"/>
      <c r="HD663" s="5"/>
      <c r="HE663" s="5"/>
      <c r="HF663" s="5"/>
      <c r="HG663" s="5"/>
      <c r="HH663" s="5"/>
      <c r="HI663" s="5"/>
      <c r="HJ663" s="5"/>
      <c r="HK663" s="5"/>
      <c r="HL663" s="5"/>
      <c r="HM663" s="5"/>
      <c r="HN663" s="5"/>
      <c r="HO663" s="5"/>
      <c r="HP663" s="5"/>
    </row>
    <row r="664" spans="3:224" s="75" customFormat="1" ht="20.100000000000001" customHeight="1">
      <c r="C664" s="36">
        <v>15901001</v>
      </c>
      <c r="D664" s="71" t="s">
        <v>530</v>
      </c>
      <c r="E664" s="71">
        <v>11200003</v>
      </c>
      <c r="F664" s="71">
        <v>19011</v>
      </c>
      <c r="G664" s="71">
        <v>1</v>
      </c>
      <c r="H664" s="71">
        <v>60</v>
      </c>
      <c r="I664" s="72">
        <v>0.2</v>
      </c>
      <c r="J664" s="73">
        <v>40</v>
      </c>
      <c r="K664" s="25">
        <v>0</v>
      </c>
      <c r="L664" s="71">
        <v>0</v>
      </c>
      <c r="M664" s="71">
        <v>215</v>
      </c>
      <c r="N664" s="71">
        <v>425</v>
      </c>
      <c r="O664" s="71">
        <v>0</v>
      </c>
      <c r="P664" s="71">
        <v>0</v>
      </c>
      <c r="Q664" s="71">
        <v>122</v>
      </c>
      <c r="R664" s="71">
        <v>275</v>
      </c>
      <c r="S664" s="71">
        <v>122</v>
      </c>
      <c r="T664" s="71">
        <v>275</v>
      </c>
      <c r="U664" s="72">
        <v>0</v>
      </c>
      <c r="V664" s="71">
        <v>0</v>
      </c>
      <c r="W664" s="71">
        <v>0</v>
      </c>
      <c r="X664" s="71">
        <v>0</v>
      </c>
      <c r="Y664" s="72">
        <v>0</v>
      </c>
      <c r="Z664" s="72">
        <v>0</v>
      </c>
      <c r="AA664" s="72">
        <v>0</v>
      </c>
      <c r="AB664" s="72">
        <v>200503</v>
      </c>
      <c r="AC664" s="72">
        <v>200</v>
      </c>
      <c r="AD664" s="72">
        <v>1</v>
      </c>
      <c r="AE664" s="72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74"/>
      <c r="BM664" s="74"/>
      <c r="BN664" s="74"/>
      <c r="BO664" s="74"/>
      <c r="BP664" s="74"/>
      <c r="BQ664" s="74"/>
      <c r="BR664" s="74"/>
      <c r="BS664" s="74"/>
      <c r="BT664" s="74"/>
      <c r="BU664" s="74"/>
      <c r="BV664" s="74"/>
      <c r="BW664" s="74"/>
      <c r="BX664" s="74"/>
      <c r="BY664" s="74"/>
      <c r="BZ664" s="74"/>
      <c r="CA664" s="74"/>
      <c r="CB664" s="74"/>
      <c r="CC664" s="74"/>
      <c r="CD664" s="74"/>
      <c r="CE664" s="74"/>
      <c r="CF664" s="74"/>
      <c r="CG664" s="74"/>
      <c r="CH664" s="74"/>
      <c r="CI664" s="74"/>
      <c r="CJ664" s="74"/>
      <c r="CK664" s="74"/>
      <c r="CL664" s="74"/>
      <c r="CM664" s="74"/>
      <c r="CN664" s="74"/>
      <c r="CO664" s="74"/>
      <c r="CP664" s="74"/>
      <c r="CQ664" s="74"/>
      <c r="CR664" s="74"/>
      <c r="CS664" s="74"/>
      <c r="CT664" s="74"/>
      <c r="CU664" s="74"/>
      <c r="CV664" s="74"/>
      <c r="CW664" s="74"/>
      <c r="CX664" s="74"/>
      <c r="CY664" s="74"/>
      <c r="CZ664" s="74"/>
      <c r="DA664" s="74"/>
      <c r="DB664" s="74"/>
      <c r="DC664" s="74"/>
      <c r="DD664" s="74"/>
      <c r="DE664" s="74"/>
      <c r="DF664" s="74"/>
      <c r="DG664" s="74"/>
      <c r="DH664" s="74"/>
      <c r="DI664" s="74"/>
      <c r="DJ664" s="74"/>
      <c r="DK664" s="74"/>
      <c r="DL664" s="74"/>
      <c r="DM664" s="74"/>
      <c r="DN664" s="74"/>
      <c r="DO664" s="74"/>
      <c r="DP664" s="74"/>
      <c r="DQ664" s="74"/>
      <c r="DR664" s="74"/>
      <c r="DS664" s="74"/>
      <c r="DT664" s="74"/>
      <c r="DU664" s="74"/>
      <c r="DV664" s="74"/>
      <c r="DW664" s="74"/>
      <c r="DX664" s="74"/>
      <c r="DY664" s="74"/>
      <c r="DZ664" s="74"/>
      <c r="EA664" s="74"/>
      <c r="EB664" s="74"/>
      <c r="EC664" s="74"/>
      <c r="ED664" s="74"/>
      <c r="EE664" s="74"/>
      <c r="EF664" s="74"/>
      <c r="EG664" s="74"/>
      <c r="EH664" s="74"/>
      <c r="EI664" s="74"/>
      <c r="EJ664" s="74"/>
      <c r="EK664" s="74"/>
      <c r="EL664" s="74"/>
      <c r="EM664" s="74"/>
      <c r="EN664" s="74"/>
      <c r="EO664" s="74"/>
      <c r="EP664" s="74"/>
      <c r="EQ664" s="74"/>
      <c r="ER664" s="74"/>
      <c r="ES664" s="74"/>
      <c r="ET664" s="74"/>
      <c r="EU664" s="74"/>
      <c r="EV664" s="74"/>
      <c r="EW664" s="74"/>
      <c r="EX664" s="74"/>
      <c r="EY664" s="74"/>
      <c r="EZ664" s="74"/>
      <c r="FA664" s="74"/>
      <c r="FB664" s="74"/>
      <c r="FC664" s="74"/>
      <c r="FD664" s="74"/>
      <c r="FE664" s="74"/>
      <c r="FF664" s="74"/>
      <c r="FG664" s="74"/>
      <c r="FH664" s="74"/>
      <c r="FI664" s="74"/>
      <c r="FJ664" s="74"/>
      <c r="FK664" s="74"/>
      <c r="FL664" s="74"/>
      <c r="FM664" s="74"/>
      <c r="FN664" s="74"/>
      <c r="FO664" s="74"/>
      <c r="FP664" s="74"/>
      <c r="FQ664" s="74"/>
      <c r="FR664" s="74"/>
      <c r="FS664" s="74"/>
      <c r="FT664" s="74"/>
      <c r="FU664" s="74"/>
      <c r="FV664" s="74"/>
      <c r="FW664" s="74"/>
      <c r="FX664" s="74"/>
      <c r="FY664" s="74"/>
      <c r="FZ664" s="74"/>
      <c r="GA664" s="74"/>
      <c r="GB664" s="74"/>
      <c r="GC664" s="74"/>
      <c r="GD664" s="74"/>
      <c r="GE664" s="74"/>
      <c r="GF664" s="74"/>
      <c r="GG664" s="74"/>
      <c r="GH664" s="74"/>
      <c r="GI664" s="74"/>
      <c r="GJ664" s="74"/>
      <c r="GK664" s="74"/>
      <c r="GL664" s="74"/>
      <c r="GM664" s="74"/>
      <c r="GN664" s="74"/>
      <c r="GO664" s="74"/>
      <c r="GP664" s="74"/>
      <c r="GQ664" s="74"/>
      <c r="GR664" s="74"/>
      <c r="GS664" s="74"/>
      <c r="GT664" s="74"/>
      <c r="GU664" s="74"/>
      <c r="GV664" s="74"/>
      <c r="GW664" s="74"/>
      <c r="GX664" s="74"/>
      <c r="GY664" s="74"/>
      <c r="GZ664" s="74"/>
      <c r="HA664" s="74"/>
      <c r="HB664" s="74"/>
      <c r="HC664" s="74"/>
      <c r="HD664" s="74"/>
      <c r="HE664" s="74"/>
      <c r="HF664" s="74"/>
      <c r="HG664" s="74"/>
      <c r="HH664" s="74"/>
      <c r="HI664" s="74"/>
      <c r="HJ664" s="74"/>
      <c r="HK664" s="74"/>
      <c r="HL664" s="74"/>
      <c r="HM664" s="74"/>
      <c r="HN664" s="74"/>
      <c r="HO664" s="74"/>
      <c r="HP664" s="74"/>
    </row>
    <row r="665" spans="3:224" s="75" customFormat="1" ht="20.100000000000001" customHeight="1">
      <c r="C665" s="36">
        <v>15901002</v>
      </c>
      <c r="D665" s="71" t="s">
        <v>532</v>
      </c>
      <c r="E665" s="71">
        <v>11200003</v>
      </c>
      <c r="F665" s="71">
        <v>19021</v>
      </c>
      <c r="G665" s="71">
        <v>1</v>
      </c>
      <c r="H665" s="71">
        <v>60</v>
      </c>
      <c r="I665" s="72">
        <v>0.2</v>
      </c>
      <c r="J665" s="73">
        <v>40</v>
      </c>
      <c r="K665" s="25">
        <v>0</v>
      </c>
      <c r="L665" s="71">
        <v>0</v>
      </c>
      <c r="M665" s="71">
        <v>304</v>
      </c>
      <c r="N665" s="71">
        <v>579</v>
      </c>
      <c r="O665" s="71">
        <v>0</v>
      </c>
      <c r="P665" s="71">
        <v>0</v>
      </c>
      <c r="Q665" s="71">
        <v>93</v>
      </c>
      <c r="R665" s="71">
        <v>182</v>
      </c>
      <c r="S665" s="71">
        <v>93</v>
      </c>
      <c r="T665" s="71">
        <v>182</v>
      </c>
      <c r="U665" s="72">
        <v>0</v>
      </c>
      <c r="V665" s="71">
        <v>0</v>
      </c>
      <c r="W665" s="71">
        <v>0</v>
      </c>
      <c r="X665" s="71">
        <v>0</v>
      </c>
      <c r="Y665" s="72">
        <v>0</v>
      </c>
      <c r="Z665" s="72">
        <v>0</v>
      </c>
      <c r="AA665" s="72">
        <v>0</v>
      </c>
      <c r="AB665" s="72">
        <v>200603</v>
      </c>
      <c r="AC665" s="72">
        <v>200</v>
      </c>
      <c r="AD665" s="72">
        <v>1</v>
      </c>
      <c r="AE665" s="72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74"/>
      <c r="BM665" s="74"/>
      <c r="BN665" s="74"/>
      <c r="BO665" s="74"/>
      <c r="BP665" s="74"/>
      <c r="BQ665" s="74"/>
      <c r="BR665" s="74"/>
      <c r="BS665" s="74"/>
      <c r="BT665" s="74"/>
      <c r="BU665" s="74"/>
      <c r="BV665" s="74"/>
      <c r="BW665" s="74"/>
      <c r="BX665" s="74"/>
      <c r="BY665" s="74"/>
      <c r="BZ665" s="74"/>
      <c r="CA665" s="74"/>
      <c r="CB665" s="74"/>
      <c r="CC665" s="74"/>
      <c r="CD665" s="74"/>
      <c r="CE665" s="74"/>
      <c r="CF665" s="74"/>
      <c r="CG665" s="74"/>
      <c r="CH665" s="74"/>
      <c r="CI665" s="74"/>
      <c r="CJ665" s="74"/>
      <c r="CK665" s="74"/>
      <c r="CL665" s="74"/>
      <c r="CM665" s="74"/>
      <c r="CN665" s="74"/>
      <c r="CO665" s="74"/>
      <c r="CP665" s="74"/>
      <c r="CQ665" s="74"/>
      <c r="CR665" s="74"/>
      <c r="CS665" s="74"/>
      <c r="CT665" s="74"/>
      <c r="CU665" s="74"/>
      <c r="CV665" s="74"/>
      <c r="CW665" s="74"/>
      <c r="CX665" s="74"/>
      <c r="CY665" s="74"/>
      <c r="CZ665" s="74"/>
      <c r="DA665" s="74"/>
      <c r="DB665" s="74"/>
      <c r="DC665" s="74"/>
      <c r="DD665" s="74"/>
      <c r="DE665" s="74"/>
      <c r="DF665" s="74"/>
      <c r="DG665" s="74"/>
      <c r="DH665" s="74"/>
      <c r="DI665" s="74"/>
      <c r="DJ665" s="74"/>
      <c r="DK665" s="74"/>
      <c r="DL665" s="74"/>
      <c r="DM665" s="74"/>
      <c r="DN665" s="74"/>
      <c r="DO665" s="74"/>
      <c r="DP665" s="74"/>
      <c r="DQ665" s="74"/>
      <c r="DR665" s="74"/>
      <c r="DS665" s="74"/>
      <c r="DT665" s="74"/>
      <c r="DU665" s="74"/>
      <c r="DV665" s="74"/>
      <c r="DW665" s="74"/>
      <c r="DX665" s="74"/>
      <c r="DY665" s="74"/>
      <c r="DZ665" s="74"/>
      <c r="EA665" s="74"/>
      <c r="EB665" s="74"/>
      <c r="EC665" s="74"/>
      <c r="ED665" s="74"/>
      <c r="EE665" s="74"/>
      <c r="EF665" s="74"/>
      <c r="EG665" s="74"/>
      <c r="EH665" s="74"/>
      <c r="EI665" s="74"/>
      <c r="EJ665" s="74"/>
      <c r="EK665" s="74"/>
      <c r="EL665" s="74"/>
      <c r="EM665" s="74"/>
      <c r="EN665" s="74"/>
      <c r="EO665" s="74"/>
      <c r="EP665" s="74"/>
      <c r="EQ665" s="74"/>
      <c r="ER665" s="74"/>
      <c r="ES665" s="74"/>
      <c r="ET665" s="74"/>
      <c r="EU665" s="74"/>
      <c r="EV665" s="74"/>
      <c r="EW665" s="74"/>
      <c r="EX665" s="74"/>
      <c r="EY665" s="74"/>
      <c r="EZ665" s="74"/>
      <c r="FA665" s="74"/>
      <c r="FB665" s="74"/>
      <c r="FC665" s="74"/>
      <c r="FD665" s="74"/>
      <c r="FE665" s="74"/>
      <c r="FF665" s="74"/>
      <c r="FG665" s="74"/>
      <c r="FH665" s="74"/>
      <c r="FI665" s="74"/>
      <c r="FJ665" s="74"/>
      <c r="FK665" s="74"/>
      <c r="FL665" s="74"/>
      <c r="FM665" s="74"/>
      <c r="FN665" s="74"/>
      <c r="FO665" s="74"/>
      <c r="FP665" s="74"/>
      <c r="FQ665" s="74"/>
      <c r="FR665" s="74"/>
      <c r="FS665" s="74"/>
      <c r="FT665" s="74"/>
      <c r="FU665" s="74"/>
      <c r="FV665" s="74"/>
      <c r="FW665" s="74"/>
      <c r="FX665" s="74"/>
      <c r="FY665" s="74"/>
      <c r="FZ665" s="74"/>
      <c r="GA665" s="74"/>
      <c r="GB665" s="74"/>
      <c r="GC665" s="74"/>
      <c r="GD665" s="74"/>
      <c r="GE665" s="74"/>
      <c r="GF665" s="74"/>
      <c r="GG665" s="74"/>
      <c r="GH665" s="74"/>
      <c r="GI665" s="74"/>
      <c r="GJ665" s="74"/>
      <c r="GK665" s="74"/>
      <c r="GL665" s="74"/>
      <c r="GM665" s="74"/>
      <c r="GN665" s="74"/>
      <c r="GO665" s="74"/>
      <c r="GP665" s="74"/>
      <c r="GQ665" s="74"/>
      <c r="GR665" s="74"/>
      <c r="GS665" s="74"/>
      <c r="GT665" s="74"/>
      <c r="GU665" s="74"/>
      <c r="GV665" s="74"/>
      <c r="GW665" s="74"/>
      <c r="GX665" s="74"/>
      <c r="GY665" s="74"/>
      <c r="GZ665" s="74"/>
      <c r="HA665" s="74"/>
      <c r="HB665" s="74"/>
      <c r="HC665" s="74"/>
      <c r="HD665" s="74"/>
      <c r="HE665" s="74"/>
      <c r="HF665" s="74"/>
      <c r="HG665" s="74"/>
      <c r="HH665" s="74"/>
      <c r="HI665" s="74"/>
      <c r="HJ665" s="74"/>
      <c r="HK665" s="74"/>
      <c r="HL665" s="74"/>
      <c r="HM665" s="74"/>
      <c r="HN665" s="74"/>
      <c r="HO665" s="74"/>
      <c r="HP665" s="74"/>
    </row>
    <row r="666" spans="3:224" s="75" customFormat="1" ht="20.100000000000001" customHeight="1">
      <c r="C666" s="36">
        <v>15901003</v>
      </c>
      <c r="D666" s="71" t="s">
        <v>534</v>
      </c>
      <c r="E666" s="71">
        <v>11200003</v>
      </c>
      <c r="F666" s="71">
        <v>19031</v>
      </c>
      <c r="G666" s="71">
        <v>1</v>
      </c>
      <c r="H666" s="71">
        <v>60</v>
      </c>
      <c r="I666" s="72">
        <v>0.2</v>
      </c>
      <c r="J666" s="73">
        <v>40</v>
      </c>
      <c r="K666" s="25">
        <v>0</v>
      </c>
      <c r="L666" s="71">
        <v>0</v>
      </c>
      <c r="M666" s="71">
        <v>154</v>
      </c>
      <c r="N666" s="71">
        <v>336</v>
      </c>
      <c r="O666" s="71">
        <v>0</v>
      </c>
      <c r="P666" s="71">
        <v>0</v>
      </c>
      <c r="Q666" s="71">
        <v>154</v>
      </c>
      <c r="R666" s="71">
        <v>336</v>
      </c>
      <c r="S666" s="71">
        <v>154</v>
      </c>
      <c r="T666" s="71">
        <v>336</v>
      </c>
      <c r="U666" s="72">
        <v>0</v>
      </c>
      <c r="V666" s="71">
        <v>0</v>
      </c>
      <c r="W666" s="71">
        <v>0</v>
      </c>
      <c r="X666" s="71">
        <v>0</v>
      </c>
      <c r="Y666" s="72">
        <v>0</v>
      </c>
      <c r="Z666" s="72">
        <v>0</v>
      </c>
      <c r="AA666" s="72">
        <v>0</v>
      </c>
      <c r="AB666" s="72">
        <v>200503</v>
      </c>
      <c r="AC666" s="72">
        <v>200</v>
      </c>
      <c r="AD666" s="72">
        <v>1</v>
      </c>
      <c r="AE666" s="72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74"/>
      <c r="BM666" s="74"/>
      <c r="BN666" s="74"/>
      <c r="BO666" s="74"/>
      <c r="BP666" s="74"/>
      <c r="BQ666" s="74"/>
      <c r="BR666" s="74"/>
      <c r="BS666" s="74"/>
      <c r="BT666" s="74"/>
      <c r="BU666" s="74"/>
      <c r="BV666" s="74"/>
      <c r="BW666" s="74"/>
      <c r="BX666" s="74"/>
      <c r="BY666" s="74"/>
      <c r="BZ666" s="74"/>
      <c r="CA666" s="74"/>
      <c r="CB666" s="74"/>
      <c r="CC666" s="74"/>
      <c r="CD666" s="74"/>
      <c r="CE666" s="74"/>
      <c r="CF666" s="74"/>
      <c r="CG666" s="74"/>
      <c r="CH666" s="74"/>
      <c r="CI666" s="74"/>
      <c r="CJ666" s="74"/>
      <c r="CK666" s="74"/>
      <c r="CL666" s="74"/>
      <c r="CM666" s="74"/>
      <c r="CN666" s="74"/>
      <c r="CO666" s="74"/>
      <c r="CP666" s="74"/>
      <c r="CQ666" s="74"/>
      <c r="CR666" s="74"/>
      <c r="CS666" s="74"/>
      <c r="CT666" s="74"/>
      <c r="CU666" s="74"/>
      <c r="CV666" s="74"/>
      <c r="CW666" s="74"/>
      <c r="CX666" s="74"/>
      <c r="CY666" s="74"/>
      <c r="CZ666" s="74"/>
      <c r="DA666" s="74"/>
      <c r="DB666" s="74"/>
      <c r="DC666" s="74"/>
      <c r="DD666" s="74"/>
      <c r="DE666" s="74"/>
      <c r="DF666" s="74"/>
      <c r="DG666" s="74"/>
      <c r="DH666" s="74"/>
      <c r="DI666" s="74"/>
      <c r="DJ666" s="74"/>
      <c r="DK666" s="74"/>
      <c r="DL666" s="74"/>
      <c r="DM666" s="74"/>
      <c r="DN666" s="74"/>
      <c r="DO666" s="74"/>
      <c r="DP666" s="74"/>
      <c r="DQ666" s="74"/>
      <c r="DR666" s="74"/>
      <c r="DS666" s="74"/>
      <c r="DT666" s="74"/>
      <c r="DU666" s="74"/>
      <c r="DV666" s="74"/>
      <c r="DW666" s="74"/>
      <c r="DX666" s="74"/>
      <c r="DY666" s="74"/>
      <c r="DZ666" s="74"/>
      <c r="EA666" s="74"/>
      <c r="EB666" s="74"/>
      <c r="EC666" s="74"/>
      <c r="ED666" s="74"/>
      <c r="EE666" s="74"/>
      <c r="EF666" s="74"/>
      <c r="EG666" s="74"/>
      <c r="EH666" s="74"/>
      <c r="EI666" s="74"/>
      <c r="EJ666" s="74"/>
      <c r="EK666" s="74"/>
      <c r="EL666" s="74"/>
      <c r="EM666" s="74"/>
      <c r="EN666" s="74"/>
      <c r="EO666" s="74"/>
      <c r="EP666" s="74"/>
      <c r="EQ666" s="74"/>
      <c r="ER666" s="74"/>
      <c r="ES666" s="74"/>
      <c r="ET666" s="74"/>
      <c r="EU666" s="74"/>
      <c r="EV666" s="74"/>
      <c r="EW666" s="74"/>
      <c r="EX666" s="74"/>
      <c r="EY666" s="74"/>
      <c r="EZ666" s="74"/>
      <c r="FA666" s="74"/>
      <c r="FB666" s="74"/>
      <c r="FC666" s="74"/>
      <c r="FD666" s="74"/>
      <c r="FE666" s="74"/>
      <c r="FF666" s="74"/>
      <c r="FG666" s="74"/>
      <c r="FH666" s="74"/>
      <c r="FI666" s="74"/>
      <c r="FJ666" s="74"/>
      <c r="FK666" s="74"/>
      <c r="FL666" s="74"/>
      <c r="FM666" s="74"/>
      <c r="FN666" s="74"/>
      <c r="FO666" s="74"/>
      <c r="FP666" s="74"/>
      <c r="FQ666" s="74"/>
      <c r="FR666" s="74"/>
      <c r="FS666" s="74"/>
      <c r="FT666" s="74"/>
      <c r="FU666" s="74"/>
      <c r="FV666" s="74"/>
      <c r="FW666" s="74"/>
      <c r="FX666" s="74"/>
      <c r="FY666" s="74"/>
      <c r="FZ666" s="74"/>
      <c r="GA666" s="74"/>
      <c r="GB666" s="74"/>
      <c r="GC666" s="74"/>
      <c r="GD666" s="74"/>
      <c r="GE666" s="74"/>
      <c r="GF666" s="74"/>
      <c r="GG666" s="74"/>
      <c r="GH666" s="74"/>
      <c r="GI666" s="74"/>
      <c r="GJ666" s="74"/>
      <c r="GK666" s="74"/>
      <c r="GL666" s="74"/>
      <c r="GM666" s="74"/>
      <c r="GN666" s="74"/>
      <c r="GO666" s="74"/>
      <c r="GP666" s="74"/>
      <c r="GQ666" s="74"/>
      <c r="GR666" s="74"/>
      <c r="GS666" s="74"/>
      <c r="GT666" s="74"/>
      <c r="GU666" s="74"/>
      <c r="GV666" s="74"/>
      <c r="GW666" s="74"/>
      <c r="GX666" s="74"/>
      <c r="GY666" s="74"/>
      <c r="GZ666" s="74"/>
      <c r="HA666" s="74"/>
      <c r="HB666" s="74"/>
      <c r="HC666" s="74"/>
      <c r="HD666" s="74"/>
      <c r="HE666" s="74"/>
      <c r="HF666" s="74"/>
      <c r="HG666" s="74"/>
      <c r="HH666" s="74"/>
      <c r="HI666" s="74"/>
      <c r="HJ666" s="74"/>
      <c r="HK666" s="74"/>
      <c r="HL666" s="74"/>
      <c r="HM666" s="74"/>
      <c r="HN666" s="74"/>
      <c r="HO666" s="74"/>
      <c r="HP666" s="74"/>
    </row>
    <row r="667" spans="3:224" s="75" customFormat="1" ht="20.100000000000001" customHeight="1">
      <c r="C667" s="36">
        <v>15902001</v>
      </c>
      <c r="D667" s="71" t="s">
        <v>536</v>
      </c>
      <c r="E667" s="71">
        <v>11200003</v>
      </c>
      <c r="F667" s="71">
        <v>19011</v>
      </c>
      <c r="G667" s="71">
        <v>1</v>
      </c>
      <c r="H667" s="71">
        <v>60</v>
      </c>
      <c r="I667" s="72">
        <v>0.2</v>
      </c>
      <c r="J667" s="73">
        <v>40</v>
      </c>
      <c r="K667" s="25">
        <v>0</v>
      </c>
      <c r="L667" s="71">
        <v>0</v>
      </c>
      <c r="M667" s="71">
        <v>275</v>
      </c>
      <c r="N667" s="71">
        <v>579</v>
      </c>
      <c r="O667" s="71">
        <v>0</v>
      </c>
      <c r="P667" s="71">
        <v>0</v>
      </c>
      <c r="Q667" s="71">
        <v>0</v>
      </c>
      <c r="R667" s="71">
        <v>0</v>
      </c>
      <c r="S667" s="71">
        <v>397</v>
      </c>
      <c r="T667" s="71">
        <v>790</v>
      </c>
      <c r="U667" s="72">
        <v>0</v>
      </c>
      <c r="V667" s="71">
        <v>0</v>
      </c>
      <c r="W667" s="71">
        <v>0</v>
      </c>
      <c r="X667" s="71">
        <v>0</v>
      </c>
      <c r="Y667" s="72">
        <v>0</v>
      </c>
      <c r="Z667" s="72">
        <v>0</v>
      </c>
      <c r="AA667" s="72">
        <v>0</v>
      </c>
      <c r="AB667" s="72">
        <v>202303</v>
      </c>
      <c r="AC667" s="72">
        <v>200</v>
      </c>
      <c r="AD667" s="72">
        <v>1</v>
      </c>
      <c r="AE667" s="72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74"/>
      <c r="BM667" s="74"/>
      <c r="BN667" s="74"/>
      <c r="BO667" s="74"/>
      <c r="BP667" s="74"/>
      <c r="BQ667" s="74"/>
      <c r="BR667" s="74"/>
      <c r="BS667" s="74"/>
      <c r="BT667" s="74"/>
      <c r="BU667" s="74"/>
      <c r="BV667" s="74"/>
      <c r="BW667" s="74"/>
      <c r="BX667" s="74"/>
      <c r="BY667" s="74"/>
      <c r="BZ667" s="74"/>
      <c r="CA667" s="74"/>
      <c r="CB667" s="74"/>
      <c r="CC667" s="74"/>
      <c r="CD667" s="74"/>
      <c r="CE667" s="74"/>
      <c r="CF667" s="74"/>
      <c r="CG667" s="74"/>
      <c r="CH667" s="74"/>
      <c r="CI667" s="74"/>
      <c r="CJ667" s="74"/>
      <c r="CK667" s="74"/>
      <c r="CL667" s="74"/>
      <c r="CM667" s="74"/>
      <c r="CN667" s="74"/>
      <c r="CO667" s="74"/>
      <c r="CP667" s="74"/>
      <c r="CQ667" s="74"/>
      <c r="CR667" s="74"/>
      <c r="CS667" s="74"/>
      <c r="CT667" s="74"/>
      <c r="CU667" s="74"/>
      <c r="CV667" s="74"/>
      <c r="CW667" s="74"/>
      <c r="CX667" s="74"/>
      <c r="CY667" s="74"/>
      <c r="CZ667" s="74"/>
      <c r="DA667" s="74"/>
      <c r="DB667" s="74"/>
      <c r="DC667" s="74"/>
      <c r="DD667" s="74"/>
      <c r="DE667" s="74"/>
      <c r="DF667" s="74"/>
      <c r="DG667" s="74"/>
      <c r="DH667" s="74"/>
      <c r="DI667" s="74"/>
      <c r="DJ667" s="74"/>
      <c r="DK667" s="74"/>
      <c r="DL667" s="74"/>
      <c r="DM667" s="74"/>
      <c r="DN667" s="74"/>
      <c r="DO667" s="74"/>
      <c r="DP667" s="74"/>
      <c r="DQ667" s="74"/>
      <c r="DR667" s="74"/>
      <c r="DS667" s="74"/>
      <c r="DT667" s="74"/>
      <c r="DU667" s="74"/>
      <c r="DV667" s="74"/>
      <c r="DW667" s="74"/>
      <c r="DX667" s="74"/>
      <c r="DY667" s="74"/>
      <c r="DZ667" s="74"/>
      <c r="EA667" s="74"/>
      <c r="EB667" s="74"/>
      <c r="EC667" s="74"/>
      <c r="ED667" s="74"/>
      <c r="EE667" s="74"/>
      <c r="EF667" s="74"/>
      <c r="EG667" s="74"/>
      <c r="EH667" s="74"/>
      <c r="EI667" s="74"/>
      <c r="EJ667" s="74"/>
      <c r="EK667" s="74"/>
      <c r="EL667" s="74"/>
      <c r="EM667" s="74"/>
      <c r="EN667" s="74"/>
      <c r="EO667" s="74"/>
      <c r="EP667" s="74"/>
      <c r="EQ667" s="74"/>
      <c r="ER667" s="74"/>
      <c r="ES667" s="74"/>
      <c r="ET667" s="74"/>
      <c r="EU667" s="74"/>
      <c r="EV667" s="74"/>
      <c r="EW667" s="74"/>
      <c r="EX667" s="74"/>
      <c r="EY667" s="74"/>
      <c r="EZ667" s="74"/>
      <c r="FA667" s="74"/>
      <c r="FB667" s="74"/>
      <c r="FC667" s="74"/>
      <c r="FD667" s="74"/>
      <c r="FE667" s="74"/>
      <c r="FF667" s="74"/>
      <c r="FG667" s="74"/>
      <c r="FH667" s="74"/>
      <c r="FI667" s="74"/>
      <c r="FJ667" s="74"/>
      <c r="FK667" s="74"/>
      <c r="FL667" s="74"/>
      <c r="FM667" s="74"/>
      <c r="FN667" s="74"/>
      <c r="FO667" s="74"/>
      <c r="FP667" s="74"/>
      <c r="FQ667" s="74"/>
      <c r="FR667" s="74"/>
      <c r="FS667" s="74"/>
      <c r="FT667" s="74"/>
      <c r="FU667" s="74"/>
      <c r="FV667" s="74"/>
      <c r="FW667" s="74"/>
      <c r="FX667" s="74"/>
      <c r="FY667" s="74"/>
      <c r="FZ667" s="74"/>
      <c r="GA667" s="74"/>
      <c r="GB667" s="74"/>
      <c r="GC667" s="74"/>
      <c r="GD667" s="74"/>
      <c r="GE667" s="74"/>
      <c r="GF667" s="74"/>
      <c r="GG667" s="74"/>
      <c r="GH667" s="74"/>
      <c r="GI667" s="74"/>
      <c r="GJ667" s="74"/>
      <c r="GK667" s="74"/>
      <c r="GL667" s="74"/>
      <c r="GM667" s="74"/>
      <c r="GN667" s="74"/>
      <c r="GO667" s="74"/>
      <c r="GP667" s="74"/>
      <c r="GQ667" s="74"/>
      <c r="GR667" s="74"/>
      <c r="GS667" s="74"/>
      <c r="GT667" s="74"/>
      <c r="GU667" s="74"/>
      <c r="GV667" s="74"/>
      <c r="GW667" s="74"/>
      <c r="GX667" s="74"/>
      <c r="GY667" s="74"/>
      <c r="GZ667" s="74"/>
      <c r="HA667" s="74"/>
      <c r="HB667" s="74"/>
      <c r="HC667" s="74"/>
      <c r="HD667" s="74"/>
      <c r="HE667" s="74"/>
      <c r="HF667" s="74"/>
      <c r="HG667" s="74"/>
      <c r="HH667" s="74"/>
      <c r="HI667" s="74"/>
      <c r="HJ667" s="74"/>
      <c r="HK667" s="74"/>
      <c r="HL667" s="74"/>
      <c r="HM667" s="74"/>
      <c r="HN667" s="74"/>
      <c r="HO667" s="74"/>
      <c r="HP667" s="74"/>
    </row>
    <row r="668" spans="3:224" s="75" customFormat="1" ht="20.100000000000001" customHeight="1">
      <c r="C668" s="36">
        <v>15902002</v>
      </c>
      <c r="D668" s="71" t="s">
        <v>538</v>
      </c>
      <c r="E668" s="71">
        <v>11200003</v>
      </c>
      <c r="F668" s="71">
        <v>19021</v>
      </c>
      <c r="G668" s="71">
        <v>1</v>
      </c>
      <c r="H668" s="71">
        <v>60</v>
      </c>
      <c r="I668" s="72">
        <v>0.2</v>
      </c>
      <c r="J668" s="73">
        <v>40</v>
      </c>
      <c r="K668" s="25">
        <v>0</v>
      </c>
      <c r="L668" s="71">
        <v>0</v>
      </c>
      <c r="M668" s="71">
        <v>397</v>
      </c>
      <c r="N668" s="71">
        <v>761</v>
      </c>
      <c r="O668" s="71">
        <v>0</v>
      </c>
      <c r="P668" s="71">
        <v>0</v>
      </c>
      <c r="Q668" s="71">
        <v>0</v>
      </c>
      <c r="R668" s="71">
        <v>0</v>
      </c>
      <c r="S668" s="71">
        <v>304</v>
      </c>
      <c r="T668" s="71">
        <v>579</v>
      </c>
      <c r="U668" s="72">
        <v>0</v>
      </c>
      <c r="V668" s="71">
        <v>0</v>
      </c>
      <c r="W668" s="71">
        <v>0</v>
      </c>
      <c r="X668" s="71">
        <v>0</v>
      </c>
      <c r="Y668" s="72">
        <v>0</v>
      </c>
      <c r="Z668" s="72">
        <v>0</v>
      </c>
      <c r="AA668" s="72">
        <v>0</v>
      </c>
      <c r="AB668" s="72">
        <v>202303</v>
      </c>
      <c r="AC668" s="72">
        <v>200</v>
      </c>
      <c r="AD668" s="72">
        <v>1</v>
      </c>
      <c r="AE668" s="72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74"/>
      <c r="BM668" s="74"/>
      <c r="BN668" s="74"/>
      <c r="BO668" s="74"/>
      <c r="BP668" s="74"/>
      <c r="BQ668" s="74"/>
      <c r="BR668" s="74"/>
      <c r="BS668" s="74"/>
      <c r="BT668" s="74"/>
      <c r="BU668" s="74"/>
      <c r="BV668" s="74"/>
      <c r="BW668" s="74"/>
      <c r="BX668" s="74"/>
      <c r="BY668" s="74"/>
      <c r="BZ668" s="74"/>
      <c r="CA668" s="74"/>
      <c r="CB668" s="74"/>
      <c r="CC668" s="74"/>
      <c r="CD668" s="74"/>
      <c r="CE668" s="74"/>
      <c r="CF668" s="74"/>
      <c r="CG668" s="74"/>
      <c r="CH668" s="74"/>
      <c r="CI668" s="74"/>
      <c r="CJ668" s="74"/>
      <c r="CK668" s="74"/>
      <c r="CL668" s="74"/>
      <c r="CM668" s="74"/>
      <c r="CN668" s="74"/>
      <c r="CO668" s="74"/>
      <c r="CP668" s="74"/>
      <c r="CQ668" s="74"/>
      <c r="CR668" s="74"/>
      <c r="CS668" s="74"/>
      <c r="CT668" s="74"/>
      <c r="CU668" s="74"/>
      <c r="CV668" s="74"/>
      <c r="CW668" s="74"/>
      <c r="CX668" s="74"/>
      <c r="CY668" s="74"/>
      <c r="CZ668" s="74"/>
      <c r="DA668" s="74"/>
      <c r="DB668" s="74"/>
      <c r="DC668" s="74"/>
      <c r="DD668" s="74"/>
      <c r="DE668" s="74"/>
      <c r="DF668" s="74"/>
      <c r="DG668" s="74"/>
      <c r="DH668" s="74"/>
      <c r="DI668" s="74"/>
      <c r="DJ668" s="74"/>
      <c r="DK668" s="74"/>
      <c r="DL668" s="74"/>
      <c r="DM668" s="74"/>
      <c r="DN668" s="74"/>
      <c r="DO668" s="74"/>
      <c r="DP668" s="74"/>
      <c r="DQ668" s="74"/>
      <c r="DR668" s="74"/>
      <c r="DS668" s="74"/>
      <c r="DT668" s="74"/>
      <c r="DU668" s="74"/>
      <c r="DV668" s="74"/>
      <c r="DW668" s="74"/>
      <c r="DX668" s="74"/>
      <c r="DY668" s="74"/>
      <c r="DZ668" s="74"/>
      <c r="EA668" s="74"/>
      <c r="EB668" s="74"/>
      <c r="EC668" s="74"/>
      <c r="ED668" s="74"/>
      <c r="EE668" s="74"/>
      <c r="EF668" s="74"/>
      <c r="EG668" s="74"/>
      <c r="EH668" s="74"/>
      <c r="EI668" s="74"/>
      <c r="EJ668" s="74"/>
      <c r="EK668" s="74"/>
      <c r="EL668" s="74"/>
      <c r="EM668" s="74"/>
      <c r="EN668" s="74"/>
      <c r="EO668" s="74"/>
      <c r="EP668" s="74"/>
      <c r="EQ668" s="74"/>
      <c r="ER668" s="74"/>
      <c r="ES668" s="74"/>
      <c r="ET668" s="74"/>
      <c r="EU668" s="74"/>
      <c r="EV668" s="74"/>
      <c r="EW668" s="74"/>
      <c r="EX668" s="74"/>
      <c r="EY668" s="74"/>
      <c r="EZ668" s="74"/>
      <c r="FA668" s="74"/>
      <c r="FB668" s="74"/>
      <c r="FC668" s="74"/>
      <c r="FD668" s="74"/>
      <c r="FE668" s="74"/>
      <c r="FF668" s="74"/>
      <c r="FG668" s="74"/>
      <c r="FH668" s="74"/>
      <c r="FI668" s="74"/>
      <c r="FJ668" s="74"/>
      <c r="FK668" s="74"/>
      <c r="FL668" s="74"/>
      <c r="FM668" s="74"/>
      <c r="FN668" s="74"/>
      <c r="FO668" s="74"/>
      <c r="FP668" s="74"/>
      <c r="FQ668" s="74"/>
      <c r="FR668" s="74"/>
      <c r="FS668" s="74"/>
      <c r="FT668" s="74"/>
      <c r="FU668" s="74"/>
      <c r="FV668" s="74"/>
      <c r="FW668" s="74"/>
      <c r="FX668" s="74"/>
      <c r="FY668" s="74"/>
      <c r="FZ668" s="74"/>
      <c r="GA668" s="74"/>
      <c r="GB668" s="74"/>
      <c r="GC668" s="74"/>
      <c r="GD668" s="74"/>
      <c r="GE668" s="74"/>
      <c r="GF668" s="74"/>
      <c r="GG668" s="74"/>
      <c r="GH668" s="74"/>
      <c r="GI668" s="74"/>
      <c r="GJ668" s="74"/>
      <c r="GK668" s="74"/>
      <c r="GL668" s="74"/>
      <c r="GM668" s="74"/>
      <c r="GN668" s="74"/>
      <c r="GO668" s="74"/>
      <c r="GP668" s="74"/>
      <c r="GQ668" s="74"/>
      <c r="GR668" s="74"/>
      <c r="GS668" s="74"/>
      <c r="GT668" s="74"/>
      <c r="GU668" s="74"/>
      <c r="GV668" s="74"/>
      <c r="GW668" s="74"/>
      <c r="GX668" s="74"/>
      <c r="GY668" s="74"/>
      <c r="GZ668" s="74"/>
      <c r="HA668" s="74"/>
      <c r="HB668" s="74"/>
      <c r="HC668" s="74"/>
      <c r="HD668" s="74"/>
      <c r="HE668" s="74"/>
      <c r="HF668" s="74"/>
      <c r="HG668" s="74"/>
      <c r="HH668" s="74"/>
      <c r="HI668" s="74"/>
      <c r="HJ668" s="74"/>
      <c r="HK668" s="74"/>
      <c r="HL668" s="74"/>
      <c r="HM668" s="74"/>
      <c r="HN668" s="74"/>
      <c r="HO668" s="74"/>
      <c r="HP668" s="74"/>
    </row>
    <row r="669" spans="3:224" s="75" customFormat="1" ht="20.100000000000001" customHeight="1">
      <c r="C669" s="36">
        <v>15902003</v>
      </c>
      <c r="D669" s="71" t="s">
        <v>540</v>
      </c>
      <c r="E669" s="71">
        <v>11200003</v>
      </c>
      <c r="F669" s="71">
        <v>19031</v>
      </c>
      <c r="G669" s="71">
        <v>1</v>
      </c>
      <c r="H669" s="71">
        <v>60</v>
      </c>
      <c r="I669" s="72">
        <v>0.2</v>
      </c>
      <c r="J669" s="73">
        <v>40</v>
      </c>
      <c r="K669" s="25">
        <v>0</v>
      </c>
      <c r="L669" s="71">
        <v>0</v>
      </c>
      <c r="M669" s="71">
        <v>215</v>
      </c>
      <c r="N669" s="71">
        <v>425</v>
      </c>
      <c r="O669" s="71">
        <v>0</v>
      </c>
      <c r="P669" s="71">
        <v>0</v>
      </c>
      <c r="Q669" s="71">
        <v>0</v>
      </c>
      <c r="R669" s="71">
        <v>0</v>
      </c>
      <c r="S669" s="71">
        <v>486</v>
      </c>
      <c r="T669" s="71">
        <v>972</v>
      </c>
      <c r="U669" s="72">
        <v>0</v>
      </c>
      <c r="V669" s="71">
        <v>0</v>
      </c>
      <c r="W669" s="71">
        <v>0</v>
      </c>
      <c r="X669" s="71">
        <v>0</v>
      </c>
      <c r="Y669" s="72">
        <v>0</v>
      </c>
      <c r="Z669" s="72">
        <v>0</v>
      </c>
      <c r="AA669" s="72">
        <v>0</v>
      </c>
      <c r="AB669" s="72">
        <v>202303</v>
      </c>
      <c r="AC669" s="72">
        <v>200</v>
      </c>
      <c r="AD669" s="72">
        <v>1</v>
      </c>
      <c r="AE669" s="72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74"/>
      <c r="BM669" s="74"/>
      <c r="BN669" s="74"/>
      <c r="BO669" s="74"/>
      <c r="BP669" s="74"/>
      <c r="BQ669" s="74"/>
      <c r="BR669" s="74"/>
      <c r="BS669" s="74"/>
      <c r="BT669" s="74"/>
      <c r="BU669" s="74"/>
      <c r="BV669" s="74"/>
      <c r="BW669" s="74"/>
      <c r="BX669" s="74"/>
      <c r="BY669" s="74"/>
      <c r="BZ669" s="74"/>
      <c r="CA669" s="74"/>
      <c r="CB669" s="74"/>
      <c r="CC669" s="74"/>
      <c r="CD669" s="74"/>
      <c r="CE669" s="74"/>
      <c r="CF669" s="74"/>
      <c r="CG669" s="74"/>
      <c r="CH669" s="74"/>
      <c r="CI669" s="74"/>
      <c r="CJ669" s="74"/>
      <c r="CK669" s="74"/>
      <c r="CL669" s="74"/>
      <c r="CM669" s="74"/>
      <c r="CN669" s="74"/>
      <c r="CO669" s="74"/>
      <c r="CP669" s="74"/>
      <c r="CQ669" s="74"/>
      <c r="CR669" s="74"/>
      <c r="CS669" s="74"/>
      <c r="CT669" s="74"/>
      <c r="CU669" s="74"/>
      <c r="CV669" s="74"/>
      <c r="CW669" s="74"/>
      <c r="CX669" s="74"/>
      <c r="CY669" s="74"/>
      <c r="CZ669" s="74"/>
      <c r="DA669" s="74"/>
      <c r="DB669" s="74"/>
      <c r="DC669" s="74"/>
      <c r="DD669" s="74"/>
      <c r="DE669" s="74"/>
      <c r="DF669" s="74"/>
      <c r="DG669" s="74"/>
      <c r="DH669" s="74"/>
      <c r="DI669" s="74"/>
      <c r="DJ669" s="74"/>
      <c r="DK669" s="74"/>
      <c r="DL669" s="74"/>
      <c r="DM669" s="74"/>
      <c r="DN669" s="74"/>
      <c r="DO669" s="74"/>
      <c r="DP669" s="74"/>
      <c r="DQ669" s="74"/>
      <c r="DR669" s="74"/>
      <c r="DS669" s="74"/>
      <c r="DT669" s="74"/>
      <c r="DU669" s="74"/>
      <c r="DV669" s="74"/>
      <c r="DW669" s="74"/>
      <c r="DX669" s="74"/>
      <c r="DY669" s="74"/>
      <c r="DZ669" s="74"/>
      <c r="EA669" s="74"/>
      <c r="EB669" s="74"/>
      <c r="EC669" s="74"/>
      <c r="ED669" s="74"/>
      <c r="EE669" s="74"/>
      <c r="EF669" s="74"/>
      <c r="EG669" s="74"/>
      <c r="EH669" s="74"/>
      <c r="EI669" s="74"/>
      <c r="EJ669" s="74"/>
      <c r="EK669" s="74"/>
      <c r="EL669" s="74"/>
      <c r="EM669" s="74"/>
      <c r="EN669" s="74"/>
      <c r="EO669" s="74"/>
      <c r="EP669" s="74"/>
      <c r="EQ669" s="74"/>
      <c r="ER669" s="74"/>
      <c r="ES669" s="74"/>
      <c r="ET669" s="74"/>
      <c r="EU669" s="74"/>
      <c r="EV669" s="74"/>
      <c r="EW669" s="74"/>
      <c r="EX669" s="74"/>
      <c r="EY669" s="74"/>
      <c r="EZ669" s="74"/>
      <c r="FA669" s="74"/>
      <c r="FB669" s="74"/>
      <c r="FC669" s="74"/>
      <c r="FD669" s="74"/>
      <c r="FE669" s="74"/>
      <c r="FF669" s="74"/>
      <c r="FG669" s="74"/>
      <c r="FH669" s="74"/>
      <c r="FI669" s="74"/>
      <c r="FJ669" s="74"/>
      <c r="FK669" s="74"/>
      <c r="FL669" s="74"/>
      <c r="FM669" s="74"/>
      <c r="FN669" s="74"/>
      <c r="FO669" s="74"/>
      <c r="FP669" s="74"/>
      <c r="FQ669" s="74"/>
      <c r="FR669" s="74"/>
      <c r="FS669" s="74"/>
      <c r="FT669" s="74"/>
      <c r="FU669" s="74"/>
      <c r="FV669" s="74"/>
      <c r="FW669" s="74"/>
      <c r="FX669" s="74"/>
      <c r="FY669" s="74"/>
      <c r="FZ669" s="74"/>
      <c r="GA669" s="74"/>
      <c r="GB669" s="74"/>
      <c r="GC669" s="74"/>
      <c r="GD669" s="74"/>
      <c r="GE669" s="74"/>
      <c r="GF669" s="74"/>
      <c r="GG669" s="74"/>
      <c r="GH669" s="74"/>
      <c r="GI669" s="74"/>
      <c r="GJ669" s="74"/>
      <c r="GK669" s="74"/>
      <c r="GL669" s="74"/>
      <c r="GM669" s="74"/>
      <c r="GN669" s="74"/>
      <c r="GO669" s="74"/>
      <c r="GP669" s="74"/>
      <c r="GQ669" s="74"/>
      <c r="GR669" s="74"/>
      <c r="GS669" s="74"/>
      <c r="GT669" s="74"/>
      <c r="GU669" s="74"/>
      <c r="GV669" s="74"/>
      <c r="GW669" s="74"/>
      <c r="GX669" s="74"/>
      <c r="GY669" s="74"/>
      <c r="GZ669" s="74"/>
      <c r="HA669" s="74"/>
      <c r="HB669" s="74"/>
      <c r="HC669" s="74"/>
      <c r="HD669" s="74"/>
      <c r="HE669" s="74"/>
      <c r="HF669" s="74"/>
      <c r="HG669" s="74"/>
      <c r="HH669" s="74"/>
      <c r="HI669" s="74"/>
      <c r="HJ669" s="74"/>
      <c r="HK669" s="74"/>
      <c r="HL669" s="74"/>
      <c r="HM669" s="74"/>
      <c r="HN669" s="74"/>
      <c r="HO669" s="74"/>
      <c r="HP669" s="74"/>
    </row>
    <row r="670" spans="3:224" s="75" customFormat="1" ht="20.100000000000001" customHeight="1">
      <c r="C670" s="36">
        <v>15903001</v>
      </c>
      <c r="D670" s="71" t="s">
        <v>542</v>
      </c>
      <c r="E670" s="71">
        <v>11200003</v>
      </c>
      <c r="F670" s="71">
        <v>19011</v>
      </c>
      <c r="G670" s="71">
        <v>1</v>
      </c>
      <c r="H670" s="71">
        <v>60</v>
      </c>
      <c r="I670" s="72">
        <v>0.2</v>
      </c>
      <c r="J670" s="73">
        <v>40</v>
      </c>
      <c r="K670" s="25">
        <v>0</v>
      </c>
      <c r="L670" s="71">
        <v>9170</v>
      </c>
      <c r="M670" s="71">
        <v>154</v>
      </c>
      <c r="N670" s="71">
        <v>304</v>
      </c>
      <c r="O670" s="71">
        <v>0</v>
      </c>
      <c r="P670" s="71">
        <v>0</v>
      </c>
      <c r="Q670" s="71">
        <v>275</v>
      </c>
      <c r="R670" s="71">
        <v>518</v>
      </c>
      <c r="S670" s="71">
        <v>0</v>
      </c>
      <c r="T670" s="71">
        <v>0</v>
      </c>
      <c r="U670" s="72">
        <v>0</v>
      </c>
      <c r="V670" s="71">
        <v>0</v>
      </c>
      <c r="W670" s="71">
        <v>0</v>
      </c>
      <c r="X670" s="71">
        <v>0</v>
      </c>
      <c r="Y670" s="72">
        <v>0</v>
      </c>
      <c r="Z670" s="72">
        <v>0</v>
      </c>
      <c r="AA670" s="72">
        <v>0</v>
      </c>
      <c r="AB670" s="72">
        <v>200403</v>
      </c>
      <c r="AC670" s="72">
        <v>200</v>
      </c>
      <c r="AD670" s="72">
        <v>1</v>
      </c>
      <c r="AE670" s="72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74"/>
      <c r="BM670" s="74"/>
      <c r="BN670" s="74"/>
      <c r="BO670" s="74"/>
      <c r="BP670" s="74"/>
      <c r="BQ670" s="74"/>
      <c r="BR670" s="74"/>
      <c r="BS670" s="74"/>
      <c r="BT670" s="74"/>
      <c r="BU670" s="74"/>
      <c r="BV670" s="74"/>
      <c r="BW670" s="74"/>
      <c r="BX670" s="74"/>
      <c r="BY670" s="74"/>
      <c r="BZ670" s="74"/>
      <c r="CA670" s="74"/>
      <c r="CB670" s="74"/>
      <c r="CC670" s="74"/>
      <c r="CD670" s="74"/>
      <c r="CE670" s="74"/>
      <c r="CF670" s="74"/>
      <c r="CG670" s="74"/>
      <c r="CH670" s="74"/>
      <c r="CI670" s="74"/>
      <c r="CJ670" s="74"/>
      <c r="CK670" s="74"/>
      <c r="CL670" s="74"/>
      <c r="CM670" s="74"/>
      <c r="CN670" s="74"/>
      <c r="CO670" s="74"/>
      <c r="CP670" s="74"/>
      <c r="CQ670" s="74"/>
      <c r="CR670" s="74"/>
      <c r="CS670" s="74"/>
      <c r="CT670" s="74"/>
      <c r="CU670" s="74"/>
      <c r="CV670" s="74"/>
      <c r="CW670" s="74"/>
      <c r="CX670" s="74"/>
      <c r="CY670" s="74"/>
      <c r="CZ670" s="74"/>
      <c r="DA670" s="74"/>
      <c r="DB670" s="74"/>
      <c r="DC670" s="74"/>
      <c r="DD670" s="74"/>
      <c r="DE670" s="74"/>
      <c r="DF670" s="74"/>
      <c r="DG670" s="74"/>
      <c r="DH670" s="74"/>
      <c r="DI670" s="74"/>
      <c r="DJ670" s="74"/>
      <c r="DK670" s="74"/>
      <c r="DL670" s="74"/>
      <c r="DM670" s="74"/>
      <c r="DN670" s="74"/>
      <c r="DO670" s="74"/>
      <c r="DP670" s="74"/>
      <c r="DQ670" s="74"/>
      <c r="DR670" s="74"/>
      <c r="DS670" s="74"/>
      <c r="DT670" s="74"/>
      <c r="DU670" s="74"/>
      <c r="DV670" s="74"/>
      <c r="DW670" s="74"/>
      <c r="DX670" s="74"/>
      <c r="DY670" s="74"/>
      <c r="DZ670" s="74"/>
      <c r="EA670" s="74"/>
      <c r="EB670" s="74"/>
      <c r="EC670" s="74"/>
      <c r="ED670" s="74"/>
      <c r="EE670" s="74"/>
      <c r="EF670" s="74"/>
      <c r="EG670" s="74"/>
      <c r="EH670" s="74"/>
      <c r="EI670" s="74"/>
      <c r="EJ670" s="74"/>
      <c r="EK670" s="74"/>
      <c r="EL670" s="74"/>
      <c r="EM670" s="74"/>
      <c r="EN670" s="74"/>
      <c r="EO670" s="74"/>
      <c r="EP670" s="74"/>
      <c r="EQ670" s="74"/>
      <c r="ER670" s="74"/>
      <c r="ES670" s="74"/>
      <c r="ET670" s="74"/>
      <c r="EU670" s="74"/>
      <c r="EV670" s="74"/>
      <c r="EW670" s="74"/>
      <c r="EX670" s="74"/>
      <c r="EY670" s="74"/>
      <c r="EZ670" s="74"/>
      <c r="FA670" s="74"/>
      <c r="FB670" s="74"/>
      <c r="FC670" s="74"/>
      <c r="FD670" s="74"/>
      <c r="FE670" s="74"/>
      <c r="FF670" s="74"/>
      <c r="FG670" s="74"/>
      <c r="FH670" s="74"/>
      <c r="FI670" s="74"/>
      <c r="FJ670" s="74"/>
      <c r="FK670" s="74"/>
      <c r="FL670" s="74"/>
      <c r="FM670" s="74"/>
      <c r="FN670" s="74"/>
      <c r="FO670" s="74"/>
      <c r="FP670" s="74"/>
      <c r="FQ670" s="74"/>
      <c r="FR670" s="74"/>
      <c r="FS670" s="74"/>
      <c r="FT670" s="74"/>
      <c r="FU670" s="74"/>
      <c r="FV670" s="74"/>
      <c r="FW670" s="74"/>
      <c r="FX670" s="74"/>
      <c r="FY670" s="74"/>
      <c r="FZ670" s="74"/>
      <c r="GA670" s="74"/>
      <c r="GB670" s="74"/>
      <c r="GC670" s="74"/>
      <c r="GD670" s="74"/>
      <c r="GE670" s="74"/>
      <c r="GF670" s="74"/>
      <c r="GG670" s="74"/>
      <c r="GH670" s="74"/>
      <c r="GI670" s="74"/>
      <c r="GJ670" s="74"/>
      <c r="GK670" s="74"/>
      <c r="GL670" s="74"/>
      <c r="GM670" s="74"/>
      <c r="GN670" s="74"/>
      <c r="GO670" s="74"/>
      <c r="GP670" s="74"/>
      <c r="GQ670" s="74"/>
      <c r="GR670" s="74"/>
      <c r="GS670" s="74"/>
      <c r="GT670" s="74"/>
      <c r="GU670" s="74"/>
      <c r="GV670" s="74"/>
      <c r="GW670" s="74"/>
      <c r="GX670" s="74"/>
      <c r="GY670" s="74"/>
      <c r="GZ670" s="74"/>
      <c r="HA670" s="74"/>
      <c r="HB670" s="74"/>
      <c r="HC670" s="74"/>
      <c r="HD670" s="74"/>
      <c r="HE670" s="74"/>
      <c r="HF670" s="74"/>
      <c r="HG670" s="74"/>
      <c r="HH670" s="74"/>
      <c r="HI670" s="74"/>
      <c r="HJ670" s="74"/>
      <c r="HK670" s="74"/>
      <c r="HL670" s="74"/>
      <c r="HM670" s="74"/>
      <c r="HN670" s="74"/>
      <c r="HO670" s="74"/>
      <c r="HP670" s="74"/>
    </row>
    <row r="671" spans="3:224" s="75" customFormat="1" ht="20.100000000000001" customHeight="1">
      <c r="C671" s="36">
        <v>15903002</v>
      </c>
      <c r="D671" s="71" t="s">
        <v>544</v>
      </c>
      <c r="E671" s="71">
        <v>11200003</v>
      </c>
      <c r="F671" s="71">
        <v>19021</v>
      </c>
      <c r="G671" s="71">
        <v>1</v>
      </c>
      <c r="H671" s="71">
        <v>60</v>
      </c>
      <c r="I671" s="72">
        <v>0.2</v>
      </c>
      <c r="J671" s="73">
        <v>40</v>
      </c>
      <c r="K671" s="25">
        <v>0</v>
      </c>
      <c r="L671" s="71">
        <v>4600</v>
      </c>
      <c r="M671" s="71">
        <v>215</v>
      </c>
      <c r="N671" s="71">
        <v>425</v>
      </c>
      <c r="O671" s="71">
        <v>0</v>
      </c>
      <c r="P671" s="71">
        <v>0</v>
      </c>
      <c r="Q671" s="71">
        <v>182</v>
      </c>
      <c r="R671" s="71">
        <v>397</v>
      </c>
      <c r="S671" s="71">
        <v>0</v>
      </c>
      <c r="T671" s="71">
        <v>0</v>
      </c>
      <c r="U671" s="72">
        <v>0</v>
      </c>
      <c r="V671" s="71">
        <v>0</v>
      </c>
      <c r="W671" s="71">
        <v>0</v>
      </c>
      <c r="X671" s="71">
        <v>0</v>
      </c>
      <c r="Y671" s="72">
        <v>0</v>
      </c>
      <c r="Z671" s="72">
        <v>0</v>
      </c>
      <c r="AA671" s="72">
        <v>0</v>
      </c>
      <c r="AB671" s="72">
        <v>200403</v>
      </c>
      <c r="AC671" s="72">
        <v>200</v>
      </c>
      <c r="AD671" s="72">
        <v>1</v>
      </c>
      <c r="AE671" s="72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74"/>
      <c r="BM671" s="74"/>
      <c r="BN671" s="74"/>
      <c r="BO671" s="74"/>
      <c r="BP671" s="74"/>
      <c r="BQ671" s="74"/>
      <c r="BR671" s="74"/>
      <c r="BS671" s="74"/>
      <c r="BT671" s="74"/>
      <c r="BU671" s="74"/>
      <c r="BV671" s="74"/>
      <c r="BW671" s="74"/>
      <c r="BX671" s="74"/>
      <c r="BY671" s="74"/>
      <c r="BZ671" s="74"/>
      <c r="CA671" s="74"/>
      <c r="CB671" s="74"/>
      <c r="CC671" s="74"/>
      <c r="CD671" s="74"/>
      <c r="CE671" s="74"/>
      <c r="CF671" s="74"/>
      <c r="CG671" s="74"/>
      <c r="CH671" s="74"/>
      <c r="CI671" s="74"/>
      <c r="CJ671" s="74"/>
      <c r="CK671" s="74"/>
      <c r="CL671" s="74"/>
      <c r="CM671" s="74"/>
      <c r="CN671" s="74"/>
      <c r="CO671" s="74"/>
      <c r="CP671" s="74"/>
      <c r="CQ671" s="74"/>
      <c r="CR671" s="74"/>
      <c r="CS671" s="74"/>
      <c r="CT671" s="74"/>
      <c r="CU671" s="74"/>
      <c r="CV671" s="74"/>
      <c r="CW671" s="74"/>
      <c r="CX671" s="74"/>
      <c r="CY671" s="74"/>
      <c r="CZ671" s="74"/>
      <c r="DA671" s="74"/>
      <c r="DB671" s="74"/>
      <c r="DC671" s="74"/>
      <c r="DD671" s="74"/>
      <c r="DE671" s="74"/>
      <c r="DF671" s="74"/>
      <c r="DG671" s="74"/>
      <c r="DH671" s="74"/>
      <c r="DI671" s="74"/>
      <c r="DJ671" s="74"/>
      <c r="DK671" s="74"/>
      <c r="DL671" s="74"/>
      <c r="DM671" s="74"/>
      <c r="DN671" s="74"/>
      <c r="DO671" s="74"/>
      <c r="DP671" s="74"/>
      <c r="DQ671" s="74"/>
      <c r="DR671" s="74"/>
      <c r="DS671" s="74"/>
      <c r="DT671" s="74"/>
      <c r="DU671" s="74"/>
      <c r="DV671" s="74"/>
      <c r="DW671" s="74"/>
      <c r="DX671" s="74"/>
      <c r="DY671" s="74"/>
      <c r="DZ671" s="74"/>
      <c r="EA671" s="74"/>
      <c r="EB671" s="74"/>
      <c r="EC671" s="74"/>
      <c r="ED671" s="74"/>
      <c r="EE671" s="74"/>
      <c r="EF671" s="74"/>
      <c r="EG671" s="74"/>
      <c r="EH671" s="74"/>
      <c r="EI671" s="74"/>
      <c r="EJ671" s="74"/>
      <c r="EK671" s="74"/>
      <c r="EL671" s="74"/>
      <c r="EM671" s="74"/>
      <c r="EN671" s="74"/>
      <c r="EO671" s="74"/>
      <c r="EP671" s="74"/>
      <c r="EQ671" s="74"/>
      <c r="ER671" s="74"/>
      <c r="ES671" s="74"/>
      <c r="ET671" s="74"/>
      <c r="EU671" s="74"/>
      <c r="EV671" s="74"/>
      <c r="EW671" s="74"/>
      <c r="EX671" s="74"/>
      <c r="EY671" s="74"/>
      <c r="EZ671" s="74"/>
      <c r="FA671" s="74"/>
      <c r="FB671" s="74"/>
      <c r="FC671" s="74"/>
      <c r="FD671" s="74"/>
      <c r="FE671" s="74"/>
      <c r="FF671" s="74"/>
      <c r="FG671" s="74"/>
      <c r="FH671" s="74"/>
      <c r="FI671" s="74"/>
      <c r="FJ671" s="74"/>
      <c r="FK671" s="74"/>
      <c r="FL671" s="74"/>
      <c r="FM671" s="74"/>
      <c r="FN671" s="74"/>
      <c r="FO671" s="74"/>
      <c r="FP671" s="74"/>
      <c r="FQ671" s="74"/>
      <c r="FR671" s="74"/>
      <c r="FS671" s="74"/>
      <c r="FT671" s="74"/>
      <c r="FU671" s="74"/>
      <c r="FV671" s="74"/>
      <c r="FW671" s="74"/>
      <c r="FX671" s="74"/>
      <c r="FY671" s="74"/>
      <c r="FZ671" s="74"/>
      <c r="GA671" s="74"/>
      <c r="GB671" s="74"/>
      <c r="GC671" s="74"/>
      <c r="GD671" s="74"/>
      <c r="GE671" s="74"/>
      <c r="GF671" s="74"/>
      <c r="GG671" s="74"/>
      <c r="GH671" s="74"/>
      <c r="GI671" s="74"/>
      <c r="GJ671" s="74"/>
      <c r="GK671" s="74"/>
      <c r="GL671" s="74"/>
      <c r="GM671" s="74"/>
      <c r="GN671" s="74"/>
      <c r="GO671" s="74"/>
      <c r="GP671" s="74"/>
      <c r="GQ671" s="74"/>
      <c r="GR671" s="74"/>
      <c r="GS671" s="74"/>
      <c r="GT671" s="74"/>
      <c r="GU671" s="74"/>
      <c r="GV671" s="74"/>
      <c r="GW671" s="74"/>
      <c r="GX671" s="74"/>
      <c r="GY671" s="74"/>
      <c r="GZ671" s="74"/>
      <c r="HA671" s="74"/>
      <c r="HB671" s="74"/>
      <c r="HC671" s="74"/>
      <c r="HD671" s="74"/>
      <c r="HE671" s="74"/>
      <c r="HF671" s="74"/>
      <c r="HG671" s="74"/>
      <c r="HH671" s="74"/>
      <c r="HI671" s="74"/>
      <c r="HJ671" s="74"/>
      <c r="HK671" s="74"/>
      <c r="HL671" s="74"/>
      <c r="HM671" s="74"/>
      <c r="HN671" s="74"/>
      <c r="HO671" s="74"/>
      <c r="HP671" s="74"/>
    </row>
    <row r="672" spans="3:224" s="75" customFormat="1" ht="20.100000000000001" customHeight="1">
      <c r="C672" s="36">
        <v>15903003</v>
      </c>
      <c r="D672" s="71" t="s">
        <v>546</v>
      </c>
      <c r="E672" s="71">
        <v>11200003</v>
      </c>
      <c r="F672" s="71">
        <v>19031</v>
      </c>
      <c r="G672" s="71">
        <v>1</v>
      </c>
      <c r="H672" s="71">
        <v>60</v>
      </c>
      <c r="I672" s="72">
        <v>0.2</v>
      </c>
      <c r="J672" s="73">
        <v>40</v>
      </c>
      <c r="K672" s="25">
        <v>0</v>
      </c>
      <c r="L672" s="71">
        <v>13790</v>
      </c>
      <c r="M672" s="71">
        <v>122</v>
      </c>
      <c r="N672" s="71">
        <v>243</v>
      </c>
      <c r="O672" s="71">
        <v>0</v>
      </c>
      <c r="P672" s="71">
        <v>0</v>
      </c>
      <c r="Q672" s="71">
        <v>336</v>
      </c>
      <c r="R672" s="71">
        <v>668</v>
      </c>
      <c r="S672" s="71">
        <v>0</v>
      </c>
      <c r="T672" s="71">
        <v>0</v>
      </c>
      <c r="U672" s="72">
        <v>0</v>
      </c>
      <c r="V672" s="71">
        <v>0</v>
      </c>
      <c r="W672" s="71">
        <v>0</v>
      </c>
      <c r="X672" s="71">
        <v>0</v>
      </c>
      <c r="Y672" s="72">
        <v>0</v>
      </c>
      <c r="Z672" s="72">
        <v>0</v>
      </c>
      <c r="AA672" s="72">
        <v>0</v>
      </c>
      <c r="AB672" s="72">
        <v>200403</v>
      </c>
      <c r="AC672" s="72">
        <v>200</v>
      </c>
      <c r="AD672" s="72">
        <v>1</v>
      </c>
      <c r="AE672" s="72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74"/>
      <c r="BM672" s="74"/>
      <c r="BN672" s="74"/>
      <c r="BO672" s="74"/>
      <c r="BP672" s="74"/>
      <c r="BQ672" s="74"/>
      <c r="BR672" s="74"/>
      <c r="BS672" s="74"/>
      <c r="BT672" s="74"/>
      <c r="BU672" s="74"/>
      <c r="BV672" s="74"/>
      <c r="BW672" s="74"/>
      <c r="BX672" s="74"/>
      <c r="BY672" s="74"/>
      <c r="BZ672" s="74"/>
      <c r="CA672" s="74"/>
      <c r="CB672" s="74"/>
      <c r="CC672" s="74"/>
      <c r="CD672" s="74"/>
      <c r="CE672" s="74"/>
      <c r="CF672" s="74"/>
      <c r="CG672" s="74"/>
      <c r="CH672" s="74"/>
      <c r="CI672" s="74"/>
      <c r="CJ672" s="74"/>
      <c r="CK672" s="74"/>
      <c r="CL672" s="74"/>
      <c r="CM672" s="74"/>
      <c r="CN672" s="74"/>
      <c r="CO672" s="74"/>
      <c r="CP672" s="74"/>
      <c r="CQ672" s="74"/>
      <c r="CR672" s="74"/>
      <c r="CS672" s="74"/>
      <c r="CT672" s="74"/>
      <c r="CU672" s="74"/>
      <c r="CV672" s="74"/>
      <c r="CW672" s="74"/>
      <c r="CX672" s="74"/>
      <c r="CY672" s="74"/>
      <c r="CZ672" s="74"/>
      <c r="DA672" s="74"/>
      <c r="DB672" s="74"/>
      <c r="DC672" s="74"/>
      <c r="DD672" s="74"/>
      <c r="DE672" s="74"/>
      <c r="DF672" s="74"/>
      <c r="DG672" s="74"/>
      <c r="DH672" s="74"/>
      <c r="DI672" s="74"/>
      <c r="DJ672" s="74"/>
      <c r="DK672" s="74"/>
      <c r="DL672" s="74"/>
      <c r="DM672" s="74"/>
      <c r="DN672" s="74"/>
      <c r="DO672" s="74"/>
      <c r="DP672" s="74"/>
      <c r="DQ672" s="74"/>
      <c r="DR672" s="74"/>
      <c r="DS672" s="74"/>
      <c r="DT672" s="74"/>
      <c r="DU672" s="74"/>
      <c r="DV672" s="74"/>
      <c r="DW672" s="74"/>
      <c r="DX672" s="74"/>
      <c r="DY672" s="74"/>
      <c r="DZ672" s="74"/>
      <c r="EA672" s="74"/>
      <c r="EB672" s="74"/>
      <c r="EC672" s="74"/>
      <c r="ED672" s="74"/>
      <c r="EE672" s="74"/>
      <c r="EF672" s="74"/>
      <c r="EG672" s="74"/>
      <c r="EH672" s="74"/>
      <c r="EI672" s="74"/>
      <c r="EJ672" s="74"/>
      <c r="EK672" s="74"/>
      <c r="EL672" s="74"/>
      <c r="EM672" s="74"/>
      <c r="EN672" s="74"/>
      <c r="EO672" s="74"/>
      <c r="EP672" s="74"/>
      <c r="EQ672" s="74"/>
      <c r="ER672" s="74"/>
      <c r="ES672" s="74"/>
      <c r="ET672" s="74"/>
      <c r="EU672" s="74"/>
      <c r="EV672" s="74"/>
      <c r="EW672" s="74"/>
      <c r="EX672" s="74"/>
      <c r="EY672" s="74"/>
      <c r="EZ672" s="74"/>
      <c r="FA672" s="74"/>
      <c r="FB672" s="74"/>
      <c r="FC672" s="74"/>
      <c r="FD672" s="74"/>
      <c r="FE672" s="74"/>
      <c r="FF672" s="74"/>
      <c r="FG672" s="74"/>
      <c r="FH672" s="74"/>
      <c r="FI672" s="74"/>
      <c r="FJ672" s="74"/>
      <c r="FK672" s="74"/>
      <c r="FL672" s="74"/>
      <c r="FM672" s="74"/>
      <c r="FN672" s="74"/>
      <c r="FO672" s="74"/>
      <c r="FP672" s="74"/>
      <c r="FQ672" s="74"/>
      <c r="FR672" s="74"/>
      <c r="FS672" s="74"/>
      <c r="FT672" s="74"/>
      <c r="FU672" s="74"/>
      <c r="FV672" s="74"/>
      <c r="FW672" s="74"/>
      <c r="FX672" s="74"/>
      <c r="FY672" s="74"/>
      <c r="FZ672" s="74"/>
      <c r="GA672" s="74"/>
      <c r="GB672" s="74"/>
      <c r="GC672" s="74"/>
      <c r="GD672" s="74"/>
      <c r="GE672" s="74"/>
      <c r="GF672" s="74"/>
      <c r="GG672" s="74"/>
      <c r="GH672" s="74"/>
      <c r="GI672" s="74"/>
      <c r="GJ672" s="74"/>
      <c r="GK672" s="74"/>
      <c r="GL672" s="74"/>
      <c r="GM672" s="74"/>
      <c r="GN672" s="74"/>
      <c r="GO672" s="74"/>
      <c r="GP672" s="74"/>
      <c r="GQ672" s="74"/>
      <c r="GR672" s="74"/>
      <c r="GS672" s="74"/>
      <c r="GT672" s="74"/>
      <c r="GU672" s="74"/>
      <c r="GV672" s="74"/>
      <c r="GW672" s="74"/>
      <c r="GX672" s="74"/>
      <c r="GY672" s="74"/>
      <c r="GZ672" s="74"/>
      <c r="HA672" s="74"/>
      <c r="HB672" s="74"/>
      <c r="HC672" s="74"/>
      <c r="HD672" s="74"/>
      <c r="HE672" s="74"/>
      <c r="HF672" s="74"/>
      <c r="HG672" s="74"/>
      <c r="HH672" s="74"/>
      <c r="HI672" s="74"/>
      <c r="HJ672" s="74"/>
      <c r="HK672" s="74"/>
      <c r="HL672" s="74"/>
      <c r="HM672" s="74"/>
      <c r="HN672" s="74"/>
      <c r="HO672" s="74"/>
      <c r="HP672" s="74"/>
    </row>
    <row r="673" spans="3:224" s="75" customFormat="1" ht="20.100000000000001" customHeight="1">
      <c r="C673" s="36">
        <v>15904001</v>
      </c>
      <c r="D673" s="71" t="s">
        <v>549</v>
      </c>
      <c r="E673" s="71">
        <v>11200003</v>
      </c>
      <c r="F673" s="71">
        <v>19011</v>
      </c>
      <c r="G673" s="71">
        <v>1</v>
      </c>
      <c r="H673" s="71">
        <v>60</v>
      </c>
      <c r="I673" s="72">
        <v>0.2</v>
      </c>
      <c r="J673" s="73">
        <v>40</v>
      </c>
      <c r="K673" s="25">
        <v>0</v>
      </c>
      <c r="L673" s="71">
        <v>0</v>
      </c>
      <c r="M673" s="71">
        <v>243</v>
      </c>
      <c r="N673" s="71">
        <v>486</v>
      </c>
      <c r="O673" s="71">
        <v>0</v>
      </c>
      <c r="P673" s="71">
        <v>0</v>
      </c>
      <c r="Q673" s="71">
        <v>275</v>
      </c>
      <c r="R673" s="71">
        <v>518</v>
      </c>
      <c r="S673" s="71">
        <v>275</v>
      </c>
      <c r="T673" s="71">
        <v>518</v>
      </c>
      <c r="U673" s="72">
        <v>0</v>
      </c>
      <c r="V673" s="71">
        <v>0</v>
      </c>
      <c r="W673" s="71">
        <v>0</v>
      </c>
      <c r="X673" s="71">
        <v>0</v>
      </c>
      <c r="Y673" s="72">
        <v>0</v>
      </c>
      <c r="Z673" s="72">
        <v>0</v>
      </c>
      <c r="AA673" s="72">
        <v>0</v>
      </c>
      <c r="AB673" s="72">
        <v>202203</v>
      </c>
      <c r="AC673" s="72">
        <v>200</v>
      </c>
      <c r="AD673" s="72">
        <v>1</v>
      </c>
      <c r="AE673" s="72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74"/>
      <c r="BM673" s="74"/>
      <c r="BN673" s="74"/>
      <c r="BO673" s="74"/>
      <c r="BP673" s="74"/>
      <c r="BQ673" s="74"/>
      <c r="BR673" s="74"/>
      <c r="BS673" s="74"/>
      <c r="BT673" s="74"/>
      <c r="BU673" s="74"/>
      <c r="BV673" s="74"/>
      <c r="BW673" s="74"/>
      <c r="BX673" s="74"/>
      <c r="BY673" s="74"/>
      <c r="BZ673" s="74"/>
      <c r="CA673" s="74"/>
      <c r="CB673" s="74"/>
      <c r="CC673" s="74"/>
      <c r="CD673" s="74"/>
      <c r="CE673" s="74"/>
      <c r="CF673" s="74"/>
      <c r="CG673" s="74"/>
      <c r="CH673" s="74"/>
      <c r="CI673" s="74"/>
      <c r="CJ673" s="74"/>
      <c r="CK673" s="74"/>
      <c r="CL673" s="74"/>
      <c r="CM673" s="74"/>
      <c r="CN673" s="74"/>
      <c r="CO673" s="74"/>
      <c r="CP673" s="74"/>
      <c r="CQ673" s="74"/>
      <c r="CR673" s="74"/>
      <c r="CS673" s="74"/>
      <c r="CT673" s="74"/>
      <c r="CU673" s="74"/>
      <c r="CV673" s="74"/>
      <c r="CW673" s="74"/>
      <c r="CX673" s="74"/>
      <c r="CY673" s="74"/>
      <c r="CZ673" s="74"/>
      <c r="DA673" s="74"/>
      <c r="DB673" s="74"/>
      <c r="DC673" s="74"/>
      <c r="DD673" s="74"/>
      <c r="DE673" s="74"/>
      <c r="DF673" s="74"/>
      <c r="DG673" s="74"/>
      <c r="DH673" s="74"/>
      <c r="DI673" s="74"/>
      <c r="DJ673" s="74"/>
      <c r="DK673" s="74"/>
      <c r="DL673" s="74"/>
      <c r="DM673" s="74"/>
      <c r="DN673" s="74"/>
      <c r="DO673" s="74"/>
      <c r="DP673" s="74"/>
      <c r="DQ673" s="74"/>
      <c r="DR673" s="74"/>
      <c r="DS673" s="74"/>
      <c r="DT673" s="74"/>
      <c r="DU673" s="74"/>
      <c r="DV673" s="74"/>
      <c r="DW673" s="74"/>
      <c r="DX673" s="74"/>
      <c r="DY673" s="74"/>
      <c r="DZ673" s="74"/>
      <c r="EA673" s="74"/>
      <c r="EB673" s="74"/>
      <c r="EC673" s="74"/>
      <c r="ED673" s="74"/>
      <c r="EE673" s="74"/>
      <c r="EF673" s="74"/>
      <c r="EG673" s="74"/>
      <c r="EH673" s="74"/>
      <c r="EI673" s="74"/>
      <c r="EJ673" s="74"/>
      <c r="EK673" s="74"/>
      <c r="EL673" s="74"/>
      <c r="EM673" s="74"/>
      <c r="EN673" s="74"/>
      <c r="EO673" s="74"/>
      <c r="EP673" s="74"/>
      <c r="EQ673" s="74"/>
      <c r="ER673" s="74"/>
      <c r="ES673" s="74"/>
      <c r="ET673" s="74"/>
      <c r="EU673" s="74"/>
      <c r="EV673" s="74"/>
      <c r="EW673" s="74"/>
      <c r="EX673" s="74"/>
      <c r="EY673" s="74"/>
      <c r="EZ673" s="74"/>
      <c r="FA673" s="74"/>
      <c r="FB673" s="74"/>
      <c r="FC673" s="74"/>
      <c r="FD673" s="74"/>
      <c r="FE673" s="74"/>
      <c r="FF673" s="74"/>
      <c r="FG673" s="74"/>
      <c r="FH673" s="74"/>
      <c r="FI673" s="74"/>
      <c r="FJ673" s="74"/>
      <c r="FK673" s="74"/>
      <c r="FL673" s="74"/>
      <c r="FM673" s="74"/>
      <c r="FN673" s="74"/>
      <c r="FO673" s="74"/>
      <c r="FP673" s="74"/>
      <c r="FQ673" s="74"/>
      <c r="FR673" s="74"/>
      <c r="FS673" s="74"/>
      <c r="FT673" s="74"/>
      <c r="FU673" s="74"/>
      <c r="FV673" s="74"/>
      <c r="FW673" s="74"/>
      <c r="FX673" s="74"/>
      <c r="FY673" s="74"/>
      <c r="FZ673" s="74"/>
      <c r="GA673" s="74"/>
      <c r="GB673" s="74"/>
      <c r="GC673" s="74"/>
      <c r="GD673" s="74"/>
      <c r="GE673" s="74"/>
      <c r="GF673" s="74"/>
      <c r="GG673" s="74"/>
      <c r="GH673" s="74"/>
      <c r="GI673" s="74"/>
      <c r="GJ673" s="74"/>
      <c r="GK673" s="74"/>
      <c r="GL673" s="74"/>
      <c r="GM673" s="74"/>
      <c r="GN673" s="74"/>
      <c r="GO673" s="74"/>
      <c r="GP673" s="74"/>
      <c r="GQ673" s="74"/>
      <c r="GR673" s="74"/>
      <c r="GS673" s="74"/>
      <c r="GT673" s="74"/>
      <c r="GU673" s="74"/>
      <c r="GV673" s="74"/>
      <c r="GW673" s="74"/>
      <c r="GX673" s="74"/>
      <c r="GY673" s="74"/>
      <c r="GZ673" s="74"/>
      <c r="HA673" s="74"/>
      <c r="HB673" s="74"/>
      <c r="HC673" s="74"/>
      <c r="HD673" s="74"/>
      <c r="HE673" s="74"/>
      <c r="HF673" s="74"/>
      <c r="HG673" s="74"/>
      <c r="HH673" s="74"/>
      <c r="HI673" s="74"/>
      <c r="HJ673" s="74"/>
      <c r="HK673" s="74"/>
      <c r="HL673" s="74"/>
      <c r="HM673" s="74"/>
      <c r="HN673" s="74"/>
      <c r="HO673" s="74"/>
      <c r="HP673" s="74"/>
    </row>
    <row r="674" spans="3:224" s="75" customFormat="1" ht="20.100000000000001" customHeight="1">
      <c r="C674" s="36">
        <v>15904002</v>
      </c>
      <c r="D674" s="71" t="s">
        <v>551</v>
      </c>
      <c r="E674" s="71">
        <v>11200003</v>
      </c>
      <c r="F674" s="71">
        <v>19021</v>
      </c>
      <c r="G674" s="71">
        <v>1</v>
      </c>
      <c r="H674" s="71">
        <v>60</v>
      </c>
      <c r="I674" s="72">
        <v>0.2</v>
      </c>
      <c r="J674" s="73">
        <v>40</v>
      </c>
      <c r="K674" s="25">
        <v>0</v>
      </c>
      <c r="L674" s="71">
        <v>0</v>
      </c>
      <c r="M674" s="71">
        <v>336</v>
      </c>
      <c r="N674" s="71">
        <v>640</v>
      </c>
      <c r="O674" s="71">
        <v>0</v>
      </c>
      <c r="P674" s="71">
        <v>0</v>
      </c>
      <c r="Q674" s="71">
        <v>182</v>
      </c>
      <c r="R674" s="71">
        <v>397</v>
      </c>
      <c r="S674" s="71">
        <v>182</v>
      </c>
      <c r="T674" s="71">
        <v>397</v>
      </c>
      <c r="U674" s="72">
        <v>0</v>
      </c>
      <c r="V674" s="71">
        <v>0</v>
      </c>
      <c r="W674" s="71">
        <v>0</v>
      </c>
      <c r="X674" s="71">
        <v>0</v>
      </c>
      <c r="Y674" s="72">
        <v>0</v>
      </c>
      <c r="Z674" s="72">
        <v>0</v>
      </c>
      <c r="AA674" s="72">
        <v>0</v>
      </c>
      <c r="AB674" s="72">
        <v>202303</v>
      </c>
      <c r="AC674" s="72">
        <v>200</v>
      </c>
      <c r="AD674" s="72">
        <v>1</v>
      </c>
      <c r="AE674" s="72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74"/>
      <c r="BM674" s="74"/>
      <c r="BN674" s="74"/>
      <c r="BO674" s="74"/>
      <c r="BP674" s="74"/>
      <c r="BQ674" s="74"/>
      <c r="BR674" s="74"/>
      <c r="BS674" s="74"/>
      <c r="BT674" s="74"/>
      <c r="BU674" s="74"/>
      <c r="BV674" s="74"/>
      <c r="BW674" s="74"/>
      <c r="BX674" s="74"/>
      <c r="BY674" s="74"/>
      <c r="BZ674" s="74"/>
      <c r="CA674" s="74"/>
      <c r="CB674" s="74"/>
      <c r="CC674" s="74"/>
      <c r="CD674" s="74"/>
      <c r="CE674" s="74"/>
      <c r="CF674" s="74"/>
      <c r="CG674" s="74"/>
      <c r="CH674" s="74"/>
      <c r="CI674" s="74"/>
      <c r="CJ674" s="74"/>
      <c r="CK674" s="74"/>
      <c r="CL674" s="74"/>
      <c r="CM674" s="74"/>
      <c r="CN674" s="74"/>
      <c r="CO674" s="74"/>
      <c r="CP674" s="74"/>
      <c r="CQ674" s="74"/>
      <c r="CR674" s="74"/>
      <c r="CS674" s="74"/>
      <c r="CT674" s="74"/>
      <c r="CU674" s="74"/>
      <c r="CV674" s="74"/>
      <c r="CW674" s="74"/>
      <c r="CX674" s="74"/>
      <c r="CY674" s="74"/>
      <c r="CZ674" s="74"/>
      <c r="DA674" s="74"/>
      <c r="DB674" s="74"/>
      <c r="DC674" s="74"/>
      <c r="DD674" s="74"/>
      <c r="DE674" s="74"/>
      <c r="DF674" s="74"/>
      <c r="DG674" s="74"/>
      <c r="DH674" s="74"/>
      <c r="DI674" s="74"/>
      <c r="DJ674" s="74"/>
      <c r="DK674" s="74"/>
      <c r="DL674" s="74"/>
      <c r="DM674" s="74"/>
      <c r="DN674" s="74"/>
      <c r="DO674" s="74"/>
      <c r="DP674" s="74"/>
      <c r="DQ674" s="74"/>
      <c r="DR674" s="74"/>
      <c r="DS674" s="74"/>
      <c r="DT674" s="74"/>
      <c r="DU674" s="74"/>
      <c r="DV674" s="74"/>
      <c r="DW674" s="74"/>
      <c r="DX674" s="74"/>
      <c r="DY674" s="74"/>
      <c r="DZ674" s="74"/>
      <c r="EA674" s="74"/>
      <c r="EB674" s="74"/>
      <c r="EC674" s="74"/>
      <c r="ED674" s="74"/>
      <c r="EE674" s="74"/>
      <c r="EF674" s="74"/>
      <c r="EG674" s="74"/>
      <c r="EH674" s="74"/>
      <c r="EI674" s="74"/>
      <c r="EJ674" s="74"/>
      <c r="EK674" s="74"/>
      <c r="EL674" s="74"/>
      <c r="EM674" s="74"/>
      <c r="EN674" s="74"/>
      <c r="EO674" s="74"/>
      <c r="EP674" s="74"/>
      <c r="EQ674" s="74"/>
      <c r="ER674" s="74"/>
      <c r="ES674" s="74"/>
      <c r="ET674" s="74"/>
      <c r="EU674" s="74"/>
      <c r="EV674" s="74"/>
      <c r="EW674" s="74"/>
      <c r="EX674" s="74"/>
      <c r="EY674" s="74"/>
      <c r="EZ674" s="74"/>
      <c r="FA674" s="74"/>
      <c r="FB674" s="74"/>
      <c r="FC674" s="74"/>
      <c r="FD674" s="74"/>
      <c r="FE674" s="74"/>
      <c r="FF674" s="74"/>
      <c r="FG674" s="74"/>
      <c r="FH674" s="74"/>
      <c r="FI674" s="74"/>
      <c r="FJ674" s="74"/>
      <c r="FK674" s="74"/>
      <c r="FL674" s="74"/>
      <c r="FM674" s="74"/>
      <c r="FN674" s="74"/>
      <c r="FO674" s="74"/>
      <c r="FP674" s="74"/>
      <c r="FQ674" s="74"/>
      <c r="FR674" s="74"/>
      <c r="FS674" s="74"/>
      <c r="FT674" s="74"/>
      <c r="FU674" s="74"/>
      <c r="FV674" s="74"/>
      <c r="FW674" s="74"/>
      <c r="FX674" s="74"/>
      <c r="FY674" s="74"/>
      <c r="FZ674" s="74"/>
      <c r="GA674" s="74"/>
      <c r="GB674" s="74"/>
      <c r="GC674" s="74"/>
      <c r="GD674" s="74"/>
      <c r="GE674" s="74"/>
      <c r="GF674" s="74"/>
      <c r="GG674" s="74"/>
      <c r="GH674" s="74"/>
      <c r="GI674" s="74"/>
      <c r="GJ674" s="74"/>
      <c r="GK674" s="74"/>
      <c r="GL674" s="74"/>
      <c r="GM674" s="74"/>
      <c r="GN674" s="74"/>
      <c r="GO674" s="74"/>
      <c r="GP674" s="74"/>
      <c r="GQ674" s="74"/>
      <c r="GR674" s="74"/>
      <c r="GS674" s="74"/>
      <c r="GT674" s="74"/>
      <c r="GU674" s="74"/>
      <c r="GV674" s="74"/>
      <c r="GW674" s="74"/>
      <c r="GX674" s="74"/>
      <c r="GY674" s="74"/>
      <c r="GZ674" s="74"/>
      <c r="HA674" s="74"/>
      <c r="HB674" s="74"/>
      <c r="HC674" s="74"/>
      <c r="HD674" s="74"/>
      <c r="HE674" s="74"/>
      <c r="HF674" s="74"/>
      <c r="HG674" s="74"/>
      <c r="HH674" s="74"/>
      <c r="HI674" s="74"/>
      <c r="HJ674" s="74"/>
      <c r="HK674" s="74"/>
      <c r="HL674" s="74"/>
      <c r="HM674" s="74"/>
      <c r="HN674" s="74"/>
      <c r="HO674" s="74"/>
      <c r="HP674" s="74"/>
    </row>
    <row r="675" spans="3:224" s="75" customFormat="1" ht="20.100000000000001" customHeight="1">
      <c r="C675" s="36">
        <v>15904003</v>
      </c>
      <c r="D675" s="71" t="s">
        <v>553</v>
      </c>
      <c r="E675" s="71">
        <v>11200003</v>
      </c>
      <c r="F675" s="71">
        <v>19031</v>
      </c>
      <c r="G675" s="71">
        <v>1</v>
      </c>
      <c r="H675" s="71">
        <v>60</v>
      </c>
      <c r="I675" s="72">
        <v>0.2</v>
      </c>
      <c r="J675" s="73">
        <v>40</v>
      </c>
      <c r="K675" s="25">
        <v>0</v>
      </c>
      <c r="L675" s="71">
        <v>0</v>
      </c>
      <c r="M675" s="71">
        <v>182</v>
      </c>
      <c r="N675" s="71">
        <v>365</v>
      </c>
      <c r="O675" s="71">
        <v>0</v>
      </c>
      <c r="P675" s="71">
        <v>0</v>
      </c>
      <c r="Q675" s="71">
        <v>336</v>
      </c>
      <c r="R675" s="71">
        <v>668</v>
      </c>
      <c r="S675" s="71">
        <v>336</v>
      </c>
      <c r="T675" s="71">
        <v>668</v>
      </c>
      <c r="U675" s="72">
        <v>0</v>
      </c>
      <c r="V675" s="71">
        <v>0</v>
      </c>
      <c r="W675" s="71">
        <v>0</v>
      </c>
      <c r="X675" s="71">
        <v>0</v>
      </c>
      <c r="Y675" s="72">
        <v>0</v>
      </c>
      <c r="Z675" s="72">
        <v>0</v>
      </c>
      <c r="AA675" s="72">
        <v>0</v>
      </c>
      <c r="AB675" s="72">
        <v>202203</v>
      </c>
      <c r="AC675" s="72">
        <v>200</v>
      </c>
      <c r="AD675" s="72">
        <v>1</v>
      </c>
      <c r="AE675" s="72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74"/>
      <c r="BM675" s="74"/>
      <c r="BN675" s="74"/>
      <c r="BO675" s="74"/>
      <c r="BP675" s="74"/>
      <c r="BQ675" s="74"/>
      <c r="BR675" s="74"/>
      <c r="BS675" s="74"/>
      <c r="BT675" s="74"/>
      <c r="BU675" s="74"/>
      <c r="BV675" s="74"/>
      <c r="BW675" s="74"/>
      <c r="BX675" s="74"/>
      <c r="BY675" s="74"/>
      <c r="BZ675" s="74"/>
      <c r="CA675" s="74"/>
      <c r="CB675" s="74"/>
      <c r="CC675" s="74"/>
      <c r="CD675" s="74"/>
      <c r="CE675" s="74"/>
      <c r="CF675" s="74"/>
      <c r="CG675" s="74"/>
      <c r="CH675" s="74"/>
      <c r="CI675" s="74"/>
      <c r="CJ675" s="74"/>
      <c r="CK675" s="74"/>
      <c r="CL675" s="74"/>
      <c r="CM675" s="74"/>
      <c r="CN675" s="74"/>
      <c r="CO675" s="74"/>
      <c r="CP675" s="74"/>
      <c r="CQ675" s="74"/>
      <c r="CR675" s="74"/>
      <c r="CS675" s="74"/>
      <c r="CT675" s="74"/>
      <c r="CU675" s="74"/>
      <c r="CV675" s="74"/>
      <c r="CW675" s="74"/>
      <c r="CX675" s="74"/>
      <c r="CY675" s="74"/>
      <c r="CZ675" s="74"/>
      <c r="DA675" s="74"/>
      <c r="DB675" s="74"/>
      <c r="DC675" s="74"/>
      <c r="DD675" s="74"/>
      <c r="DE675" s="74"/>
      <c r="DF675" s="74"/>
      <c r="DG675" s="74"/>
      <c r="DH675" s="74"/>
      <c r="DI675" s="74"/>
      <c r="DJ675" s="74"/>
      <c r="DK675" s="74"/>
      <c r="DL675" s="74"/>
      <c r="DM675" s="74"/>
      <c r="DN675" s="74"/>
      <c r="DO675" s="74"/>
      <c r="DP675" s="74"/>
      <c r="DQ675" s="74"/>
      <c r="DR675" s="74"/>
      <c r="DS675" s="74"/>
      <c r="DT675" s="74"/>
      <c r="DU675" s="74"/>
      <c r="DV675" s="74"/>
      <c r="DW675" s="74"/>
      <c r="DX675" s="74"/>
      <c r="DY675" s="74"/>
      <c r="DZ675" s="74"/>
      <c r="EA675" s="74"/>
      <c r="EB675" s="74"/>
      <c r="EC675" s="74"/>
      <c r="ED675" s="74"/>
      <c r="EE675" s="74"/>
      <c r="EF675" s="74"/>
      <c r="EG675" s="74"/>
      <c r="EH675" s="74"/>
      <c r="EI675" s="74"/>
      <c r="EJ675" s="74"/>
      <c r="EK675" s="74"/>
      <c r="EL675" s="74"/>
      <c r="EM675" s="74"/>
      <c r="EN675" s="74"/>
      <c r="EO675" s="74"/>
      <c r="EP675" s="74"/>
      <c r="EQ675" s="74"/>
      <c r="ER675" s="74"/>
      <c r="ES675" s="74"/>
      <c r="ET675" s="74"/>
      <c r="EU675" s="74"/>
      <c r="EV675" s="74"/>
      <c r="EW675" s="74"/>
      <c r="EX675" s="74"/>
      <c r="EY675" s="74"/>
      <c r="EZ675" s="74"/>
      <c r="FA675" s="74"/>
      <c r="FB675" s="74"/>
      <c r="FC675" s="74"/>
      <c r="FD675" s="74"/>
      <c r="FE675" s="74"/>
      <c r="FF675" s="74"/>
      <c r="FG675" s="74"/>
      <c r="FH675" s="74"/>
      <c r="FI675" s="74"/>
      <c r="FJ675" s="74"/>
      <c r="FK675" s="74"/>
      <c r="FL675" s="74"/>
      <c r="FM675" s="74"/>
      <c r="FN675" s="74"/>
      <c r="FO675" s="74"/>
      <c r="FP675" s="74"/>
      <c r="FQ675" s="74"/>
      <c r="FR675" s="74"/>
      <c r="FS675" s="74"/>
      <c r="FT675" s="74"/>
      <c r="FU675" s="74"/>
      <c r="FV675" s="74"/>
      <c r="FW675" s="74"/>
      <c r="FX675" s="74"/>
      <c r="FY675" s="74"/>
      <c r="FZ675" s="74"/>
      <c r="GA675" s="74"/>
      <c r="GB675" s="74"/>
      <c r="GC675" s="74"/>
      <c r="GD675" s="74"/>
      <c r="GE675" s="74"/>
      <c r="GF675" s="74"/>
      <c r="GG675" s="74"/>
      <c r="GH675" s="74"/>
      <c r="GI675" s="74"/>
      <c r="GJ675" s="74"/>
      <c r="GK675" s="74"/>
      <c r="GL675" s="74"/>
      <c r="GM675" s="74"/>
      <c r="GN675" s="74"/>
      <c r="GO675" s="74"/>
      <c r="GP675" s="74"/>
      <c r="GQ675" s="74"/>
      <c r="GR675" s="74"/>
      <c r="GS675" s="74"/>
      <c r="GT675" s="74"/>
      <c r="GU675" s="74"/>
      <c r="GV675" s="74"/>
      <c r="GW675" s="74"/>
      <c r="GX675" s="74"/>
      <c r="GY675" s="74"/>
      <c r="GZ675" s="74"/>
      <c r="HA675" s="74"/>
      <c r="HB675" s="74"/>
      <c r="HC675" s="74"/>
      <c r="HD675" s="74"/>
      <c r="HE675" s="74"/>
      <c r="HF675" s="74"/>
      <c r="HG675" s="74"/>
      <c r="HH675" s="74"/>
      <c r="HI675" s="74"/>
      <c r="HJ675" s="74"/>
      <c r="HK675" s="74"/>
      <c r="HL675" s="74"/>
      <c r="HM675" s="74"/>
      <c r="HN675" s="74"/>
      <c r="HO675" s="74"/>
      <c r="HP675" s="74"/>
    </row>
    <row r="676" spans="3:224" s="75" customFormat="1" ht="20.100000000000001" customHeight="1">
      <c r="C676" s="36">
        <v>15905001</v>
      </c>
      <c r="D676" s="71" t="s">
        <v>555</v>
      </c>
      <c r="E676" s="71">
        <v>11200003</v>
      </c>
      <c r="F676" s="71">
        <v>19011</v>
      </c>
      <c r="G676" s="71">
        <v>1</v>
      </c>
      <c r="H676" s="71">
        <v>60</v>
      </c>
      <c r="I676" s="72">
        <v>0.2</v>
      </c>
      <c r="J676" s="73">
        <v>40</v>
      </c>
      <c r="K676" s="25">
        <v>0</v>
      </c>
      <c r="L676" s="71">
        <v>22960</v>
      </c>
      <c r="M676" s="71">
        <v>336</v>
      </c>
      <c r="N676" s="71">
        <v>668</v>
      </c>
      <c r="O676" s="71">
        <v>0</v>
      </c>
      <c r="P676" s="71">
        <v>0</v>
      </c>
      <c r="Q676" s="71">
        <v>122</v>
      </c>
      <c r="R676" s="71">
        <v>275</v>
      </c>
      <c r="S676" s="71">
        <v>0</v>
      </c>
      <c r="T676" s="71">
        <v>0</v>
      </c>
      <c r="U676" s="72">
        <v>0</v>
      </c>
      <c r="V676" s="71">
        <v>0</v>
      </c>
      <c r="W676" s="71">
        <v>0</v>
      </c>
      <c r="X676" s="71">
        <v>0</v>
      </c>
      <c r="Y676" s="72">
        <v>0</v>
      </c>
      <c r="Z676" s="72">
        <v>0</v>
      </c>
      <c r="AA676" s="72">
        <v>0</v>
      </c>
      <c r="AB676" s="72">
        <v>200103</v>
      </c>
      <c r="AC676" s="72">
        <v>200</v>
      </c>
      <c r="AD676" s="72">
        <v>1</v>
      </c>
      <c r="AE676" s="72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74"/>
      <c r="BM676" s="74"/>
      <c r="BN676" s="74"/>
      <c r="BO676" s="74"/>
      <c r="BP676" s="74"/>
      <c r="BQ676" s="74"/>
      <c r="BR676" s="74"/>
      <c r="BS676" s="74"/>
      <c r="BT676" s="74"/>
      <c r="BU676" s="74"/>
      <c r="BV676" s="74"/>
      <c r="BW676" s="74"/>
      <c r="BX676" s="74"/>
      <c r="BY676" s="74"/>
      <c r="BZ676" s="74"/>
      <c r="CA676" s="74"/>
      <c r="CB676" s="74"/>
      <c r="CC676" s="74"/>
      <c r="CD676" s="74"/>
      <c r="CE676" s="74"/>
      <c r="CF676" s="74"/>
      <c r="CG676" s="74"/>
      <c r="CH676" s="74"/>
      <c r="CI676" s="74"/>
      <c r="CJ676" s="74"/>
      <c r="CK676" s="74"/>
      <c r="CL676" s="74"/>
      <c r="CM676" s="74"/>
      <c r="CN676" s="74"/>
      <c r="CO676" s="74"/>
      <c r="CP676" s="74"/>
      <c r="CQ676" s="74"/>
      <c r="CR676" s="74"/>
      <c r="CS676" s="74"/>
      <c r="CT676" s="74"/>
      <c r="CU676" s="74"/>
      <c r="CV676" s="74"/>
      <c r="CW676" s="74"/>
      <c r="CX676" s="74"/>
      <c r="CY676" s="74"/>
      <c r="CZ676" s="74"/>
      <c r="DA676" s="74"/>
      <c r="DB676" s="74"/>
      <c r="DC676" s="74"/>
      <c r="DD676" s="74"/>
      <c r="DE676" s="74"/>
      <c r="DF676" s="74"/>
      <c r="DG676" s="74"/>
      <c r="DH676" s="74"/>
      <c r="DI676" s="74"/>
      <c r="DJ676" s="74"/>
      <c r="DK676" s="74"/>
      <c r="DL676" s="74"/>
      <c r="DM676" s="74"/>
      <c r="DN676" s="74"/>
      <c r="DO676" s="74"/>
      <c r="DP676" s="74"/>
      <c r="DQ676" s="74"/>
      <c r="DR676" s="74"/>
      <c r="DS676" s="74"/>
      <c r="DT676" s="74"/>
      <c r="DU676" s="74"/>
      <c r="DV676" s="74"/>
      <c r="DW676" s="74"/>
      <c r="DX676" s="74"/>
      <c r="DY676" s="74"/>
      <c r="DZ676" s="74"/>
      <c r="EA676" s="74"/>
      <c r="EB676" s="74"/>
      <c r="EC676" s="74"/>
      <c r="ED676" s="74"/>
      <c r="EE676" s="74"/>
      <c r="EF676" s="74"/>
      <c r="EG676" s="74"/>
      <c r="EH676" s="74"/>
      <c r="EI676" s="74"/>
      <c r="EJ676" s="74"/>
      <c r="EK676" s="74"/>
      <c r="EL676" s="74"/>
      <c r="EM676" s="74"/>
      <c r="EN676" s="74"/>
      <c r="EO676" s="74"/>
      <c r="EP676" s="74"/>
      <c r="EQ676" s="74"/>
      <c r="ER676" s="74"/>
      <c r="ES676" s="74"/>
      <c r="ET676" s="74"/>
      <c r="EU676" s="74"/>
      <c r="EV676" s="74"/>
      <c r="EW676" s="74"/>
      <c r="EX676" s="74"/>
      <c r="EY676" s="74"/>
      <c r="EZ676" s="74"/>
      <c r="FA676" s="74"/>
      <c r="FB676" s="74"/>
      <c r="FC676" s="74"/>
      <c r="FD676" s="74"/>
      <c r="FE676" s="74"/>
      <c r="FF676" s="74"/>
      <c r="FG676" s="74"/>
      <c r="FH676" s="74"/>
      <c r="FI676" s="74"/>
      <c r="FJ676" s="74"/>
      <c r="FK676" s="74"/>
      <c r="FL676" s="74"/>
      <c r="FM676" s="74"/>
      <c r="FN676" s="74"/>
      <c r="FO676" s="74"/>
      <c r="FP676" s="74"/>
      <c r="FQ676" s="74"/>
      <c r="FR676" s="74"/>
      <c r="FS676" s="74"/>
      <c r="FT676" s="74"/>
      <c r="FU676" s="74"/>
      <c r="FV676" s="74"/>
      <c r="FW676" s="74"/>
      <c r="FX676" s="74"/>
      <c r="FY676" s="74"/>
      <c r="FZ676" s="74"/>
      <c r="GA676" s="74"/>
      <c r="GB676" s="74"/>
      <c r="GC676" s="74"/>
      <c r="GD676" s="74"/>
      <c r="GE676" s="74"/>
      <c r="GF676" s="74"/>
      <c r="GG676" s="74"/>
      <c r="GH676" s="74"/>
      <c r="GI676" s="74"/>
      <c r="GJ676" s="74"/>
      <c r="GK676" s="74"/>
      <c r="GL676" s="74"/>
      <c r="GM676" s="74"/>
      <c r="GN676" s="74"/>
      <c r="GO676" s="74"/>
      <c r="GP676" s="74"/>
      <c r="GQ676" s="74"/>
      <c r="GR676" s="74"/>
      <c r="GS676" s="74"/>
      <c r="GT676" s="74"/>
      <c r="GU676" s="74"/>
      <c r="GV676" s="74"/>
      <c r="GW676" s="74"/>
      <c r="GX676" s="74"/>
      <c r="GY676" s="74"/>
      <c r="GZ676" s="74"/>
      <c r="HA676" s="74"/>
      <c r="HB676" s="74"/>
      <c r="HC676" s="74"/>
      <c r="HD676" s="74"/>
      <c r="HE676" s="74"/>
      <c r="HF676" s="74"/>
      <c r="HG676" s="74"/>
      <c r="HH676" s="74"/>
      <c r="HI676" s="74"/>
      <c r="HJ676" s="74"/>
      <c r="HK676" s="74"/>
      <c r="HL676" s="74"/>
      <c r="HM676" s="74"/>
      <c r="HN676" s="74"/>
      <c r="HO676" s="74"/>
      <c r="HP676" s="74"/>
    </row>
    <row r="677" spans="3:224" s="75" customFormat="1" ht="20.100000000000001" customHeight="1">
      <c r="C677" s="36">
        <v>15905002</v>
      </c>
      <c r="D677" s="71" t="s">
        <v>557</v>
      </c>
      <c r="E677" s="71">
        <v>11200003</v>
      </c>
      <c r="F677" s="71">
        <v>19021</v>
      </c>
      <c r="G677" s="71">
        <v>1</v>
      </c>
      <c r="H677" s="71">
        <v>60</v>
      </c>
      <c r="I677" s="72">
        <v>0.2</v>
      </c>
      <c r="J677" s="73">
        <v>40</v>
      </c>
      <c r="K677" s="25">
        <v>0</v>
      </c>
      <c r="L677" s="71">
        <v>11480</v>
      </c>
      <c r="M677" s="71">
        <v>458</v>
      </c>
      <c r="N677" s="71">
        <v>883</v>
      </c>
      <c r="O677" s="71">
        <v>0</v>
      </c>
      <c r="P677" s="71">
        <v>0</v>
      </c>
      <c r="Q677" s="71">
        <v>93</v>
      </c>
      <c r="R677" s="71">
        <v>182</v>
      </c>
      <c r="S677" s="71">
        <v>0</v>
      </c>
      <c r="T677" s="71">
        <v>0</v>
      </c>
      <c r="U677" s="72">
        <v>0</v>
      </c>
      <c r="V677" s="71">
        <v>0</v>
      </c>
      <c r="W677" s="71">
        <v>0</v>
      </c>
      <c r="X677" s="71">
        <v>0</v>
      </c>
      <c r="Y677" s="72">
        <v>0</v>
      </c>
      <c r="Z677" s="72">
        <v>0</v>
      </c>
      <c r="AA677" s="72">
        <v>0</v>
      </c>
      <c r="AB677" s="72">
        <v>200103</v>
      </c>
      <c r="AC677" s="72">
        <v>200</v>
      </c>
      <c r="AD677" s="72">
        <v>1</v>
      </c>
      <c r="AE677" s="72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74"/>
      <c r="BM677" s="74"/>
      <c r="BN677" s="74"/>
      <c r="BO677" s="74"/>
      <c r="BP677" s="74"/>
      <c r="BQ677" s="74"/>
      <c r="BR677" s="74"/>
      <c r="BS677" s="74"/>
      <c r="BT677" s="74"/>
      <c r="BU677" s="74"/>
      <c r="BV677" s="74"/>
      <c r="BW677" s="74"/>
      <c r="BX677" s="74"/>
      <c r="BY677" s="74"/>
      <c r="BZ677" s="74"/>
      <c r="CA677" s="74"/>
      <c r="CB677" s="74"/>
      <c r="CC677" s="74"/>
      <c r="CD677" s="74"/>
      <c r="CE677" s="74"/>
      <c r="CF677" s="74"/>
      <c r="CG677" s="74"/>
      <c r="CH677" s="74"/>
      <c r="CI677" s="74"/>
      <c r="CJ677" s="74"/>
      <c r="CK677" s="74"/>
      <c r="CL677" s="74"/>
      <c r="CM677" s="74"/>
      <c r="CN677" s="74"/>
      <c r="CO677" s="74"/>
      <c r="CP677" s="74"/>
      <c r="CQ677" s="74"/>
      <c r="CR677" s="74"/>
      <c r="CS677" s="74"/>
      <c r="CT677" s="74"/>
      <c r="CU677" s="74"/>
      <c r="CV677" s="74"/>
      <c r="CW677" s="74"/>
      <c r="CX677" s="74"/>
      <c r="CY677" s="74"/>
      <c r="CZ677" s="74"/>
      <c r="DA677" s="74"/>
      <c r="DB677" s="74"/>
      <c r="DC677" s="74"/>
      <c r="DD677" s="74"/>
      <c r="DE677" s="74"/>
      <c r="DF677" s="74"/>
      <c r="DG677" s="74"/>
      <c r="DH677" s="74"/>
      <c r="DI677" s="74"/>
      <c r="DJ677" s="74"/>
      <c r="DK677" s="74"/>
      <c r="DL677" s="74"/>
      <c r="DM677" s="74"/>
      <c r="DN677" s="74"/>
      <c r="DO677" s="74"/>
      <c r="DP677" s="74"/>
      <c r="DQ677" s="74"/>
      <c r="DR677" s="74"/>
      <c r="DS677" s="74"/>
      <c r="DT677" s="74"/>
      <c r="DU677" s="74"/>
      <c r="DV677" s="74"/>
      <c r="DW677" s="74"/>
      <c r="DX677" s="74"/>
      <c r="DY677" s="74"/>
      <c r="DZ677" s="74"/>
      <c r="EA677" s="74"/>
      <c r="EB677" s="74"/>
      <c r="EC677" s="74"/>
      <c r="ED677" s="74"/>
      <c r="EE677" s="74"/>
      <c r="EF677" s="74"/>
      <c r="EG677" s="74"/>
      <c r="EH677" s="74"/>
      <c r="EI677" s="74"/>
      <c r="EJ677" s="74"/>
      <c r="EK677" s="74"/>
      <c r="EL677" s="74"/>
      <c r="EM677" s="74"/>
      <c r="EN677" s="74"/>
      <c r="EO677" s="74"/>
      <c r="EP677" s="74"/>
      <c r="EQ677" s="74"/>
      <c r="ER677" s="74"/>
      <c r="ES677" s="74"/>
      <c r="ET677" s="74"/>
      <c r="EU677" s="74"/>
      <c r="EV677" s="74"/>
      <c r="EW677" s="74"/>
      <c r="EX677" s="74"/>
      <c r="EY677" s="74"/>
      <c r="EZ677" s="74"/>
      <c r="FA677" s="74"/>
      <c r="FB677" s="74"/>
      <c r="FC677" s="74"/>
      <c r="FD677" s="74"/>
      <c r="FE677" s="74"/>
      <c r="FF677" s="74"/>
      <c r="FG677" s="74"/>
      <c r="FH677" s="74"/>
      <c r="FI677" s="74"/>
      <c r="FJ677" s="74"/>
      <c r="FK677" s="74"/>
      <c r="FL677" s="74"/>
      <c r="FM677" s="74"/>
      <c r="FN677" s="74"/>
      <c r="FO677" s="74"/>
      <c r="FP677" s="74"/>
      <c r="FQ677" s="74"/>
      <c r="FR677" s="74"/>
      <c r="FS677" s="74"/>
      <c r="FT677" s="74"/>
      <c r="FU677" s="74"/>
      <c r="FV677" s="74"/>
      <c r="FW677" s="74"/>
      <c r="FX677" s="74"/>
      <c r="FY677" s="74"/>
      <c r="FZ677" s="74"/>
      <c r="GA677" s="74"/>
      <c r="GB677" s="74"/>
      <c r="GC677" s="74"/>
      <c r="GD677" s="74"/>
      <c r="GE677" s="74"/>
      <c r="GF677" s="74"/>
      <c r="GG677" s="74"/>
      <c r="GH677" s="74"/>
      <c r="GI677" s="74"/>
      <c r="GJ677" s="74"/>
      <c r="GK677" s="74"/>
      <c r="GL677" s="74"/>
      <c r="GM677" s="74"/>
      <c r="GN677" s="74"/>
      <c r="GO677" s="74"/>
      <c r="GP677" s="74"/>
      <c r="GQ677" s="74"/>
      <c r="GR677" s="74"/>
      <c r="GS677" s="74"/>
      <c r="GT677" s="74"/>
      <c r="GU677" s="74"/>
      <c r="GV677" s="74"/>
      <c r="GW677" s="74"/>
      <c r="GX677" s="74"/>
      <c r="GY677" s="74"/>
      <c r="GZ677" s="74"/>
      <c r="HA677" s="74"/>
      <c r="HB677" s="74"/>
      <c r="HC677" s="74"/>
      <c r="HD677" s="74"/>
      <c r="HE677" s="74"/>
      <c r="HF677" s="74"/>
      <c r="HG677" s="74"/>
      <c r="HH677" s="74"/>
      <c r="HI677" s="74"/>
      <c r="HJ677" s="74"/>
      <c r="HK677" s="74"/>
      <c r="HL677" s="74"/>
      <c r="HM677" s="74"/>
      <c r="HN677" s="74"/>
      <c r="HO677" s="74"/>
      <c r="HP677" s="74"/>
    </row>
    <row r="678" spans="3:224" s="75" customFormat="1" ht="20.100000000000001" customHeight="1">
      <c r="C678" s="36">
        <v>15905003</v>
      </c>
      <c r="D678" s="71" t="s">
        <v>559</v>
      </c>
      <c r="E678" s="71">
        <v>11200003</v>
      </c>
      <c r="F678" s="71">
        <v>19031</v>
      </c>
      <c r="G678" s="71">
        <v>1</v>
      </c>
      <c r="H678" s="71">
        <v>60</v>
      </c>
      <c r="I678" s="72">
        <v>0.2</v>
      </c>
      <c r="J678" s="73">
        <v>40</v>
      </c>
      <c r="K678" s="25">
        <v>0</v>
      </c>
      <c r="L678" s="71">
        <v>34450</v>
      </c>
      <c r="M678" s="71">
        <v>243</v>
      </c>
      <c r="N678" s="71">
        <v>486</v>
      </c>
      <c r="O678" s="71">
        <v>0</v>
      </c>
      <c r="P678" s="71">
        <v>0</v>
      </c>
      <c r="Q678" s="71">
        <v>154</v>
      </c>
      <c r="R678" s="71">
        <v>336</v>
      </c>
      <c r="S678" s="71">
        <v>0</v>
      </c>
      <c r="T678" s="71">
        <v>0</v>
      </c>
      <c r="U678" s="72">
        <v>0</v>
      </c>
      <c r="V678" s="71">
        <v>0</v>
      </c>
      <c r="W678" s="71">
        <v>0</v>
      </c>
      <c r="X678" s="71">
        <v>0</v>
      </c>
      <c r="Y678" s="72">
        <v>0</v>
      </c>
      <c r="Z678" s="72">
        <v>0</v>
      </c>
      <c r="AA678" s="72">
        <v>0</v>
      </c>
      <c r="AB678" s="72">
        <v>200103</v>
      </c>
      <c r="AC678" s="72">
        <v>200</v>
      </c>
      <c r="AD678" s="72">
        <v>1</v>
      </c>
      <c r="AE678" s="72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74"/>
      <c r="BM678" s="74"/>
      <c r="BN678" s="74"/>
      <c r="BO678" s="74"/>
      <c r="BP678" s="74"/>
      <c r="BQ678" s="74"/>
      <c r="BR678" s="74"/>
      <c r="BS678" s="74"/>
      <c r="BT678" s="74"/>
      <c r="BU678" s="74"/>
      <c r="BV678" s="74"/>
      <c r="BW678" s="74"/>
      <c r="BX678" s="74"/>
      <c r="BY678" s="74"/>
      <c r="BZ678" s="74"/>
      <c r="CA678" s="74"/>
      <c r="CB678" s="74"/>
      <c r="CC678" s="74"/>
      <c r="CD678" s="74"/>
      <c r="CE678" s="74"/>
      <c r="CF678" s="74"/>
      <c r="CG678" s="74"/>
      <c r="CH678" s="74"/>
      <c r="CI678" s="74"/>
      <c r="CJ678" s="74"/>
      <c r="CK678" s="74"/>
      <c r="CL678" s="74"/>
      <c r="CM678" s="74"/>
      <c r="CN678" s="74"/>
      <c r="CO678" s="74"/>
      <c r="CP678" s="74"/>
      <c r="CQ678" s="74"/>
      <c r="CR678" s="74"/>
      <c r="CS678" s="74"/>
      <c r="CT678" s="74"/>
      <c r="CU678" s="74"/>
      <c r="CV678" s="74"/>
      <c r="CW678" s="74"/>
      <c r="CX678" s="74"/>
      <c r="CY678" s="74"/>
      <c r="CZ678" s="74"/>
      <c r="DA678" s="74"/>
      <c r="DB678" s="74"/>
      <c r="DC678" s="74"/>
      <c r="DD678" s="74"/>
      <c r="DE678" s="74"/>
      <c r="DF678" s="74"/>
      <c r="DG678" s="74"/>
      <c r="DH678" s="74"/>
      <c r="DI678" s="74"/>
      <c r="DJ678" s="74"/>
      <c r="DK678" s="74"/>
      <c r="DL678" s="74"/>
      <c r="DM678" s="74"/>
      <c r="DN678" s="74"/>
      <c r="DO678" s="74"/>
      <c r="DP678" s="74"/>
      <c r="DQ678" s="74"/>
      <c r="DR678" s="74"/>
      <c r="DS678" s="74"/>
      <c r="DT678" s="74"/>
      <c r="DU678" s="74"/>
      <c r="DV678" s="74"/>
      <c r="DW678" s="74"/>
      <c r="DX678" s="74"/>
      <c r="DY678" s="74"/>
      <c r="DZ678" s="74"/>
      <c r="EA678" s="74"/>
      <c r="EB678" s="74"/>
      <c r="EC678" s="74"/>
      <c r="ED678" s="74"/>
      <c r="EE678" s="74"/>
      <c r="EF678" s="74"/>
      <c r="EG678" s="74"/>
      <c r="EH678" s="74"/>
      <c r="EI678" s="74"/>
      <c r="EJ678" s="74"/>
      <c r="EK678" s="74"/>
      <c r="EL678" s="74"/>
      <c r="EM678" s="74"/>
      <c r="EN678" s="74"/>
      <c r="EO678" s="74"/>
      <c r="EP678" s="74"/>
      <c r="EQ678" s="74"/>
      <c r="ER678" s="74"/>
      <c r="ES678" s="74"/>
      <c r="ET678" s="74"/>
      <c r="EU678" s="74"/>
      <c r="EV678" s="74"/>
      <c r="EW678" s="74"/>
      <c r="EX678" s="74"/>
      <c r="EY678" s="74"/>
      <c r="EZ678" s="74"/>
      <c r="FA678" s="74"/>
      <c r="FB678" s="74"/>
      <c r="FC678" s="74"/>
      <c r="FD678" s="74"/>
      <c r="FE678" s="74"/>
      <c r="FF678" s="74"/>
      <c r="FG678" s="74"/>
      <c r="FH678" s="74"/>
      <c r="FI678" s="74"/>
      <c r="FJ678" s="74"/>
      <c r="FK678" s="74"/>
      <c r="FL678" s="74"/>
      <c r="FM678" s="74"/>
      <c r="FN678" s="74"/>
      <c r="FO678" s="74"/>
      <c r="FP678" s="74"/>
      <c r="FQ678" s="74"/>
      <c r="FR678" s="74"/>
      <c r="FS678" s="74"/>
      <c r="FT678" s="74"/>
      <c r="FU678" s="74"/>
      <c r="FV678" s="74"/>
      <c r="FW678" s="74"/>
      <c r="FX678" s="74"/>
      <c r="FY678" s="74"/>
      <c r="FZ678" s="74"/>
      <c r="GA678" s="74"/>
      <c r="GB678" s="74"/>
      <c r="GC678" s="74"/>
      <c r="GD678" s="74"/>
      <c r="GE678" s="74"/>
      <c r="GF678" s="74"/>
      <c r="GG678" s="74"/>
      <c r="GH678" s="74"/>
      <c r="GI678" s="74"/>
      <c r="GJ678" s="74"/>
      <c r="GK678" s="74"/>
      <c r="GL678" s="74"/>
      <c r="GM678" s="74"/>
      <c r="GN678" s="74"/>
      <c r="GO678" s="74"/>
      <c r="GP678" s="74"/>
      <c r="GQ678" s="74"/>
      <c r="GR678" s="74"/>
      <c r="GS678" s="74"/>
      <c r="GT678" s="74"/>
      <c r="GU678" s="74"/>
      <c r="GV678" s="74"/>
      <c r="GW678" s="74"/>
      <c r="GX678" s="74"/>
      <c r="GY678" s="74"/>
      <c r="GZ678" s="74"/>
      <c r="HA678" s="74"/>
      <c r="HB678" s="74"/>
      <c r="HC678" s="74"/>
      <c r="HD678" s="74"/>
      <c r="HE678" s="74"/>
      <c r="HF678" s="74"/>
      <c r="HG678" s="74"/>
      <c r="HH678" s="74"/>
      <c r="HI678" s="74"/>
      <c r="HJ678" s="74"/>
      <c r="HK678" s="74"/>
      <c r="HL678" s="74"/>
      <c r="HM678" s="74"/>
      <c r="HN678" s="74"/>
      <c r="HO678" s="74"/>
      <c r="HP678" s="74"/>
    </row>
    <row r="679" spans="3:224" s="75" customFormat="1" ht="20.100000000000001" customHeight="1">
      <c r="C679" s="36">
        <v>15906001</v>
      </c>
      <c r="D679" s="71" t="s">
        <v>561</v>
      </c>
      <c r="E679" s="71">
        <v>11200002</v>
      </c>
      <c r="F679" s="71">
        <v>19051</v>
      </c>
      <c r="G679" s="71">
        <v>1</v>
      </c>
      <c r="H679" s="71">
        <v>60</v>
      </c>
      <c r="I679" s="72">
        <v>0.2</v>
      </c>
      <c r="J679" s="73">
        <v>40</v>
      </c>
      <c r="K679" s="25">
        <v>0</v>
      </c>
      <c r="L679" s="71">
        <v>0</v>
      </c>
      <c r="M679" s="71">
        <v>668</v>
      </c>
      <c r="N679" s="71">
        <v>1308</v>
      </c>
      <c r="O679" s="71">
        <v>0</v>
      </c>
      <c r="P679" s="71">
        <v>0</v>
      </c>
      <c r="Q679" s="71">
        <v>182</v>
      </c>
      <c r="R679" s="71">
        <v>397</v>
      </c>
      <c r="S679" s="71">
        <v>0</v>
      </c>
      <c r="T679" s="71">
        <v>0</v>
      </c>
      <c r="U679" s="72">
        <v>0</v>
      </c>
      <c r="V679" s="71">
        <v>0</v>
      </c>
      <c r="W679" s="71">
        <v>0</v>
      </c>
      <c r="X679" s="71">
        <v>0</v>
      </c>
      <c r="Y679" s="72">
        <v>0</v>
      </c>
      <c r="Z679" s="72">
        <v>0</v>
      </c>
      <c r="AA679" s="72">
        <v>0</v>
      </c>
      <c r="AB679" s="72">
        <v>100402</v>
      </c>
      <c r="AC679" s="72">
        <v>200</v>
      </c>
      <c r="AD679" s="72">
        <v>1</v>
      </c>
      <c r="AE679" s="72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74"/>
      <c r="BM679" s="74"/>
      <c r="BN679" s="74"/>
      <c r="BO679" s="74"/>
      <c r="BP679" s="74"/>
      <c r="BQ679" s="74"/>
      <c r="BR679" s="74"/>
      <c r="BS679" s="74"/>
      <c r="BT679" s="74"/>
      <c r="BU679" s="74"/>
      <c r="BV679" s="74"/>
      <c r="BW679" s="74"/>
      <c r="BX679" s="74"/>
      <c r="BY679" s="74"/>
      <c r="BZ679" s="74"/>
      <c r="CA679" s="74"/>
      <c r="CB679" s="74"/>
      <c r="CC679" s="74"/>
      <c r="CD679" s="74"/>
      <c r="CE679" s="74"/>
      <c r="CF679" s="74"/>
      <c r="CG679" s="74"/>
      <c r="CH679" s="74"/>
      <c r="CI679" s="74"/>
      <c r="CJ679" s="74"/>
      <c r="CK679" s="74"/>
      <c r="CL679" s="74"/>
      <c r="CM679" s="74"/>
      <c r="CN679" s="74"/>
      <c r="CO679" s="74"/>
      <c r="CP679" s="74"/>
      <c r="CQ679" s="74"/>
      <c r="CR679" s="74"/>
      <c r="CS679" s="74"/>
      <c r="CT679" s="74"/>
      <c r="CU679" s="74"/>
      <c r="CV679" s="74"/>
      <c r="CW679" s="74"/>
      <c r="CX679" s="74"/>
      <c r="CY679" s="74"/>
      <c r="CZ679" s="74"/>
      <c r="DA679" s="74"/>
      <c r="DB679" s="74"/>
      <c r="DC679" s="74"/>
      <c r="DD679" s="74"/>
      <c r="DE679" s="74"/>
      <c r="DF679" s="74"/>
      <c r="DG679" s="74"/>
      <c r="DH679" s="74"/>
      <c r="DI679" s="74"/>
      <c r="DJ679" s="74"/>
      <c r="DK679" s="74"/>
      <c r="DL679" s="74"/>
      <c r="DM679" s="74"/>
      <c r="DN679" s="74"/>
      <c r="DO679" s="74"/>
      <c r="DP679" s="74"/>
      <c r="DQ679" s="74"/>
      <c r="DR679" s="74"/>
      <c r="DS679" s="74"/>
      <c r="DT679" s="74"/>
      <c r="DU679" s="74"/>
      <c r="DV679" s="74"/>
      <c r="DW679" s="74"/>
      <c r="DX679" s="74"/>
      <c r="DY679" s="74"/>
      <c r="DZ679" s="74"/>
      <c r="EA679" s="74"/>
      <c r="EB679" s="74"/>
      <c r="EC679" s="74"/>
      <c r="ED679" s="74"/>
      <c r="EE679" s="74"/>
      <c r="EF679" s="74"/>
      <c r="EG679" s="74"/>
      <c r="EH679" s="74"/>
      <c r="EI679" s="74"/>
      <c r="EJ679" s="74"/>
      <c r="EK679" s="74"/>
      <c r="EL679" s="74"/>
      <c r="EM679" s="74"/>
      <c r="EN679" s="74"/>
      <c r="EO679" s="74"/>
      <c r="EP679" s="74"/>
      <c r="EQ679" s="74"/>
      <c r="ER679" s="74"/>
      <c r="ES679" s="74"/>
      <c r="ET679" s="74"/>
      <c r="EU679" s="74"/>
      <c r="EV679" s="74"/>
      <c r="EW679" s="74"/>
      <c r="EX679" s="74"/>
      <c r="EY679" s="74"/>
      <c r="EZ679" s="74"/>
      <c r="FA679" s="74"/>
      <c r="FB679" s="74"/>
      <c r="FC679" s="74"/>
      <c r="FD679" s="74"/>
      <c r="FE679" s="74"/>
      <c r="FF679" s="74"/>
      <c r="FG679" s="74"/>
      <c r="FH679" s="74"/>
      <c r="FI679" s="74"/>
      <c r="FJ679" s="74"/>
      <c r="FK679" s="74"/>
      <c r="FL679" s="74"/>
      <c r="FM679" s="74"/>
      <c r="FN679" s="74"/>
      <c r="FO679" s="74"/>
      <c r="FP679" s="74"/>
      <c r="FQ679" s="74"/>
      <c r="FR679" s="74"/>
      <c r="FS679" s="74"/>
      <c r="FT679" s="74"/>
      <c r="FU679" s="74"/>
      <c r="FV679" s="74"/>
      <c r="FW679" s="74"/>
      <c r="FX679" s="74"/>
      <c r="FY679" s="74"/>
      <c r="FZ679" s="74"/>
      <c r="GA679" s="74"/>
      <c r="GB679" s="74"/>
      <c r="GC679" s="74"/>
      <c r="GD679" s="74"/>
      <c r="GE679" s="74"/>
      <c r="GF679" s="74"/>
      <c r="GG679" s="74"/>
      <c r="GH679" s="74"/>
      <c r="GI679" s="74"/>
      <c r="GJ679" s="74"/>
      <c r="GK679" s="74"/>
      <c r="GL679" s="74"/>
      <c r="GM679" s="74"/>
      <c r="GN679" s="74"/>
      <c r="GO679" s="74"/>
      <c r="GP679" s="74"/>
      <c r="GQ679" s="74"/>
      <c r="GR679" s="74"/>
      <c r="GS679" s="74"/>
      <c r="GT679" s="74"/>
      <c r="GU679" s="74"/>
      <c r="GV679" s="74"/>
      <c r="GW679" s="74"/>
      <c r="GX679" s="74"/>
      <c r="GY679" s="74"/>
      <c r="GZ679" s="74"/>
      <c r="HA679" s="74"/>
      <c r="HB679" s="74"/>
      <c r="HC679" s="74"/>
      <c r="HD679" s="74"/>
      <c r="HE679" s="74"/>
      <c r="HF679" s="74"/>
      <c r="HG679" s="74"/>
      <c r="HH679" s="74"/>
      <c r="HI679" s="74"/>
      <c r="HJ679" s="74"/>
      <c r="HK679" s="74"/>
      <c r="HL679" s="74"/>
      <c r="HM679" s="74"/>
      <c r="HN679" s="74"/>
      <c r="HO679" s="74"/>
      <c r="HP679" s="74"/>
    </row>
    <row r="680" spans="3:224" s="75" customFormat="1" ht="20.100000000000001" customHeight="1">
      <c r="C680" s="36">
        <v>15907001</v>
      </c>
      <c r="D680" s="71" t="s">
        <v>564</v>
      </c>
      <c r="E680" s="71">
        <v>11200002</v>
      </c>
      <c r="F680" s="71">
        <v>0</v>
      </c>
      <c r="G680" s="71">
        <v>1</v>
      </c>
      <c r="H680" s="71">
        <v>60</v>
      </c>
      <c r="I680" s="72">
        <v>0.2</v>
      </c>
      <c r="J680" s="73">
        <v>40</v>
      </c>
      <c r="K680" s="25">
        <v>0</v>
      </c>
      <c r="L680" s="71">
        <v>0</v>
      </c>
      <c r="M680" s="71">
        <v>668</v>
      </c>
      <c r="N680" s="71">
        <v>1308</v>
      </c>
      <c r="O680" s="71">
        <v>0</v>
      </c>
      <c r="P680" s="71">
        <v>0</v>
      </c>
      <c r="Q680" s="71">
        <v>0</v>
      </c>
      <c r="R680" s="71">
        <v>0</v>
      </c>
      <c r="S680" s="71">
        <v>182</v>
      </c>
      <c r="T680" s="71">
        <v>397</v>
      </c>
      <c r="U680" s="72">
        <v>0</v>
      </c>
      <c r="V680" s="71">
        <v>0</v>
      </c>
      <c r="W680" s="71">
        <v>0</v>
      </c>
      <c r="X680" s="71">
        <v>0</v>
      </c>
      <c r="Y680" s="72">
        <v>0</v>
      </c>
      <c r="Z680" s="72">
        <v>0</v>
      </c>
      <c r="AA680" s="72">
        <v>0</v>
      </c>
      <c r="AB680" s="72">
        <v>200203</v>
      </c>
      <c r="AC680" s="72">
        <v>200</v>
      </c>
      <c r="AD680" s="72">
        <v>1</v>
      </c>
      <c r="AE680" s="72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74"/>
      <c r="BM680" s="74"/>
      <c r="BN680" s="74"/>
      <c r="BO680" s="74"/>
      <c r="BP680" s="74"/>
      <c r="BQ680" s="74"/>
      <c r="BR680" s="74"/>
      <c r="BS680" s="74"/>
      <c r="BT680" s="74"/>
      <c r="BU680" s="74"/>
      <c r="BV680" s="74"/>
      <c r="BW680" s="74"/>
      <c r="BX680" s="74"/>
      <c r="BY680" s="74"/>
      <c r="BZ680" s="74"/>
      <c r="CA680" s="74"/>
      <c r="CB680" s="74"/>
      <c r="CC680" s="74"/>
      <c r="CD680" s="74"/>
      <c r="CE680" s="74"/>
      <c r="CF680" s="74"/>
      <c r="CG680" s="74"/>
      <c r="CH680" s="74"/>
      <c r="CI680" s="74"/>
      <c r="CJ680" s="74"/>
      <c r="CK680" s="74"/>
      <c r="CL680" s="74"/>
      <c r="CM680" s="74"/>
      <c r="CN680" s="74"/>
      <c r="CO680" s="74"/>
      <c r="CP680" s="74"/>
      <c r="CQ680" s="74"/>
      <c r="CR680" s="74"/>
      <c r="CS680" s="74"/>
      <c r="CT680" s="74"/>
      <c r="CU680" s="74"/>
      <c r="CV680" s="74"/>
      <c r="CW680" s="74"/>
      <c r="CX680" s="74"/>
      <c r="CY680" s="74"/>
      <c r="CZ680" s="74"/>
      <c r="DA680" s="74"/>
      <c r="DB680" s="74"/>
      <c r="DC680" s="74"/>
      <c r="DD680" s="74"/>
      <c r="DE680" s="74"/>
      <c r="DF680" s="74"/>
      <c r="DG680" s="74"/>
      <c r="DH680" s="74"/>
      <c r="DI680" s="74"/>
      <c r="DJ680" s="74"/>
      <c r="DK680" s="74"/>
      <c r="DL680" s="74"/>
      <c r="DM680" s="74"/>
      <c r="DN680" s="74"/>
      <c r="DO680" s="74"/>
      <c r="DP680" s="74"/>
      <c r="DQ680" s="74"/>
      <c r="DR680" s="74"/>
      <c r="DS680" s="74"/>
      <c r="DT680" s="74"/>
      <c r="DU680" s="74"/>
      <c r="DV680" s="74"/>
      <c r="DW680" s="74"/>
      <c r="DX680" s="74"/>
      <c r="DY680" s="74"/>
      <c r="DZ680" s="74"/>
      <c r="EA680" s="74"/>
      <c r="EB680" s="74"/>
      <c r="EC680" s="74"/>
      <c r="ED680" s="74"/>
      <c r="EE680" s="74"/>
      <c r="EF680" s="74"/>
      <c r="EG680" s="74"/>
      <c r="EH680" s="74"/>
      <c r="EI680" s="74"/>
      <c r="EJ680" s="74"/>
      <c r="EK680" s="74"/>
      <c r="EL680" s="74"/>
      <c r="EM680" s="74"/>
      <c r="EN680" s="74"/>
      <c r="EO680" s="74"/>
      <c r="EP680" s="74"/>
      <c r="EQ680" s="74"/>
      <c r="ER680" s="74"/>
      <c r="ES680" s="74"/>
      <c r="ET680" s="74"/>
      <c r="EU680" s="74"/>
      <c r="EV680" s="74"/>
      <c r="EW680" s="74"/>
      <c r="EX680" s="74"/>
      <c r="EY680" s="74"/>
      <c r="EZ680" s="74"/>
      <c r="FA680" s="74"/>
      <c r="FB680" s="74"/>
      <c r="FC680" s="74"/>
      <c r="FD680" s="74"/>
      <c r="FE680" s="74"/>
      <c r="FF680" s="74"/>
      <c r="FG680" s="74"/>
      <c r="FH680" s="74"/>
      <c r="FI680" s="74"/>
      <c r="FJ680" s="74"/>
      <c r="FK680" s="74"/>
      <c r="FL680" s="74"/>
      <c r="FM680" s="74"/>
      <c r="FN680" s="74"/>
      <c r="FO680" s="74"/>
      <c r="FP680" s="74"/>
      <c r="FQ680" s="74"/>
      <c r="FR680" s="74"/>
      <c r="FS680" s="74"/>
      <c r="FT680" s="74"/>
      <c r="FU680" s="74"/>
      <c r="FV680" s="74"/>
      <c r="FW680" s="74"/>
      <c r="FX680" s="74"/>
      <c r="FY680" s="74"/>
      <c r="FZ680" s="74"/>
      <c r="GA680" s="74"/>
      <c r="GB680" s="74"/>
      <c r="GC680" s="74"/>
      <c r="GD680" s="74"/>
      <c r="GE680" s="74"/>
      <c r="GF680" s="74"/>
      <c r="GG680" s="74"/>
      <c r="GH680" s="74"/>
      <c r="GI680" s="74"/>
      <c r="GJ680" s="74"/>
      <c r="GK680" s="74"/>
      <c r="GL680" s="74"/>
      <c r="GM680" s="74"/>
      <c r="GN680" s="74"/>
      <c r="GO680" s="74"/>
      <c r="GP680" s="74"/>
      <c r="GQ680" s="74"/>
      <c r="GR680" s="74"/>
      <c r="GS680" s="74"/>
      <c r="GT680" s="74"/>
      <c r="GU680" s="74"/>
      <c r="GV680" s="74"/>
      <c r="GW680" s="74"/>
      <c r="GX680" s="74"/>
      <c r="GY680" s="74"/>
      <c r="GZ680" s="74"/>
      <c r="HA680" s="74"/>
      <c r="HB680" s="74"/>
      <c r="HC680" s="74"/>
      <c r="HD680" s="74"/>
      <c r="HE680" s="74"/>
      <c r="HF680" s="74"/>
      <c r="HG680" s="74"/>
      <c r="HH680" s="74"/>
      <c r="HI680" s="74"/>
      <c r="HJ680" s="74"/>
      <c r="HK680" s="74"/>
      <c r="HL680" s="74"/>
      <c r="HM680" s="74"/>
      <c r="HN680" s="74"/>
      <c r="HO680" s="74"/>
      <c r="HP680" s="74"/>
    </row>
    <row r="681" spans="3:224" s="75" customFormat="1" ht="20.100000000000001" customHeight="1">
      <c r="C681" s="36">
        <v>15908001</v>
      </c>
      <c r="D681" s="71" t="s">
        <v>566</v>
      </c>
      <c r="E681" s="71">
        <v>11200002</v>
      </c>
      <c r="F681" s="71">
        <v>0</v>
      </c>
      <c r="G681" s="71">
        <v>1</v>
      </c>
      <c r="H681" s="71">
        <v>60</v>
      </c>
      <c r="I681" s="72">
        <v>0.2</v>
      </c>
      <c r="J681" s="73">
        <v>40</v>
      </c>
      <c r="K681" s="25">
        <v>0</v>
      </c>
      <c r="L681" s="71">
        <v>0</v>
      </c>
      <c r="M681" s="71">
        <v>122</v>
      </c>
      <c r="N681" s="71">
        <v>304</v>
      </c>
      <c r="O681" s="71">
        <v>0</v>
      </c>
      <c r="P681" s="71">
        <v>0</v>
      </c>
      <c r="Q681" s="71">
        <v>0</v>
      </c>
      <c r="R681" s="71">
        <v>0</v>
      </c>
      <c r="S681" s="71">
        <v>0</v>
      </c>
      <c r="T681" s="71">
        <v>0</v>
      </c>
      <c r="U681" s="72">
        <v>0</v>
      </c>
      <c r="V681" s="71">
        <v>0</v>
      </c>
      <c r="W681" s="71">
        <v>0</v>
      </c>
      <c r="X681" s="71">
        <v>0</v>
      </c>
      <c r="Y681" s="72">
        <v>0</v>
      </c>
      <c r="Z681" s="72">
        <v>0</v>
      </c>
      <c r="AA681" s="72">
        <v>0</v>
      </c>
      <c r="AB681" s="72">
        <v>0</v>
      </c>
      <c r="AC681" s="72">
        <v>0</v>
      </c>
      <c r="AD681" s="72">
        <v>0</v>
      </c>
      <c r="AE681" s="72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74"/>
      <c r="BM681" s="74"/>
      <c r="BN681" s="74"/>
      <c r="BO681" s="74"/>
      <c r="BP681" s="74"/>
      <c r="BQ681" s="74"/>
      <c r="BR681" s="74"/>
      <c r="BS681" s="74"/>
      <c r="BT681" s="74"/>
      <c r="BU681" s="74"/>
      <c r="BV681" s="74"/>
      <c r="BW681" s="74"/>
      <c r="BX681" s="74"/>
      <c r="BY681" s="74"/>
      <c r="BZ681" s="74"/>
      <c r="CA681" s="74"/>
      <c r="CB681" s="74"/>
      <c r="CC681" s="74"/>
      <c r="CD681" s="74"/>
      <c r="CE681" s="74"/>
      <c r="CF681" s="74"/>
      <c r="CG681" s="74"/>
      <c r="CH681" s="74"/>
      <c r="CI681" s="74"/>
      <c r="CJ681" s="74"/>
      <c r="CK681" s="74"/>
      <c r="CL681" s="74"/>
      <c r="CM681" s="74"/>
      <c r="CN681" s="74"/>
      <c r="CO681" s="74"/>
      <c r="CP681" s="74"/>
      <c r="CQ681" s="74"/>
      <c r="CR681" s="74"/>
      <c r="CS681" s="74"/>
      <c r="CT681" s="74"/>
      <c r="CU681" s="74"/>
      <c r="CV681" s="74"/>
      <c r="CW681" s="74"/>
      <c r="CX681" s="74"/>
      <c r="CY681" s="74"/>
      <c r="CZ681" s="74"/>
      <c r="DA681" s="74"/>
      <c r="DB681" s="74"/>
      <c r="DC681" s="74"/>
      <c r="DD681" s="74"/>
      <c r="DE681" s="74"/>
      <c r="DF681" s="74"/>
      <c r="DG681" s="74"/>
      <c r="DH681" s="74"/>
      <c r="DI681" s="74"/>
      <c r="DJ681" s="74"/>
      <c r="DK681" s="74"/>
      <c r="DL681" s="74"/>
      <c r="DM681" s="74"/>
      <c r="DN681" s="74"/>
      <c r="DO681" s="74"/>
      <c r="DP681" s="74"/>
      <c r="DQ681" s="74"/>
      <c r="DR681" s="74"/>
      <c r="DS681" s="74"/>
      <c r="DT681" s="74"/>
      <c r="DU681" s="74"/>
      <c r="DV681" s="74"/>
      <c r="DW681" s="74"/>
      <c r="DX681" s="74"/>
      <c r="DY681" s="74"/>
      <c r="DZ681" s="74"/>
      <c r="EA681" s="74"/>
      <c r="EB681" s="74"/>
      <c r="EC681" s="74"/>
      <c r="ED681" s="74"/>
      <c r="EE681" s="74"/>
      <c r="EF681" s="74"/>
      <c r="EG681" s="74"/>
      <c r="EH681" s="74"/>
      <c r="EI681" s="74"/>
      <c r="EJ681" s="74"/>
      <c r="EK681" s="74"/>
      <c r="EL681" s="74"/>
      <c r="EM681" s="74"/>
      <c r="EN681" s="74"/>
      <c r="EO681" s="74"/>
      <c r="EP681" s="74"/>
      <c r="EQ681" s="74"/>
      <c r="ER681" s="74"/>
      <c r="ES681" s="74"/>
      <c r="ET681" s="74"/>
      <c r="EU681" s="74"/>
      <c r="EV681" s="74"/>
      <c r="EW681" s="74"/>
      <c r="EX681" s="74"/>
      <c r="EY681" s="74"/>
      <c r="EZ681" s="74"/>
      <c r="FA681" s="74"/>
      <c r="FB681" s="74"/>
      <c r="FC681" s="74"/>
      <c r="FD681" s="74"/>
      <c r="FE681" s="74"/>
      <c r="FF681" s="74"/>
      <c r="FG681" s="74"/>
      <c r="FH681" s="74"/>
      <c r="FI681" s="74"/>
      <c r="FJ681" s="74"/>
      <c r="FK681" s="74"/>
      <c r="FL681" s="74"/>
      <c r="FM681" s="74"/>
      <c r="FN681" s="74"/>
      <c r="FO681" s="74"/>
      <c r="FP681" s="74"/>
      <c r="FQ681" s="74"/>
      <c r="FR681" s="74"/>
      <c r="FS681" s="74"/>
      <c r="FT681" s="74"/>
      <c r="FU681" s="74"/>
      <c r="FV681" s="74"/>
      <c r="FW681" s="74"/>
      <c r="FX681" s="74"/>
      <c r="FY681" s="74"/>
      <c r="FZ681" s="74"/>
      <c r="GA681" s="74"/>
      <c r="GB681" s="74"/>
      <c r="GC681" s="74"/>
      <c r="GD681" s="74"/>
      <c r="GE681" s="74"/>
      <c r="GF681" s="74"/>
      <c r="GG681" s="74"/>
      <c r="GH681" s="74"/>
      <c r="GI681" s="74"/>
      <c r="GJ681" s="74"/>
      <c r="GK681" s="74"/>
      <c r="GL681" s="74"/>
      <c r="GM681" s="74"/>
      <c r="GN681" s="74"/>
      <c r="GO681" s="74"/>
      <c r="GP681" s="74"/>
      <c r="GQ681" s="74"/>
      <c r="GR681" s="74"/>
      <c r="GS681" s="74"/>
      <c r="GT681" s="74"/>
      <c r="GU681" s="74"/>
      <c r="GV681" s="74"/>
      <c r="GW681" s="74"/>
      <c r="GX681" s="74"/>
      <c r="GY681" s="74"/>
      <c r="GZ681" s="74"/>
      <c r="HA681" s="74"/>
      <c r="HB681" s="74"/>
      <c r="HC681" s="74"/>
      <c r="HD681" s="74"/>
      <c r="HE681" s="74"/>
      <c r="HF681" s="74"/>
      <c r="HG681" s="74"/>
      <c r="HH681" s="74"/>
      <c r="HI681" s="74"/>
      <c r="HJ681" s="74"/>
      <c r="HK681" s="74"/>
      <c r="HL681" s="74"/>
      <c r="HM681" s="74"/>
      <c r="HN681" s="74"/>
      <c r="HO681" s="74"/>
      <c r="HP681" s="74"/>
    </row>
    <row r="682" spans="3:224" s="75" customFormat="1" ht="20.100000000000001" customHeight="1">
      <c r="C682" s="36">
        <v>15909001</v>
      </c>
      <c r="D682" s="71" t="s">
        <v>569</v>
      </c>
      <c r="E682" s="71">
        <v>11200001</v>
      </c>
      <c r="F682" s="71">
        <v>0</v>
      </c>
      <c r="G682" s="71">
        <v>1</v>
      </c>
      <c r="H682" s="71">
        <v>60</v>
      </c>
      <c r="I682" s="72">
        <v>0.2</v>
      </c>
      <c r="J682" s="73">
        <v>40</v>
      </c>
      <c r="K682" s="25">
        <v>0</v>
      </c>
      <c r="L682" s="71">
        <v>36750</v>
      </c>
      <c r="M682" s="71">
        <v>0</v>
      </c>
      <c r="N682" s="71">
        <v>0</v>
      </c>
      <c r="O682" s="71">
        <v>0</v>
      </c>
      <c r="P682" s="71">
        <v>0</v>
      </c>
      <c r="Q682" s="71">
        <v>0</v>
      </c>
      <c r="R682" s="71">
        <v>0</v>
      </c>
      <c r="S682" s="71">
        <v>0</v>
      </c>
      <c r="T682" s="71">
        <v>0</v>
      </c>
      <c r="U682" s="72">
        <v>0</v>
      </c>
      <c r="V682" s="71">
        <v>0</v>
      </c>
      <c r="W682" s="71">
        <v>0</v>
      </c>
      <c r="X682" s="71">
        <v>0</v>
      </c>
      <c r="Y682" s="72">
        <v>0</v>
      </c>
      <c r="Z682" s="72">
        <v>0</v>
      </c>
      <c r="AA682" s="72">
        <v>0</v>
      </c>
      <c r="AB682" s="72">
        <v>200303</v>
      </c>
      <c r="AC682" s="72">
        <v>200</v>
      </c>
      <c r="AD682" s="72">
        <v>1</v>
      </c>
      <c r="AE682" s="72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74"/>
      <c r="BM682" s="74"/>
      <c r="BN682" s="74"/>
      <c r="BO682" s="74"/>
      <c r="BP682" s="74"/>
      <c r="BQ682" s="74"/>
      <c r="BR682" s="74"/>
      <c r="BS682" s="74"/>
      <c r="BT682" s="74"/>
      <c r="BU682" s="74"/>
      <c r="BV682" s="74"/>
      <c r="BW682" s="74"/>
      <c r="BX682" s="74"/>
      <c r="BY682" s="74"/>
      <c r="BZ682" s="74"/>
      <c r="CA682" s="74"/>
      <c r="CB682" s="74"/>
      <c r="CC682" s="74"/>
      <c r="CD682" s="74"/>
      <c r="CE682" s="74"/>
      <c r="CF682" s="74"/>
      <c r="CG682" s="74"/>
      <c r="CH682" s="74"/>
      <c r="CI682" s="74"/>
      <c r="CJ682" s="74"/>
      <c r="CK682" s="74"/>
      <c r="CL682" s="74"/>
      <c r="CM682" s="74"/>
      <c r="CN682" s="74"/>
      <c r="CO682" s="74"/>
      <c r="CP682" s="74"/>
      <c r="CQ682" s="74"/>
      <c r="CR682" s="74"/>
      <c r="CS682" s="74"/>
      <c r="CT682" s="74"/>
      <c r="CU682" s="74"/>
      <c r="CV682" s="74"/>
      <c r="CW682" s="74"/>
      <c r="CX682" s="74"/>
      <c r="CY682" s="74"/>
      <c r="CZ682" s="74"/>
      <c r="DA682" s="74"/>
      <c r="DB682" s="74"/>
      <c r="DC682" s="74"/>
      <c r="DD682" s="74"/>
      <c r="DE682" s="74"/>
      <c r="DF682" s="74"/>
      <c r="DG682" s="74"/>
      <c r="DH682" s="74"/>
      <c r="DI682" s="74"/>
      <c r="DJ682" s="74"/>
      <c r="DK682" s="74"/>
      <c r="DL682" s="74"/>
      <c r="DM682" s="74"/>
      <c r="DN682" s="74"/>
      <c r="DO682" s="74"/>
      <c r="DP682" s="74"/>
      <c r="DQ682" s="74"/>
      <c r="DR682" s="74"/>
      <c r="DS682" s="74"/>
      <c r="DT682" s="74"/>
      <c r="DU682" s="74"/>
      <c r="DV682" s="74"/>
      <c r="DW682" s="74"/>
      <c r="DX682" s="74"/>
      <c r="DY682" s="74"/>
      <c r="DZ682" s="74"/>
      <c r="EA682" s="74"/>
      <c r="EB682" s="74"/>
      <c r="EC682" s="74"/>
      <c r="ED682" s="74"/>
      <c r="EE682" s="74"/>
      <c r="EF682" s="74"/>
      <c r="EG682" s="74"/>
      <c r="EH682" s="74"/>
      <c r="EI682" s="74"/>
      <c r="EJ682" s="74"/>
      <c r="EK682" s="74"/>
      <c r="EL682" s="74"/>
      <c r="EM682" s="74"/>
      <c r="EN682" s="74"/>
      <c r="EO682" s="74"/>
      <c r="EP682" s="74"/>
      <c r="EQ682" s="74"/>
      <c r="ER682" s="74"/>
      <c r="ES682" s="74"/>
      <c r="ET682" s="74"/>
      <c r="EU682" s="74"/>
      <c r="EV682" s="74"/>
      <c r="EW682" s="74"/>
      <c r="EX682" s="74"/>
      <c r="EY682" s="74"/>
      <c r="EZ682" s="74"/>
      <c r="FA682" s="74"/>
      <c r="FB682" s="74"/>
      <c r="FC682" s="74"/>
      <c r="FD682" s="74"/>
      <c r="FE682" s="74"/>
      <c r="FF682" s="74"/>
      <c r="FG682" s="74"/>
      <c r="FH682" s="74"/>
      <c r="FI682" s="74"/>
      <c r="FJ682" s="74"/>
      <c r="FK682" s="74"/>
      <c r="FL682" s="74"/>
      <c r="FM682" s="74"/>
      <c r="FN682" s="74"/>
      <c r="FO682" s="74"/>
      <c r="FP682" s="74"/>
      <c r="FQ682" s="74"/>
      <c r="FR682" s="74"/>
      <c r="FS682" s="74"/>
      <c r="FT682" s="74"/>
      <c r="FU682" s="74"/>
      <c r="FV682" s="74"/>
      <c r="FW682" s="74"/>
      <c r="FX682" s="74"/>
      <c r="FY682" s="74"/>
      <c r="FZ682" s="74"/>
      <c r="GA682" s="74"/>
      <c r="GB682" s="74"/>
      <c r="GC682" s="74"/>
      <c r="GD682" s="74"/>
      <c r="GE682" s="74"/>
      <c r="GF682" s="74"/>
      <c r="GG682" s="74"/>
      <c r="GH682" s="74"/>
      <c r="GI682" s="74"/>
      <c r="GJ682" s="74"/>
      <c r="GK682" s="74"/>
      <c r="GL682" s="74"/>
      <c r="GM682" s="74"/>
      <c r="GN682" s="74"/>
      <c r="GO682" s="74"/>
      <c r="GP682" s="74"/>
      <c r="GQ682" s="74"/>
      <c r="GR682" s="74"/>
      <c r="GS682" s="74"/>
      <c r="GT682" s="74"/>
      <c r="GU682" s="74"/>
      <c r="GV682" s="74"/>
      <c r="GW682" s="74"/>
      <c r="GX682" s="74"/>
      <c r="GY682" s="74"/>
      <c r="GZ682" s="74"/>
      <c r="HA682" s="74"/>
      <c r="HB682" s="74"/>
      <c r="HC682" s="74"/>
      <c r="HD682" s="74"/>
      <c r="HE682" s="74"/>
      <c r="HF682" s="74"/>
      <c r="HG682" s="74"/>
      <c r="HH682" s="74"/>
      <c r="HI682" s="74"/>
      <c r="HJ682" s="74"/>
      <c r="HK682" s="74"/>
      <c r="HL682" s="74"/>
      <c r="HM682" s="74"/>
      <c r="HN682" s="74"/>
      <c r="HO682" s="74"/>
      <c r="HP682" s="74"/>
    </row>
    <row r="683" spans="3:224" s="75" customFormat="1" ht="20.100000000000001" customHeight="1">
      <c r="C683" s="36">
        <v>15910001</v>
      </c>
      <c r="D683" s="36" t="s">
        <v>572</v>
      </c>
      <c r="E683" s="71">
        <v>11200001</v>
      </c>
      <c r="F683" s="71">
        <v>19051</v>
      </c>
      <c r="G683" s="71">
        <v>1</v>
      </c>
      <c r="H683" s="71">
        <v>60</v>
      </c>
      <c r="I683" s="72">
        <v>0.2</v>
      </c>
      <c r="J683" s="73">
        <v>40</v>
      </c>
      <c r="K683" s="25">
        <v>0</v>
      </c>
      <c r="L683" s="71">
        <v>0</v>
      </c>
      <c r="M683" s="71">
        <v>1820</v>
      </c>
      <c r="N683" s="71">
        <v>3680</v>
      </c>
      <c r="O683" s="71">
        <v>0</v>
      </c>
      <c r="P683" s="71">
        <v>0</v>
      </c>
      <c r="Q683" s="71">
        <v>0</v>
      </c>
      <c r="R683" s="71">
        <v>0</v>
      </c>
      <c r="S683" s="71">
        <v>0</v>
      </c>
      <c r="T683" s="71">
        <v>0</v>
      </c>
      <c r="U683" s="72">
        <v>0</v>
      </c>
      <c r="V683" s="71">
        <v>0</v>
      </c>
      <c r="W683" s="71">
        <v>0</v>
      </c>
      <c r="X683" s="71">
        <v>0</v>
      </c>
      <c r="Y683" s="72">
        <v>0</v>
      </c>
      <c r="Z683" s="72">
        <v>0</v>
      </c>
      <c r="AA683" s="72">
        <v>0</v>
      </c>
      <c r="AB683" s="72">
        <v>200903</v>
      </c>
      <c r="AC683" s="72">
        <v>200</v>
      </c>
      <c r="AD683" s="72">
        <v>1</v>
      </c>
      <c r="AE683" s="72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74"/>
      <c r="BM683" s="74"/>
      <c r="BN683" s="74"/>
      <c r="BO683" s="74"/>
      <c r="BP683" s="74"/>
      <c r="BQ683" s="74"/>
      <c r="BR683" s="74"/>
      <c r="BS683" s="74"/>
      <c r="BT683" s="74"/>
      <c r="BU683" s="74"/>
      <c r="BV683" s="74"/>
      <c r="BW683" s="74"/>
      <c r="BX683" s="74"/>
      <c r="BY683" s="74"/>
      <c r="BZ683" s="74"/>
      <c r="CA683" s="74"/>
      <c r="CB683" s="74"/>
      <c r="CC683" s="74"/>
      <c r="CD683" s="74"/>
      <c r="CE683" s="74"/>
      <c r="CF683" s="74"/>
      <c r="CG683" s="74"/>
      <c r="CH683" s="74"/>
      <c r="CI683" s="74"/>
      <c r="CJ683" s="74"/>
      <c r="CK683" s="74"/>
      <c r="CL683" s="74"/>
      <c r="CM683" s="74"/>
      <c r="CN683" s="74"/>
      <c r="CO683" s="74"/>
      <c r="CP683" s="74"/>
      <c r="CQ683" s="74"/>
      <c r="CR683" s="74"/>
      <c r="CS683" s="74"/>
      <c r="CT683" s="74"/>
      <c r="CU683" s="74"/>
      <c r="CV683" s="74"/>
      <c r="CW683" s="74"/>
      <c r="CX683" s="74"/>
      <c r="CY683" s="74"/>
      <c r="CZ683" s="74"/>
      <c r="DA683" s="74"/>
      <c r="DB683" s="74"/>
      <c r="DC683" s="74"/>
      <c r="DD683" s="74"/>
      <c r="DE683" s="74"/>
      <c r="DF683" s="74"/>
      <c r="DG683" s="74"/>
      <c r="DH683" s="74"/>
      <c r="DI683" s="74"/>
      <c r="DJ683" s="74"/>
      <c r="DK683" s="74"/>
      <c r="DL683" s="74"/>
      <c r="DM683" s="74"/>
      <c r="DN683" s="74"/>
      <c r="DO683" s="74"/>
      <c r="DP683" s="74"/>
      <c r="DQ683" s="74"/>
      <c r="DR683" s="74"/>
      <c r="DS683" s="74"/>
      <c r="DT683" s="74"/>
      <c r="DU683" s="74"/>
      <c r="DV683" s="74"/>
      <c r="DW683" s="74"/>
      <c r="DX683" s="74"/>
      <c r="DY683" s="74"/>
      <c r="DZ683" s="74"/>
      <c r="EA683" s="74"/>
      <c r="EB683" s="74"/>
      <c r="EC683" s="74"/>
      <c r="ED683" s="74"/>
      <c r="EE683" s="74"/>
      <c r="EF683" s="74"/>
      <c r="EG683" s="74"/>
      <c r="EH683" s="74"/>
      <c r="EI683" s="74"/>
      <c r="EJ683" s="74"/>
      <c r="EK683" s="74"/>
      <c r="EL683" s="74"/>
      <c r="EM683" s="74"/>
      <c r="EN683" s="74"/>
      <c r="EO683" s="74"/>
      <c r="EP683" s="74"/>
      <c r="EQ683" s="74"/>
      <c r="ER683" s="74"/>
      <c r="ES683" s="74"/>
      <c r="ET683" s="74"/>
      <c r="EU683" s="74"/>
      <c r="EV683" s="74"/>
      <c r="EW683" s="74"/>
      <c r="EX683" s="74"/>
      <c r="EY683" s="74"/>
      <c r="EZ683" s="74"/>
      <c r="FA683" s="74"/>
      <c r="FB683" s="74"/>
      <c r="FC683" s="74"/>
      <c r="FD683" s="74"/>
      <c r="FE683" s="74"/>
      <c r="FF683" s="74"/>
      <c r="FG683" s="74"/>
      <c r="FH683" s="74"/>
      <c r="FI683" s="74"/>
      <c r="FJ683" s="74"/>
      <c r="FK683" s="74"/>
      <c r="FL683" s="74"/>
      <c r="FM683" s="74"/>
      <c r="FN683" s="74"/>
      <c r="FO683" s="74"/>
      <c r="FP683" s="74"/>
      <c r="FQ683" s="74"/>
      <c r="FR683" s="74"/>
      <c r="FS683" s="74"/>
      <c r="FT683" s="74"/>
      <c r="FU683" s="74"/>
      <c r="FV683" s="74"/>
      <c r="FW683" s="74"/>
      <c r="FX683" s="74"/>
      <c r="FY683" s="74"/>
      <c r="FZ683" s="74"/>
      <c r="GA683" s="74"/>
      <c r="GB683" s="74"/>
      <c r="GC683" s="74"/>
      <c r="GD683" s="74"/>
      <c r="GE683" s="74"/>
      <c r="GF683" s="74"/>
      <c r="GG683" s="74"/>
      <c r="GH683" s="74"/>
      <c r="GI683" s="74"/>
      <c r="GJ683" s="74"/>
      <c r="GK683" s="74"/>
      <c r="GL683" s="74"/>
      <c r="GM683" s="74"/>
      <c r="GN683" s="74"/>
      <c r="GO683" s="74"/>
      <c r="GP683" s="74"/>
      <c r="GQ683" s="74"/>
      <c r="GR683" s="74"/>
      <c r="GS683" s="74"/>
      <c r="GT683" s="74"/>
      <c r="GU683" s="74"/>
      <c r="GV683" s="74"/>
      <c r="GW683" s="74"/>
      <c r="GX683" s="74"/>
      <c r="GY683" s="74"/>
      <c r="GZ683" s="74"/>
      <c r="HA683" s="74"/>
      <c r="HB683" s="74"/>
      <c r="HC683" s="74"/>
      <c r="HD683" s="74"/>
      <c r="HE683" s="74"/>
      <c r="HF683" s="74"/>
      <c r="HG683" s="74"/>
      <c r="HH683" s="74"/>
      <c r="HI683" s="74"/>
      <c r="HJ683" s="74"/>
      <c r="HK683" s="74"/>
      <c r="HL683" s="74"/>
      <c r="HM683" s="74"/>
      <c r="HN683" s="74"/>
      <c r="HO683" s="74"/>
      <c r="HP683" s="74"/>
    </row>
    <row r="684" spans="3:224" s="75" customFormat="1" ht="20.100000000000001" customHeight="1">
      <c r="C684" s="36">
        <v>15910002</v>
      </c>
      <c r="D684" s="36" t="s">
        <v>574</v>
      </c>
      <c r="E684" s="71">
        <v>11200001</v>
      </c>
      <c r="F684" s="71">
        <v>19051</v>
      </c>
      <c r="G684" s="71">
        <v>1</v>
      </c>
      <c r="H684" s="71">
        <v>60</v>
      </c>
      <c r="I684" s="72">
        <v>0.2</v>
      </c>
      <c r="J684" s="73">
        <v>40</v>
      </c>
      <c r="K684" s="25">
        <v>0</v>
      </c>
      <c r="L684" s="71">
        <v>0</v>
      </c>
      <c r="M684" s="71">
        <v>1820</v>
      </c>
      <c r="N684" s="71">
        <v>3680</v>
      </c>
      <c r="O684" s="71">
        <v>0</v>
      </c>
      <c r="P684" s="71">
        <v>0</v>
      </c>
      <c r="Q684" s="71">
        <v>0</v>
      </c>
      <c r="R684" s="71">
        <v>0</v>
      </c>
      <c r="S684" s="71">
        <v>0</v>
      </c>
      <c r="T684" s="71">
        <v>0</v>
      </c>
      <c r="U684" s="72">
        <v>0</v>
      </c>
      <c r="V684" s="71">
        <v>0</v>
      </c>
      <c r="W684" s="71">
        <v>0</v>
      </c>
      <c r="X684" s="71">
        <v>0</v>
      </c>
      <c r="Y684" s="72">
        <v>0</v>
      </c>
      <c r="Z684" s="72">
        <v>0</v>
      </c>
      <c r="AA684" s="72">
        <v>0</v>
      </c>
      <c r="AB684" s="72">
        <v>200903</v>
      </c>
      <c r="AC684" s="72">
        <v>200</v>
      </c>
      <c r="AD684" s="72">
        <v>1</v>
      </c>
      <c r="AE684" s="72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74"/>
      <c r="BM684" s="74"/>
      <c r="BN684" s="74"/>
      <c r="BO684" s="74"/>
      <c r="BP684" s="74"/>
      <c r="BQ684" s="74"/>
      <c r="BR684" s="74"/>
      <c r="BS684" s="74"/>
      <c r="BT684" s="74"/>
      <c r="BU684" s="74"/>
      <c r="BV684" s="74"/>
      <c r="BW684" s="74"/>
      <c r="BX684" s="74"/>
      <c r="BY684" s="74"/>
      <c r="BZ684" s="74"/>
      <c r="CA684" s="74"/>
      <c r="CB684" s="74"/>
      <c r="CC684" s="74"/>
      <c r="CD684" s="74"/>
      <c r="CE684" s="74"/>
      <c r="CF684" s="74"/>
      <c r="CG684" s="74"/>
      <c r="CH684" s="74"/>
      <c r="CI684" s="74"/>
      <c r="CJ684" s="74"/>
      <c r="CK684" s="74"/>
      <c r="CL684" s="74"/>
      <c r="CM684" s="74"/>
      <c r="CN684" s="74"/>
      <c r="CO684" s="74"/>
      <c r="CP684" s="74"/>
      <c r="CQ684" s="74"/>
      <c r="CR684" s="74"/>
      <c r="CS684" s="74"/>
      <c r="CT684" s="74"/>
      <c r="CU684" s="74"/>
      <c r="CV684" s="74"/>
      <c r="CW684" s="74"/>
      <c r="CX684" s="74"/>
      <c r="CY684" s="74"/>
      <c r="CZ684" s="74"/>
      <c r="DA684" s="74"/>
      <c r="DB684" s="74"/>
      <c r="DC684" s="74"/>
      <c r="DD684" s="74"/>
      <c r="DE684" s="74"/>
      <c r="DF684" s="74"/>
      <c r="DG684" s="74"/>
      <c r="DH684" s="74"/>
      <c r="DI684" s="74"/>
      <c r="DJ684" s="74"/>
      <c r="DK684" s="74"/>
      <c r="DL684" s="74"/>
      <c r="DM684" s="74"/>
      <c r="DN684" s="74"/>
      <c r="DO684" s="74"/>
      <c r="DP684" s="74"/>
      <c r="DQ684" s="74"/>
      <c r="DR684" s="74"/>
      <c r="DS684" s="74"/>
      <c r="DT684" s="74"/>
      <c r="DU684" s="74"/>
      <c r="DV684" s="74"/>
      <c r="DW684" s="74"/>
      <c r="DX684" s="74"/>
      <c r="DY684" s="74"/>
      <c r="DZ684" s="74"/>
      <c r="EA684" s="74"/>
      <c r="EB684" s="74"/>
      <c r="EC684" s="74"/>
      <c r="ED684" s="74"/>
      <c r="EE684" s="74"/>
      <c r="EF684" s="74"/>
      <c r="EG684" s="74"/>
      <c r="EH684" s="74"/>
      <c r="EI684" s="74"/>
      <c r="EJ684" s="74"/>
      <c r="EK684" s="74"/>
      <c r="EL684" s="74"/>
      <c r="EM684" s="74"/>
      <c r="EN684" s="74"/>
      <c r="EO684" s="74"/>
      <c r="EP684" s="74"/>
      <c r="EQ684" s="74"/>
      <c r="ER684" s="74"/>
      <c r="ES684" s="74"/>
      <c r="ET684" s="74"/>
      <c r="EU684" s="74"/>
      <c r="EV684" s="74"/>
      <c r="EW684" s="74"/>
      <c r="EX684" s="74"/>
      <c r="EY684" s="74"/>
      <c r="EZ684" s="74"/>
      <c r="FA684" s="74"/>
      <c r="FB684" s="74"/>
      <c r="FC684" s="74"/>
      <c r="FD684" s="74"/>
      <c r="FE684" s="74"/>
      <c r="FF684" s="74"/>
      <c r="FG684" s="74"/>
      <c r="FH684" s="74"/>
      <c r="FI684" s="74"/>
      <c r="FJ684" s="74"/>
      <c r="FK684" s="74"/>
      <c r="FL684" s="74"/>
      <c r="FM684" s="74"/>
      <c r="FN684" s="74"/>
      <c r="FO684" s="74"/>
      <c r="FP684" s="74"/>
      <c r="FQ684" s="74"/>
      <c r="FR684" s="74"/>
      <c r="FS684" s="74"/>
      <c r="FT684" s="74"/>
      <c r="FU684" s="74"/>
      <c r="FV684" s="74"/>
      <c r="FW684" s="74"/>
      <c r="FX684" s="74"/>
      <c r="FY684" s="74"/>
      <c r="FZ684" s="74"/>
      <c r="GA684" s="74"/>
      <c r="GB684" s="74"/>
      <c r="GC684" s="74"/>
      <c r="GD684" s="74"/>
      <c r="GE684" s="74"/>
      <c r="GF684" s="74"/>
      <c r="GG684" s="74"/>
      <c r="GH684" s="74"/>
      <c r="GI684" s="74"/>
      <c r="GJ684" s="74"/>
      <c r="GK684" s="74"/>
      <c r="GL684" s="74"/>
      <c r="GM684" s="74"/>
      <c r="GN684" s="74"/>
      <c r="GO684" s="74"/>
      <c r="GP684" s="74"/>
      <c r="GQ684" s="74"/>
      <c r="GR684" s="74"/>
      <c r="GS684" s="74"/>
      <c r="GT684" s="74"/>
      <c r="GU684" s="74"/>
      <c r="GV684" s="74"/>
      <c r="GW684" s="74"/>
      <c r="GX684" s="74"/>
      <c r="GY684" s="74"/>
      <c r="GZ684" s="74"/>
      <c r="HA684" s="74"/>
      <c r="HB684" s="74"/>
      <c r="HC684" s="74"/>
      <c r="HD684" s="74"/>
      <c r="HE684" s="74"/>
      <c r="HF684" s="74"/>
      <c r="HG684" s="74"/>
      <c r="HH684" s="74"/>
      <c r="HI684" s="74"/>
      <c r="HJ684" s="74"/>
      <c r="HK684" s="74"/>
      <c r="HL684" s="74"/>
      <c r="HM684" s="74"/>
      <c r="HN684" s="74"/>
      <c r="HO684" s="74"/>
      <c r="HP684" s="74"/>
    </row>
    <row r="685" spans="3:224" s="75" customFormat="1" ht="20.100000000000001" customHeight="1">
      <c r="C685" s="36">
        <v>15910201</v>
      </c>
      <c r="D685" s="36" t="s">
        <v>665</v>
      </c>
      <c r="E685" s="71">
        <v>11200001</v>
      </c>
      <c r="F685" s="71">
        <v>19051</v>
      </c>
      <c r="G685" s="71">
        <v>1</v>
      </c>
      <c r="H685" s="71">
        <v>60</v>
      </c>
      <c r="I685" s="72">
        <v>0.2</v>
      </c>
      <c r="J685" s="73">
        <v>40</v>
      </c>
      <c r="K685" s="25">
        <v>0</v>
      </c>
      <c r="L685" s="71">
        <v>0</v>
      </c>
      <c r="M685" s="71">
        <v>1820</v>
      </c>
      <c r="N685" s="71">
        <v>3680</v>
      </c>
      <c r="O685" s="71">
        <v>0</v>
      </c>
      <c r="P685" s="71">
        <v>0</v>
      </c>
      <c r="Q685" s="71">
        <v>0</v>
      </c>
      <c r="R685" s="71">
        <v>0</v>
      </c>
      <c r="S685" s="71">
        <v>0</v>
      </c>
      <c r="T685" s="71">
        <v>0</v>
      </c>
      <c r="U685" s="72">
        <v>0</v>
      </c>
      <c r="V685" s="71">
        <v>0</v>
      </c>
      <c r="W685" s="71">
        <v>0</v>
      </c>
      <c r="X685" s="71">
        <v>0</v>
      </c>
      <c r="Y685" s="72">
        <v>0</v>
      </c>
      <c r="Z685" s="72">
        <v>0</v>
      </c>
      <c r="AA685" s="72">
        <v>0</v>
      </c>
      <c r="AB685" s="72">
        <v>200903</v>
      </c>
      <c r="AC685" s="72">
        <v>200</v>
      </c>
      <c r="AD685" s="72">
        <v>1</v>
      </c>
      <c r="AE685" s="72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74"/>
      <c r="BM685" s="74"/>
      <c r="BN685" s="74"/>
      <c r="BO685" s="74"/>
      <c r="BP685" s="74"/>
      <c r="BQ685" s="74"/>
      <c r="BR685" s="74"/>
      <c r="BS685" s="74"/>
      <c r="BT685" s="74"/>
      <c r="BU685" s="74"/>
      <c r="BV685" s="74"/>
      <c r="BW685" s="74"/>
      <c r="BX685" s="74"/>
      <c r="BY685" s="74"/>
      <c r="BZ685" s="74"/>
      <c r="CA685" s="74"/>
      <c r="CB685" s="74"/>
      <c r="CC685" s="74"/>
      <c r="CD685" s="74"/>
      <c r="CE685" s="74"/>
      <c r="CF685" s="74"/>
      <c r="CG685" s="74"/>
      <c r="CH685" s="74"/>
      <c r="CI685" s="74"/>
      <c r="CJ685" s="74"/>
      <c r="CK685" s="74"/>
      <c r="CL685" s="74"/>
      <c r="CM685" s="74"/>
      <c r="CN685" s="74"/>
      <c r="CO685" s="74"/>
      <c r="CP685" s="74"/>
      <c r="CQ685" s="74"/>
      <c r="CR685" s="74"/>
      <c r="CS685" s="74"/>
      <c r="CT685" s="74"/>
      <c r="CU685" s="74"/>
      <c r="CV685" s="74"/>
      <c r="CW685" s="74"/>
      <c r="CX685" s="74"/>
      <c r="CY685" s="74"/>
      <c r="CZ685" s="74"/>
      <c r="DA685" s="74"/>
      <c r="DB685" s="74"/>
      <c r="DC685" s="74"/>
      <c r="DD685" s="74"/>
      <c r="DE685" s="74"/>
      <c r="DF685" s="74"/>
      <c r="DG685" s="74"/>
      <c r="DH685" s="74"/>
      <c r="DI685" s="74"/>
      <c r="DJ685" s="74"/>
      <c r="DK685" s="74"/>
      <c r="DL685" s="74"/>
      <c r="DM685" s="74"/>
      <c r="DN685" s="74"/>
      <c r="DO685" s="74"/>
      <c r="DP685" s="74"/>
      <c r="DQ685" s="74"/>
      <c r="DR685" s="74"/>
      <c r="DS685" s="74"/>
      <c r="DT685" s="74"/>
      <c r="DU685" s="74"/>
      <c r="DV685" s="74"/>
      <c r="DW685" s="74"/>
      <c r="DX685" s="74"/>
      <c r="DY685" s="74"/>
      <c r="DZ685" s="74"/>
      <c r="EA685" s="74"/>
      <c r="EB685" s="74"/>
      <c r="EC685" s="74"/>
      <c r="ED685" s="74"/>
      <c r="EE685" s="74"/>
      <c r="EF685" s="74"/>
      <c r="EG685" s="74"/>
      <c r="EH685" s="74"/>
      <c r="EI685" s="74"/>
      <c r="EJ685" s="74"/>
      <c r="EK685" s="74"/>
      <c r="EL685" s="74"/>
      <c r="EM685" s="74"/>
      <c r="EN685" s="74"/>
      <c r="EO685" s="74"/>
      <c r="EP685" s="74"/>
      <c r="EQ685" s="74"/>
      <c r="ER685" s="74"/>
      <c r="ES685" s="74"/>
      <c r="ET685" s="74"/>
      <c r="EU685" s="74"/>
      <c r="EV685" s="74"/>
      <c r="EW685" s="74"/>
      <c r="EX685" s="74"/>
      <c r="EY685" s="74"/>
      <c r="EZ685" s="74"/>
      <c r="FA685" s="74"/>
      <c r="FB685" s="74"/>
      <c r="FC685" s="74"/>
      <c r="FD685" s="74"/>
      <c r="FE685" s="74"/>
      <c r="FF685" s="74"/>
      <c r="FG685" s="74"/>
      <c r="FH685" s="74"/>
      <c r="FI685" s="74"/>
      <c r="FJ685" s="74"/>
      <c r="FK685" s="74"/>
      <c r="FL685" s="74"/>
      <c r="FM685" s="74"/>
      <c r="FN685" s="74"/>
      <c r="FO685" s="74"/>
      <c r="FP685" s="74"/>
      <c r="FQ685" s="74"/>
      <c r="FR685" s="74"/>
      <c r="FS685" s="74"/>
      <c r="FT685" s="74"/>
      <c r="FU685" s="74"/>
      <c r="FV685" s="74"/>
      <c r="FW685" s="74"/>
      <c r="FX685" s="74"/>
      <c r="FY685" s="74"/>
      <c r="FZ685" s="74"/>
      <c r="GA685" s="74"/>
      <c r="GB685" s="74"/>
      <c r="GC685" s="74"/>
      <c r="GD685" s="74"/>
      <c r="GE685" s="74"/>
      <c r="GF685" s="74"/>
      <c r="GG685" s="74"/>
      <c r="GH685" s="74"/>
      <c r="GI685" s="74"/>
      <c r="GJ685" s="74"/>
      <c r="GK685" s="74"/>
      <c r="GL685" s="74"/>
      <c r="GM685" s="74"/>
      <c r="GN685" s="74"/>
      <c r="GO685" s="74"/>
      <c r="GP685" s="74"/>
      <c r="GQ685" s="74"/>
      <c r="GR685" s="74"/>
      <c r="GS685" s="74"/>
      <c r="GT685" s="74"/>
      <c r="GU685" s="74"/>
      <c r="GV685" s="74"/>
      <c r="GW685" s="74"/>
      <c r="GX685" s="74"/>
      <c r="GY685" s="74"/>
      <c r="GZ685" s="74"/>
      <c r="HA685" s="74"/>
      <c r="HB685" s="74"/>
      <c r="HC685" s="74"/>
      <c r="HD685" s="74"/>
      <c r="HE685" s="74"/>
      <c r="HF685" s="74"/>
      <c r="HG685" s="74"/>
      <c r="HH685" s="74"/>
      <c r="HI685" s="74"/>
      <c r="HJ685" s="74"/>
      <c r="HK685" s="74"/>
      <c r="HL685" s="74"/>
      <c r="HM685" s="74"/>
      <c r="HN685" s="74"/>
      <c r="HO685" s="74"/>
      <c r="HP685" s="74"/>
    </row>
    <row r="686" spans="3:224" s="75" customFormat="1" ht="20.100000000000001" customHeight="1">
      <c r="C686" s="36">
        <v>15911001</v>
      </c>
      <c r="D686" s="71" t="s">
        <v>580</v>
      </c>
      <c r="E686" s="71">
        <v>11200003</v>
      </c>
      <c r="F686" s="71">
        <v>19011</v>
      </c>
      <c r="G686" s="71">
        <v>1</v>
      </c>
      <c r="H686" s="71">
        <v>60</v>
      </c>
      <c r="I686" s="72">
        <v>0.2</v>
      </c>
      <c r="J686" s="73">
        <v>40</v>
      </c>
      <c r="K686" s="25">
        <v>0</v>
      </c>
      <c r="L686" s="71">
        <v>31510</v>
      </c>
      <c r="M686" s="71">
        <v>0</v>
      </c>
      <c r="N686" s="71">
        <v>0</v>
      </c>
      <c r="O686" s="71">
        <v>0</v>
      </c>
      <c r="P686" s="71">
        <v>0</v>
      </c>
      <c r="Q686" s="71">
        <v>336</v>
      </c>
      <c r="R686" s="71">
        <v>668</v>
      </c>
      <c r="S686" s="71">
        <v>336</v>
      </c>
      <c r="T686" s="71">
        <v>668</v>
      </c>
      <c r="U686" s="72">
        <v>0</v>
      </c>
      <c r="V686" s="71">
        <v>0</v>
      </c>
      <c r="W686" s="71">
        <v>0</v>
      </c>
      <c r="X686" s="71">
        <v>0</v>
      </c>
      <c r="Y686" s="72">
        <v>0</v>
      </c>
      <c r="Z686" s="72">
        <v>0</v>
      </c>
      <c r="AA686" s="72">
        <v>0</v>
      </c>
      <c r="AB686" s="72">
        <v>201003</v>
      </c>
      <c r="AC686" s="72">
        <v>200</v>
      </c>
      <c r="AD686" s="72">
        <v>1</v>
      </c>
      <c r="AE686" s="72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74"/>
      <c r="BM686" s="74"/>
      <c r="BN686" s="74"/>
      <c r="BO686" s="74"/>
      <c r="BP686" s="74"/>
      <c r="BQ686" s="74"/>
      <c r="BR686" s="74"/>
      <c r="BS686" s="74"/>
      <c r="BT686" s="74"/>
      <c r="BU686" s="74"/>
      <c r="BV686" s="74"/>
      <c r="BW686" s="74"/>
      <c r="BX686" s="74"/>
      <c r="BY686" s="74"/>
      <c r="BZ686" s="74"/>
      <c r="CA686" s="74"/>
      <c r="CB686" s="74"/>
      <c r="CC686" s="74"/>
      <c r="CD686" s="74"/>
      <c r="CE686" s="74"/>
      <c r="CF686" s="74"/>
      <c r="CG686" s="74"/>
      <c r="CH686" s="74"/>
      <c r="CI686" s="74"/>
      <c r="CJ686" s="74"/>
      <c r="CK686" s="74"/>
      <c r="CL686" s="74"/>
      <c r="CM686" s="74"/>
      <c r="CN686" s="74"/>
      <c r="CO686" s="74"/>
      <c r="CP686" s="74"/>
      <c r="CQ686" s="74"/>
      <c r="CR686" s="74"/>
      <c r="CS686" s="74"/>
      <c r="CT686" s="74"/>
      <c r="CU686" s="74"/>
      <c r="CV686" s="74"/>
      <c r="CW686" s="74"/>
      <c r="CX686" s="74"/>
      <c r="CY686" s="74"/>
      <c r="CZ686" s="74"/>
      <c r="DA686" s="74"/>
      <c r="DB686" s="74"/>
      <c r="DC686" s="74"/>
      <c r="DD686" s="74"/>
      <c r="DE686" s="74"/>
      <c r="DF686" s="74"/>
      <c r="DG686" s="74"/>
      <c r="DH686" s="74"/>
      <c r="DI686" s="74"/>
      <c r="DJ686" s="74"/>
      <c r="DK686" s="74"/>
      <c r="DL686" s="74"/>
      <c r="DM686" s="74"/>
      <c r="DN686" s="74"/>
      <c r="DO686" s="74"/>
      <c r="DP686" s="74"/>
      <c r="DQ686" s="74"/>
      <c r="DR686" s="74"/>
      <c r="DS686" s="74"/>
      <c r="DT686" s="74"/>
      <c r="DU686" s="74"/>
      <c r="DV686" s="74"/>
      <c r="DW686" s="74"/>
      <c r="DX686" s="74"/>
      <c r="DY686" s="74"/>
      <c r="DZ686" s="74"/>
      <c r="EA686" s="74"/>
      <c r="EB686" s="74"/>
      <c r="EC686" s="74"/>
      <c r="ED686" s="74"/>
      <c r="EE686" s="74"/>
      <c r="EF686" s="74"/>
      <c r="EG686" s="74"/>
      <c r="EH686" s="74"/>
      <c r="EI686" s="74"/>
      <c r="EJ686" s="74"/>
      <c r="EK686" s="74"/>
      <c r="EL686" s="74"/>
      <c r="EM686" s="74"/>
      <c r="EN686" s="74"/>
      <c r="EO686" s="74"/>
      <c r="EP686" s="74"/>
      <c r="EQ686" s="74"/>
      <c r="ER686" s="74"/>
      <c r="ES686" s="74"/>
      <c r="ET686" s="74"/>
      <c r="EU686" s="74"/>
      <c r="EV686" s="74"/>
      <c r="EW686" s="74"/>
      <c r="EX686" s="74"/>
      <c r="EY686" s="74"/>
      <c r="EZ686" s="74"/>
      <c r="FA686" s="74"/>
      <c r="FB686" s="74"/>
      <c r="FC686" s="74"/>
      <c r="FD686" s="74"/>
      <c r="FE686" s="74"/>
      <c r="FF686" s="74"/>
      <c r="FG686" s="74"/>
      <c r="FH686" s="74"/>
      <c r="FI686" s="74"/>
      <c r="FJ686" s="74"/>
      <c r="FK686" s="74"/>
      <c r="FL686" s="74"/>
      <c r="FM686" s="74"/>
      <c r="FN686" s="74"/>
      <c r="FO686" s="74"/>
      <c r="FP686" s="74"/>
      <c r="FQ686" s="74"/>
      <c r="FR686" s="74"/>
      <c r="FS686" s="74"/>
      <c r="FT686" s="74"/>
      <c r="FU686" s="74"/>
      <c r="FV686" s="74"/>
      <c r="FW686" s="74"/>
      <c r="FX686" s="74"/>
      <c r="FY686" s="74"/>
      <c r="FZ686" s="74"/>
      <c r="GA686" s="74"/>
      <c r="GB686" s="74"/>
      <c r="GC686" s="74"/>
      <c r="GD686" s="74"/>
      <c r="GE686" s="74"/>
      <c r="GF686" s="74"/>
      <c r="GG686" s="74"/>
      <c r="GH686" s="74"/>
      <c r="GI686" s="74"/>
      <c r="GJ686" s="74"/>
      <c r="GK686" s="74"/>
      <c r="GL686" s="74"/>
      <c r="GM686" s="74"/>
      <c r="GN686" s="74"/>
      <c r="GO686" s="74"/>
      <c r="GP686" s="74"/>
      <c r="GQ686" s="74"/>
      <c r="GR686" s="74"/>
      <c r="GS686" s="74"/>
      <c r="GT686" s="74"/>
      <c r="GU686" s="74"/>
      <c r="GV686" s="74"/>
      <c r="GW686" s="74"/>
      <c r="GX686" s="74"/>
      <c r="GY686" s="74"/>
      <c r="GZ686" s="74"/>
      <c r="HA686" s="74"/>
      <c r="HB686" s="74"/>
      <c r="HC686" s="74"/>
      <c r="HD686" s="74"/>
      <c r="HE686" s="74"/>
      <c r="HF686" s="74"/>
      <c r="HG686" s="74"/>
      <c r="HH686" s="74"/>
      <c r="HI686" s="74"/>
      <c r="HJ686" s="74"/>
      <c r="HK686" s="74"/>
      <c r="HL686" s="74"/>
      <c r="HM686" s="74"/>
      <c r="HN686" s="74"/>
      <c r="HO686" s="74"/>
      <c r="HP686" s="74"/>
    </row>
    <row r="687" spans="3:224" s="75" customFormat="1" ht="20.100000000000001" customHeight="1">
      <c r="C687" s="36">
        <v>15911002</v>
      </c>
      <c r="D687" s="71" t="s">
        <v>582</v>
      </c>
      <c r="E687" s="71">
        <v>11200003</v>
      </c>
      <c r="F687" s="71">
        <v>19021</v>
      </c>
      <c r="G687" s="71">
        <v>1</v>
      </c>
      <c r="H687" s="71">
        <v>60</v>
      </c>
      <c r="I687" s="72">
        <v>0.2</v>
      </c>
      <c r="J687" s="73">
        <v>40</v>
      </c>
      <c r="K687" s="25">
        <v>0</v>
      </c>
      <c r="L687" s="71">
        <v>15730</v>
      </c>
      <c r="M687" s="71">
        <v>0</v>
      </c>
      <c r="N687" s="71">
        <v>0</v>
      </c>
      <c r="O687" s="71">
        <v>0</v>
      </c>
      <c r="P687" s="71">
        <v>0</v>
      </c>
      <c r="Q687" s="71">
        <v>243</v>
      </c>
      <c r="R687" s="71">
        <v>486</v>
      </c>
      <c r="S687" s="71">
        <v>243</v>
      </c>
      <c r="T687" s="71">
        <v>486</v>
      </c>
      <c r="U687" s="72">
        <v>0</v>
      </c>
      <c r="V687" s="71">
        <v>0</v>
      </c>
      <c r="W687" s="71">
        <v>0</v>
      </c>
      <c r="X687" s="71">
        <v>0</v>
      </c>
      <c r="Y687" s="72">
        <v>0</v>
      </c>
      <c r="Z687" s="72">
        <v>0</v>
      </c>
      <c r="AA687" s="72">
        <v>0</v>
      </c>
      <c r="AB687" s="72">
        <v>201003</v>
      </c>
      <c r="AC687" s="72">
        <v>200</v>
      </c>
      <c r="AD687" s="72">
        <v>1</v>
      </c>
      <c r="AE687" s="72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74"/>
      <c r="BM687" s="74"/>
      <c r="BN687" s="74"/>
      <c r="BO687" s="74"/>
      <c r="BP687" s="74"/>
      <c r="BQ687" s="74"/>
      <c r="BR687" s="74"/>
      <c r="BS687" s="74"/>
      <c r="BT687" s="74"/>
      <c r="BU687" s="74"/>
      <c r="BV687" s="74"/>
      <c r="BW687" s="74"/>
      <c r="BX687" s="74"/>
      <c r="BY687" s="74"/>
      <c r="BZ687" s="74"/>
      <c r="CA687" s="74"/>
      <c r="CB687" s="74"/>
      <c r="CC687" s="74"/>
      <c r="CD687" s="74"/>
      <c r="CE687" s="74"/>
      <c r="CF687" s="74"/>
      <c r="CG687" s="74"/>
      <c r="CH687" s="74"/>
      <c r="CI687" s="74"/>
      <c r="CJ687" s="74"/>
      <c r="CK687" s="74"/>
      <c r="CL687" s="74"/>
      <c r="CM687" s="74"/>
      <c r="CN687" s="74"/>
      <c r="CO687" s="74"/>
      <c r="CP687" s="74"/>
      <c r="CQ687" s="74"/>
      <c r="CR687" s="74"/>
      <c r="CS687" s="74"/>
      <c r="CT687" s="74"/>
      <c r="CU687" s="74"/>
      <c r="CV687" s="74"/>
      <c r="CW687" s="74"/>
      <c r="CX687" s="74"/>
      <c r="CY687" s="74"/>
      <c r="CZ687" s="74"/>
      <c r="DA687" s="74"/>
      <c r="DB687" s="74"/>
      <c r="DC687" s="74"/>
      <c r="DD687" s="74"/>
      <c r="DE687" s="74"/>
      <c r="DF687" s="74"/>
      <c r="DG687" s="74"/>
      <c r="DH687" s="74"/>
      <c r="DI687" s="74"/>
      <c r="DJ687" s="74"/>
      <c r="DK687" s="74"/>
      <c r="DL687" s="74"/>
      <c r="DM687" s="74"/>
      <c r="DN687" s="74"/>
      <c r="DO687" s="74"/>
      <c r="DP687" s="74"/>
      <c r="DQ687" s="74"/>
      <c r="DR687" s="74"/>
      <c r="DS687" s="74"/>
      <c r="DT687" s="74"/>
      <c r="DU687" s="74"/>
      <c r="DV687" s="74"/>
      <c r="DW687" s="74"/>
      <c r="DX687" s="74"/>
      <c r="DY687" s="74"/>
      <c r="DZ687" s="74"/>
      <c r="EA687" s="74"/>
      <c r="EB687" s="74"/>
      <c r="EC687" s="74"/>
      <c r="ED687" s="74"/>
      <c r="EE687" s="74"/>
      <c r="EF687" s="74"/>
      <c r="EG687" s="74"/>
      <c r="EH687" s="74"/>
      <c r="EI687" s="74"/>
      <c r="EJ687" s="74"/>
      <c r="EK687" s="74"/>
      <c r="EL687" s="74"/>
      <c r="EM687" s="74"/>
      <c r="EN687" s="74"/>
      <c r="EO687" s="74"/>
      <c r="EP687" s="74"/>
      <c r="EQ687" s="74"/>
      <c r="ER687" s="74"/>
      <c r="ES687" s="74"/>
      <c r="ET687" s="74"/>
      <c r="EU687" s="74"/>
      <c r="EV687" s="74"/>
      <c r="EW687" s="74"/>
      <c r="EX687" s="74"/>
      <c r="EY687" s="74"/>
      <c r="EZ687" s="74"/>
      <c r="FA687" s="74"/>
      <c r="FB687" s="74"/>
      <c r="FC687" s="74"/>
      <c r="FD687" s="74"/>
      <c r="FE687" s="74"/>
      <c r="FF687" s="74"/>
      <c r="FG687" s="74"/>
      <c r="FH687" s="74"/>
      <c r="FI687" s="74"/>
      <c r="FJ687" s="74"/>
      <c r="FK687" s="74"/>
      <c r="FL687" s="74"/>
      <c r="FM687" s="74"/>
      <c r="FN687" s="74"/>
      <c r="FO687" s="74"/>
      <c r="FP687" s="74"/>
      <c r="FQ687" s="74"/>
      <c r="FR687" s="74"/>
      <c r="FS687" s="74"/>
      <c r="FT687" s="74"/>
      <c r="FU687" s="74"/>
      <c r="FV687" s="74"/>
      <c r="FW687" s="74"/>
      <c r="FX687" s="74"/>
      <c r="FY687" s="74"/>
      <c r="FZ687" s="74"/>
      <c r="GA687" s="74"/>
      <c r="GB687" s="74"/>
      <c r="GC687" s="74"/>
      <c r="GD687" s="74"/>
      <c r="GE687" s="74"/>
      <c r="GF687" s="74"/>
      <c r="GG687" s="74"/>
      <c r="GH687" s="74"/>
      <c r="GI687" s="74"/>
      <c r="GJ687" s="74"/>
      <c r="GK687" s="74"/>
      <c r="GL687" s="74"/>
      <c r="GM687" s="74"/>
      <c r="GN687" s="74"/>
      <c r="GO687" s="74"/>
      <c r="GP687" s="74"/>
      <c r="GQ687" s="74"/>
      <c r="GR687" s="74"/>
      <c r="GS687" s="74"/>
      <c r="GT687" s="74"/>
      <c r="GU687" s="74"/>
      <c r="GV687" s="74"/>
      <c r="GW687" s="74"/>
      <c r="GX687" s="74"/>
      <c r="GY687" s="74"/>
      <c r="GZ687" s="74"/>
      <c r="HA687" s="74"/>
      <c r="HB687" s="74"/>
      <c r="HC687" s="74"/>
      <c r="HD687" s="74"/>
      <c r="HE687" s="74"/>
      <c r="HF687" s="74"/>
      <c r="HG687" s="74"/>
      <c r="HH687" s="74"/>
      <c r="HI687" s="74"/>
      <c r="HJ687" s="74"/>
      <c r="HK687" s="74"/>
      <c r="HL687" s="74"/>
      <c r="HM687" s="74"/>
      <c r="HN687" s="74"/>
      <c r="HO687" s="74"/>
      <c r="HP687" s="74"/>
    </row>
    <row r="688" spans="3:224" s="75" customFormat="1" ht="20.100000000000001" customHeight="1">
      <c r="C688" s="36">
        <v>15911003</v>
      </c>
      <c r="D688" s="71" t="s">
        <v>584</v>
      </c>
      <c r="E688" s="71">
        <v>11200003</v>
      </c>
      <c r="F688" s="71">
        <v>19031</v>
      </c>
      <c r="G688" s="71">
        <v>1</v>
      </c>
      <c r="H688" s="71">
        <v>60</v>
      </c>
      <c r="I688" s="72">
        <v>0.2</v>
      </c>
      <c r="J688" s="73">
        <v>40</v>
      </c>
      <c r="K688" s="25">
        <v>0</v>
      </c>
      <c r="L688" s="71">
        <v>47240</v>
      </c>
      <c r="M688" s="71">
        <v>0</v>
      </c>
      <c r="N688" s="71">
        <v>0</v>
      </c>
      <c r="O688" s="71">
        <v>0</v>
      </c>
      <c r="P688" s="71">
        <v>0</v>
      </c>
      <c r="Q688" s="71">
        <v>425</v>
      </c>
      <c r="R688" s="71">
        <v>822</v>
      </c>
      <c r="S688" s="71">
        <v>425</v>
      </c>
      <c r="T688" s="71">
        <v>822</v>
      </c>
      <c r="U688" s="72">
        <v>0</v>
      </c>
      <c r="V688" s="71">
        <v>0</v>
      </c>
      <c r="W688" s="71">
        <v>0</v>
      </c>
      <c r="X688" s="71">
        <v>0</v>
      </c>
      <c r="Y688" s="72">
        <v>0</v>
      </c>
      <c r="Z688" s="72">
        <v>0</v>
      </c>
      <c r="AA688" s="72">
        <v>0</v>
      </c>
      <c r="AB688" s="72">
        <v>201003</v>
      </c>
      <c r="AC688" s="72">
        <v>200</v>
      </c>
      <c r="AD688" s="72">
        <v>1</v>
      </c>
      <c r="AE688" s="72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74"/>
      <c r="BM688" s="74"/>
      <c r="BN688" s="74"/>
      <c r="BO688" s="74"/>
      <c r="BP688" s="74"/>
      <c r="BQ688" s="74"/>
      <c r="BR688" s="74"/>
      <c r="BS688" s="74"/>
      <c r="BT688" s="74"/>
      <c r="BU688" s="74"/>
      <c r="BV688" s="74"/>
      <c r="BW688" s="74"/>
      <c r="BX688" s="74"/>
      <c r="BY688" s="74"/>
      <c r="BZ688" s="74"/>
      <c r="CA688" s="74"/>
      <c r="CB688" s="74"/>
      <c r="CC688" s="74"/>
      <c r="CD688" s="74"/>
      <c r="CE688" s="74"/>
      <c r="CF688" s="74"/>
      <c r="CG688" s="74"/>
      <c r="CH688" s="74"/>
      <c r="CI688" s="74"/>
      <c r="CJ688" s="74"/>
      <c r="CK688" s="74"/>
      <c r="CL688" s="74"/>
      <c r="CM688" s="74"/>
      <c r="CN688" s="74"/>
      <c r="CO688" s="74"/>
      <c r="CP688" s="74"/>
      <c r="CQ688" s="74"/>
      <c r="CR688" s="74"/>
      <c r="CS688" s="74"/>
      <c r="CT688" s="74"/>
      <c r="CU688" s="74"/>
      <c r="CV688" s="74"/>
      <c r="CW688" s="74"/>
      <c r="CX688" s="74"/>
      <c r="CY688" s="74"/>
      <c r="CZ688" s="74"/>
      <c r="DA688" s="74"/>
      <c r="DB688" s="74"/>
      <c r="DC688" s="74"/>
      <c r="DD688" s="74"/>
      <c r="DE688" s="74"/>
      <c r="DF688" s="74"/>
      <c r="DG688" s="74"/>
      <c r="DH688" s="74"/>
      <c r="DI688" s="74"/>
      <c r="DJ688" s="74"/>
      <c r="DK688" s="74"/>
      <c r="DL688" s="74"/>
      <c r="DM688" s="74"/>
      <c r="DN688" s="74"/>
      <c r="DO688" s="74"/>
      <c r="DP688" s="74"/>
      <c r="DQ688" s="74"/>
      <c r="DR688" s="74"/>
      <c r="DS688" s="74"/>
      <c r="DT688" s="74"/>
      <c r="DU688" s="74"/>
      <c r="DV688" s="74"/>
      <c r="DW688" s="74"/>
      <c r="DX688" s="74"/>
      <c r="DY688" s="74"/>
      <c r="DZ688" s="74"/>
      <c r="EA688" s="74"/>
      <c r="EB688" s="74"/>
      <c r="EC688" s="74"/>
      <c r="ED688" s="74"/>
      <c r="EE688" s="74"/>
      <c r="EF688" s="74"/>
      <c r="EG688" s="74"/>
      <c r="EH688" s="74"/>
      <c r="EI688" s="74"/>
      <c r="EJ688" s="74"/>
      <c r="EK688" s="74"/>
      <c r="EL688" s="74"/>
      <c r="EM688" s="74"/>
      <c r="EN688" s="74"/>
      <c r="EO688" s="74"/>
      <c r="EP688" s="74"/>
      <c r="EQ688" s="74"/>
      <c r="ER688" s="74"/>
      <c r="ES688" s="74"/>
      <c r="ET688" s="74"/>
      <c r="EU688" s="74"/>
      <c r="EV688" s="74"/>
      <c r="EW688" s="74"/>
      <c r="EX688" s="74"/>
      <c r="EY688" s="74"/>
      <c r="EZ688" s="74"/>
      <c r="FA688" s="74"/>
      <c r="FB688" s="74"/>
      <c r="FC688" s="74"/>
      <c r="FD688" s="74"/>
      <c r="FE688" s="74"/>
      <c r="FF688" s="74"/>
      <c r="FG688" s="74"/>
      <c r="FH688" s="74"/>
      <c r="FI688" s="74"/>
      <c r="FJ688" s="74"/>
      <c r="FK688" s="74"/>
      <c r="FL688" s="74"/>
      <c r="FM688" s="74"/>
      <c r="FN688" s="74"/>
      <c r="FO688" s="74"/>
      <c r="FP688" s="74"/>
      <c r="FQ688" s="74"/>
      <c r="FR688" s="74"/>
      <c r="FS688" s="74"/>
      <c r="FT688" s="74"/>
      <c r="FU688" s="74"/>
      <c r="FV688" s="74"/>
      <c r="FW688" s="74"/>
      <c r="FX688" s="74"/>
      <c r="FY688" s="74"/>
      <c r="FZ688" s="74"/>
      <c r="GA688" s="74"/>
      <c r="GB688" s="74"/>
      <c r="GC688" s="74"/>
      <c r="GD688" s="74"/>
      <c r="GE688" s="74"/>
      <c r="GF688" s="74"/>
      <c r="GG688" s="74"/>
      <c r="GH688" s="74"/>
      <c r="GI688" s="74"/>
      <c r="GJ688" s="74"/>
      <c r="GK688" s="74"/>
      <c r="GL688" s="74"/>
      <c r="GM688" s="74"/>
      <c r="GN688" s="74"/>
      <c r="GO688" s="74"/>
      <c r="GP688" s="74"/>
      <c r="GQ688" s="74"/>
      <c r="GR688" s="74"/>
      <c r="GS688" s="74"/>
      <c r="GT688" s="74"/>
      <c r="GU688" s="74"/>
      <c r="GV688" s="74"/>
      <c r="GW688" s="74"/>
      <c r="GX688" s="74"/>
      <c r="GY688" s="74"/>
      <c r="GZ688" s="74"/>
      <c r="HA688" s="74"/>
      <c r="HB688" s="74"/>
      <c r="HC688" s="74"/>
      <c r="HD688" s="74"/>
      <c r="HE688" s="74"/>
      <c r="HF688" s="74"/>
      <c r="HG688" s="74"/>
      <c r="HH688" s="74"/>
      <c r="HI688" s="74"/>
      <c r="HJ688" s="74"/>
      <c r="HK688" s="74"/>
      <c r="HL688" s="74"/>
      <c r="HM688" s="74"/>
      <c r="HN688" s="74"/>
      <c r="HO688" s="74"/>
      <c r="HP688" s="74"/>
    </row>
    <row r="689" spans="3:224" ht="20.100000000000001" customHeight="1">
      <c r="C689" s="48">
        <v>16000101</v>
      </c>
      <c r="D689" s="49" t="s">
        <v>588</v>
      </c>
      <c r="E689" s="25">
        <v>11200003</v>
      </c>
      <c r="F689" s="25">
        <v>30001</v>
      </c>
      <c r="G689" s="25">
        <v>1</v>
      </c>
      <c r="H689" s="25">
        <v>9</v>
      </c>
      <c r="I689" s="29">
        <v>0</v>
      </c>
      <c r="J689" s="30">
        <v>0</v>
      </c>
      <c r="K689" s="25">
        <v>0</v>
      </c>
      <c r="L689" s="25">
        <v>0</v>
      </c>
      <c r="M689" s="25">
        <v>0</v>
      </c>
      <c r="N689" s="25">
        <v>0</v>
      </c>
      <c r="O689" s="25">
        <v>0</v>
      </c>
      <c r="P689" s="25">
        <v>0</v>
      </c>
      <c r="Q689" s="25">
        <v>0</v>
      </c>
      <c r="R689" s="25">
        <v>0</v>
      </c>
      <c r="S689" s="25">
        <v>0</v>
      </c>
      <c r="T689" s="25">
        <v>0</v>
      </c>
      <c r="U689" s="29">
        <v>0</v>
      </c>
      <c r="V689" s="25">
        <v>0</v>
      </c>
      <c r="W689" s="25">
        <v>0</v>
      </c>
      <c r="X689" s="25">
        <v>0</v>
      </c>
      <c r="Y689" s="29">
        <v>0</v>
      </c>
      <c r="Z689" s="29">
        <v>0</v>
      </c>
      <c r="AA689" s="29">
        <v>0</v>
      </c>
      <c r="AB689" s="29">
        <v>105101</v>
      </c>
      <c r="AC689" s="29">
        <v>1</v>
      </c>
      <c r="AD689" s="29">
        <v>0</v>
      </c>
      <c r="AE689" s="29"/>
      <c r="GR689" s="5"/>
      <c r="GS689" s="5"/>
      <c r="GT689" s="5"/>
      <c r="GU689" s="5"/>
      <c r="GV689" s="5"/>
      <c r="GW689" s="5"/>
      <c r="GX689" s="5"/>
      <c r="GY689" s="5"/>
      <c r="GZ689" s="5"/>
      <c r="HA689" s="5"/>
      <c r="HB689" s="5"/>
      <c r="HC689" s="5"/>
      <c r="HD689" s="5"/>
      <c r="HE689" s="5"/>
      <c r="HF689" s="5"/>
      <c r="HG689" s="5"/>
      <c r="HH689" s="5"/>
      <c r="HI689" s="5"/>
      <c r="HJ689" s="5"/>
      <c r="HK689" s="5"/>
      <c r="HL689" s="5"/>
      <c r="HM689" s="5"/>
      <c r="HN689" s="5"/>
      <c r="HO689" s="5"/>
      <c r="HP689" s="5"/>
    </row>
    <row r="690" spans="3:224" ht="20.100000000000001" customHeight="1">
      <c r="C690" s="48">
        <v>16000102</v>
      </c>
      <c r="D690" s="49" t="s">
        <v>589</v>
      </c>
      <c r="E690" s="25">
        <v>11200003</v>
      </c>
      <c r="F690" s="25">
        <v>30001</v>
      </c>
      <c r="G690" s="25">
        <v>1</v>
      </c>
      <c r="H690" s="25">
        <v>9</v>
      </c>
      <c r="I690" s="29">
        <v>0</v>
      </c>
      <c r="J690" s="30">
        <v>0</v>
      </c>
      <c r="K690" s="25">
        <v>0</v>
      </c>
      <c r="L690" s="25">
        <v>0</v>
      </c>
      <c r="M690" s="25">
        <v>0</v>
      </c>
      <c r="N690" s="25">
        <v>0</v>
      </c>
      <c r="O690" s="25">
        <v>0</v>
      </c>
      <c r="P690" s="25">
        <v>0</v>
      </c>
      <c r="Q690" s="25">
        <v>0</v>
      </c>
      <c r="R690" s="25">
        <v>0</v>
      </c>
      <c r="S690" s="25">
        <v>0</v>
      </c>
      <c r="T690" s="25">
        <v>0</v>
      </c>
      <c r="U690" s="29">
        <v>0</v>
      </c>
      <c r="V690" s="25">
        <v>0</v>
      </c>
      <c r="W690" s="25">
        <v>0</v>
      </c>
      <c r="X690" s="25">
        <v>0</v>
      </c>
      <c r="Y690" s="29">
        <v>0</v>
      </c>
      <c r="Z690" s="29">
        <v>0</v>
      </c>
      <c r="AA690" s="29">
        <v>0</v>
      </c>
      <c r="AB690" s="29">
        <v>105501</v>
      </c>
      <c r="AC690" s="29">
        <v>1</v>
      </c>
      <c r="AD690" s="29">
        <v>0</v>
      </c>
      <c r="AE690" s="29"/>
      <c r="GR690" s="5"/>
      <c r="GS690" s="5"/>
      <c r="GT690" s="5"/>
      <c r="GU690" s="5"/>
      <c r="GV690" s="5"/>
      <c r="GW690" s="5"/>
      <c r="GX690" s="5"/>
      <c r="GY690" s="5"/>
      <c r="GZ690" s="5"/>
      <c r="HA690" s="5"/>
      <c r="HB690" s="5"/>
      <c r="HC690" s="5"/>
      <c r="HD690" s="5"/>
      <c r="HE690" s="5"/>
      <c r="HF690" s="5"/>
      <c r="HG690" s="5"/>
      <c r="HH690" s="5"/>
      <c r="HI690" s="5"/>
      <c r="HJ690" s="5"/>
      <c r="HK690" s="5"/>
      <c r="HL690" s="5"/>
      <c r="HM690" s="5"/>
      <c r="HN690" s="5"/>
      <c r="HO690" s="5"/>
      <c r="HP690" s="5"/>
    </row>
    <row r="691" spans="3:224" ht="20.100000000000001" customHeight="1">
      <c r="C691" s="48">
        <v>16000103</v>
      </c>
      <c r="D691" s="49" t="s">
        <v>590</v>
      </c>
      <c r="E691" s="25">
        <v>11200003</v>
      </c>
      <c r="F691" s="25">
        <v>30001</v>
      </c>
      <c r="G691" s="25">
        <v>1</v>
      </c>
      <c r="H691" s="25">
        <v>9</v>
      </c>
      <c r="I691" s="29">
        <v>0</v>
      </c>
      <c r="J691" s="30">
        <v>0</v>
      </c>
      <c r="K691" s="25">
        <v>0</v>
      </c>
      <c r="L691" s="25">
        <v>0</v>
      </c>
      <c r="M691" s="25">
        <v>0</v>
      </c>
      <c r="N691" s="25">
        <v>0</v>
      </c>
      <c r="O691" s="25">
        <v>0</v>
      </c>
      <c r="P691" s="25">
        <v>0</v>
      </c>
      <c r="Q691" s="25">
        <v>0</v>
      </c>
      <c r="R691" s="25">
        <v>0</v>
      </c>
      <c r="S691" s="25">
        <v>0</v>
      </c>
      <c r="T691" s="25">
        <v>0</v>
      </c>
      <c r="U691" s="29">
        <v>0</v>
      </c>
      <c r="V691" s="25">
        <v>0</v>
      </c>
      <c r="W691" s="25">
        <v>0</v>
      </c>
      <c r="X691" s="25">
        <v>0</v>
      </c>
      <c r="Y691" s="29">
        <v>0</v>
      </c>
      <c r="Z691" s="29">
        <v>0</v>
      </c>
      <c r="AA691" s="29">
        <v>0</v>
      </c>
      <c r="AB691" s="29">
        <v>105301</v>
      </c>
      <c r="AC691" s="29">
        <v>1</v>
      </c>
      <c r="AD691" s="29">
        <v>0</v>
      </c>
      <c r="AE691" s="29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  <c r="HN691" s="5"/>
      <c r="HO691" s="5"/>
      <c r="HP691" s="5"/>
    </row>
    <row r="692" spans="3:224" ht="20.100000000000001" customHeight="1">
      <c r="C692" s="48">
        <v>16000104</v>
      </c>
      <c r="D692" s="49" t="s">
        <v>591</v>
      </c>
      <c r="E692" s="25">
        <v>11200003</v>
      </c>
      <c r="F692" s="25">
        <v>30001</v>
      </c>
      <c r="G692" s="25">
        <v>1</v>
      </c>
      <c r="H692" s="25">
        <v>9</v>
      </c>
      <c r="I692" s="29">
        <v>0</v>
      </c>
      <c r="J692" s="30">
        <v>0</v>
      </c>
      <c r="K692" s="25">
        <v>0</v>
      </c>
      <c r="L692" s="25">
        <v>0</v>
      </c>
      <c r="M692" s="25">
        <v>0</v>
      </c>
      <c r="N692" s="25">
        <v>0</v>
      </c>
      <c r="O692" s="25">
        <v>0</v>
      </c>
      <c r="P692" s="25">
        <v>0</v>
      </c>
      <c r="Q692" s="25">
        <v>0</v>
      </c>
      <c r="R692" s="25">
        <v>0</v>
      </c>
      <c r="S692" s="25">
        <v>0</v>
      </c>
      <c r="T692" s="25">
        <v>0</v>
      </c>
      <c r="U692" s="29">
        <v>0</v>
      </c>
      <c r="V692" s="25">
        <v>0</v>
      </c>
      <c r="W692" s="25">
        <v>0</v>
      </c>
      <c r="X692" s="25">
        <v>0</v>
      </c>
      <c r="Y692" s="29">
        <v>0</v>
      </c>
      <c r="Z692" s="29">
        <v>0</v>
      </c>
      <c r="AA692" s="29">
        <v>0</v>
      </c>
      <c r="AB692" s="29">
        <v>105201</v>
      </c>
      <c r="AC692" s="29">
        <v>1</v>
      </c>
      <c r="AD692" s="29">
        <v>0</v>
      </c>
      <c r="AE692" s="29"/>
      <c r="GR692" s="5"/>
      <c r="GS692" s="5"/>
      <c r="GT692" s="5"/>
      <c r="GU692" s="5"/>
      <c r="GV692" s="5"/>
      <c r="GW692" s="5"/>
      <c r="GX692" s="5"/>
      <c r="GY692" s="5"/>
      <c r="GZ692" s="5"/>
      <c r="HA692" s="5"/>
      <c r="HB692" s="5"/>
      <c r="HC692" s="5"/>
      <c r="HD692" s="5"/>
      <c r="HE692" s="5"/>
      <c r="HF692" s="5"/>
      <c r="HG692" s="5"/>
      <c r="HH692" s="5"/>
      <c r="HI692" s="5"/>
      <c r="HJ692" s="5"/>
      <c r="HK692" s="5"/>
      <c r="HL692" s="5"/>
      <c r="HM692" s="5"/>
      <c r="HN692" s="5"/>
      <c r="HO692" s="5"/>
      <c r="HP692" s="5"/>
    </row>
    <row r="693" spans="3:224" ht="20.100000000000001" customHeight="1">
      <c r="C693" s="48">
        <v>16000105</v>
      </c>
      <c r="D693" s="49" t="s">
        <v>592</v>
      </c>
      <c r="E693" s="25">
        <v>11200003</v>
      </c>
      <c r="F693" s="25">
        <v>30002</v>
      </c>
      <c r="G693" s="25">
        <v>1</v>
      </c>
      <c r="H693" s="25">
        <v>9</v>
      </c>
      <c r="I693" s="29">
        <v>0</v>
      </c>
      <c r="J693" s="30">
        <v>0</v>
      </c>
      <c r="K693" s="25">
        <v>0</v>
      </c>
      <c r="L693" s="25">
        <v>0</v>
      </c>
      <c r="M693" s="25">
        <v>0</v>
      </c>
      <c r="N693" s="25">
        <v>0</v>
      </c>
      <c r="O693" s="25">
        <v>0</v>
      </c>
      <c r="P693" s="25">
        <v>0</v>
      </c>
      <c r="Q693" s="25">
        <v>0</v>
      </c>
      <c r="R693" s="25">
        <v>0</v>
      </c>
      <c r="S693" s="25">
        <v>0</v>
      </c>
      <c r="T693" s="25">
        <v>0</v>
      </c>
      <c r="U693" s="29">
        <v>0</v>
      </c>
      <c r="V693" s="25">
        <v>0</v>
      </c>
      <c r="W693" s="25">
        <v>0</v>
      </c>
      <c r="X693" s="25">
        <v>0</v>
      </c>
      <c r="Y693" s="29">
        <v>0</v>
      </c>
      <c r="Z693" s="29">
        <v>0</v>
      </c>
      <c r="AA693" s="29">
        <v>0</v>
      </c>
      <c r="AB693" s="29" t="s">
        <v>593</v>
      </c>
      <c r="AC693" s="29" t="s">
        <v>594</v>
      </c>
      <c r="AD693" s="29" t="s">
        <v>252</v>
      </c>
      <c r="AE693" s="29"/>
      <c r="GR693" s="5"/>
      <c r="GS693" s="5"/>
      <c r="GT693" s="5"/>
      <c r="GU693" s="5"/>
      <c r="GV693" s="5"/>
      <c r="GW693" s="5"/>
      <c r="GX693" s="5"/>
      <c r="GY693" s="5"/>
      <c r="GZ693" s="5"/>
      <c r="HA693" s="5"/>
      <c r="HB693" s="5"/>
      <c r="HC693" s="5"/>
      <c r="HD693" s="5"/>
      <c r="HE693" s="5"/>
      <c r="HF693" s="5"/>
      <c r="HG693" s="5"/>
      <c r="HH693" s="5"/>
      <c r="HI693" s="5"/>
      <c r="HJ693" s="5"/>
      <c r="HK693" s="5"/>
      <c r="HL693" s="5"/>
      <c r="HM693" s="5"/>
      <c r="HN693" s="5"/>
      <c r="HO693" s="5"/>
      <c r="HP693" s="5"/>
    </row>
    <row r="694" spans="3:224" ht="20.100000000000001" customHeight="1">
      <c r="C694" s="48">
        <v>16000106</v>
      </c>
      <c r="D694" s="49" t="s">
        <v>595</v>
      </c>
      <c r="E694" s="25">
        <v>11200003</v>
      </c>
      <c r="F694" s="25">
        <v>30002</v>
      </c>
      <c r="G694" s="25">
        <v>1</v>
      </c>
      <c r="H694" s="25">
        <v>9</v>
      </c>
      <c r="I694" s="29">
        <v>0</v>
      </c>
      <c r="J694" s="30">
        <v>0</v>
      </c>
      <c r="K694" s="25">
        <v>0</v>
      </c>
      <c r="L694" s="25">
        <v>0</v>
      </c>
      <c r="M694" s="25">
        <v>0</v>
      </c>
      <c r="N694" s="25">
        <v>0</v>
      </c>
      <c r="O694" s="25">
        <v>0</v>
      </c>
      <c r="P694" s="25">
        <v>0</v>
      </c>
      <c r="Q694" s="25">
        <v>0</v>
      </c>
      <c r="R694" s="25">
        <v>0</v>
      </c>
      <c r="S694" s="25">
        <v>0</v>
      </c>
      <c r="T694" s="25">
        <v>0</v>
      </c>
      <c r="U694" s="29">
        <v>0</v>
      </c>
      <c r="V694" s="25">
        <v>0</v>
      </c>
      <c r="W694" s="25">
        <v>0</v>
      </c>
      <c r="X694" s="25">
        <v>0</v>
      </c>
      <c r="Y694" s="29">
        <v>0</v>
      </c>
      <c r="Z694" s="29">
        <v>0</v>
      </c>
      <c r="AA694" s="29">
        <v>0</v>
      </c>
      <c r="AB694" s="29" t="s">
        <v>596</v>
      </c>
      <c r="AC694" s="29" t="s">
        <v>594</v>
      </c>
      <c r="AD694" s="29" t="s">
        <v>252</v>
      </c>
      <c r="AE694" s="29"/>
      <c r="GR694" s="5"/>
      <c r="GS694" s="5"/>
      <c r="GT694" s="5"/>
      <c r="GU694" s="5"/>
      <c r="GV694" s="5"/>
      <c r="GW694" s="5"/>
      <c r="GX694" s="5"/>
      <c r="GY694" s="5"/>
      <c r="GZ694" s="5"/>
      <c r="HA694" s="5"/>
      <c r="HB694" s="5"/>
      <c r="HC694" s="5"/>
      <c r="HD694" s="5"/>
      <c r="HE694" s="5"/>
      <c r="HF694" s="5"/>
      <c r="HG694" s="5"/>
      <c r="HH694" s="5"/>
      <c r="HI694" s="5"/>
      <c r="HJ694" s="5"/>
      <c r="HK694" s="5"/>
      <c r="HL694" s="5"/>
      <c r="HM694" s="5"/>
      <c r="HN694" s="5"/>
      <c r="HO694" s="5"/>
      <c r="HP694" s="5"/>
    </row>
    <row r="695" spans="3:224" ht="20.100000000000001" customHeight="1">
      <c r="C695" s="48">
        <v>16000107</v>
      </c>
      <c r="D695" s="49" t="s">
        <v>597</v>
      </c>
      <c r="E695" s="25">
        <v>11200003</v>
      </c>
      <c r="F695" s="25">
        <v>30002</v>
      </c>
      <c r="G695" s="25">
        <v>1</v>
      </c>
      <c r="H695" s="25">
        <v>9</v>
      </c>
      <c r="I695" s="29">
        <v>0</v>
      </c>
      <c r="J695" s="30">
        <v>0</v>
      </c>
      <c r="K695" s="25">
        <v>0</v>
      </c>
      <c r="L695" s="25">
        <v>0</v>
      </c>
      <c r="M695" s="25">
        <v>0</v>
      </c>
      <c r="N695" s="25">
        <v>0</v>
      </c>
      <c r="O695" s="25">
        <v>0</v>
      </c>
      <c r="P695" s="25">
        <v>0</v>
      </c>
      <c r="Q695" s="25">
        <v>0</v>
      </c>
      <c r="R695" s="25">
        <v>0</v>
      </c>
      <c r="S695" s="25">
        <v>0</v>
      </c>
      <c r="T695" s="25">
        <v>0</v>
      </c>
      <c r="U695" s="29">
        <v>0</v>
      </c>
      <c r="V695" s="25">
        <v>0</v>
      </c>
      <c r="W695" s="25">
        <v>0</v>
      </c>
      <c r="X695" s="25">
        <v>0</v>
      </c>
      <c r="Y695" s="29">
        <v>0</v>
      </c>
      <c r="Z695" s="29">
        <v>0</v>
      </c>
      <c r="AA695" s="29">
        <v>0</v>
      </c>
      <c r="AB695" s="29" t="s">
        <v>598</v>
      </c>
      <c r="AC695" s="29" t="s">
        <v>594</v>
      </c>
      <c r="AD695" s="29" t="s">
        <v>252</v>
      </c>
      <c r="AE695" s="29"/>
      <c r="GR695" s="5"/>
      <c r="GS695" s="5"/>
      <c r="GT695" s="5"/>
      <c r="GU695" s="5"/>
      <c r="GV695" s="5"/>
      <c r="GW695" s="5"/>
      <c r="GX695" s="5"/>
      <c r="GY695" s="5"/>
      <c r="GZ695" s="5"/>
      <c r="HA695" s="5"/>
      <c r="HB695" s="5"/>
      <c r="HC695" s="5"/>
      <c r="HD695" s="5"/>
      <c r="HE695" s="5"/>
      <c r="HF695" s="5"/>
      <c r="HG695" s="5"/>
      <c r="HH695" s="5"/>
      <c r="HI695" s="5"/>
      <c r="HJ695" s="5"/>
      <c r="HK695" s="5"/>
      <c r="HL695" s="5"/>
      <c r="HM695" s="5"/>
      <c r="HN695" s="5"/>
      <c r="HO695" s="5"/>
      <c r="HP695" s="5"/>
    </row>
    <row r="696" spans="3:224" ht="20.100000000000001" customHeight="1">
      <c r="C696" s="48">
        <v>16000108</v>
      </c>
      <c r="D696" s="49" t="s">
        <v>599</v>
      </c>
      <c r="E696" s="25">
        <v>11200003</v>
      </c>
      <c r="F696" s="25">
        <v>30002</v>
      </c>
      <c r="G696" s="25">
        <v>1</v>
      </c>
      <c r="H696" s="25">
        <v>9</v>
      </c>
      <c r="I696" s="29">
        <v>0</v>
      </c>
      <c r="J696" s="30">
        <v>0</v>
      </c>
      <c r="K696" s="25">
        <v>0</v>
      </c>
      <c r="L696" s="25">
        <v>0</v>
      </c>
      <c r="M696" s="25">
        <v>0</v>
      </c>
      <c r="N696" s="25">
        <v>0</v>
      </c>
      <c r="O696" s="25">
        <v>0</v>
      </c>
      <c r="P696" s="25">
        <v>0</v>
      </c>
      <c r="Q696" s="25">
        <v>0</v>
      </c>
      <c r="R696" s="25">
        <v>0</v>
      </c>
      <c r="S696" s="25">
        <v>0</v>
      </c>
      <c r="T696" s="25">
        <v>0</v>
      </c>
      <c r="U696" s="29">
        <v>0</v>
      </c>
      <c r="V696" s="25">
        <v>0</v>
      </c>
      <c r="W696" s="25">
        <v>0</v>
      </c>
      <c r="X696" s="25">
        <v>0</v>
      </c>
      <c r="Y696" s="29">
        <v>0</v>
      </c>
      <c r="Z696" s="29">
        <v>0</v>
      </c>
      <c r="AA696" s="29">
        <v>0</v>
      </c>
      <c r="AB696" s="29" t="s">
        <v>600</v>
      </c>
      <c r="AC696" s="29" t="s">
        <v>594</v>
      </c>
      <c r="AD696" s="29" t="s">
        <v>252</v>
      </c>
      <c r="AE696" s="29"/>
      <c r="GR696" s="5"/>
      <c r="GS696" s="5"/>
      <c r="GT696" s="5"/>
      <c r="GU696" s="5"/>
      <c r="GV696" s="5"/>
      <c r="GW696" s="5"/>
      <c r="GX696" s="5"/>
      <c r="GY696" s="5"/>
      <c r="GZ696" s="5"/>
      <c r="HA696" s="5"/>
      <c r="HB696" s="5"/>
      <c r="HC696" s="5"/>
      <c r="HD696" s="5"/>
      <c r="HE696" s="5"/>
      <c r="HF696" s="5"/>
      <c r="HG696" s="5"/>
      <c r="HH696" s="5"/>
      <c r="HI696" s="5"/>
      <c r="HJ696" s="5"/>
      <c r="HK696" s="5"/>
      <c r="HL696" s="5"/>
      <c r="HM696" s="5"/>
      <c r="HN696" s="5"/>
      <c r="HO696" s="5"/>
      <c r="HP696" s="5"/>
    </row>
    <row r="697" spans="3:224" ht="20.100000000000001" customHeight="1">
      <c r="C697" s="48">
        <v>16000109</v>
      </c>
      <c r="D697" s="49" t="s">
        <v>601</v>
      </c>
      <c r="E697" s="25">
        <v>11200003</v>
      </c>
      <c r="F697" s="25">
        <v>30003</v>
      </c>
      <c r="G697" s="25">
        <v>1</v>
      </c>
      <c r="H697" s="25">
        <v>9</v>
      </c>
      <c r="I697" s="29">
        <v>0</v>
      </c>
      <c r="J697" s="30">
        <v>0</v>
      </c>
      <c r="K697" s="25">
        <v>0</v>
      </c>
      <c r="L697" s="25">
        <v>0</v>
      </c>
      <c r="M697" s="25">
        <v>0</v>
      </c>
      <c r="N697" s="25">
        <v>0</v>
      </c>
      <c r="O697" s="25">
        <v>0</v>
      </c>
      <c r="P697" s="25">
        <v>0</v>
      </c>
      <c r="Q697" s="25">
        <v>0</v>
      </c>
      <c r="R697" s="25">
        <v>0</v>
      </c>
      <c r="S697" s="25">
        <v>0</v>
      </c>
      <c r="T697" s="25">
        <v>0</v>
      </c>
      <c r="U697" s="29">
        <v>0</v>
      </c>
      <c r="V697" s="25">
        <v>0</v>
      </c>
      <c r="W697" s="25">
        <v>0</v>
      </c>
      <c r="X697" s="25">
        <v>0</v>
      </c>
      <c r="Y697" s="29">
        <v>0</v>
      </c>
      <c r="Z697" s="29">
        <v>0</v>
      </c>
      <c r="AA697" s="29">
        <v>0</v>
      </c>
      <c r="AB697" s="29">
        <v>105401</v>
      </c>
      <c r="AC697" s="29">
        <v>1</v>
      </c>
      <c r="AD697" s="29">
        <v>0</v>
      </c>
      <c r="AE697" s="29"/>
      <c r="GR697" s="5"/>
      <c r="GS697" s="5"/>
      <c r="GT697" s="5"/>
      <c r="GU697" s="5"/>
      <c r="GV697" s="5"/>
      <c r="GW697" s="5"/>
      <c r="GX697" s="5"/>
      <c r="GY697" s="5"/>
      <c r="GZ697" s="5"/>
      <c r="HA697" s="5"/>
      <c r="HB697" s="5"/>
      <c r="HC697" s="5"/>
      <c r="HD697" s="5"/>
      <c r="HE697" s="5"/>
      <c r="HF697" s="5"/>
      <c r="HG697" s="5"/>
      <c r="HH697" s="5"/>
      <c r="HI697" s="5"/>
      <c r="HJ697" s="5"/>
      <c r="HK697" s="5"/>
      <c r="HL697" s="5"/>
      <c r="HM697" s="5"/>
      <c r="HN697" s="5"/>
      <c r="HO697" s="5"/>
      <c r="HP697" s="5"/>
    </row>
    <row r="698" spans="3:224" ht="20.100000000000001" customHeight="1">
      <c r="C698" s="48">
        <v>16000110</v>
      </c>
      <c r="D698" s="49" t="s">
        <v>602</v>
      </c>
      <c r="E698" s="25">
        <v>11200003</v>
      </c>
      <c r="F698" s="25">
        <v>30003</v>
      </c>
      <c r="G698" s="25">
        <v>1</v>
      </c>
      <c r="H698" s="25">
        <v>9</v>
      </c>
      <c r="I698" s="29">
        <v>0</v>
      </c>
      <c r="J698" s="30">
        <v>0</v>
      </c>
      <c r="K698" s="25">
        <v>0</v>
      </c>
      <c r="L698" s="25">
        <v>0</v>
      </c>
      <c r="M698" s="25">
        <v>0</v>
      </c>
      <c r="N698" s="25">
        <v>0</v>
      </c>
      <c r="O698" s="25">
        <v>0</v>
      </c>
      <c r="P698" s="25">
        <v>0</v>
      </c>
      <c r="Q698" s="25">
        <v>0</v>
      </c>
      <c r="R698" s="25">
        <v>0</v>
      </c>
      <c r="S698" s="25">
        <v>0</v>
      </c>
      <c r="T698" s="25">
        <v>0</v>
      </c>
      <c r="U698" s="29">
        <v>0</v>
      </c>
      <c r="V698" s="25">
        <v>0</v>
      </c>
      <c r="W698" s="25">
        <v>0</v>
      </c>
      <c r="X698" s="25">
        <v>0</v>
      </c>
      <c r="Y698" s="29">
        <v>0</v>
      </c>
      <c r="Z698" s="29">
        <v>0</v>
      </c>
      <c r="AA698" s="29">
        <v>0</v>
      </c>
      <c r="AB698" s="29" t="s">
        <v>603</v>
      </c>
      <c r="AC698" s="29" t="s">
        <v>594</v>
      </c>
      <c r="AD698" s="29" t="s">
        <v>252</v>
      </c>
      <c r="AE698" s="29"/>
      <c r="GR698" s="5"/>
      <c r="GS698" s="5"/>
      <c r="GT698" s="5"/>
      <c r="GU698" s="5"/>
      <c r="GV698" s="5"/>
      <c r="GW698" s="5"/>
      <c r="GX698" s="5"/>
      <c r="GY698" s="5"/>
      <c r="GZ698" s="5"/>
      <c r="HA698" s="5"/>
      <c r="HB698" s="5"/>
      <c r="HC698" s="5"/>
      <c r="HD698" s="5"/>
      <c r="HE698" s="5"/>
      <c r="HF698" s="5"/>
      <c r="HG698" s="5"/>
      <c r="HH698" s="5"/>
      <c r="HI698" s="5"/>
      <c r="HJ698" s="5"/>
      <c r="HK698" s="5"/>
      <c r="HL698" s="5"/>
      <c r="HM698" s="5"/>
      <c r="HN698" s="5"/>
      <c r="HO698" s="5"/>
      <c r="HP698" s="5"/>
    </row>
    <row r="699" spans="3:224" ht="20.100000000000001" customHeight="1">
      <c r="C699" s="48">
        <v>16000111</v>
      </c>
      <c r="D699" s="49" t="s">
        <v>604</v>
      </c>
      <c r="E699" s="25">
        <v>11200003</v>
      </c>
      <c r="F699" s="25">
        <v>30003</v>
      </c>
      <c r="G699" s="25">
        <v>1</v>
      </c>
      <c r="H699" s="25">
        <v>9</v>
      </c>
      <c r="I699" s="29">
        <v>0</v>
      </c>
      <c r="J699" s="30">
        <v>0</v>
      </c>
      <c r="K699" s="25">
        <v>0</v>
      </c>
      <c r="L699" s="25">
        <v>0</v>
      </c>
      <c r="M699" s="25">
        <v>0</v>
      </c>
      <c r="N699" s="25">
        <v>0</v>
      </c>
      <c r="O699" s="25">
        <v>0</v>
      </c>
      <c r="P699" s="25">
        <v>0</v>
      </c>
      <c r="Q699" s="25">
        <v>0</v>
      </c>
      <c r="R699" s="25">
        <v>0</v>
      </c>
      <c r="S699" s="25">
        <v>0</v>
      </c>
      <c r="T699" s="25">
        <v>0</v>
      </c>
      <c r="U699" s="29">
        <v>0</v>
      </c>
      <c r="V699" s="25">
        <v>0</v>
      </c>
      <c r="W699" s="25">
        <v>0</v>
      </c>
      <c r="X699" s="25">
        <v>0</v>
      </c>
      <c r="Y699" s="29">
        <v>0</v>
      </c>
      <c r="Z699" s="29">
        <v>0</v>
      </c>
      <c r="AA699" s="29">
        <v>0</v>
      </c>
      <c r="AB699" s="29" t="s">
        <v>605</v>
      </c>
      <c r="AC699" s="29" t="s">
        <v>594</v>
      </c>
      <c r="AD699" s="29" t="s">
        <v>252</v>
      </c>
      <c r="AE699" s="29"/>
      <c r="GR699" s="5"/>
      <c r="GS699" s="5"/>
      <c r="GT699" s="5"/>
      <c r="GU699" s="5"/>
      <c r="GV699" s="5"/>
      <c r="GW699" s="5"/>
      <c r="GX699" s="5"/>
      <c r="GY699" s="5"/>
      <c r="GZ699" s="5"/>
      <c r="HA699" s="5"/>
      <c r="HB699" s="5"/>
      <c r="HC699" s="5"/>
      <c r="HD699" s="5"/>
      <c r="HE699" s="5"/>
      <c r="HF699" s="5"/>
      <c r="HG699" s="5"/>
      <c r="HH699" s="5"/>
      <c r="HI699" s="5"/>
      <c r="HJ699" s="5"/>
      <c r="HK699" s="5"/>
      <c r="HL699" s="5"/>
      <c r="HM699" s="5"/>
      <c r="HN699" s="5"/>
      <c r="HO699" s="5"/>
      <c r="HP699" s="5"/>
    </row>
    <row r="700" spans="3:224" ht="20.100000000000001" customHeight="1">
      <c r="C700" s="48">
        <v>16000112</v>
      </c>
      <c r="D700" s="49" t="s">
        <v>606</v>
      </c>
      <c r="E700" s="25">
        <v>11200003</v>
      </c>
      <c r="F700" s="25">
        <v>30003</v>
      </c>
      <c r="G700" s="25">
        <v>1</v>
      </c>
      <c r="H700" s="25">
        <v>9</v>
      </c>
      <c r="I700" s="29">
        <v>0</v>
      </c>
      <c r="J700" s="30">
        <v>0</v>
      </c>
      <c r="K700" s="25">
        <v>0</v>
      </c>
      <c r="L700" s="25">
        <v>0</v>
      </c>
      <c r="M700" s="25">
        <v>0</v>
      </c>
      <c r="N700" s="25">
        <v>0</v>
      </c>
      <c r="O700" s="25">
        <v>0</v>
      </c>
      <c r="P700" s="25">
        <v>0</v>
      </c>
      <c r="Q700" s="25">
        <v>0</v>
      </c>
      <c r="R700" s="25">
        <v>0</v>
      </c>
      <c r="S700" s="25">
        <v>0</v>
      </c>
      <c r="T700" s="25">
        <v>0</v>
      </c>
      <c r="U700" s="29">
        <v>0</v>
      </c>
      <c r="V700" s="25">
        <v>0</v>
      </c>
      <c r="W700" s="25">
        <v>0</v>
      </c>
      <c r="X700" s="25">
        <v>0</v>
      </c>
      <c r="Y700" s="29">
        <v>0</v>
      </c>
      <c r="Z700" s="29">
        <v>0</v>
      </c>
      <c r="AA700" s="29">
        <v>0</v>
      </c>
      <c r="AB700" s="29" t="s">
        <v>607</v>
      </c>
      <c r="AC700" s="29" t="s">
        <v>594</v>
      </c>
      <c r="AD700" s="29" t="s">
        <v>252</v>
      </c>
      <c r="AE700" s="29"/>
      <c r="GR700" s="5"/>
      <c r="GS700" s="5"/>
      <c r="GT700" s="5"/>
      <c r="GU700" s="5"/>
      <c r="GV700" s="5"/>
      <c r="GW700" s="5"/>
      <c r="GX700" s="5"/>
      <c r="GY700" s="5"/>
      <c r="GZ700" s="5"/>
      <c r="HA700" s="5"/>
      <c r="HB700" s="5"/>
      <c r="HC700" s="5"/>
      <c r="HD700" s="5"/>
      <c r="HE700" s="5"/>
      <c r="HF700" s="5"/>
      <c r="HG700" s="5"/>
      <c r="HH700" s="5"/>
      <c r="HI700" s="5"/>
      <c r="HJ700" s="5"/>
      <c r="HK700" s="5"/>
      <c r="HL700" s="5"/>
      <c r="HM700" s="5"/>
      <c r="HN700" s="5"/>
      <c r="HO700" s="5"/>
      <c r="HP700" s="5"/>
    </row>
    <row r="701" spans="3:224" ht="20.100000000000001" customHeight="1">
      <c r="C701" s="48">
        <v>16000201</v>
      </c>
      <c r="D701" s="49" t="s">
        <v>608</v>
      </c>
      <c r="E701" s="25">
        <v>11200003</v>
      </c>
      <c r="F701" s="25">
        <v>30011</v>
      </c>
      <c r="G701" s="25">
        <v>1</v>
      </c>
      <c r="H701" s="25">
        <v>10</v>
      </c>
      <c r="I701" s="29">
        <v>0</v>
      </c>
      <c r="J701" s="30">
        <v>0</v>
      </c>
      <c r="K701" s="25">
        <v>0</v>
      </c>
      <c r="L701" s="25">
        <v>0</v>
      </c>
      <c r="M701" s="25">
        <v>0</v>
      </c>
      <c r="N701" s="25">
        <v>0</v>
      </c>
      <c r="O701" s="25">
        <v>0</v>
      </c>
      <c r="P701" s="25">
        <v>0</v>
      </c>
      <c r="Q701" s="25">
        <v>0</v>
      </c>
      <c r="R701" s="25">
        <v>0</v>
      </c>
      <c r="S701" s="25">
        <v>0</v>
      </c>
      <c r="T701" s="25">
        <v>0</v>
      </c>
      <c r="U701" s="29">
        <v>0</v>
      </c>
      <c r="V701" s="25">
        <v>0</v>
      </c>
      <c r="W701" s="25">
        <v>0</v>
      </c>
      <c r="X701" s="25">
        <v>0</v>
      </c>
      <c r="Y701" s="29">
        <v>0</v>
      </c>
      <c r="Z701" s="29">
        <v>0</v>
      </c>
      <c r="AA701" s="29">
        <v>0</v>
      </c>
      <c r="AB701" s="29">
        <v>105101</v>
      </c>
      <c r="AC701" s="29">
        <v>5</v>
      </c>
      <c r="AD701" s="29">
        <v>0</v>
      </c>
      <c r="AE701" s="29"/>
      <c r="GR701" s="5"/>
      <c r="GS701" s="5"/>
      <c r="GT701" s="5"/>
      <c r="GU701" s="5"/>
      <c r="GV701" s="5"/>
      <c r="GW701" s="5"/>
      <c r="GX701" s="5"/>
      <c r="GY701" s="5"/>
      <c r="GZ701" s="5"/>
      <c r="HA701" s="5"/>
      <c r="HB701" s="5"/>
      <c r="HC701" s="5"/>
      <c r="HD701" s="5"/>
      <c r="HE701" s="5"/>
      <c r="HF701" s="5"/>
      <c r="HG701" s="5"/>
      <c r="HH701" s="5"/>
      <c r="HI701" s="5"/>
      <c r="HJ701" s="5"/>
      <c r="HK701" s="5"/>
      <c r="HL701" s="5"/>
      <c r="HM701" s="5"/>
      <c r="HN701" s="5"/>
      <c r="HO701" s="5"/>
      <c r="HP701" s="5"/>
    </row>
    <row r="702" spans="3:224" ht="20.100000000000001" customHeight="1">
      <c r="C702" s="48">
        <v>16000202</v>
      </c>
      <c r="D702" s="49" t="s">
        <v>609</v>
      </c>
      <c r="E702" s="25">
        <v>11200003</v>
      </c>
      <c r="F702" s="25">
        <v>30011</v>
      </c>
      <c r="G702" s="25">
        <v>1</v>
      </c>
      <c r="H702" s="25">
        <v>10</v>
      </c>
      <c r="I702" s="29">
        <v>0</v>
      </c>
      <c r="J702" s="30">
        <v>0</v>
      </c>
      <c r="K702" s="25">
        <v>0</v>
      </c>
      <c r="L702" s="25">
        <v>0</v>
      </c>
      <c r="M702" s="25">
        <v>0</v>
      </c>
      <c r="N702" s="25">
        <v>0</v>
      </c>
      <c r="O702" s="25">
        <v>0</v>
      </c>
      <c r="P702" s="25">
        <v>0</v>
      </c>
      <c r="Q702" s="25">
        <v>0</v>
      </c>
      <c r="R702" s="25">
        <v>0</v>
      </c>
      <c r="S702" s="25">
        <v>0</v>
      </c>
      <c r="T702" s="25">
        <v>0</v>
      </c>
      <c r="U702" s="29">
        <v>0</v>
      </c>
      <c r="V702" s="25">
        <v>0</v>
      </c>
      <c r="W702" s="25">
        <v>0</v>
      </c>
      <c r="X702" s="25">
        <v>0</v>
      </c>
      <c r="Y702" s="29">
        <v>0</v>
      </c>
      <c r="Z702" s="29">
        <v>0</v>
      </c>
      <c r="AA702" s="29">
        <v>0</v>
      </c>
      <c r="AB702" s="29">
        <v>105501</v>
      </c>
      <c r="AC702" s="29">
        <v>5</v>
      </c>
      <c r="AD702" s="29">
        <v>0</v>
      </c>
      <c r="AE702" s="29"/>
      <c r="GR702" s="5"/>
      <c r="GS702" s="5"/>
      <c r="GT702" s="5"/>
      <c r="GU702" s="5"/>
      <c r="GV702" s="5"/>
      <c r="GW702" s="5"/>
      <c r="GX702" s="5"/>
      <c r="GY702" s="5"/>
      <c r="GZ702" s="5"/>
      <c r="HA702" s="5"/>
      <c r="HB702" s="5"/>
      <c r="HC702" s="5"/>
      <c r="HD702" s="5"/>
      <c r="HE702" s="5"/>
      <c r="HF702" s="5"/>
      <c r="HG702" s="5"/>
      <c r="HH702" s="5"/>
      <c r="HI702" s="5"/>
      <c r="HJ702" s="5"/>
      <c r="HK702" s="5"/>
      <c r="HL702" s="5"/>
      <c r="HM702" s="5"/>
      <c r="HN702" s="5"/>
      <c r="HO702" s="5"/>
      <c r="HP702" s="5"/>
    </row>
    <row r="703" spans="3:224" ht="20.100000000000001" customHeight="1">
      <c r="C703" s="48">
        <v>16000203</v>
      </c>
      <c r="D703" s="49" t="s">
        <v>610</v>
      </c>
      <c r="E703" s="25">
        <v>11200003</v>
      </c>
      <c r="F703" s="25">
        <v>30011</v>
      </c>
      <c r="G703" s="25">
        <v>1</v>
      </c>
      <c r="H703" s="25">
        <v>10</v>
      </c>
      <c r="I703" s="29">
        <v>0</v>
      </c>
      <c r="J703" s="30">
        <v>0</v>
      </c>
      <c r="K703" s="25">
        <v>0</v>
      </c>
      <c r="L703" s="25">
        <v>0</v>
      </c>
      <c r="M703" s="25">
        <v>0</v>
      </c>
      <c r="N703" s="25">
        <v>0</v>
      </c>
      <c r="O703" s="25">
        <v>0</v>
      </c>
      <c r="P703" s="25">
        <v>0</v>
      </c>
      <c r="Q703" s="25">
        <v>0</v>
      </c>
      <c r="R703" s="25">
        <v>0</v>
      </c>
      <c r="S703" s="25">
        <v>0</v>
      </c>
      <c r="T703" s="25">
        <v>0</v>
      </c>
      <c r="U703" s="29">
        <v>0</v>
      </c>
      <c r="V703" s="25">
        <v>0</v>
      </c>
      <c r="W703" s="25">
        <v>0</v>
      </c>
      <c r="X703" s="25">
        <v>0</v>
      </c>
      <c r="Y703" s="29">
        <v>0</v>
      </c>
      <c r="Z703" s="29">
        <v>0</v>
      </c>
      <c r="AA703" s="29">
        <v>0</v>
      </c>
      <c r="AB703" s="29">
        <v>105301</v>
      </c>
      <c r="AC703" s="29">
        <v>5</v>
      </c>
      <c r="AD703" s="29">
        <v>0</v>
      </c>
      <c r="AE703" s="29"/>
      <c r="GR703" s="5"/>
      <c r="GS703" s="5"/>
      <c r="GT703" s="5"/>
      <c r="GU703" s="5"/>
      <c r="GV703" s="5"/>
      <c r="GW703" s="5"/>
      <c r="GX703" s="5"/>
      <c r="GY703" s="5"/>
      <c r="GZ703" s="5"/>
      <c r="HA703" s="5"/>
      <c r="HB703" s="5"/>
      <c r="HC703" s="5"/>
      <c r="HD703" s="5"/>
      <c r="HE703" s="5"/>
      <c r="HF703" s="5"/>
      <c r="HG703" s="5"/>
      <c r="HH703" s="5"/>
      <c r="HI703" s="5"/>
      <c r="HJ703" s="5"/>
      <c r="HK703" s="5"/>
      <c r="HL703" s="5"/>
      <c r="HM703" s="5"/>
      <c r="HN703" s="5"/>
      <c r="HO703" s="5"/>
      <c r="HP703" s="5"/>
    </row>
    <row r="704" spans="3:224" ht="20.100000000000001" customHeight="1">
      <c r="C704" s="48">
        <v>16000204</v>
      </c>
      <c r="D704" s="49" t="s">
        <v>611</v>
      </c>
      <c r="E704" s="25">
        <v>11200003</v>
      </c>
      <c r="F704" s="25">
        <v>30011</v>
      </c>
      <c r="G704" s="25">
        <v>1</v>
      </c>
      <c r="H704" s="25">
        <v>10</v>
      </c>
      <c r="I704" s="29">
        <v>0</v>
      </c>
      <c r="J704" s="30">
        <v>0</v>
      </c>
      <c r="K704" s="25">
        <v>0</v>
      </c>
      <c r="L704" s="25">
        <v>0</v>
      </c>
      <c r="M704" s="25">
        <v>0</v>
      </c>
      <c r="N704" s="25">
        <v>0</v>
      </c>
      <c r="O704" s="25">
        <v>0</v>
      </c>
      <c r="P704" s="25">
        <v>0</v>
      </c>
      <c r="Q704" s="25">
        <v>0</v>
      </c>
      <c r="R704" s="25">
        <v>0</v>
      </c>
      <c r="S704" s="25">
        <v>0</v>
      </c>
      <c r="T704" s="25">
        <v>0</v>
      </c>
      <c r="U704" s="29">
        <v>0</v>
      </c>
      <c r="V704" s="25">
        <v>0</v>
      </c>
      <c r="W704" s="25">
        <v>0</v>
      </c>
      <c r="X704" s="25">
        <v>0</v>
      </c>
      <c r="Y704" s="29">
        <v>0</v>
      </c>
      <c r="Z704" s="29">
        <v>0</v>
      </c>
      <c r="AA704" s="29">
        <v>0</v>
      </c>
      <c r="AB704" s="29">
        <v>105201</v>
      </c>
      <c r="AC704" s="29">
        <v>5</v>
      </c>
      <c r="AD704" s="29">
        <v>0</v>
      </c>
      <c r="AE704" s="29"/>
      <c r="GR704" s="5"/>
      <c r="GS704" s="5"/>
      <c r="GT704" s="5"/>
      <c r="GU704" s="5"/>
      <c r="GV704" s="5"/>
      <c r="GW704" s="5"/>
      <c r="GX704" s="5"/>
      <c r="GY704" s="5"/>
      <c r="GZ704" s="5"/>
      <c r="HA704" s="5"/>
      <c r="HB704" s="5"/>
      <c r="HC704" s="5"/>
      <c r="HD704" s="5"/>
      <c r="HE704" s="5"/>
      <c r="HF704" s="5"/>
      <c r="HG704" s="5"/>
      <c r="HH704" s="5"/>
      <c r="HI704" s="5"/>
      <c r="HJ704" s="5"/>
      <c r="HK704" s="5"/>
      <c r="HL704" s="5"/>
      <c r="HM704" s="5"/>
      <c r="HN704" s="5"/>
      <c r="HO704" s="5"/>
      <c r="HP704" s="5"/>
    </row>
    <row r="705" spans="3:224" ht="20.100000000000001" customHeight="1">
      <c r="C705" s="48">
        <v>16000205</v>
      </c>
      <c r="D705" s="49" t="s">
        <v>612</v>
      </c>
      <c r="E705" s="25">
        <v>11200003</v>
      </c>
      <c r="F705" s="25">
        <v>30012</v>
      </c>
      <c r="G705" s="25">
        <v>1</v>
      </c>
      <c r="H705" s="25">
        <v>10</v>
      </c>
      <c r="I705" s="29">
        <v>0</v>
      </c>
      <c r="J705" s="30">
        <v>0</v>
      </c>
      <c r="K705" s="25">
        <v>0</v>
      </c>
      <c r="L705" s="25">
        <v>0</v>
      </c>
      <c r="M705" s="25">
        <v>0</v>
      </c>
      <c r="N705" s="25">
        <v>0</v>
      </c>
      <c r="O705" s="25">
        <v>0</v>
      </c>
      <c r="P705" s="25">
        <v>0</v>
      </c>
      <c r="Q705" s="25">
        <v>0</v>
      </c>
      <c r="R705" s="25">
        <v>0</v>
      </c>
      <c r="S705" s="25">
        <v>0</v>
      </c>
      <c r="T705" s="25">
        <v>0</v>
      </c>
      <c r="U705" s="29">
        <v>0</v>
      </c>
      <c r="V705" s="25">
        <v>0</v>
      </c>
      <c r="W705" s="25">
        <v>0</v>
      </c>
      <c r="X705" s="25">
        <v>0</v>
      </c>
      <c r="Y705" s="29">
        <v>0</v>
      </c>
      <c r="Z705" s="29">
        <v>0</v>
      </c>
      <c r="AA705" s="29">
        <v>0</v>
      </c>
      <c r="AB705" s="29" t="s">
        <v>593</v>
      </c>
      <c r="AC705" s="29" t="s">
        <v>613</v>
      </c>
      <c r="AD705" s="29" t="s">
        <v>252</v>
      </c>
      <c r="AE705" s="29"/>
      <c r="GR705" s="5"/>
      <c r="GS705" s="5"/>
      <c r="GT705" s="5"/>
      <c r="GU705" s="5"/>
      <c r="GV705" s="5"/>
      <c r="GW705" s="5"/>
      <c r="GX705" s="5"/>
      <c r="GY705" s="5"/>
      <c r="GZ705" s="5"/>
      <c r="HA705" s="5"/>
      <c r="HB705" s="5"/>
      <c r="HC705" s="5"/>
      <c r="HD705" s="5"/>
      <c r="HE705" s="5"/>
      <c r="HF705" s="5"/>
      <c r="HG705" s="5"/>
      <c r="HH705" s="5"/>
      <c r="HI705" s="5"/>
      <c r="HJ705" s="5"/>
      <c r="HK705" s="5"/>
      <c r="HL705" s="5"/>
      <c r="HM705" s="5"/>
      <c r="HN705" s="5"/>
      <c r="HO705" s="5"/>
      <c r="HP705" s="5"/>
    </row>
    <row r="706" spans="3:224" ht="20.100000000000001" customHeight="1">
      <c r="C706" s="48">
        <v>16000206</v>
      </c>
      <c r="D706" s="49" t="s">
        <v>614</v>
      </c>
      <c r="E706" s="25">
        <v>11200003</v>
      </c>
      <c r="F706" s="25">
        <v>30012</v>
      </c>
      <c r="G706" s="25">
        <v>1</v>
      </c>
      <c r="H706" s="25">
        <v>10</v>
      </c>
      <c r="I706" s="29">
        <v>0</v>
      </c>
      <c r="J706" s="30">
        <v>0</v>
      </c>
      <c r="K706" s="25">
        <v>0</v>
      </c>
      <c r="L706" s="25">
        <v>0</v>
      </c>
      <c r="M706" s="25">
        <v>0</v>
      </c>
      <c r="N706" s="25">
        <v>0</v>
      </c>
      <c r="O706" s="25">
        <v>0</v>
      </c>
      <c r="P706" s="25">
        <v>0</v>
      </c>
      <c r="Q706" s="25">
        <v>0</v>
      </c>
      <c r="R706" s="25">
        <v>0</v>
      </c>
      <c r="S706" s="25">
        <v>0</v>
      </c>
      <c r="T706" s="25">
        <v>0</v>
      </c>
      <c r="U706" s="29">
        <v>0</v>
      </c>
      <c r="V706" s="25">
        <v>0</v>
      </c>
      <c r="W706" s="25">
        <v>0</v>
      </c>
      <c r="X706" s="25">
        <v>0</v>
      </c>
      <c r="Y706" s="29">
        <v>0</v>
      </c>
      <c r="Z706" s="29">
        <v>0</v>
      </c>
      <c r="AA706" s="29">
        <v>0</v>
      </c>
      <c r="AB706" s="29" t="s">
        <v>596</v>
      </c>
      <c r="AC706" s="29" t="s">
        <v>613</v>
      </c>
      <c r="AD706" s="29" t="s">
        <v>252</v>
      </c>
      <c r="AE706" s="29"/>
      <c r="GR706" s="5"/>
      <c r="GS706" s="5"/>
      <c r="GT706" s="5"/>
      <c r="GU706" s="5"/>
      <c r="GV706" s="5"/>
      <c r="GW706" s="5"/>
      <c r="GX706" s="5"/>
      <c r="GY706" s="5"/>
      <c r="GZ706" s="5"/>
      <c r="HA706" s="5"/>
      <c r="HB706" s="5"/>
      <c r="HC706" s="5"/>
      <c r="HD706" s="5"/>
      <c r="HE706" s="5"/>
      <c r="HF706" s="5"/>
      <c r="HG706" s="5"/>
      <c r="HH706" s="5"/>
      <c r="HI706" s="5"/>
      <c r="HJ706" s="5"/>
      <c r="HK706" s="5"/>
      <c r="HL706" s="5"/>
      <c r="HM706" s="5"/>
      <c r="HN706" s="5"/>
      <c r="HO706" s="5"/>
      <c r="HP706" s="5"/>
    </row>
    <row r="707" spans="3:224" ht="20.100000000000001" customHeight="1">
      <c r="C707" s="48">
        <v>16000207</v>
      </c>
      <c r="D707" s="49" t="s">
        <v>615</v>
      </c>
      <c r="E707" s="25">
        <v>11200003</v>
      </c>
      <c r="F707" s="25">
        <v>30012</v>
      </c>
      <c r="G707" s="25">
        <v>1</v>
      </c>
      <c r="H707" s="25">
        <v>10</v>
      </c>
      <c r="I707" s="29">
        <v>0</v>
      </c>
      <c r="J707" s="30">
        <v>0</v>
      </c>
      <c r="K707" s="25">
        <v>0</v>
      </c>
      <c r="L707" s="25">
        <v>0</v>
      </c>
      <c r="M707" s="25">
        <v>0</v>
      </c>
      <c r="N707" s="25">
        <v>0</v>
      </c>
      <c r="O707" s="25">
        <v>0</v>
      </c>
      <c r="P707" s="25">
        <v>0</v>
      </c>
      <c r="Q707" s="25">
        <v>0</v>
      </c>
      <c r="R707" s="25">
        <v>0</v>
      </c>
      <c r="S707" s="25">
        <v>0</v>
      </c>
      <c r="T707" s="25">
        <v>0</v>
      </c>
      <c r="U707" s="29">
        <v>0</v>
      </c>
      <c r="V707" s="25">
        <v>0</v>
      </c>
      <c r="W707" s="25">
        <v>0</v>
      </c>
      <c r="X707" s="25">
        <v>0</v>
      </c>
      <c r="Y707" s="29">
        <v>0</v>
      </c>
      <c r="Z707" s="29">
        <v>0</v>
      </c>
      <c r="AA707" s="29">
        <v>0</v>
      </c>
      <c r="AB707" s="29" t="s">
        <v>598</v>
      </c>
      <c r="AC707" s="29" t="s">
        <v>613</v>
      </c>
      <c r="AD707" s="29" t="s">
        <v>252</v>
      </c>
      <c r="AE707" s="29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  <c r="HF707" s="5"/>
      <c r="HG707" s="5"/>
      <c r="HH707" s="5"/>
      <c r="HI707" s="5"/>
      <c r="HJ707" s="5"/>
      <c r="HK707" s="5"/>
      <c r="HL707" s="5"/>
      <c r="HM707" s="5"/>
      <c r="HN707" s="5"/>
      <c r="HO707" s="5"/>
      <c r="HP707" s="5"/>
    </row>
    <row r="708" spans="3:224" ht="20.100000000000001" customHeight="1">
      <c r="C708" s="48">
        <v>16000208</v>
      </c>
      <c r="D708" s="49" t="s">
        <v>616</v>
      </c>
      <c r="E708" s="25">
        <v>11200003</v>
      </c>
      <c r="F708" s="25">
        <v>30012</v>
      </c>
      <c r="G708" s="25">
        <v>1</v>
      </c>
      <c r="H708" s="25">
        <v>10</v>
      </c>
      <c r="I708" s="29">
        <v>0</v>
      </c>
      <c r="J708" s="30">
        <v>0</v>
      </c>
      <c r="K708" s="25">
        <v>0</v>
      </c>
      <c r="L708" s="25">
        <v>0</v>
      </c>
      <c r="M708" s="25">
        <v>0</v>
      </c>
      <c r="N708" s="25">
        <v>0</v>
      </c>
      <c r="O708" s="25">
        <v>0</v>
      </c>
      <c r="P708" s="25">
        <v>0</v>
      </c>
      <c r="Q708" s="25">
        <v>0</v>
      </c>
      <c r="R708" s="25">
        <v>0</v>
      </c>
      <c r="S708" s="25">
        <v>0</v>
      </c>
      <c r="T708" s="25">
        <v>0</v>
      </c>
      <c r="U708" s="29">
        <v>0</v>
      </c>
      <c r="V708" s="25">
        <v>0</v>
      </c>
      <c r="W708" s="25">
        <v>0</v>
      </c>
      <c r="X708" s="25">
        <v>0</v>
      </c>
      <c r="Y708" s="29">
        <v>0</v>
      </c>
      <c r="Z708" s="29">
        <v>0</v>
      </c>
      <c r="AA708" s="29">
        <v>0</v>
      </c>
      <c r="AB708" s="29" t="s">
        <v>600</v>
      </c>
      <c r="AC708" s="29" t="s">
        <v>613</v>
      </c>
      <c r="AD708" s="29" t="s">
        <v>252</v>
      </c>
      <c r="AE708" s="29"/>
      <c r="GR708" s="5"/>
      <c r="GS708" s="5"/>
      <c r="GT708" s="5"/>
      <c r="GU708" s="5"/>
      <c r="GV708" s="5"/>
      <c r="GW708" s="5"/>
      <c r="GX708" s="5"/>
      <c r="GY708" s="5"/>
      <c r="GZ708" s="5"/>
      <c r="HA708" s="5"/>
      <c r="HB708" s="5"/>
      <c r="HC708" s="5"/>
      <c r="HD708" s="5"/>
      <c r="HE708" s="5"/>
      <c r="HF708" s="5"/>
      <c r="HG708" s="5"/>
      <c r="HH708" s="5"/>
      <c r="HI708" s="5"/>
      <c r="HJ708" s="5"/>
      <c r="HK708" s="5"/>
      <c r="HL708" s="5"/>
      <c r="HM708" s="5"/>
      <c r="HN708" s="5"/>
      <c r="HO708" s="5"/>
      <c r="HP708" s="5"/>
    </row>
    <row r="709" spans="3:224" ht="20.100000000000001" customHeight="1">
      <c r="C709" s="48">
        <v>16000209</v>
      </c>
      <c r="D709" s="49" t="s">
        <v>617</v>
      </c>
      <c r="E709" s="25">
        <v>11200003</v>
      </c>
      <c r="F709" s="25">
        <v>30013</v>
      </c>
      <c r="G709" s="25">
        <v>1</v>
      </c>
      <c r="H709" s="25">
        <v>10</v>
      </c>
      <c r="I709" s="29">
        <v>0</v>
      </c>
      <c r="J709" s="30">
        <v>0</v>
      </c>
      <c r="K709" s="25">
        <v>0</v>
      </c>
      <c r="L709" s="25">
        <v>0</v>
      </c>
      <c r="M709" s="25">
        <v>0</v>
      </c>
      <c r="N709" s="25">
        <v>0</v>
      </c>
      <c r="O709" s="25">
        <v>0</v>
      </c>
      <c r="P709" s="25">
        <v>0</v>
      </c>
      <c r="Q709" s="25">
        <v>0</v>
      </c>
      <c r="R709" s="25">
        <v>0</v>
      </c>
      <c r="S709" s="25">
        <v>0</v>
      </c>
      <c r="T709" s="25">
        <v>0</v>
      </c>
      <c r="U709" s="29">
        <v>0</v>
      </c>
      <c r="V709" s="25">
        <v>0</v>
      </c>
      <c r="W709" s="25">
        <v>0</v>
      </c>
      <c r="X709" s="25">
        <v>0</v>
      </c>
      <c r="Y709" s="29">
        <v>0</v>
      </c>
      <c r="Z709" s="29">
        <v>0</v>
      </c>
      <c r="AA709" s="29">
        <v>0</v>
      </c>
      <c r="AB709" s="29">
        <v>105401</v>
      </c>
      <c r="AC709" s="29">
        <v>5</v>
      </c>
      <c r="AD709" s="29">
        <v>0</v>
      </c>
      <c r="AE709" s="29"/>
      <c r="GR709" s="5"/>
      <c r="GS709" s="5"/>
      <c r="GT709" s="5"/>
      <c r="GU709" s="5"/>
      <c r="GV709" s="5"/>
      <c r="GW709" s="5"/>
      <c r="GX709" s="5"/>
      <c r="GY709" s="5"/>
      <c r="GZ709" s="5"/>
      <c r="HA709" s="5"/>
      <c r="HB709" s="5"/>
      <c r="HC709" s="5"/>
      <c r="HD709" s="5"/>
      <c r="HE709" s="5"/>
      <c r="HF709" s="5"/>
      <c r="HG709" s="5"/>
      <c r="HH709" s="5"/>
      <c r="HI709" s="5"/>
      <c r="HJ709" s="5"/>
      <c r="HK709" s="5"/>
      <c r="HL709" s="5"/>
      <c r="HM709" s="5"/>
      <c r="HN709" s="5"/>
      <c r="HO709" s="5"/>
      <c r="HP709" s="5"/>
    </row>
    <row r="710" spans="3:224" ht="20.100000000000001" customHeight="1">
      <c r="C710" s="48">
        <v>16000210</v>
      </c>
      <c r="D710" s="49" t="s">
        <v>618</v>
      </c>
      <c r="E710" s="25">
        <v>11200003</v>
      </c>
      <c r="F710" s="25">
        <v>30013</v>
      </c>
      <c r="G710" s="25">
        <v>1</v>
      </c>
      <c r="H710" s="25">
        <v>10</v>
      </c>
      <c r="I710" s="29">
        <v>0</v>
      </c>
      <c r="J710" s="30">
        <v>0</v>
      </c>
      <c r="K710" s="25">
        <v>0</v>
      </c>
      <c r="L710" s="25">
        <v>0</v>
      </c>
      <c r="M710" s="25">
        <v>0</v>
      </c>
      <c r="N710" s="25">
        <v>0</v>
      </c>
      <c r="O710" s="25">
        <v>0</v>
      </c>
      <c r="P710" s="25">
        <v>0</v>
      </c>
      <c r="Q710" s="25">
        <v>0</v>
      </c>
      <c r="R710" s="25">
        <v>0</v>
      </c>
      <c r="S710" s="25">
        <v>0</v>
      </c>
      <c r="T710" s="25">
        <v>0</v>
      </c>
      <c r="U710" s="29">
        <v>0</v>
      </c>
      <c r="V710" s="25">
        <v>0</v>
      </c>
      <c r="W710" s="25">
        <v>0</v>
      </c>
      <c r="X710" s="25">
        <v>0</v>
      </c>
      <c r="Y710" s="29">
        <v>0</v>
      </c>
      <c r="Z710" s="29">
        <v>0</v>
      </c>
      <c r="AA710" s="29">
        <v>0</v>
      </c>
      <c r="AB710" s="29" t="s">
        <v>603</v>
      </c>
      <c r="AC710" s="29" t="s">
        <v>613</v>
      </c>
      <c r="AD710" s="29" t="s">
        <v>252</v>
      </c>
      <c r="AE710" s="29"/>
      <c r="GR710" s="5"/>
      <c r="GS710" s="5"/>
      <c r="GT710" s="5"/>
      <c r="GU710" s="5"/>
      <c r="GV710" s="5"/>
      <c r="GW710" s="5"/>
      <c r="GX710" s="5"/>
      <c r="GY710" s="5"/>
      <c r="GZ710" s="5"/>
      <c r="HA710" s="5"/>
      <c r="HB710" s="5"/>
      <c r="HC710" s="5"/>
      <c r="HD710" s="5"/>
      <c r="HE710" s="5"/>
      <c r="HF710" s="5"/>
      <c r="HG710" s="5"/>
      <c r="HH710" s="5"/>
      <c r="HI710" s="5"/>
      <c r="HJ710" s="5"/>
      <c r="HK710" s="5"/>
      <c r="HL710" s="5"/>
      <c r="HM710" s="5"/>
      <c r="HN710" s="5"/>
      <c r="HO710" s="5"/>
      <c r="HP710" s="5"/>
    </row>
    <row r="711" spans="3:224" ht="20.100000000000001" customHeight="1">
      <c r="C711" s="48">
        <v>16000211</v>
      </c>
      <c r="D711" s="49" t="s">
        <v>619</v>
      </c>
      <c r="E711" s="25">
        <v>11200003</v>
      </c>
      <c r="F711" s="25">
        <v>30013</v>
      </c>
      <c r="G711" s="25">
        <v>1</v>
      </c>
      <c r="H711" s="25">
        <v>10</v>
      </c>
      <c r="I711" s="29">
        <v>0</v>
      </c>
      <c r="J711" s="30">
        <v>0</v>
      </c>
      <c r="K711" s="25">
        <v>0</v>
      </c>
      <c r="L711" s="25">
        <v>0</v>
      </c>
      <c r="M711" s="25">
        <v>0</v>
      </c>
      <c r="N711" s="25">
        <v>0</v>
      </c>
      <c r="O711" s="25">
        <v>0</v>
      </c>
      <c r="P711" s="25">
        <v>0</v>
      </c>
      <c r="Q711" s="25">
        <v>0</v>
      </c>
      <c r="R711" s="25">
        <v>0</v>
      </c>
      <c r="S711" s="25">
        <v>0</v>
      </c>
      <c r="T711" s="25">
        <v>0</v>
      </c>
      <c r="U711" s="29">
        <v>0</v>
      </c>
      <c r="V711" s="25">
        <v>0</v>
      </c>
      <c r="W711" s="25">
        <v>0</v>
      </c>
      <c r="X711" s="25">
        <v>0</v>
      </c>
      <c r="Y711" s="29">
        <v>0</v>
      </c>
      <c r="Z711" s="29">
        <v>0</v>
      </c>
      <c r="AA711" s="29">
        <v>0</v>
      </c>
      <c r="AB711" s="29" t="s">
        <v>605</v>
      </c>
      <c r="AC711" s="29" t="s">
        <v>613</v>
      </c>
      <c r="AD711" s="29" t="s">
        <v>252</v>
      </c>
      <c r="AE711" s="29"/>
      <c r="GR711" s="5"/>
      <c r="GS711" s="5"/>
      <c r="GT711" s="5"/>
      <c r="GU711" s="5"/>
      <c r="GV711" s="5"/>
      <c r="GW711" s="5"/>
      <c r="GX711" s="5"/>
      <c r="GY711" s="5"/>
      <c r="GZ711" s="5"/>
      <c r="HA711" s="5"/>
      <c r="HB711" s="5"/>
      <c r="HC711" s="5"/>
      <c r="HD711" s="5"/>
      <c r="HE711" s="5"/>
      <c r="HF711" s="5"/>
      <c r="HG711" s="5"/>
      <c r="HH711" s="5"/>
      <c r="HI711" s="5"/>
      <c r="HJ711" s="5"/>
      <c r="HK711" s="5"/>
      <c r="HL711" s="5"/>
      <c r="HM711" s="5"/>
      <c r="HN711" s="5"/>
      <c r="HO711" s="5"/>
      <c r="HP711" s="5"/>
    </row>
    <row r="712" spans="3:224" ht="20.100000000000001" customHeight="1">
      <c r="C712" s="48">
        <v>16000212</v>
      </c>
      <c r="D712" s="49" t="s">
        <v>620</v>
      </c>
      <c r="E712" s="25">
        <v>11200003</v>
      </c>
      <c r="F712" s="25">
        <v>30013</v>
      </c>
      <c r="G712" s="25">
        <v>1</v>
      </c>
      <c r="H712" s="25">
        <v>10</v>
      </c>
      <c r="I712" s="29">
        <v>0</v>
      </c>
      <c r="J712" s="30">
        <v>0</v>
      </c>
      <c r="K712" s="25">
        <v>0</v>
      </c>
      <c r="L712" s="25">
        <v>0</v>
      </c>
      <c r="M712" s="25">
        <v>0</v>
      </c>
      <c r="N712" s="25">
        <v>0</v>
      </c>
      <c r="O712" s="25">
        <v>0</v>
      </c>
      <c r="P712" s="25">
        <v>0</v>
      </c>
      <c r="Q712" s="25">
        <v>0</v>
      </c>
      <c r="R712" s="25">
        <v>0</v>
      </c>
      <c r="S712" s="25">
        <v>0</v>
      </c>
      <c r="T712" s="25">
        <v>0</v>
      </c>
      <c r="U712" s="29">
        <v>0</v>
      </c>
      <c r="V712" s="25">
        <v>0</v>
      </c>
      <c r="W712" s="25">
        <v>0</v>
      </c>
      <c r="X712" s="25">
        <v>0</v>
      </c>
      <c r="Y712" s="29">
        <v>0</v>
      </c>
      <c r="Z712" s="29">
        <v>0</v>
      </c>
      <c r="AA712" s="29">
        <v>0</v>
      </c>
      <c r="AB712" s="29" t="s">
        <v>607</v>
      </c>
      <c r="AC712" s="29" t="s">
        <v>613</v>
      </c>
      <c r="AD712" s="29" t="s">
        <v>252</v>
      </c>
      <c r="AE712" s="29"/>
      <c r="GR712" s="5"/>
      <c r="GS712" s="5"/>
      <c r="GT712" s="5"/>
      <c r="GU712" s="5"/>
      <c r="GV712" s="5"/>
      <c r="GW712" s="5"/>
      <c r="GX712" s="5"/>
      <c r="GY712" s="5"/>
      <c r="GZ712" s="5"/>
      <c r="HA712" s="5"/>
      <c r="HB712" s="5"/>
      <c r="HC712" s="5"/>
      <c r="HD712" s="5"/>
      <c r="HE712" s="5"/>
      <c r="HF712" s="5"/>
      <c r="HG712" s="5"/>
      <c r="HH712" s="5"/>
      <c r="HI712" s="5"/>
      <c r="HJ712" s="5"/>
      <c r="HK712" s="5"/>
      <c r="HL712" s="5"/>
      <c r="HM712" s="5"/>
      <c r="HN712" s="5"/>
      <c r="HO712" s="5"/>
      <c r="HP712" s="5"/>
    </row>
    <row r="713" spans="3:224" ht="20.100000000000001" customHeight="1">
      <c r="C713" s="48">
        <v>16000301</v>
      </c>
      <c r="D713" s="49" t="s">
        <v>621</v>
      </c>
      <c r="E713" s="25">
        <v>11200003</v>
      </c>
      <c r="F713" s="25">
        <v>30021</v>
      </c>
      <c r="G713" s="25">
        <v>1</v>
      </c>
      <c r="H713" s="25">
        <v>10</v>
      </c>
      <c r="I713" s="29">
        <v>0</v>
      </c>
      <c r="J713" s="30">
        <v>0</v>
      </c>
      <c r="K713" s="25">
        <v>0</v>
      </c>
      <c r="L713" s="25">
        <v>0</v>
      </c>
      <c r="M713" s="25">
        <v>0</v>
      </c>
      <c r="N713" s="25">
        <v>0</v>
      </c>
      <c r="O713" s="25">
        <v>0</v>
      </c>
      <c r="P713" s="25">
        <v>0</v>
      </c>
      <c r="Q713" s="25">
        <v>0</v>
      </c>
      <c r="R713" s="25">
        <v>0</v>
      </c>
      <c r="S713" s="25">
        <v>0</v>
      </c>
      <c r="T713" s="25">
        <v>0</v>
      </c>
      <c r="U713" s="29">
        <v>0</v>
      </c>
      <c r="V713" s="25">
        <v>0</v>
      </c>
      <c r="W713" s="25">
        <v>0</v>
      </c>
      <c r="X713" s="25">
        <v>0</v>
      </c>
      <c r="Y713" s="29">
        <v>0</v>
      </c>
      <c r="Z713" s="29">
        <v>0</v>
      </c>
      <c r="AA713" s="29">
        <v>0</v>
      </c>
      <c r="AB713" s="29">
        <v>105101</v>
      </c>
      <c r="AC713" s="29">
        <v>10</v>
      </c>
      <c r="AD713" s="29">
        <v>0</v>
      </c>
      <c r="AE713" s="29"/>
      <c r="GR713" s="5"/>
      <c r="GS713" s="5"/>
      <c r="GT713" s="5"/>
      <c r="GU713" s="5"/>
      <c r="GV713" s="5"/>
      <c r="GW713" s="5"/>
      <c r="GX713" s="5"/>
      <c r="GY713" s="5"/>
      <c r="GZ713" s="5"/>
      <c r="HA713" s="5"/>
      <c r="HB713" s="5"/>
      <c r="HC713" s="5"/>
      <c r="HD713" s="5"/>
      <c r="HE713" s="5"/>
      <c r="HF713" s="5"/>
      <c r="HG713" s="5"/>
      <c r="HH713" s="5"/>
      <c r="HI713" s="5"/>
      <c r="HJ713" s="5"/>
      <c r="HK713" s="5"/>
      <c r="HL713" s="5"/>
      <c r="HM713" s="5"/>
      <c r="HN713" s="5"/>
      <c r="HO713" s="5"/>
      <c r="HP713" s="5"/>
    </row>
    <row r="714" spans="3:224" ht="20.100000000000001" customHeight="1">
      <c r="C714" s="48">
        <v>16000302</v>
      </c>
      <c r="D714" s="49" t="s">
        <v>622</v>
      </c>
      <c r="E714" s="25">
        <v>11200003</v>
      </c>
      <c r="F714" s="25">
        <v>30021</v>
      </c>
      <c r="G714" s="25">
        <v>1</v>
      </c>
      <c r="H714" s="25">
        <v>10</v>
      </c>
      <c r="I714" s="29">
        <v>0</v>
      </c>
      <c r="J714" s="30">
        <v>0</v>
      </c>
      <c r="K714" s="25">
        <v>0</v>
      </c>
      <c r="L714" s="25">
        <v>0</v>
      </c>
      <c r="M714" s="25">
        <v>0</v>
      </c>
      <c r="N714" s="25">
        <v>0</v>
      </c>
      <c r="O714" s="25">
        <v>0</v>
      </c>
      <c r="P714" s="25">
        <v>0</v>
      </c>
      <c r="Q714" s="25">
        <v>0</v>
      </c>
      <c r="R714" s="25">
        <v>0</v>
      </c>
      <c r="S714" s="25">
        <v>0</v>
      </c>
      <c r="T714" s="25">
        <v>0</v>
      </c>
      <c r="U714" s="29">
        <v>0</v>
      </c>
      <c r="V714" s="25">
        <v>0</v>
      </c>
      <c r="W714" s="25">
        <v>0</v>
      </c>
      <c r="X714" s="25">
        <v>0</v>
      </c>
      <c r="Y714" s="29">
        <v>0</v>
      </c>
      <c r="Z714" s="29">
        <v>0</v>
      </c>
      <c r="AA714" s="29">
        <v>0</v>
      </c>
      <c r="AB714" s="29">
        <v>105501</v>
      </c>
      <c r="AC714" s="29">
        <v>10</v>
      </c>
      <c r="AD714" s="29">
        <v>0</v>
      </c>
      <c r="AE714" s="29"/>
      <c r="GR714" s="5"/>
      <c r="GS714" s="5"/>
      <c r="GT714" s="5"/>
      <c r="GU714" s="5"/>
      <c r="GV714" s="5"/>
      <c r="GW714" s="5"/>
      <c r="GX714" s="5"/>
      <c r="GY714" s="5"/>
      <c r="GZ714" s="5"/>
      <c r="HA714" s="5"/>
      <c r="HB714" s="5"/>
      <c r="HC714" s="5"/>
      <c r="HD714" s="5"/>
      <c r="HE714" s="5"/>
      <c r="HF714" s="5"/>
      <c r="HG714" s="5"/>
      <c r="HH714" s="5"/>
      <c r="HI714" s="5"/>
      <c r="HJ714" s="5"/>
      <c r="HK714" s="5"/>
      <c r="HL714" s="5"/>
      <c r="HM714" s="5"/>
      <c r="HN714" s="5"/>
      <c r="HO714" s="5"/>
      <c r="HP714" s="5"/>
    </row>
    <row r="715" spans="3:224" ht="20.100000000000001" customHeight="1">
      <c r="C715" s="48">
        <v>16000303</v>
      </c>
      <c r="D715" s="49" t="s">
        <v>623</v>
      </c>
      <c r="E715" s="25">
        <v>11200003</v>
      </c>
      <c r="F715" s="25">
        <v>30021</v>
      </c>
      <c r="G715" s="25">
        <v>1</v>
      </c>
      <c r="H715" s="25">
        <v>10</v>
      </c>
      <c r="I715" s="29">
        <v>0</v>
      </c>
      <c r="J715" s="30">
        <v>0</v>
      </c>
      <c r="K715" s="25">
        <v>0</v>
      </c>
      <c r="L715" s="25">
        <v>0</v>
      </c>
      <c r="M715" s="25">
        <v>0</v>
      </c>
      <c r="N715" s="25">
        <v>0</v>
      </c>
      <c r="O715" s="25">
        <v>0</v>
      </c>
      <c r="P715" s="25">
        <v>0</v>
      </c>
      <c r="Q715" s="25">
        <v>0</v>
      </c>
      <c r="R715" s="25">
        <v>0</v>
      </c>
      <c r="S715" s="25">
        <v>0</v>
      </c>
      <c r="T715" s="25">
        <v>0</v>
      </c>
      <c r="U715" s="29">
        <v>0</v>
      </c>
      <c r="V715" s="25">
        <v>0</v>
      </c>
      <c r="W715" s="25">
        <v>0</v>
      </c>
      <c r="X715" s="25">
        <v>0</v>
      </c>
      <c r="Y715" s="29">
        <v>0</v>
      </c>
      <c r="Z715" s="29">
        <v>0</v>
      </c>
      <c r="AA715" s="29">
        <v>0</v>
      </c>
      <c r="AB715" s="29">
        <v>105301</v>
      </c>
      <c r="AC715" s="29">
        <v>10</v>
      </c>
      <c r="AD715" s="29">
        <v>0</v>
      </c>
      <c r="AE715" s="29"/>
      <c r="GR715" s="5"/>
      <c r="GS715" s="5"/>
      <c r="GT715" s="5"/>
      <c r="GU715" s="5"/>
      <c r="GV715" s="5"/>
      <c r="GW715" s="5"/>
      <c r="GX715" s="5"/>
      <c r="GY715" s="5"/>
      <c r="GZ715" s="5"/>
      <c r="HA715" s="5"/>
      <c r="HB715" s="5"/>
      <c r="HC715" s="5"/>
      <c r="HD715" s="5"/>
      <c r="HE715" s="5"/>
      <c r="HF715" s="5"/>
      <c r="HG715" s="5"/>
      <c r="HH715" s="5"/>
      <c r="HI715" s="5"/>
      <c r="HJ715" s="5"/>
      <c r="HK715" s="5"/>
      <c r="HL715" s="5"/>
      <c r="HM715" s="5"/>
      <c r="HN715" s="5"/>
      <c r="HO715" s="5"/>
      <c r="HP715" s="5"/>
    </row>
    <row r="716" spans="3:224" ht="20.100000000000001" customHeight="1">
      <c r="C716" s="48">
        <v>16000304</v>
      </c>
      <c r="D716" s="49" t="s">
        <v>624</v>
      </c>
      <c r="E716" s="25">
        <v>11200003</v>
      </c>
      <c r="F716" s="25">
        <v>30021</v>
      </c>
      <c r="G716" s="25">
        <v>1</v>
      </c>
      <c r="H716" s="25">
        <v>10</v>
      </c>
      <c r="I716" s="29">
        <v>0</v>
      </c>
      <c r="J716" s="30">
        <v>0</v>
      </c>
      <c r="K716" s="25">
        <v>0</v>
      </c>
      <c r="L716" s="25">
        <v>0</v>
      </c>
      <c r="M716" s="25">
        <v>0</v>
      </c>
      <c r="N716" s="25">
        <v>0</v>
      </c>
      <c r="O716" s="25">
        <v>0</v>
      </c>
      <c r="P716" s="25">
        <v>0</v>
      </c>
      <c r="Q716" s="25">
        <v>0</v>
      </c>
      <c r="R716" s="25">
        <v>0</v>
      </c>
      <c r="S716" s="25">
        <v>0</v>
      </c>
      <c r="T716" s="25">
        <v>0</v>
      </c>
      <c r="U716" s="29">
        <v>0</v>
      </c>
      <c r="V716" s="25">
        <v>0</v>
      </c>
      <c r="W716" s="25">
        <v>0</v>
      </c>
      <c r="X716" s="25">
        <v>0</v>
      </c>
      <c r="Y716" s="29">
        <v>0</v>
      </c>
      <c r="Z716" s="29">
        <v>0</v>
      </c>
      <c r="AA716" s="29">
        <v>0</v>
      </c>
      <c r="AB716" s="29">
        <v>105201</v>
      </c>
      <c r="AC716" s="29">
        <v>10</v>
      </c>
      <c r="AD716" s="29">
        <v>0</v>
      </c>
      <c r="AE716" s="29"/>
      <c r="GR716" s="5"/>
      <c r="GS716" s="5"/>
      <c r="GT716" s="5"/>
      <c r="GU716" s="5"/>
      <c r="GV716" s="5"/>
      <c r="GW716" s="5"/>
      <c r="GX716" s="5"/>
      <c r="GY716" s="5"/>
      <c r="GZ716" s="5"/>
      <c r="HA716" s="5"/>
      <c r="HB716" s="5"/>
      <c r="HC716" s="5"/>
      <c r="HD716" s="5"/>
      <c r="HE716" s="5"/>
      <c r="HF716" s="5"/>
      <c r="HG716" s="5"/>
      <c r="HH716" s="5"/>
      <c r="HI716" s="5"/>
      <c r="HJ716" s="5"/>
      <c r="HK716" s="5"/>
      <c r="HL716" s="5"/>
      <c r="HM716" s="5"/>
      <c r="HN716" s="5"/>
      <c r="HO716" s="5"/>
      <c r="HP716" s="5"/>
    </row>
    <row r="717" spans="3:224" ht="20.100000000000001" customHeight="1">
      <c r="C717" s="48">
        <v>16000305</v>
      </c>
      <c r="D717" s="49" t="s">
        <v>625</v>
      </c>
      <c r="E717" s="25">
        <v>11200003</v>
      </c>
      <c r="F717" s="25">
        <v>30022</v>
      </c>
      <c r="G717" s="25">
        <v>1</v>
      </c>
      <c r="H717" s="25">
        <v>10</v>
      </c>
      <c r="I717" s="29">
        <v>0</v>
      </c>
      <c r="J717" s="30">
        <v>0</v>
      </c>
      <c r="K717" s="25">
        <v>0</v>
      </c>
      <c r="L717" s="25">
        <v>0</v>
      </c>
      <c r="M717" s="25">
        <v>0</v>
      </c>
      <c r="N717" s="25">
        <v>0</v>
      </c>
      <c r="O717" s="25">
        <v>0</v>
      </c>
      <c r="P717" s="25">
        <v>0</v>
      </c>
      <c r="Q717" s="25">
        <v>0</v>
      </c>
      <c r="R717" s="25">
        <v>0</v>
      </c>
      <c r="S717" s="25">
        <v>0</v>
      </c>
      <c r="T717" s="25">
        <v>0</v>
      </c>
      <c r="U717" s="29">
        <v>0</v>
      </c>
      <c r="V717" s="25">
        <v>0</v>
      </c>
      <c r="W717" s="25">
        <v>0</v>
      </c>
      <c r="X717" s="25">
        <v>0</v>
      </c>
      <c r="Y717" s="29">
        <v>0</v>
      </c>
      <c r="Z717" s="29">
        <v>0</v>
      </c>
      <c r="AA717" s="29">
        <v>0</v>
      </c>
      <c r="AB717" s="29" t="s">
        <v>593</v>
      </c>
      <c r="AC717" s="29" t="s">
        <v>626</v>
      </c>
      <c r="AD717" s="29" t="s">
        <v>252</v>
      </c>
      <c r="AE717" s="29"/>
      <c r="GR717" s="5"/>
      <c r="GS717" s="5"/>
      <c r="GT717" s="5"/>
      <c r="GU717" s="5"/>
      <c r="GV717" s="5"/>
      <c r="GW717" s="5"/>
      <c r="GX717" s="5"/>
      <c r="GY717" s="5"/>
      <c r="GZ717" s="5"/>
      <c r="HA717" s="5"/>
      <c r="HB717" s="5"/>
      <c r="HC717" s="5"/>
      <c r="HD717" s="5"/>
      <c r="HE717" s="5"/>
      <c r="HF717" s="5"/>
      <c r="HG717" s="5"/>
      <c r="HH717" s="5"/>
      <c r="HI717" s="5"/>
      <c r="HJ717" s="5"/>
      <c r="HK717" s="5"/>
      <c r="HL717" s="5"/>
      <c r="HM717" s="5"/>
      <c r="HN717" s="5"/>
      <c r="HO717" s="5"/>
      <c r="HP717" s="5"/>
    </row>
    <row r="718" spans="3:224" ht="20.100000000000001" customHeight="1">
      <c r="C718" s="48">
        <v>16000306</v>
      </c>
      <c r="D718" s="49" t="s">
        <v>627</v>
      </c>
      <c r="E718" s="25">
        <v>11200003</v>
      </c>
      <c r="F718" s="25">
        <v>30022</v>
      </c>
      <c r="G718" s="25">
        <v>1</v>
      </c>
      <c r="H718" s="25">
        <v>10</v>
      </c>
      <c r="I718" s="29">
        <v>0</v>
      </c>
      <c r="J718" s="30">
        <v>0</v>
      </c>
      <c r="K718" s="25">
        <v>0</v>
      </c>
      <c r="L718" s="25">
        <v>0</v>
      </c>
      <c r="M718" s="25">
        <v>0</v>
      </c>
      <c r="N718" s="25">
        <v>0</v>
      </c>
      <c r="O718" s="25">
        <v>0</v>
      </c>
      <c r="P718" s="25">
        <v>0</v>
      </c>
      <c r="Q718" s="25">
        <v>0</v>
      </c>
      <c r="R718" s="25">
        <v>0</v>
      </c>
      <c r="S718" s="25">
        <v>0</v>
      </c>
      <c r="T718" s="25">
        <v>0</v>
      </c>
      <c r="U718" s="29">
        <v>0</v>
      </c>
      <c r="V718" s="25">
        <v>0</v>
      </c>
      <c r="W718" s="25">
        <v>0</v>
      </c>
      <c r="X718" s="25">
        <v>0</v>
      </c>
      <c r="Y718" s="29">
        <v>0</v>
      </c>
      <c r="Z718" s="29">
        <v>0</v>
      </c>
      <c r="AA718" s="29">
        <v>0</v>
      </c>
      <c r="AB718" s="29" t="s">
        <v>596</v>
      </c>
      <c r="AC718" s="29" t="s">
        <v>626</v>
      </c>
      <c r="AD718" s="29" t="s">
        <v>252</v>
      </c>
      <c r="AE718" s="29"/>
      <c r="GR718" s="5"/>
      <c r="GS718" s="5"/>
      <c r="GT718" s="5"/>
      <c r="GU718" s="5"/>
      <c r="GV718" s="5"/>
      <c r="GW718" s="5"/>
      <c r="GX718" s="5"/>
      <c r="GY718" s="5"/>
      <c r="GZ718" s="5"/>
      <c r="HA718" s="5"/>
      <c r="HB718" s="5"/>
      <c r="HC718" s="5"/>
      <c r="HD718" s="5"/>
      <c r="HE718" s="5"/>
      <c r="HF718" s="5"/>
      <c r="HG718" s="5"/>
      <c r="HH718" s="5"/>
      <c r="HI718" s="5"/>
      <c r="HJ718" s="5"/>
      <c r="HK718" s="5"/>
      <c r="HL718" s="5"/>
      <c r="HM718" s="5"/>
      <c r="HN718" s="5"/>
      <c r="HO718" s="5"/>
      <c r="HP718" s="5"/>
    </row>
    <row r="719" spans="3:224" ht="20.100000000000001" customHeight="1">
      <c r="C719" s="48">
        <v>16000307</v>
      </c>
      <c r="D719" s="49" t="s">
        <v>628</v>
      </c>
      <c r="E719" s="25">
        <v>11200003</v>
      </c>
      <c r="F719" s="25">
        <v>30022</v>
      </c>
      <c r="G719" s="25">
        <v>1</v>
      </c>
      <c r="H719" s="25">
        <v>10</v>
      </c>
      <c r="I719" s="29">
        <v>0</v>
      </c>
      <c r="J719" s="30">
        <v>0</v>
      </c>
      <c r="K719" s="25">
        <v>0</v>
      </c>
      <c r="L719" s="25">
        <v>0</v>
      </c>
      <c r="M719" s="25">
        <v>0</v>
      </c>
      <c r="N719" s="25">
        <v>0</v>
      </c>
      <c r="O719" s="25">
        <v>0</v>
      </c>
      <c r="P719" s="25">
        <v>0</v>
      </c>
      <c r="Q719" s="25">
        <v>0</v>
      </c>
      <c r="R719" s="25">
        <v>0</v>
      </c>
      <c r="S719" s="25">
        <v>0</v>
      </c>
      <c r="T719" s="25">
        <v>0</v>
      </c>
      <c r="U719" s="29">
        <v>0</v>
      </c>
      <c r="V719" s="25">
        <v>0</v>
      </c>
      <c r="W719" s="25">
        <v>0</v>
      </c>
      <c r="X719" s="25">
        <v>0</v>
      </c>
      <c r="Y719" s="29">
        <v>0</v>
      </c>
      <c r="Z719" s="29">
        <v>0</v>
      </c>
      <c r="AA719" s="29">
        <v>0</v>
      </c>
      <c r="AB719" s="29" t="s">
        <v>598</v>
      </c>
      <c r="AC719" s="29" t="s">
        <v>626</v>
      </c>
      <c r="AD719" s="29" t="s">
        <v>252</v>
      </c>
      <c r="AE719" s="29"/>
      <c r="GR719" s="5"/>
      <c r="GS719" s="5"/>
      <c r="GT719" s="5"/>
      <c r="GU719" s="5"/>
      <c r="GV719" s="5"/>
      <c r="GW719" s="5"/>
      <c r="GX719" s="5"/>
      <c r="GY719" s="5"/>
      <c r="GZ719" s="5"/>
      <c r="HA719" s="5"/>
      <c r="HB719" s="5"/>
      <c r="HC719" s="5"/>
      <c r="HD719" s="5"/>
      <c r="HE719" s="5"/>
      <c r="HF719" s="5"/>
      <c r="HG719" s="5"/>
      <c r="HH719" s="5"/>
      <c r="HI719" s="5"/>
      <c r="HJ719" s="5"/>
      <c r="HK719" s="5"/>
      <c r="HL719" s="5"/>
      <c r="HM719" s="5"/>
      <c r="HN719" s="5"/>
      <c r="HO719" s="5"/>
      <c r="HP719" s="5"/>
    </row>
    <row r="720" spans="3:224" ht="20.100000000000001" customHeight="1">
      <c r="C720" s="48">
        <v>16000308</v>
      </c>
      <c r="D720" s="49" t="s">
        <v>629</v>
      </c>
      <c r="E720" s="25">
        <v>11200003</v>
      </c>
      <c r="F720" s="25">
        <v>30022</v>
      </c>
      <c r="G720" s="25">
        <v>1</v>
      </c>
      <c r="H720" s="25">
        <v>10</v>
      </c>
      <c r="I720" s="29">
        <v>0</v>
      </c>
      <c r="J720" s="30">
        <v>0</v>
      </c>
      <c r="K720" s="25">
        <v>0</v>
      </c>
      <c r="L720" s="25">
        <v>0</v>
      </c>
      <c r="M720" s="25">
        <v>0</v>
      </c>
      <c r="N720" s="25">
        <v>0</v>
      </c>
      <c r="O720" s="25">
        <v>0</v>
      </c>
      <c r="P720" s="25">
        <v>0</v>
      </c>
      <c r="Q720" s="25">
        <v>0</v>
      </c>
      <c r="R720" s="25">
        <v>0</v>
      </c>
      <c r="S720" s="25">
        <v>0</v>
      </c>
      <c r="T720" s="25">
        <v>0</v>
      </c>
      <c r="U720" s="29">
        <v>0</v>
      </c>
      <c r="V720" s="25">
        <v>0</v>
      </c>
      <c r="W720" s="25">
        <v>0</v>
      </c>
      <c r="X720" s="25">
        <v>0</v>
      </c>
      <c r="Y720" s="29">
        <v>0</v>
      </c>
      <c r="Z720" s="29">
        <v>0</v>
      </c>
      <c r="AA720" s="29">
        <v>0</v>
      </c>
      <c r="AB720" s="29" t="s">
        <v>600</v>
      </c>
      <c r="AC720" s="29" t="s">
        <v>626</v>
      </c>
      <c r="AD720" s="29" t="s">
        <v>252</v>
      </c>
      <c r="AE720" s="29"/>
      <c r="GR720" s="5"/>
      <c r="GS720" s="5"/>
      <c r="GT720" s="5"/>
      <c r="GU720" s="5"/>
      <c r="GV720" s="5"/>
      <c r="GW720" s="5"/>
      <c r="GX720" s="5"/>
      <c r="GY720" s="5"/>
      <c r="GZ720" s="5"/>
      <c r="HA720" s="5"/>
      <c r="HB720" s="5"/>
      <c r="HC720" s="5"/>
      <c r="HD720" s="5"/>
      <c r="HE720" s="5"/>
      <c r="HF720" s="5"/>
      <c r="HG720" s="5"/>
      <c r="HH720" s="5"/>
      <c r="HI720" s="5"/>
      <c r="HJ720" s="5"/>
      <c r="HK720" s="5"/>
      <c r="HL720" s="5"/>
      <c r="HM720" s="5"/>
      <c r="HN720" s="5"/>
      <c r="HO720" s="5"/>
      <c r="HP720" s="5"/>
    </row>
    <row r="721" spans="3:224" ht="20.100000000000001" customHeight="1">
      <c r="C721" s="48">
        <v>16000309</v>
      </c>
      <c r="D721" s="49" t="s">
        <v>630</v>
      </c>
      <c r="E721" s="25">
        <v>11200003</v>
      </c>
      <c r="F721" s="25">
        <v>30023</v>
      </c>
      <c r="G721" s="25">
        <v>1</v>
      </c>
      <c r="H721" s="25">
        <v>10</v>
      </c>
      <c r="I721" s="29">
        <v>0</v>
      </c>
      <c r="J721" s="30">
        <v>0</v>
      </c>
      <c r="K721" s="25">
        <v>0</v>
      </c>
      <c r="L721" s="25">
        <v>0</v>
      </c>
      <c r="M721" s="25">
        <v>0</v>
      </c>
      <c r="N721" s="25">
        <v>0</v>
      </c>
      <c r="O721" s="25">
        <v>0</v>
      </c>
      <c r="P721" s="25">
        <v>0</v>
      </c>
      <c r="Q721" s="25">
        <v>0</v>
      </c>
      <c r="R721" s="25">
        <v>0</v>
      </c>
      <c r="S721" s="25">
        <v>0</v>
      </c>
      <c r="T721" s="25">
        <v>0</v>
      </c>
      <c r="U721" s="29">
        <v>0</v>
      </c>
      <c r="V721" s="25">
        <v>0</v>
      </c>
      <c r="W721" s="25">
        <v>0</v>
      </c>
      <c r="X721" s="25">
        <v>0</v>
      </c>
      <c r="Y721" s="29">
        <v>0</v>
      </c>
      <c r="Z721" s="29">
        <v>0</v>
      </c>
      <c r="AA721" s="29">
        <v>0</v>
      </c>
      <c r="AB721" s="29">
        <v>105401</v>
      </c>
      <c r="AC721" s="29">
        <v>10</v>
      </c>
      <c r="AD721" s="29">
        <v>0</v>
      </c>
      <c r="AE721" s="29"/>
      <c r="GR721" s="5"/>
      <c r="GS721" s="5"/>
      <c r="GT721" s="5"/>
      <c r="GU721" s="5"/>
      <c r="GV721" s="5"/>
      <c r="GW721" s="5"/>
      <c r="GX721" s="5"/>
      <c r="GY721" s="5"/>
      <c r="GZ721" s="5"/>
      <c r="HA721" s="5"/>
      <c r="HB721" s="5"/>
      <c r="HC721" s="5"/>
      <c r="HD721" s="5"/>
      <c r="HE721" s="5"/>
      <c r="HF721" s="5"/>
      <c r="HG721" s="5"/>
      <c r="HH721" s="5"/>
      <c r="HI721" s="5"/>
      <c r="HJ721" s="5"/>
      <c r="HK721" s="5"/>
      <c r="HL721" s="5"/>
      <c r="HM721" s="5"/>
      <c r="HN721" s="5"/>
      <c r="HO721" s="5"/>
      <c r="HP721" s="5"/>
    </row>
    <row r="722" spans="3:224" ht="20.100000000000001" customHeight="1">
      <c r="C722" s="48">
        <v>16000310</v>
      </c>
      <c r="D722" s="49" t="s">
        <v>631</v>
      </c>
      <c r="E722" s="25">
        <v>11200003</v>
      </c>
      <c r="F722" s="25">
        <v>30023</v>
      </c>
      <c r="G722" s="25">
        <v>1</v>
      </c>
      <c r="H722" s="25">
        <v>10</v>
      </c>
      <c r="I722" s="29">
        <v>0</v>
      </c>
      <c r="J722" s="30">
        <v>0</v>
      </c>
      <c r="K722" s="25">
        <v>0</v>
      </c>
      <c r="L722" s="25">
        <v>0</v>
      </c>
      <c r="M722" s="25">
        <v>0</v>
      </c>
      <c r="N722" s="25">
        <v>0</v>
      </c>
      <c r="O722" s="25">
        <v>0</v>
      </c>
      <c r="P722" s="25">
        <v>0</v>
      </c>
      <c r="Q722" s="25">
        <v>0</v>
      </c>
      <c r="R722" s="25">
        <v>0</v>
      </c>
      <c r="S722" s="25">
        <v>0</v>
      </c>
      <c r="T722" s="25">
        <v>0</v>
      </c>
      <c r="U722" s="29">
        <v>0</v>
      </c>
      <c r="V722" s="25">
        <v>0</v>
      </c>
      <c r="W722" s="25">
        <v>0</v>
      </c>
      <c r="X722" s="25">
        <v>0</v>
      </c>
      <c r="Y722" s="29">
        <v>0</v>
      </c>
      <c r="Z722" s="29">
        <v>0</v>
      </c>
      <c r="AA722" s="29">
        <v>0</v>
      </c>
      <c r="AB722" s="29" t="s">
        <v>603</v>
      </c>
      <c r="AC722" s="29" t="s">
        <v>626</v>
      </c>
      <c r="AD722" s="29" t="s">
        <v>252</v>
      </c>
      <c r="AE722" s="29"/>
      <c r="GR722" s="5"/>
      <c r="GS722" s="5"/>
      <c r="GT722" s="5"/>
      <c r="GU722" s="5"/>
      <c r="GV722" s="5"/>
      <c r="GW722" s="5"/>
      <c r="GX722" s="5"/>
      <c r="GY722" s="5"/>
      <c r="GZ722" s="5"/>
      <c r="HA722" s="5"/>
      <c r="HB722" s="5"/>
      <c r="HC722" s="5"/>
      <c r="HD722" s="5"/>
      <c r="HE722" s="5"/>
      <c r="HF722" s="5"/>
      <c r="HG722" s="5"/>
      <c r="HH722" s="5"/>
      <c r="HI722" s="5"/>
      <c r="HJ722" s="5"/>
      <c r="HK722" s="5"/>
      <c r="HL722" s="5"/>
      <c r="HM722" s="5"/>
      <c r="HN722" s="5"/>
      <c r="HO722" s="5"/>
      <c r="HP722" s="5"/>
    </row>
    <row r="723" spans="3:224" ht="20.100000000000001" customHeight="1">
      <c r="C723" s="48">
        <v>16000311</v>
      </c>
      <c r="D723" s="49" t="s">
        <v>632</v>
      </c>
      <c r="E723" s="25">
        <v>11200003</v>
      </c>
      <c r="F723" s="25">
        <v>30023</v>
      </c>
      <c r="G723" s="25">
        <v>1</v>
      </c>
      <c r="H723" s="25">
        <v>10</v>
      </c>
      <c r="I723" s="29">
        <v>0</v>
      </c>
      <c r="J723" s="30">
        <v>0</v>
      </c>
      <c r="K723" s="25">
        <v>0</v>
      </c>
      <c r="L723" s="25">
        <v>0</v>
      </c>
      <c r="M723" s="25">
        <v>0</v>
      </c>
      <c r="N723" s="25">
        <v>0</v>
      </c>
      <c r="O723" s="25">
        <v>0</v>
      </c>
      <c r="P723" s="25">
        <v>0</v>
      </c>
      <c r="Q723" s="25">
        <v>0</v>
      </c>
      <c r="R723" s="25">
        <v>0</v>
      </c>
      <c r="S723" s="25">
        <v>0</v>
      </c>
      <c r="T723" s="25">
        <v>0</v>
      </c>
      <c r="U723" s="29">
        <v>0</v>
      </c>
      <c r="V723" s="25">
        <v>0</v>
      </c>
      <c r="W723" s="25">
        <v>0</v>
      </c>
      <c r="X723" s="25">
        <v>0</v>
      </c>
      <c r="Y723" s="29">
        <v>0</v>
      </c>
      <c r="Z723" s="29">
        <v>0</v>
      </c>
      <c r="AA723" s="29">
        <v>0</v>
      </c>
      <c r="AB723" s="29" t="s">
        <v>605</v>
      </c>
      <c r="AC723" s="29" t="s">
        <v>626</v>
      </c>
      <c r="AD723" s="29" t="s">
        <v>252</v>
      </c>
      <c r="AE723" s="29"/>
      <c r="GR723" s="5"/>
      <c r="GS723" s="5"/>
      <c r="GT723" s="5"/>
      <c r="GU723" s="5"/>
      <c r="GV723" s="5"/>
      <c r="GW723" s="5"/>
      <c r="GX723" s="5"/>
      <c r="GY723" s="5"/>
      <c r="GZ723" s="5"/>
      <c r="HA723" s="5"/>
      <c r="HB723" s="5"/>
      <c r="HC723" s="5"/>
      <c r="HD723" s="5"/>
      <c r="HE723" s="5"/>
      <c r="HF723" s="5"/>
      <c r="HG723" s="5"/>
      <c r="HH723" s="5"/>
      <c r="HI723" s="5"/>
      <c r="HJ723" s="5"/>
      <c r="HK723" s="5"/>
      <c r="HL723" s="5"/>
      <c r="HM723" s="5"/>
      <c r="HN723" s="5"/>
      <c r="HO723" s="5"/>
      <c r="HP723" s="5"/>
    </row>
    <row r="724" spans="3:224" ht="20.100000000000001" customHeight="1">
      <c r="C724" s="48">
        <v>16000312</v>
      </c>
      <c r="D724" s="49" t="s">
        <v>633</v>
      </c>
      <c r="E724" s="25">
        <v>11200003</v>
      </c>
      <c r="F724" s="25">
        <v>30023</v>
      </c>
      <c r="G724" s="25">
        <v>1</v>
      </c>
      <c r="H724" s="25">
        <v>10</v>
      </c>
      <c r="I724" s="29">
        <v>0</v>
      </c>
      <c r="J724" s="30">
        <v>0</v>
      </c>
      <c r="K724" s="25">
        <v>0</v>
      </c>
      <c r="L724" s="25">
        <v>0</v>
      </c>
      <c r="M724" s="25">
        <v>0</v>
      </c>
      <c r="N724" s="25">
        <v>0</v>
      </c>
      <c r="O724" s="25">
        <v>0</v>
      </c>
      <c r="P724" s="25">
        <v>0</v>
      </c>
      <c r="Q724" s="25">
        <v>0</v>
      </c>
      <c r="R724" s="25">
        <v>0</v>
      </c>
      <c r="S724" s="25">
        <v>0</v>
      </c>
      <c r="T724" s="25">
        <v>0</v>
      </c>
      <c r="U724" s="29">
        <v>0</v>
      </c>
      <c r="V724" s="25">
        <v>0</v>
      </c>
      <c r="W724" s="25">
        <v>0</v>
      </c>
      <c r="X724" s="25">
        <v>0</v>
      </c>
      <c r="Y724" s="29">
        <v>0</v>
      </c>
      <c r="Z724" s="29">
        <v>0</v>
      </c>
      <c r="AA724" s="29">
        <v>0</v>
      </c>
      <c r="AB724" s="29" t="s">
        <v>607</v>
      </c>
      <c r="AC724" s="29" t="s">
        <v>626</v>
      </c>
      <c r="AD724" s="29" t="s">
        <v>252</v>
      </c>
      <c r="AE724" s="29"/>
      <c r="GR724" s="5"/>
      <c r="GS724" s="5"/>
      <c r="GT724" s="5"/>
      <c r="GU724" s="5"/>
      <c r="GV724" s="5"/>
      <c r="GW724" s="5"/>
      <c r="GX724" s="5"/>
      <c r="GY724" s="5"/>
      <c r="GZ724" s="5"/>
      <c r="HA724" s="5"/>
      <c r="HB724" s="5"/>
      <c r="HC724" s="5"/>
      <c r="HD724" s="5"/>
      <c r="HE724" s="5"/>
      <c r="HF724" s="5"/>
      <c r="HG724" s="5"/>
      <c r="HH724" s="5"/>
      <c r="HI724" s="5"/>
      <c r="HJ724" s="5"/>
      <c r="HK724" s="5"/>
      <c r="HL724" s="5"/>
      <c r="HM724" s="5"/>
      <c r="HN724" s="5"/>
      <c r="HO724" s="5"/>
      <c r="HP724" s="5"/>
    </row>
    <row r="725" spans="3:224" ht="20.100000000000001" customHeight="1">
      <c r="C725" s="48">
        <v>16000401</v>
      </c>
      <c r="D725" s="49" t="s">
        <v>636</v>
      </c>
      <c r="E725" s="59">
        <v>11200010</v>
      </c>
      <c r="F725" s="25">
        <v>30031</v>
      </c>
      <c r="G725" s="25">
        <v>1</v>
      </c>
      <c r="H725" s="25">
        <v>12</v>
      </c>
      <c r="I725" s="29">
        <v>0</v>
      </c>
      <c r="J725" s="30">
        <v>0</v>
      </c>
      <c r="K725" s="25">
        <v>0</v>
      </c>
      <c r="L725" s="25">
        <v>0</v>
      </c>
      <c r="M725" s="25">
        <v>0</v>
      </c>
      <c r="N725" s="25">
        <v>0</v>
      </c>
      <c r="O725" s="25">
        <v>0</v>
      </c>
      <c r="P725" s="25">
        <v>0</v>
      </c>
      <c r="Q725" s="25">
        <v>0</v>
      </c>
      <c r="R725" s="25">
        <v>0</v>
      </c>
      <c r="S725" s="25">
        <v>0</v>
      </c>
      <c r="T725" s="25">
        <v>0</v>
      </c>
      <c r="U725" s="29">
        <v>0</v>
      </c>
      <c r="V725" s="25">
        <v>0</v>
      </c>
      <c r="W725" s="25">
        <v>0</v>
      </c>
      <c r="X725" s="25">
        <v>0</v>
      </c>
      <c r="Y725" s="29">
        <v>0</v>
      </c>
      <c r="Z725" s="29">
        <v>0</v>
      </c>
      <c r="AA725" s="29">
        <v>0</v>
      </c>
      <c r="AB725" s="29">
        <v>105101</v>
      </c>
      <c r="AC725" s="29">
        <v>13</v>
      </c>
      <c r="AD725" s="29">
        <v>0</v>
      </c>
      <c r="AE725" s="29"/>
      <c r="GR725" s="5"/>
      <c r="GS725" s="5"/>
      <c r="GT725" s="5"/>
      <c r="GU725" s="5"/>
      <c r="GV725" s="5"/>
      <c r="GW725" s="5"/>
      <c r="GX725" s="5"/>
      <c r="GY725" s="5"/>
      <c r="GZ725" s="5"/>
      <c r="HA725" s="5"/>
      <c r="HB725" s="5"/>
      <c r="HC725" s="5"/>
      <c r="HD725" s="5"/>
      <c r="HE725" s="5"/>
      <c r="HF725" s="5"/>
      <c r="HG725" s="5"/>
      <c r="HH725" s="5"/>
      <c r="HI725" s="5"/>
      <c r="HJ725" s="5"/>
      <c r="HK725" s="5"/>
      <c r="HL725" s="5"/>
      <c r="HM725" s="5"/>
      <c r="HN725" s="5"/>
      <c r="HO725" s="5"/>
      <c r="HP725" s="5"/>
    </row>
    <row r="726" spans="3:224" ht="20.100000000000001" customHeight="1">
      <c r="C726" s="48">
        <v>16000402</v>
      </c>
      <c r="D726" s="49" t="s">
        <v>637</v>
      </c>
      <c r="E726" s="59">
        <v>11200010</v>
      </c>
      <c r="F726" s="25">
        <v>30031</v>
      </c>
      <c r="G726" s="25">
        <v>1</v>
      </c>
      <c r="H726" s="25">
        <v>12</v>
      </c>
      <c r="I726" s="29">
        <v>0</v>
      </c>
      <c r="J726" s="30">
        <v>0</v>
      </c>
      <c r="K726" s="25">
        <v>0</v>
      </c>
      <c r="L726" s="25">
        <v>0</v>
      </c>
      <c r="M726" s="25">
        <v>0</v>
      </c>
      <c r="N726" s="25">
        <v>0</v>
      </c>
      <c r="O726" s="25">
        <v>0</v>
      </c>
      <c r="P726" s="25">
        <v>0</v>
      </c>
      <c r="Q726" s="25">
        <v>0</v>
      </c>
      <c r="R726" s="25">
        <v>0</v>
      </c>
      <c r="S726" s="25">
        <v>0</v>
      </c>
      <c r="T726" s="25">
        <v>0</v>
      </c>
      <c r="U726" s="29">
        <v>0</v>
      </c>
      <c r="V726" s="25">
        <v>0</v>
      </c>
      <c r="W726" s="25">
        <v>0</v>
      </c>
      <c r="X726" s="25">
        <v>0</v>
      </c>
      <c r="Y726" s="29">
        <v>0</v>
      </c>
      <c r="Z726" s="29">
        <v>0</v>
      </c>
      <c r="AA726" s="29">
        <v>0</v>
      </c>
      <c r="AB726" s="29">
        <v>105501</v>
      </c>
      <c r="AC726" s="29">
        <v>13</v>
      </c>
      <c r="AD726" s="29">
        <v>0</v>
      </c>
      <c r="AE726" s="29"/>
      <c r="GR726" s="5"/>
      <c r="GS726" s="5"/>
      <c r="GT726" s="5"/>
      <c r="GU726" s="5"/>
      <c r="GV726" s="5"/>
      <c r="GW726" s="5"/>
      <c r="GX726" s="5"/>
      <c r="GY726" s="5"/>
      <c r="GZ726" s="5"/>
      <c r="HA726" s="5"/>
      <c r="HB726" s="5"/>
      <c r="HC726" s="5"/>
      <c r="HD726" s="5"/>
      <c r="HE726" s="5"/>
      <c r="HF726" s="5"/>
      <c r="HG726" s="5"/>
      <c r="HH726" s="5"/>
      <c r="HI726" s="5"/>
      <c r="HJ726" s="5"/>
      <c r="HK726" s="5"/>
      <c r="HL726" s="5"/>
      <c r="HM726" s="5"/>
      <c r="HN726" s="5"/>
      <c r="HO726" s="5"/>
      <c r="HP726" s="5"/>
    </row>
    <row r="727" spans="3:224" ht="20.100000000000001" customHeight="1">
      <c r="C727" s="48">
        <v>16000403</v>
      </c>
      <c r="D727" s="49" t="s">
        <v>638</v>
      </c>
      <c r="E727" s="59">
        <v>11200010</v>
      </c>
      <c r="F727" s="25">
        <v>30031</v>
      </c>
      <c r="G727" s="25">
        <v>1</v>
      </c>
      <c r="H727" s="25">
        <v>12</v>
      </c>
      <c r="I727" s="29">
        <v>0</v>
      </c>
      <c r="J727" s="30">
        <v>0</v>
      </c>
      <c r="K727" s="25">
        <v>0</v>
      </c>
      <c r="L727" s="25">
        <v>0</v>
      </c>
      <c r="M727" s="25">
        <v>0</v>
      </c>
      <c r="N727" s="25">
        <v>0</v>
      </c>
      <c r="O727" s="25">
        <v>0</v>
      </c>
      <c r="P727" s="25">
        <v>0</v>
      </c>
      <c r="Q727" s="25">
        <v>0</v>
      </c>
      <c r="R727" s="25">
        <v>0</v>
      </c>
      <c r="S727" s="25">
        <v>0</v>
      </c>
      <c r="T727" s="25">
        <v>0</v>
      </c>
      <c r="U727" s="29">
        <v>0</v>
      </c>
      <c r="V727" s="25">
        <v>0</v>
      </c>
      <c r="W727" s="25">
        <v>0</v>
      </c>
      <c r="X727" s="25">
        <v>0</v>
      </c>
      <c r="Y727" s="29">
        <v>0</v>
      </c>
      <c r="Z727" s="29">
        <v>0</v>
      </c>
      <c r="AA727" s="29">
        <v>0</v>
      </c>
      <c r="AB727" s="29">
        <v>105301</v>
      </c>
      <c r="AC727" s="29">
        <v>13</v>
      </c>
      <c r="AD727" s="29">
        <v>0</v>
      </c>
      <c r="AE727" s="29"/>
      <c r="GR727" s="5"/>
      <c r="GS727" s="5"/>
      <c r="GT727" s="5"/>
      <c r="GU727" s="5"/>
      <c r="GV727" s="5"/>
      <c r="GW727" s="5"/>
      <c r="GX727" s="5"/>
      <c r="GY727" s="5"/>
      <c r="GZ727" s="5"/>
      <c r="HA727" s="5"/>
      <c r="HB727" s="5"/>
      <c r="HC727" s="5"/>
      <c r="HD727" s="5"/>
      <c r="HE727" s="5"/>
      <c r="HF727" s="5"/>
      <c r="HG727" s="5"/>
      <c r="HH727" s="5"/>
      <c r="HI727" s="5"/>
      <c r="HJ727" s="5"/>
      <c r="HK727" s="5"/>
      <c r="HL727" s="5"/>
      <c r="HM727" s="5"/>
      <c r="HN727" s="5"/>
      <c r="HO727" s="5"/>
      <c r="HP727" s="5"/>
    </row>
    <row r="728" spans="3:224" ht="20.100000000000001" customHeight="1">
      <c r="C728" s="48">
        <v>16000404</v>
      </c>
      <c r="D728" s="49" t="s">
        <v>639</v>
      </c>
      <c r="E728" s="59">
        <v>11200010</v>
      </c>
      <c r="F728" s="25">
        <v>30031</v>
      </c>
      <c r="G728" s="25">
        <v>1</v>
      </c>
      <c r="H728" s="25">
        <v>12</v>
      </c>
      <c r="I728" s="29">
        <v>0</v>
      </c>
      <c r="J728" s="30">
        <v>0</v>
      </c>
      <c r="K728" s="25">
        <v>0</v>
      </c>
      <c r="L728" s="25">
        <v>0</v>
      </c>
      <c r="M728" s="25">
        <v>0</v>
      </c>
      <c r="N728" s="25">
        <v>0</v>
      </c>
      <c r="O728" s="25">
        <v>0</v>
      </c>
      <c r="P728" s="25">
        <v>0</v>
      </c>
      <c r="Q728" s="25">
        <v>0</v>
      </c>
      <c r="R728" s="25">
        <v>0</v>
      </c>
      <c r="S728" s="25">
        <v>0</v>
      </c>
      <c r="T728" s="25">
        <v>0</v>
      </c>
      <c r="U728" s="29">
        <v>0</v>
      </c>
      <c r="V728" s="25">
        <v>0</v>
      </c>
      <c r="W728" s="25">
        <v>0</v>
      </c>
      <c r="X728" s="25">
        <v>0</v>
      </c>
      <c r="Y728" s="29">
        <v>0</v>
      </c>
      <c r="Z728" s="29">
        <v>0</v>
      </c>
      <c r="AA728" s="29">
        <v>0</v>
      </c>
      <c r="AB728" s="29">
        <v>105201</v>
      </c>
      <c r="AC728" s="29">
        <v>13</v>
      </c>
      <c r="AD728" s="29">
        <v>0</v>
      </c>
      <c r="AE728" s="29"/>
      <c r="GR728" s="5"/>
      <c r="GS728" s="5"/>
      <c r="GT728" s="5"/>
      <c r="GU728" s="5"/>
      <c r="GV728" s="5"/>
      <c r="GW728" s="5"/>
      <c r="GX728" s="5"/>
      <c r="GY728" s="5"/>
      <c r="GZ728" s="5"/>
      <c r="HA728" s="5"/>
      <c r="HB728" s="5"/>
      <c r="HC728" s="5"/>
      <c r="HD728" s="5"/>
      <c r="HE728" s="5"/>
      <c r="HF728" s="5"/>
      <c r="HG728" s="5"/>
      <c r="HH728" s="5"/>
      <c r="HI728" s="5"/>
      <c r="HJ728" s="5"/>
      <c r="HK728" s="5"/>
      <c r="HL728" s="5"/>
      <c r="HM728" s="5"/>
      <c r="HN728" s="5"/>
      <c r="HO728" s="5"/>
      <c r="HP728" s="5"/>
    </row>
    <row r="729" spans="3:224" ht="20.100000000000001" customHeight="1">
      <c r="C729" s="48">
        <v>16000405</v>
      </c>
      <c r="D729" s="49" t="s">
        <v>640</v>
      </c>
      <c r="E729" s="59">
        <v>11200010</v>
      </c>
      <c r="F729" s="25">
        <v>30032</v>
      </c>
      <c r="G729" s="25">
        <v>1</v>
      </c>
      <c r="H729" s="25">
        <v>12</v>
      </c>
      <c r="I729" s="29">
        <v>0</v>
      </c>
      <c r="J729" s="30">
        <v>0</v>
      </c>
      <c r="K729" s="25">
        <v>0</v>
      </c>
      <c r="L729" s="25">
        <v>0</v>
      </c>
      <c r="M729" s="25">
        <v>0</v>
      </c>
      <c r="N729" s="25">
        <v>0</v>
      </c>
      <c r="O729" s="25">
        <v>0</v>
      </c>
      <c r="P729" s="25">
        <v>0</v>
      </c>
      <c r="Q729" s="25">
        <v>0</v>
      </c>
      <c r="R729" s="25">
        <v>0</v>
      </c>
      <c r="S729" s="25">
        <v>0</v>
      </c>
      <c r="T729" s="25">
        <v>0</v>
      </c>
      <c r="U729" s="29">
        <v>0</v>
      </c>
      <c r="V729" s="25">
        <v>0</v>
      </c>
      <c r="W729" s="25">
        <v>0</v>
      </c>
      <c r="X729" s="25">
        <v>0</v>
      </c>
      <c r="Y729" s="29">
        <v>0</v>
      </c>
      <c r="Z729" s="29">
        <v>0</v>
      </c>
      <c r="AA729" s="29">
        <v>0</v>
      </c>
      <c r="AB729" s="29" t="s">
        <v>593</v>
      </c>
      <c r="AC729" s="29" t="s">
        <v>648</v>
      </c>
      <c r="AD729" s="29" t="s">
        <v>252</v>
      </c>
      <c r="AE729" s="29"/>
      <c r="GR729" s="5"/>
      <c r="GS729" s="5"/>
      <c r="GT729" s="5"/>
      <c r="GU729" s="5"/>
      <c r="GV729" s="5"/>
      <c r="GW729" s="5"/>
      <c r="GX729" s="5"/>
      <c r="GY729" s="5"/>
      <c r="GZ729" s="5"/>
      <c r="HA729" s="5"/>
      <c r="HB729" s="5"/>
      <c r="HC729" s="5"/>
      <c r="HD729" s="5"/>
      <c r="HE729" s="5"/>
      <c r="HF729" s="5"/>
      <c r="HG729" s="5"/>
      <c r="HH729" s="5"/>
      <c r="HI729" s="5"/>
      <c r="HJ729" s="5"/>
      <c r="HK729" s="5"/>
      <c r="HL729" s="5"/>
      <c r="HM729" s="5"/>
      <c r="HN729" s="5"/>
      <c r="HO729" s="5"/>
      <c r="HP729" s="5"/>
    </row>
    <row r="730" spans="3:224" ht="20.100000000000001" customHeight="1">
      <c r="C730" s="48">
        <v>16000406</v>
      </c>
      <c r="D730" s="49" t="s">
        <v>641</v>
      </c>
      <c r="E730" s="59">
        <v>11200010</v>
      </c>
      <c r="F730" s="25">
        <v>30032</v>
      </c>
      <c r="G730" s="25">
        <v>1</v>
      </c>
      <c r="H730" s="25">
        <v>12</v>
      </c>
      <c r="I730" s="29">
        <v>0</v>
      </c>
      <c r="J730" s="30">
        <v>0</v>
      </c>
      <c r="K730" s="25">
        <v>0</v>
      </c>
      <c r="L730" s="25">
        <v>0</v>
      </c>
      <c r="M730" s="25">
        <v>0</v>
      </c>
      <c r="N730" s="25">
        <v>0</v>
      </c>
      <c r="O730" s="25">
        <v>0</v>
      </c>
      <c r="P730" s="25">
        <v>0</v>
      </c>
      <c r="Q730" s="25">
        <v>0</v>
      </c>
      <c r="R730" s="25">
        <v>0</v>
      </c>
      <c r="S730" s="25">
        <v>0</v>
      </c>
      <c r="T730" s="25">
        <v>0</v>
      </c>
      <c r="U730" s="29">
        <v>0</v>
      </c>
      <c r="V730" s="25">
        <v>0</v>
      </c>
      <c r="W730" s="25">
        <v>0</v>
      </c>
      <c r="X730" s="25">
        <v>0</v>
      </c>
      <c r="Y730" s="29">
        <v>0</v>
      </c>
      <c r="Z730" s="29">
        <v>0</v>
      </c>
      <c r="AA730" s="29">
        <v>0</v>
      </c>
      <c r="AB730" s="29" t="s">
        <v>596</v>
      </c>
      <c r="AC730" s="29" t="s">
        <v>648</v>
      </c>
      <c r="AD730" s="29" t="s">
        <v>252</v>
      </c>
      <c r="AE730" s="29"/>
      <c r="GR730" s="5"/>
      <c r="GS730" s="5"/>
      <c r="GT730" s="5"/>
      <c r="GU730" s="5"/>
      <c r="GV730" s="5"/>
      <c r="GW730" s="5"/>
      <c r="GX730" s="5"/>
      <c r="GY730" s="5"/>
      <c r="GZ730" s="5"/>
      <c r="HA730" s="5"/>
      <c r="HB730" s="5"/>
      <c r="HC730" s="5"/>
      <c r="HD730" s="5"/>
      <c r="HE730" s="5"/>
      <c r="HF730" s="5"/>
      <c r="HG730" s="5"/>
      <c r="HH730" s="5"/>
      <c r="HI730" s="5"/>
      <c r="HJ730" s="5"/>
      <c r="HK730" s="5"/>
      <c r="HL730" s="5"/>
      <c r="HM730" s="5"/>
      <c r="HN730" s="5"/>
      <c r="HO730" s="5"/>
      <c r="HP730" s="5"/>
    </row>
    <row r="731" spans="3:224" ht="20.100000000000001" customHeight="1">
      <c r="C731" s="48">
        <v>16000407</v>
      </c>
      <c r="D731" s="49" t="s">
        <v>642</v>
      </c>
      <c r="E731" s="59">
        <v>11200010</v>
      </c>
      <c r="F731" s="25">
        <v>30032</v>
      </c>
      <c r="G731" s="25">
        <v>1</v>
      </c>
      <c r="H731" s="25">
        <v>12</v>
      </c>
      <c r="I731" s="29">
        <v>0</v>
      </c>
      <c r="J731" s="30">
        <v>0</v>
      </c>
      <c r="K731" s="25">
        <v>0</v>
      </c>
      <c r="L731" s="25">
        <v>0</v>
      </c>
      <c r="M731" s="25">
        <v>0</v>
      </c>
      <c r="N731" s="25">
        <v>0</v>
      </c>
      <c r="O731" s="25">
        <v>0</v>
      </c>
      <c r="P731" s="25">
        <v>0</v>
      </c>
      <c r="Q731" s="25">
        <v>0</v>
      </c>
      <c r="R731" s="25">
        <v>0</v>
      </c>
      <c r="S731" s="25">
        <v>0</v>
      </c>
      <c r="T731" s="25">
        <v>0</v>
      </c>
      <c r="U731" s="29">
        <v>0</v>
      </c>
      <c r="V731" s="25">
        <v>0</v>
      </c>
      <c r="W731" s="25">
        <v>0</v>
      </c>
      <c r="X731" s="25">
        <v>0</v>
      </c>
      <c r="Y731" s="29">
        <v>0</v>
      </c>
      <c r="Z731" s="29">
        <v>0</v>
      </c>
      <c r="AA731" s="29">
        <v>0</v>
      </c>
      <c r="AB731" s="29" t="s">
        <v>598</v>
      </c>
      <c r="AC731" s="29" t="s">
        <v>648</v>
      </c>
      <c r="AD731" s="29" t="s">
        <v>252</v>
      </c>
      <c r="AE731" s="29"/>
      <c r="GR731" s="5"/>
      <c r="GS731" s="5"/>
      <c r="GT731" s="5"/>
      <c r="GU731" s="5"/>
      <c r="GV731" s="5"/>
      <c r="GW731" s="5"/>
      <c r="GX731" s="5"/>
      <c r="GY731" s="5"/>
      <c r="GZ731" s="5"/>
      <c r="HA731" s="5"/>
      <c r="HB731" s="5"/>
      <c r="HC731" s="5"/>
      <c r="HD731" s="5"/>
      <c r="HE731" s="5"/>
      <c r="HF731" s="5"/>
      <c r="HG731" s="5"/>
      <c r="HH731" s="5"/>
      <c r="HI731" s="5"/>
      <c r="HJ731" s="5"/>
      <c r="HK731" s="5"/>
      <c r="HL731" s="5"/>
      <c r="HM731" s="5"/>
      <c r="HN731" s="5"/>
      <c r="HO731" s="5"/>
      <c r="HP731" s="5"/>
    </row>
    <row r="732" spans="3:224" ht="20.100000000000001" customHeight="1">
      <c r="C732" s="48">
        <v>16000408</v>
      </c>
      <c r="D732" s="49" t="s">
        <v>643</v>
      </c>
      <c r="E732" s="59">
        <v>11200010</v>
      </c>
      <c r="F732" s="25">
        <v>30032</v>
      </c>
      <c r="G732" s="25">
        <v>1</v>
      </c>
      <c r="H732" s="25">
        <v>12</v>
      </c>
      <c r="I732" s="29">
        <v>0</v>
      </c>
      <c r="J732" s="30">
        <v>0</v>
      </c>
      <c r="K732" s="25">
        <v>0</v>
      </c>
      <c r="L732" s="25">
        <v>0</v>
      </c>
      <c r="M732" s="25">
        <v>0</v>
      </c>
      <c r="N732" s="25">
        <v>0</v>
      </c>
      <c r="O732" s="25">
        <v>0</v>
      </c>
      <c r="P732" s="25">
        <v>0</v>
      </c>
      <c r="Q732" s="25">
        <v>0</v>
      </c>
      <c r="R732" s="25">
        <v>0</v>
      </c>
      <c r="S732" s="25">
        <v>0</v>
      </c>
      <c r="T732" s="25">
        <v>0</v>
      </c>
      <c r="U732" s="29">
        <v>0</v>
      </c>
      <c r="V732" s="25">
        <v>0</v>
      </c>
      <c r="W732" s="25">
        <v>0</v>
      </c>
      <c r="X732" s="25">
        <v>0</v>
      </c>
      <c r="Y732" s="29">
        <v>0</v>
      </c>
      <c r="Z732" s="29">
        <v>0</v>
      </c>
      <c r="AA732" s="29">
        <v>0</v>
      </c>
      <c r="AB732" s="29" t="s">
        <v>600</v>
      </c>
      <c r="AC732" s="29" t="s">
        <v>648</v>
      </c>
      <c r="AD732" s="29" t="s">
        <v>252</v>
      </c>
      <c r="AE732" s="29"/>
      <c r="GR732" s="5"/>
      <c r="GS732" s="5"/>
      <c r="GT732" s="5"/>
      <c r="GU732" s="5"/>
      <c r="GV732" s="5"/>
      <c r="GW732" s="5"/>
      <c r="GX732" s="5"/>
      <c r="GY732" s="5"/>
      <c r="GZ732" s="5"/>
      <c r="HA732" s="5"/>
      <c r="HB732" s="5"/>
      <c r="HC732" s="5"/>
      <c r="HD732" s="5"/>
      <c r="HE732" s="5"/>
      <c r="HF732" s="5"/>
      <c r="HG732" s="5"/>
      <c r="HH732" s="5"/>
      <c r="HI732" s="5"/>
      <c r="HJ732" s="5"/>
      <c r="HK732" s="5"/>
      <c r="HL732" s="5"/>
      <c r="HM732" s="5"/>
      <c r="HN732" s="5"/>
      <c r="HO732" s="5"/>
      <c r="HP732" s="5"/>
    </row>
    <row r="733" spans="3:224" ht="20.100000000000001" customHeight="1">
      <c r="C733" s="48">
        <v>16000409</v>
      </c>
      <c r="D733" s="49" t="s">
        <v>644</v>
      </c>
      <c r="E733" s="59">
        <v>11200010</v>
      </c>
      <c r="F733" s="25">
        <v>30033</v>
      </c>
      <c r="G733" s="25">
        <v>1</v>
      </c>
      <c r="H733" s="25">
        <v>12</v>
      </c>
      <c r="I733" s="29">
        <v>0</v>
      </c>
      <c r="J733" s="30">
        <v>0</v>
      </c>
      <c r="K733" s="25">
        <v>0</v>
      </c>
      <c r="L733" s="25">
        <v>0</v>
      </c>
      <c r="M733" s="25">
        <v>0</v>
      </c>
      <c r="N733" s="25">
        <v>0</v>
      </c>
      <c r="O733" s="25">
        <v>0</v>
      </c>
      <c r="P733" s="25">
        <v>0</v>
      </c>
      <c r="Q733" s="25">
        <v>0</v>
      </c>
      <c r="R733" s="25">
        <v>0</v>
      </c>
      <c r="S733" s="25">
        <v>0</v>
      </c>
      <c r="T733" s="25">
        <v>0</v>
      </c>
      <c r="U733" s="29">
        <v>0</v>
      </c>
      <c r="V733" s="25">
        <v>0</v>
      </c>
      <c r="W733" s="25">
        <v>0</v>
      </c>
      <c r="X733" s="25">
        <v>0</v>
      </c>
      <c r="Y733" s="29">
        <v>0</v>
      </c>
      <c r="Z733" s="29">
        <v>0</v>
      </c>
      <c r="AA733" s="29">
        <v>0</v>
      </c>
      <c r="AB733" s="29">
        <v>105401</v>
      </c>
      <c r="AC733" s="29">
        <v>13</v>
      </c>
      <c r="AD733" s="29">
        <v>0</v>
      </c>
      <c r="AE733" s="29"/>
      <c r="GR733" s="5"/>
      <c r="GS733" s="5"/>
      <c r="GT733" s="5"/>
      <c r="GU733" s="5"/>
      <c r="GV733" s="5"/>
      <c r="GW733" s="5"/>
      <c r="GX733" s="5"/>
      <c r="GY733" s="5"/>
      <c r="GZ733" s="5"/>
      <c r="HA733" s="5"/>
      <c r="HB733" s="5"/>
      <c r="HC733" s="5"/>
      <c r="HD733" s="5"/>
      <c r="HE733" s="5"/>
      <c r="HF733" s="5"/>
      <c r="HG733" s="5"/>
      <c r="HH733" s="5"/>
      <c r="HI733" s="5"/>
      <c r="HJ733" s="5"/>
      <c r="HK733" s="5"/>
      <c r="HL733" s="5"/>
      <c r="HM733" s="5"/>
      <c r="HN733" s="5"/>
      <c r="HO733" s="5"/>
      <c r="HP733" s="5"/>
    </row>
    <row r="734" spans="3:224" ht="20.100000000000001" customHeight="1">
      <c r="C734" s="48">
        <v>16000410</v>
      </c>
      <c r="D734" s="49" t="s">
        <v>645</v>
      </c>
      <c r="E734" s="59">
        <v>11200010</v>
      </c>
      <c r="F734" s="25">
        <v>30033</v>
      </c>
      <c r="G734" s="25">
        <v>1</v>
      </c>
      <c r="H734" s="25">
        <v>12</v>
      </c>
      <c r="I734" s="29">
        <v>0</v>
      </c>
      <c r="J734" s="30">
        <v>0</v>
      </c>
      <c r="K734" s="25">
        <v>0</v>
      </c>
      <c r="L734" s="25">
        <v>0</v>
      </c>
      <c r="M734" s="25">
        <v>0</v>
      </c>
      <c r="N734" s="25">
        <v>0</v>
      </c>
      <c r="O734" s="25">
        <v>0</v>
      </c>
      <c r="P734" s="25">
        <v>0</v>
      </c>
      <c r="Q734" s="25">
        <v>0</v>
      </c>
      <c r="R734" s="25">
        <v>0</v>
      </c>
      <c r="S734" s="25">
        <v>0</v>
      </c>
      <c r="T734" s="25">
        <v>0</v>
      </c>
      <c r="U734" s="29">
        <v>0</v>
      </c>
      <c r="V734" s="25">
        <v>0</v>
      </c>
      <c r="W734" s="25">
        <v>0</v>
      </c>
      <c r="X734" s="25">
        <v>0</v>
      </c>
      <c r="Y734" s="29">
        <v>0</v>
      </c>
      <c r="Z734" s="29">
        <v>0</v>
      </c>
      <c r="AA734" s="29">
        <v>0</v>
      </c>
      <c r="AB734" s="29" t="s">
        <v>603</v>
      </c>
      <c r="AC734" s="29" t="s">
        <v>648</v>
      </c>
      <c r="AD734" s="29" t="s">
        <v>252</v>
      </c>
      <c r="AE734" s="29"/>
      <c r="GR734" s="5"/>
      <c r="GS734" s="5"/>
      <c r="GT734" s="5"/>
      <c r="GU734" s="5"/>
      <c r="GV734" s="5"/>
      <c r="GW734" s="5"/>
      <c r="GX734" s="5"/>
      <c r="GY734" s="5"/>
      <c r="GZ734" s="5"/>
      <c r="HA734" s="5"/>
      <c r="HB734" s="5"/>
      <c r="HC734" s="5"/>
      <c r="HD734" s="5"/>
      <c r="HE734" s="5"/>
      <c r="HF734" s="5"/>
      <c r="HG734" s="5"/>
      <c r="HH734" s="5"/>
      <c r="HI734" s="5"/>
      <c r="HJ734" s="5"/>
      <c r="HK734" s="5"/>
      <c r="HL734" s="5"/>
      <c r="HM734" s="5"/>
      <c r="HN734" s="5"/>
      <c r="HO734" s="5"/>
      <c r="HP734" s="5"/>
    </row>
    <row r="735" spans="3:224" ht="20.100000000000001" customHeight="1">
      <c r="C735" s="48">
        <v>16000411</v>
      </c>
      <c r="D735" s="49" t="s">
        <v>646</v>
      </c>
      <c r="E735" s="59">
        <v>11200010</v>
      </c>
      <c r="F735" s="25">
        <v>30033</v>
      </c>
      <c r="G735" s="25">
        <v>1</v>
      </c>
      <c r="H735" s="25">
        <v>12</v>
      </c>
      <c r="I735" s="29">
        <v>0</v>
      </c>
      <c r="J735" s="30">
        <v>0</v>
      </c>
      <c r="K735" s="25">
        <v>0</v>
      </c>
      <c r="L735" s="25">
        <v>0</v>
      </c>
      <c r="M735" s="25">
        <v>0</v>
      </c>
      <c r="N735" s="25">
        <v>0</v>
      </c>
      <c r="O735" s="25">
        <v>0</v>
      </c>
      <c r="P735" s="25">
        <v>0</v>
      </c>
      <c r="Q735" s="25">
        <v>0</v>
      </c>
      <c r="R735" s="25">
        <v>0</v>
      </c>
      <c r="S735" s="25">
        <v>0</v>
      </c>
      <c r="T735" s="25">
        <v>0</v>
      </c>
      <c r="U735" s="29">
        <v>0</v>
      </c>
      <c r="V735" s="25">
        <v>0</v>
      </c>
      <c r="W735" s="25">
        <v>0</v>
      </c>
      <c r="X735" s="25">
        <v>0</v>
      </c>
      <c r="Y735" s="29">
        <v>0</v>
      </c>
      <c r="Z735" s="29">
        <v>0</v>
      </c>
      <c r="AA735" s="29">
        <v>0</v>
      </c>
      <c r="AB735" s="29" t="s">
        <v>605</v>
      </c>
      <c r="AC735" s="29" t="s">
        <v>648</v>
      </c>
      <c r="AD735" s="29" t="s">
        <v>252</v>
      </c>
      <c r="AE735" s="29"/>
      <c r="GR735" s="5"/>
      <c r="GS735" s="5"/>
      <c r="GT735" s="5"/>
      <c r="GU735" s="5"/>
      <c r="GV735" s="5"/>
      <c r="GW735" s="5"/>
      <c r="GX735" s="5"/>
      <c r="GY735" s="5"/>
      <c r="GZ735" s="5"/>
      <c r="HA735" s="5"/>
      <c r="HB735" s="5"/>
      <c r="HC735" s="5"/>
      <c r="HD735" s="5"/>
      <c r="HE735" s="5"/>
      <c r="HF735" s="5"/>
      <c r="HG735" s="5"/>
      <c r="HH735" s="5"/>
      <c r="HI735" s="5"/>
      <c r="HJ735" s="5"/>
      <c r="HK735" s="5"/>
      <c r="HL735" s="5"/>
      <c r="HM735" s="5"/>
      <c r="HN735" s="5"/>
      <c r="HO735" s="5"/>
      <c r="HP735" s="5"/>
    </row>
    <row r="736" spans="3:224" ht="20.100000000000001" customHeight="1">
      <c r="C736" s="48">
        <v>16000412</v>
      </c>
      <c r="D736" s="49" t="s">
        <v>647</v>
      </c>
      <c r="E736" s="59">
        <v>11200010</v>
      </c>
      <c r="F736" s="25">
        <v>30033</v>
      </c>
      <c r="G736" s="25">
        <v>1</v>
      </c>
      <c r="H736" s="25">
        <v>12</v>
      </c>
      <c r="I736" s="29">
        <v>0</v>
      </c>
      <c r="J736" s="30">
        <v>0</v>
      </c>
      <c r="K736" s="25">
        <v>0</v>
      </c>
      <c r="L736" s="25">
        <v>0</v>
      </c>
      <c r="M736" s="25">
        <v>0</v>
      </c>
      <c r="N736" s="25">
        <v>0</v>
      </c>
      <c r="O736" s="25">
        <v>0</v>
      </c>
      <c r="P736" s="25">
        <v>0</v>
      </c>
      <c r="Q736" s="25">
        <v>0</v>
      </c>
      <c r="R736" s="25">
        <v>0</v>
      </c>
      <c r="S736" s="25">
        <v>0</v>
      </c>
      <c r="T736" s="25">
        <v>0</v>
      </c>
      <c r="U736" s="29">
        <v>0</v>
      </c>
      <c r="V736" s="25">
        <v>0</v>
      </c>
      <c r="W736" s="25">
        <v>0</v>
      </c>
      <c r="X736" s="25">
        <v>0</v>
      </c>
      <c r="Y736" s="29">
        <v>0</v>
      </c>
      <c r="Z736" s="29">
        <v>0</v>
      </c>
      <c r="AA736" s="29">
        <v>0</v>
      </c>
      <c r="AB736" s="29" t="s">
        <v>607</v>
      </c>
      <c r="AC736" s="29" t="s">
        <v>648</v>
      </c>
      <c r="AD736" s="29" t="s">
        <v>252</v>
      </c>
      <c r="AE736" s="29"/>
      <c r="GR736" s="5"/>
      <c r="GS736" s="5"/>
      <c r="GT736" s="5"/>
      <c r="GU736" s="5"/>
      <c r="GV736" s="5"/>
      <c r="GW736" s="5"/>
      <c r="GX736" s="5"/>
      <c r="GY736" s="5"/>
      <c r="GZ736" s="5"/>
      <c r="HA736" s="5"/>
      <c r="HB736" s="5"/>
      <c r="HC736" s="5"/>
      <c r="HD736" s="5"/>
      <c r="HE736" s="5"/>
      <c r="HF736" s="5"/>
      <c r="HG736" s="5"/>
      <c r="HH736" s="5"/>
      <c r="HI736" s="5"/>
      <c r="HJ736" s="5"/>
      <c r="HK736" s="5"/>
      <c r="HL736" s="5"/>
      <c r="HM736" s="5"/>
      <c r="HN736" s="5"/>
      <c r="HO736" s="5"/>
      <c r="HP736" s="5"/>
    </row>
    <row r="737" spans="3:224" ht="20.100000000000001" customHeight="1">
      <c r="C737" s="48">
        <v>16000501</v>
      </c>
      <c r="D737" s="49" t="s">
        <v>702</v>
      </c>
      <c r="E737" s="59">
        <v>11200011</v>
      </c>
      <c r="F737" s="25">
        <v>30041</v>
      </c>
      <c r="G737" s="25">
        <v>1</v>
      </c>
      <c r="H737" s="25">
        <v>15</v>
      </c>
      <c r="I737" s="29">
        <v>0</v>
      </c>
      <c r="J737" s="30">
        <v>0</v>
      </c>
      <c r="K737" s="25">
        <v>0</v>
      </c>
      <c r="L737" s="25">
        <v>0</v>
      </c>
      <c r="M737" s="25">
        <v>0</v>
      </c>
      <c r="N737" s="25">
        <v>0</v>
      </c>
      <c r="O737" s="25">
        <v>0</v>
      </c>
      <c r="P737" s="25">
        <v>0</v>
      </c>
      <c r="Q737" s="25">
        <v>0</v>
      </c>
      <c r="R737" s="25">
        <v>0</v>
      </c>
      <c r="S737" s="25">
        <v>0</v>
      </c>
      <c r="T737" s="25">
        <v>0</v>
      </c>
      <c r="U737" s="29">
        <v>0</v>
      </c>
      <c r="V737" s="25">
        <v>0</v>
      </c>
      <c r="W737" s="25">
        <v>0</v>
      </c>
      <c r="X737" s="25">
        <v>0</v>
      </c>
      <c r="Y737" s="29">
        <v>0</v>
      </c>
      <c r="Z737" s="29">
        <v>0</v>
      </c>
      <c r="AA737" s="29">
        <v>0</v>
      </c>
      <c r="AB737" s="29">
        <v>105101</v>
      </c>
      <c r="AC737" s="29">
        <v>15</v>
      </c>
      <c r="AD737" s="29">
        <v>0</v>
      </c>
      <c r="AE737" s="29"/>
      <c r="GR737" s="5"/>
      <c r="GS737" s="5"/>
      <c r="GT737" s="5"/>
      <c r="GU737" s="5"/>
      <c r="GV737" s="5"/>
      <c r="GW737" s="5"/>
      <c r="GX737" s="5"/>
      <c r="GY737" s="5"/>
      <c r="GZ737" s="5"/>
      <c r="HA737" s="5"/>
      <c r="HB737" s="5"/>
      <c r="HC737" s="5"/>
      <c r="HD737" s="5"/>
      <c r="HE737" s="5"/>
      <c r="HF737" s="5"/>
      <c r="HG737" s="5"/>
      <c r="HH737" s="5"/>
      <c r="HI737" s="5"/>
      <c r="HJ737" s="5"/>
      <c r="HK737" s="5"/>
      <c r="HL737" s="5"/>
      <c r="HM737" s="5"/>
      <c r="HN737" s="5"/>
      <c r="HO737" s="5"/>
      <c r="HP737" s="5"/>
    </row>
    <row r="738" spans="3:224" ht="20.100000000000001" customHeight="1">
      <c r="C738" s="48">
        <v>16000502</v>
      </c>
      <c r="D738" s="49" t="s">
        <v>703</v>
      </c>
      <c r="E738" s="59">
        <v>11200011</v>
      </c>
      <c r="F738" s="25">
        <v>30041</v>
      </c>
      <c r="G738" s="25">
        <v>1</v>
      </c>
      <c r="H738" s="25">
        <v>15</v>
      </c>
      <c r="I738" s="29">
        <v>0</v>
      </c>
      <c r="J738" s="30">
        <v>0</v>
      </c>
      <c r="K738" s="25">
        <v>0</v>
      </c>
      <c r="L738" s="25">
        <v>0</v>
      </c>
      <c r="M738" s="25">
        <v>0</v>
      </c>
      <c r="N738" s="25">
        <v>0</v>
      </c>
      <c r="O738" s="25">
        <v>0</v>
      </c>
      <c r="P738" s="25">
        <v>0</v>
      </c>
      <c r="Q738" s="25">
        <v>0</v>
      </c>
      <c r="R738" s="25">
        <v>0</v>
      </c>
      <c r="S738" s="25">
        <v>0</v>
      </c>
      <c r="T738" s="25">
        <v>0</v>
      </c>
      <c r="U738" s="29">
        <v>0</v>
      </c>
      <c r="V738" s="25">
        <v>0</v>
      </c>
      <c r="W738" s="25">
        <v>0</v>
      </c>
      <c r="X738" s="25">
        <v>0</v>
      </c>
      <c r="Y738" s="29">
        <v>0</v>
      </c>
      <c r="Z738" s="29">
        <v>0</v>
      </c>
      <c r="AA738" s="29">
        <v>0</v>
      </c>
      <c r="AB738" s="29">
        <v>105501</v>
      </c>
      <c r="AC738" s="29">
        <v>15</v>
      </c>
      <c r="AD738" s="29">
        <v>0</v>
      </c>
      <c r="AE738" s="29"/>
      <c r="GR738" s="5"/>
      <c r="GS738" s="5"/>
      <c r="GT738" s="5"/>
      <c r="GU738" s="5"/>
      <c r="GV738" s="5"/>
      <c r="GW738" s="5"/>
      <c r="GX738" s="5"/>
      <c r="GY738" s="5"/>
      <c r="GZ738" s="5"/>
      <c r="HA738" s="5"/>
      <c r="HB738" s="5"/>
      <c r="HC738" s="5"/>
      <c r="HD738" s="5"/>
      <c r="HE738" s="5"/>
      <c r="HF738" s="5"/>
      <c r="HG738" s="5"/>
      <c r="HH738" s="5"/>
      <c r="HI738" s="5"/>
      <c r="HJ738" s="5"/>
      <c r="HK738" s="5"/>
      <c r="HL738" s="5"/>
      <c r="HM738" s="5"/>
      <c r="HN738" s="5"/>
      <c r="HO738" s="5"/>
      <c r="HP738" s="5"/>
    </row>
    <row r="739" spans="3:224" ht="20.100000000000001" customHeight="1">
      <c r="C739" s="48">
        <v>16000503</v>
      </c>
      <c r="D739" s="49" t="s">
        <v>704</v>
      </c>
      <c r="E739" s="59">
        <v>11200011</v>
      </c>
      <c r="F739" s="25">
        <v>30041</v>
      </c>
      <c r="G739" s="25">
        <v>1</v>
      </c>
      <c r="H739" s="25">
        <v>15</v>
      </c>
      <c r="I739" s="29">
        <v>0</v>
      </c>
      <c r="J739" s="30">
        <v>0</v>
      </c>
      <c r="K739" s="25">
        <v>0</v>
      </c>
      <c r="L739" s="25">
        <v>0</v>
      </c>
      <c r="M739" s="25">
        <v>0</v>
      </c>
      <c r="N739" s="25">
        <v>0</v>
      </c>
      <c r="O739" s="25">
        <v>0</v>
      </c>
      <c r="P739" s="25">
        <v>0</v>
      </c>
      <c r="Q739" s="25">
        <v>0</v>
      </c>
      <c r="R739" s="25">
        <v>0</v>
      </c>
      <c r="S739" s="25">
        <v>0</v>
      </c>
      <c r="T739" s="25">
        <v>0</v>
      </c>
      <c r="U739" s="29">
        <v>0</v>
      </c>
      <c r="V739" s="25">
        <v>0</v>
      </c>
      <c r="W739" s="25">
        <v>0</v>
      </c>
      <c r="X739" s="25">
        <v>0</v>
      </c>
      <c r="Y739" s="29">
        <v>0</v>
      </c>
      <c r="Z739" s="29">
        <v>0</v>
      </c>
      <c r="AA739" s="29">
        <v>0</v>
      </c>
      <c r="AB739" s="29">
        <v>105301</v>
      </c>
      <c r="AC739" s="29">
        <v>15</v>
      </c>
      <c r="AD739" s="29">
        <v>0</v>
      </c>
      <c r="AE739" s="29"/>
      <c r="GR739" s="5"/>
      <c r="GS739" s="5"/>
      <c r="GT739" s="5"/>
      <c r="GU739" s="5"/>
      <c r="GV739" s="5"/>
      <c r="GW739" s="5"/>
      <c r="GX739" s="5"/>
      <c r="GY739" s="5"/>
      <c r="GZ739" s="5"/>
      <c r="HA739" s="5"/>
      <c r="HB739" s="5"/>
      <c r="HC739" s="5"/>
      <c r="HD739" s="5"/>
      <c r="HE739" s="5"/>
      <c r="HF739" s="5"/>
      <c r="HG739" s="5"/>
      <c r="HH739" s="5"/>
      <c r="HI739" s="5"/>
      <c r="HJ739" s="5"/>
      <c r="HK739" s="5"/>
      <c r="HL739" s="5"/>
      <c r="HM739" s="5"/>
      <c r="HN739" s="5"/>
      <c r="HO739" s="5"/>
      <c r="HP739" s="5"/>
    </row>
    <row r="740" spans="3:224" ht="20.100000000000001" customHeight="1">
      <c r="C740" s="48">
        <v>16000504</v>
      </c>
      <c r="D740" s="49" t="s">
        <v>705</v>
      </c>
      <c r="E740" s="59">
        <v>11200011</v>
      </c>
      <c r="F740" s="25">
        <v>30041</v>
      </c>
      <c r="G740" s="25">
        <v>1</v>
      </c>
      <c r="H740" s="25">
        <v>15</v>
      </c>
      <c r="I740" s="29">
        <v>0</v>
      </c>
      <c r="J740" s="30">
        <v>0</v>
      </c>
      <c r="K740" s="25">
        <v>0</v>
      </c>
      <c r="L740" s="25">
        <v>0</v>
      </c>
      <c r="M740" s="25">
        <v>0</v>
      </c>
      <c r="N740" s="25">
        <v>0</v>
      </c>
      <c r="O740" s="25">
        <v>0</v>
      </c>
      <c r="P740" s="25">
        <v>0</v>
      </c>
      <c r="Q740" s="25">
        <v>0</v>
      </c>
      <c r="R740" s="25">
        <v>0</v>
      </c>
      <c r="S740" s="25">
        <v>0</v>
      </c>
      <c r="T740" s="25">
        <v>0</v>
      </c>
      <c r="U740" s="29">
        <v>0</v>
      </c>
      <c r="V740" s="25">
        <v>0</v>
      </c>
      <c r="W740" s="25">
        <v>0</v>
      </c>
      <c r="X740" s="25">
        <v>0</v>
      </c>
      <c r="Y740" s="29">
        <v>0</v>
      </c>
      <c r="Z740" s="29">
        <v>0</v>
      </c>
      <c r="AA740" s="29">
        <v>0</v>
      </c>
      <c r="AB740" s="29">
        <v>105201</v>
      </c>
      <c r="AC740" s="29">
        <v>15</v>
      </c>
      <c r="AD740" s="29">
        <v>0</v>
      </c>
      <c r="AE740" s="29"/>
      <c r="GR740" s="5"/>
      <c r="GS740" s="5"/>
      <c r="GT740" s="5"/>
      <c r="GU740" s="5"/>
      <c r="GV740" s="5"/>
      <c r="GW740" s="5"/>
      <c r="GX740" s="5"/>
      <c r="GY740" s="5"/>
      <c r="GZ740" s="5"/>
      <c r="HA740" s="5"/>
      <c r="HB740" s="5"/>
      <c r="HC740" s="5"/>
      <c r="HD740" s="5"/>
      <c r="HE740" s="5"/>
      <c r="HF740" s="5"/>
      <c r="HG740" s="5"/>
      <c r="HH740" s="5"/>
      <c r="HI740" s="5"/>
      <c r="HJ740" s="5"/>
      <c r="HK740" s="5"/>
      <c r="HL740" s="5"/>
      <c r="HM740" s="5"/>
      <c r="HN740" s="5"/>
      <c r="HO740" s="5"/>
      <c r="HP740" s="5"/>
    </row>
    <row r="741" spans="3:224" ht="20.100000000000001" customHeight="1">
      <c r="C741" s="48">
        <v>16000505</v>
      </c>
      <c r="D741" s="49" t="s">
        <v>706</v>
      </c>
      <c r="E741" s="59">
        <v>11200011</v>
      </c>
      <c r="F741" s="25">
        <v>30042</v>
      </c>
      <c r="G741" s="25">
        <v>1</v>
      </c>
      <c r="H741" s="25">
        <v>15</v>
      </c>
      <c r="I741" s="29">
        <v>0</v>
      </c>
      <c r="J741" s="30">
        <v>0</v>
      </c>
      <c r="K741" s="25">
        <v>0</v>
      </c>
      <c r="L741" s="25">
        <v>0</v>
      </c>
      <c r="M741" s="25">
        <v>0</v>
      </c>
      <c r="N741" s="25">
        <v>0</v>
      </c>
      <c r="O741" s="25">
        <v>0</v>
      </c>
      <c r="P741" s="25">
        <v>0</v>
      </c>
      <c r="Q741" s="25">
        <v>0</v>
      </c>
      <c r="R741" s="25">
        <v>0</v>
      </c>
      <c r="S741" s="25">
        <v>0</v>
      </c>
      <c r="T741" s="25">
        <v>0</v>
      </c>
      <c r="U741" s="29">
        <v>0</v>
      </c>
      <c r="V741" s="25">
        <v>0</v>
      </c>
      <c r="W741" s="25">
        <v>0</v>
      </c>
      <c r="X741" s="25">
        <v>0</v>
      </c>
      <c r="Y741" s="29">
        <v>0</v>
      </c>
      <c r="Z741" s="29">
        <v>0</v>
      </c>
      <c r="AA741" s="29">
        <v>0</v>
      </c>
      <c r="AB741" s="29" t="s">
        <v>593</v>
      </c>
      <c r="AC741" s="29" t="s">
        <v>714</v>
      </c>
      <c r="AD741" s="29" t="s">
        <v>252</v>
      </c>
      <c r="AE741" s="29"/>
      <c r="GR741" s="5"/>
      <c r="GS741" s="5"/>
      <c r="GT741" s="5"/>
      <c r="GU741" s="5"/>
      <c r="GV741" s="5"/>
      <c r="GW741" s="5"/>
      <c r="GX741" s="5"/>
      <c r="GY741" s="5"/>
      <c r="GZ741" s="5"/>
      <c r="HA741" s="5"/>
      <c r="HB741" s="5"/>
      <c r="HC741" s="5"/>
      <c r="HD741" s="5"/>
      <c r="HE741" s="5"/>
      <c r="HF741" s="5"/>
      <c r="HG741" s="5"/>
      <c r="HH741" s="5"/>
      <c r="HI741" s="5"/>
      <c r="HJ741" s="5"/>
      <c r="HK741" s="5"/>
      <c r="HL741" s="5"/>
      <c r="HM741" s="5"/>
      <c r="HN741" s="5"/>
      <c r="HO741" s="5"/>
      <c r="HP741" s="5"/>
    </row>
    <row r="742" spans="3:224" ht="20.100000000000001" customHeight="1">
      <c r="C742" s="48">
        <v>16000506</v>
      </c>
      <c r="D742" s="49" t="s">
        <v>707</v>
      </c>
      <c r="E742" s="59">
        <v>11200011</v>
      </c>
      <c r="F742" s="25">
        <v>30042</v>
      </c>
      <c r="G742" s="25">
        <v>1</v>
      </c>
      <c r="H742" s="25">
        <v>15</v>
      </c>
      <c r="I742" s="29">
        <v>0</v>
      </c>
      <c r="J742" s="30">
        <v>0</v>
      </c>
      <c r="K742" s="25">
        <v>0</v>
      </c>
      <c r="L742" s="25">
        <v>0</v>
      </c>
      <c r="M742" s="25">
        <v>0</v>
      </c>
      <c r="N742" s="25">
        <v>0</v>
      </c>
      <c r="O742" s="25">
        <v>0</v>
      </c>
      <c r="P742" s="25">
        <v>0</v>
      </c>
      <c r="Q742" s="25">
        <v>0</v>
      </c>
      <c r="R742" s="25">
        <v>0</v>
      </c>
      <c r="S742" s="25">
        <v>0</v>
      </c>
      <c r="T742" s="25">
        <v>0</v>
      </c>
      <c r="U742" s="29">
        <v>0</v>
      </c>
      <c r="V742" s="25">
        <v>0</v>
      </c>
      <c r="W742" s="25">
        <v>0</v>
      </c>
      <c r="X742" s="25">
        <v>0</v>
      </c>
      <c r="Y742" s="29">
        <v>0</v>
      </c>
      <c r="Z742" s="29">
        <v>0</v>
      </c>
      <c r="AA742" s="29">
        <v>0</v>
      </c>
      <c r="AB742" s="29" t="s">
        <v>596</v>
      </c>
      <c r="AC742" s="29" t="s">
        <v>714</v>
      </c>
      <c r="AD742" s="29" t="s">
        <v>252</v>
      </c>
      <c r="AE742" s="29"/>
      <c r="GR742" s="5"/>
      <c r="GS742" s="5"/>
      <c r="GT742" s="5"/>
      <c r="GU742" s="5"/>
      <c r="GV742" s="5"/>
      <c r="GW742" s="5"/>
      <c r="GX742" s="5"/>
      <c r="GY742" s="5"/>
      <c r="GZ742" s="5"/>
      <c r="HA742" s="5"/>
      <c r="HB742" s="5"/>
      <c r="HC742" s="5"/>
      <c r="HD742" s="5"/>
      <c r="HE742" s="5"/>
      <c r="HF742" s="5"/>
      <c r="HG742" s="5"/>
      <c r="HH742" s="5"/>
      <c r="HI742" s="5"/>
      <c r="HJ742" s="5"/>
      <c r="HK742" s="5"/>
      <c r="HL742" s="5"/>
      <c r="HM742" s="5"/>
      <c r="HN742" s="5"/>
      <c r="HO742" s="5"/>
      <c r="HP742" s="5"/>
    </row>
    <row r="743" spans="3:224" ht="20.100000000000001" customHeight="1">
      <c r="C743" s="48">
        <v>16000507</v>
      </c>
      <c r="D743" s="49" t="s">
        <v>708</v>
      </c>
      <c r="E743" s="59">
        <v>11200011</v>
      </c>
      <c r="F743" s="25">
        <v>30042</v>
      </c>
      <c r="G743" s="25">
        <v>1</v>
      </c>
      <c r="H743" s="25">
        <v>15</v>
      </c>
      <c r="I743" s="29">
        <v>0</v>
      </c>
      <c r="J743" s="30">
        <v>0</v>
      </c>
      <c r="K743" s="25">
        <v>0</v>
      </c>
      <c r="L743" s="25">
        <v>0</v>
      </c>
      <c r="M743" s="25">
        <v>0</v>
      </c>
      <c r="N743" s="25">
        <v>0</v>
      </c>
      <c r="O743" s="25">
        <v>0</v>
      </c>
      <c r="P743" s="25">
        <v>0</v>
      </c>
      <c r="Q743" s="25">
        <v>0</v>
      </c>
      <c r="R743" s="25">
        <v>0</v>
      </c>
      <c r="S743" s="25">
        <v>0</v>
      </c>
      <c r="T743" s="25">
        <v>0</v>
      </c>
      <c r="U743" s="29">
        <v>0</v>
      </c>
      <c r="V743" s="25">
        <v>0</v>
      </c>
      <c r="W743" s="25">
        <v>0</v>
      </c>
      <c r="X743" s="25">
        <v>0</v>
      </c>
      <c r="Y743" s="29">
        <v>0</v>
      </c>
      <c r="Z743" s="29">
        <v>0</v>
      </c>
      <c r="AA743" s="29">
        <v>0</v>
      </c>
      <c r="AB743" s="29" t="s">
        <v>598</v>
      </c>
      <c r="AC743" s="29" t="s">
        <v>714</v>
      </c>
      <c r="AD743" s="29" t="s">
        <v>252</v>
      </c>
      <c r="AE743" s="29"/>
      <c r="GR743" s="5"/>
      <c r="GS743" s="5"/>
      <c r="GT743" s="5"/>
      <c r="GU743" s="5"/>
      <c r="GV743" s="5"/>
      <c r="GW743" s="5"/>
      <c r="GX743" s="5"/>
      <c r="GY743" s="5"/>
      <c r="GZ743" s="5"/>
      <c r="HA743" s="5"/>
      <c r="HB743" s="5"/>
      <c r="HC743" s="5"/>
      <c r="HD743" s="5"/>
      <c r="HE743" s="5"/>
      <c r="HF743" s="5"/>
      <c r="HG743" s="5"/>
      <c r="HH743" s="5"/>
      <c r="HI743" s="5"/>
      <c r="HJ743" s="5"/>
      <c r="HK743" s="5"/>
      <c r="HL743" s="5"/>
      <c r="HM743" s="5"/>
      <c r="HN743" s="5"/>
      <c r="HO743" s="5"/>
      <c r="HP743" s="5"/>
    </row>
    <row r="744" spans="3:224" ht="20.100000000000001" customHeight="1">
      <c r="C744" s="48">
        <v>16000508</v>
      </c>
      <c r="D744" s="49" t="s">
        <v>709</v>
      </c>
      <c r="E744" s="59">
        <v>11200011</v>
      </c>
      <c r="F744" s="25">
        <v>30042</v>
      </c>
      <c r="G744" s="25">
        <v>1</v>
      </c>
      <c r="H744" s="25">
        <v>15</v>
      </c>
      <c r="I744" s="29">
        <v>0</v>
      </c>
      <c r="J744" s="30">
        <v>0</v>
      </c>
      <c r="K744" s="25">
        <v>0</v>
      </c>
      <c r="L744" s="25">
        <v>0</v>
      </c>
      <c r="M744" s="25">
        <v>0</v>
      </c>
      <c r="N744" s="25">
        <v>0</v>
      </c>
      <c r="O744" s="25">
        <v>0</v>
      </c>
      <c r="P744" s="25">
        <v>0</v>
      </c>
      <c r="Q744" s="25">
        <v>0</v>
      </c>
      <c r="R744" s="25">
        <v>0</v>
      </c>
      <c r="S744" s="25">
        <v>0</v>
      </c>
      <c r="T744" s="25">
        <v>0</v>
      </c>
      <c r="U744" s="29">
        <v>0</v>
      </c>
      <c r="V744" s="25">
        <v>0</v>
      </c>
      <c r="W744" s="25">
        <v>0</v>
      </c>
      <c r="X744" s="25">
        <v>0</v>
      </c>
      <c r="Y744" s="29">
        <v>0</v>
      </c>
      <c r="Z744" s="29">
        <v>0</v>
      </c>
      <c r="AA744" s="29">
        <v>0</v>
      </c>
      <c r="AB744" s="29" t="s">
        <v>600</v>
      </c>
      <c r="AC744" s="29" t="s">
        <v>714</v>
      </c>
      <c r="AD744" s="29" t="s">
        <v>252</v>
      </c>
      <c r="AE744" s="29"/>
      <c r="GR744" s="5"/>
      <c r="GS744" s="5"/>
      <c r="GT744" s="5"/>
      <c r="GU744" s="5"/>
      <c r="GV744" s="5"/>
      <c r="GW744" s="5"/>
      <c r="GX744" s="5"/>
      <c r="GY744" s="5"/>
      <c r="GZ744" s="5"/>
      <c r="HA744" s="5"/>
      <c r="HB744" s="5"/>
      <c r="HC744" s="5"/>
      <c r="HD744" s="5"/>
      <c r="HE744" s="5"/>
      <c r="HF744" s="5"/>
      <c r="HG744" s="5"/>
      <c r="HH744" s="5"/>
      <c r="HI744" s="5"/>
      <c r="HJ744" s="5"/>
      <c r="HK744" s="5"/>
      <c r="HL744" s="5"/>
      <c r="HM744" s="5"/>
      <c r="HN744" s="5"/>
      <c r="HO744" s="5"/>
      <c r="HP744" s="5"/>
    </row>
    <row r="745" spans="3:224" ht="20.100000000000001" customHeight="1">
      <c r="C745" s="48">
        <v>16000509</v>
      </c>
      <c r="D745" s="49" t="s">
        <v>710</v>
      </c>
      <c r="E745" s="59">
        <v>11200011</v>
      </c>
      <c r="F745" s="25">
        <v>30043</v>
      </c>
      <c r="G745" s="25">
        <v>1</v>
      </c>
      <c r="H745" s="25">
        <v>15</v>
      </c>
      <c r="I745" s="29">
        <v>0</v>
      </c>
      <c r="J745" s="30">
        <v>0</v>
      </c>
      <c r="K745" s="25">
        <v>0</v>
      </c>
      <c r="L745" s="25">
        <v>0</v>
      </c>
      <c r="M745" s="25">
        <v>0</v>
      </c>
      <c r="N745" s="25">
        <v>0</v>
      </c>
      <c r="O745" s="25">
        <v>0</v>
      </c>
      <c r="P745" s="25">
        <v>0</v>
      </c>
      <c r="Q745" s="25">
        <v>0</v>
      </c>
      <c r="R745" s="25">
        <v>0</v>
      </c>
      <c r="S745" s="25">
        <v>0</v>
      </c>
      <c r="T745" s="25">
        <v>0</v>
      </c>
      <c r="U745" s="29">
        <v>0</v>
      </c>
      <c r="V745" s="25">
        <v>0</v>
      </c>
      <c r="W745" s="25">
        <v>0</v>
      </c>
      <c r="X745" s="25">
        <v>0</v>
      </c>
      <c r="Y745" s="29">
        <v>0</v>
      </c>
      <c r="Z745" s="29">
        <v>0</v>
      </c>
      <c r="AA745" s="29">
        <v>0</v>
      </c>
      <c r="AB745" s="29">
        <v>105401</v>
      </c>
      <c r="AC745" s="29">
        <v>15</v>
      </c>
      <c r="AD745" s="29">
        <v>0</v>
      </c>
      <c r="AE745" s="29"/>
      <c r="GR745" s="5"/>
      <c r="GS745" s="5"/>
      <c r="GT745" s="5"/>
      <c r="GU745" s="5"/>
      <c r="GV745" s="5"/>
      <c r="GW745" s="5"/>
      <c r="GX745" s="5"/>
      <c r="GY745" s="5"/>
      <c r="GZ745" s="5"/>
      <c r="HA745" s="5"/>
      <c r="HB745" s="5"/>
      <c r="HC745" s="5"/>
      <c r="HD745" s="5"/>
      <c r="HE745" s="5"/>
      <c r="HF745" s="5"/>
      <c r="HG745" s="5"/>
      <c r="HH745" s="5"/>
      <c r="HI745" s="5"/>
      <c r="HJ745" s="5"/>
      <c r="HK745" s="5"/>
      <c r="HL745" s="5"/>
      <c r="HM745" s="5"/>
      <c r="HN745" s="5"/>
      <c r="HO745" s="5"/>
      <c r="HP745" s="5"/>
    </row>
    <row r="746" spans="3:224" ht="20.100000000000001" customHeight="1">
      <c r="C746" s="48">
        <v>16000510</v>
      </c>
      <c r="D746" s="49" t="s">
        <v>711</v>
      </c>
      <c r="E746" s="59">
        <v>11200011</v>
      </c>
      <c r="F746" s="25">
        <v>30043</v>
      </c>
      <c r="G746" s="25">
        <v>1</v>
      </c>
      <c r="H746" s="25">
        <v>15</v>
      </c>
      <c r="I746" s="29">
        <v>0</v>
      </c>
      <c r="J746" s="30">
        <v>0</v>
      </c>
      <c r="K746" s="25">
        <v>0</v>
      </c>
      <c r="L746" s="25">
        <v>0</v>
      </c>
      <c r="M746" s="25">
        <v>0</v>
      </c>
      <c r="N746" s="25">
        <v>0</v>
      </c>
      <c r="O746" s="25">
        <v>0</v>
      </c>
      <c r="P746" s="25">
        <v>0</v>
      </c>
      <c r="Q746" s="25">
        <v>0</v>
      </c>
      <c r="R746" s="25">
        <v>0</v>
      </c>
      <c r="S746" s="25">
        <v>0</v>
      </c>
      <c r="T746" s="25">
        <v>0</v>
      </c>
      <c r="U746" s="29">
        <v>0</v>
      </c>
      <c r="V746" s="25">
        <v>0</v>
      </c>
      <c r="W746" s="25">
        <v>0</v>
      </c>
      <c r="X746" s="25">
        <v>0</v>
      </c>
      <c r="Y746" s="29">
        <v>0</v>
      </c>
      <c r="Z746" s="29">
        <v>0</v>
      </c>
      <c r="AA746" s="29">
        <v>0</v>
      </c>
      <c r="AB746" s="29" t="s">
        <v>603</v>
      </c>
      <c r="AC746" s="29" t="s">
        <v>714</v>
      </c>
      <c r="AD746" s="29" t="s">
        <v>252</v>
      </c>
      <c r="AE746" s="29"/>
      <c r="GR746" s="5"/>
      <c r="GS746" s="5"/>
      <c r="GT746" s="5"/>
      <c r="GU746" s="5"/>
      <c r="GV746" s="5"/>
      <c r="GW746" s="5"/>
      <c r="GX746" s="5"/>
      <c r="GY746" s="5"/>
      <c r="GZ746" s="5"/>
      <c r="HA746" s="5"/>
      <c r="HB746" s="5"/>
      <c r="HC746" s="5"/>
      <c r="HD746" s="5"/>
      <c r="HE746" s="5"/>
      <c r="HF746" s="5"/>
      <c r="HG746" s="5"/>
      <c r="HH746" s="5"/>
      <c r="HI746" s="5"/>
      <c r="HJ746" s="5"/>
      <c r="HK746" s="5"/>
      <c r="HL746" s="5"/>
      <c r="HM746" s="5"/>
      <c r="HN746" s="5"/>
      <c r="HO746" s="5"/>
      <c r="HP746" s="5"/>
    </row>
    <row r="747" spans="3:224" ht="20.100000000000001" customHeight="1">
      <c r="C747" s="48">
        <v>16000511</v>
      </c>
      <c r="D747" s="49" t="s">
        <v>712</v>
      </c>
      <c r="E747" s="59">
        <v>11200011</v>
      </c>
      <c r="F747" s="25">
        <v>30043</v>
      </c>
      <c r="G747" s="25">
        <v>1</v>
      </c>
      <c r="H747" s="25">
        <v>15</v>
      </c>
      <c r="I747" s="29">
        <v>0</v>
      </c>
      <c r="J747" s="30">
        <v>0</v>
      </c>
      <c r="K747" s="25">
        <v>0</v>
      </c>
      <c r="L747" s="25">
        <v>0</v>
      </c>
      <c r="M747" s="25">
        <v>0</v>
      </c>
      <c r="N747" s="25">
        <v>0</v>
      </c>
      <c r="O747" s="25">
        <v>0</v>
      </c>
      <c r="P747" s="25">
        <v>0</v>
      </c>
      <c r="Q747" s="25">
        <v>0</v>
      </c>
      <c r="R747" s="25">
        <v>0</v>
      </c>
      <c r="S747" s="25">
        <v>0</v>
      </c>
      <c r="T747" s="25">
        <v>0</v>
      </c>
      <c r="U747" s="29">
        <v>0</v>
      </c>
      <c r="V747" s="25">
        <v>0</v>
      </c>
      <c r="W747" s="25">
        <v>0</v>
      </c>
      <c r="X747" s="25">
        <v>0</v>
      </c>
      <c r="Y747" s="29">
        <v>0</v>
      </c>
      <c r="Z747" s="29">
        <v>0</v>
      </c>
      <c r="AA747" s="29">
        <v>0</v>
      </c>
      <c r="AB747" s="29" t="s">
        <v>605</v>
      </c>
      <c r="AC747" s="29" t="s">
        <v>714</v>
      </c>
      <c r="AD747" s="29" t="s">
        <v>252</v>
      </c>
      <c r="AE747" s="29"/>
      <c r="GR747" s="5"/>
      <c r="GS747" s="5"/>
      <c r="GT747" s="5"/>
      <c r="GU747" s="5"/>
      <c r="GV747" s="5"/>
      <c r="GW747" s="5"/>
      <c r="GX747" s="5"/>
      <c r="GY747" s="5"/>
      <c r="GZ747" s="5"/>
      <c r="HA747" s="5"/>
      <c r="HB747" s="5"/>
      <c r="HC747" s="5"/>
      <c r="HD747" s="5"/>
      <c r="HE747" s="5"/>
      <c r="HF747" s="5"/>
      <c r="HG747" s="5"/>
      <c r="HH747" s="5"/>
      <c r="HI747" s="5"/>
      <c r="HJ747" s="5"/>
      <c r="HK747" s="5"/>
      <c r="HL747" s="5"/>
      <c r="HM747" s="5"/>
      <c r="HN747" s="5"/>
      <c r="HO747" s="5"/>
      <c r="HP747" s="5"/>
    </row>
    <row r="748" spans="3:224" ht="20.100000000000001" customHeight="1">
      <c r="C748" s="48">
        <v>16000512</v>
      </c>
      <c r="D748" s="49" t="s">
        <v>713</v>
      </c>
      <c r="E748" s="59">
        <v>11200011</v>
      </c>
      <c r="F748" s="25">
        <v>30043</v>
      </c>
      <c r="G748" s="25">
        <v>1</v>
      </c>
      <c r="H748" s="25">
        <v>15</v>
      </c>
      <c r="I748" s="29">
        <v>0</v>
      </c>
      <c r="J748" s="30">
        <v>0</v>
      </c>
      <c r="K748" s="25">
        <v>0</v>
      </c>
      <c r="L748" s="25">
        <v>0</v>
      </c>
      <c r="M748" s="25">
        <v>0</v>
      </c>
      <c r="N748" s="25">
        <v>0</v>
      </c>
      <c r="O748" s="25">
        <v>0</v>
      </c>
      <c r="P748" s="25">
        <v>0</v>
      </c>
      <c r="Q748" s="25">
        <v>0</v>
      </c>
      <c r="R748" s="25">
        <v>0</v>
      </c>
      <c r="S748" s="25">
        <v>0</v>
      </c>
      <c r="T748" s="25">
        <v>0</v>
      </c>
      <c r="U748" s="29">
        <v>0</v>
      </c>
      <c r="V748" s="25">
        <v>0</v>
      </c>
      <c r="W748" s="25">
        <v>0</v>
      </c>
      <c r="X748" s="25">
        <v>0</v>
      </c>
      <c r="Y748" s="29">
        <v>0</v>
      </c>
      <c r="Z748" s="29">
        <v>0</v>
      </c>
      <c r="AA748" s="29">
        <v>0</v>
      </c>
      <c r="AB748" s="29" t="s">
        <v>607</v>
      </c>
      <c r="AC748" s="29" t="s">
        <v>714</v>
      </c>
      <c r="AD748" s="29" t="s">
        <v>252</v>
      </c>
      <c r="AE748" s="29"/>
      <c r="GR748" s="5"/>
      <c r="GS748" s="5"/>
      <c r="GT748" s="5"/>
      <c r="GU748" s="5"/>
      <c r="GV748" s="5"/>
      <c r="GW748" s="5"/>
      <c r="GX748" s="5"/>
      <c r="GY748" s="5"/>
      <c r="GZ748" s="5"/>
      <c r="HA748" s="5"/>
      <c r="HB748" s="5"/>
      <c r="HC748" s="5"/>
      <c r="HD748" s="5"/>
      <c r="HE748" s="5"/>
      <c r="HF748" s="5"/>
      <c r="HG748" s="5"/>
      <c r="HH748" s="5"/>
      <c r="HI748" s="5"/>
      <c r="HJ748" s="5"/>
      <c r="HK748" s="5"/>
      <c r="HL748" s="5"/>
      <c r="HM748" s="5"/>
      <c r="HN748" s="5"/>
      <c r="HO748" s="5"/>
      <c r="HP748" s="5"/>
    </row>
    <row r="749" spans="3:224" ht="20.100000000000001" customHeight="1">
      <c r="C749" s="48">
        <v>16000413</v>
      </c>
      <c r="D749" s="49" t="s">
        <v>671</v>
      </c>
      <c r="E749" s="59">
        <v>0</v>
      </c>
      <c r="F749" s="25">
        <v>0</v>
      </c>
      <c r="G749" s="25">
        <v>0</v>
      </c>
      <c r="H749" s="25">
        <v>0</v>
      </c>
      <c r="I749" s="29">
        <v>0</v>
      </c>
      <c r="J749" s="30">
        <v>0</v>
      </c>
      <c r="K749" s="25">
        <v>0</v>
      </c>
      <c r="L749" s="25">
        <v>0</v>
      </c>
      <c r="M749" s="25">
        <v>0</v>
      </c>
      <c r="N749" s="25">
        <v>0</v>
      </c>
      <c r="O749" s="25">
        <v>0</v>
      </c>
      <c r="P749" s="25">
        <v>0</v>
      </c>
      <c r="Q749" s="25">
        <v>0</v>
      </c>
      <c r="R749" s="25">
        <v>0</v>
      </c>
      <c r="S749" s="25">
        <v>0</v>
      </c>
      <c r="T749" s="25">
        <v>0</v>
      </c>
      <c r="U749" s="29">
        <v>0</v>
      </c>
      <c r="V749" s="25">
        <v>0</v>
      </c>
      <c r="W749" s="25">
        <v>0</v>
      </c>
      <c r="X749" s="25">
        <v>0</v>
      </c>
      <c r="Y749" s="29">
        <v>0</v>
      </c>
      <c r="Z749" s="29">
        <v>0</v>
      </c>
      <c r="AA749" s="29">
        <v>0</v>
      </c>
      <c r="AB749" s="29">
        <v>0</v>
      </c>
      <c r="AC749" s="29">
        <v>0</v>
      </c>
      <c r="AD749" s="29">
        <v>0</v>
      </c>
      <c r="AE749" s="29"/>
      <c r="GR749" s="5"/>
      <c r="GS749" s="5"/>
      <c r="GT749" s="5"/>
      <c r="GU749" s="5"/>
      <c r="GV749" s="5"/>
      <c r="GW749" s="5"/>
      <c r="GX749" s="5"/>
      <c r="GY749" s="5"/>
      <c r="GZ749" s="5"/>
      <c r="HA749" s="5"/>
      <c r="HB749" s="5"/>
      <c r="HC749" s="5"/>
      <c r="HD749" s="5"/>
      <c r="HE749" s="5"/>
      <c r="HF749" s="5"/>
      <c r="HG749" s="5"/>
      <c r="HH749" s="5"/>
      <c r="HI749" s="5"/>
      <c r="HJ749" s="5"/>
      <c r="HK749" s="5"/>
      <c r="HL749" s="5"/>
      <c r="HM749" s="5"/>
      <c r="HN749" s="5"/>
      <c r="HO749" s="5"/>
      <c r="HP749" s="5"/>
    </row>
  </sheetData>
  <phoneticPr fontId="23" type="noConversion"/>
  <pageMargins left="0.69930555555555596" right="0.69930555555555596" top="0.75" bottom="0.75" header="0.3" footer="0.3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2019-09-30T00:29:00Z</dcterms:created>
  <dcterms:modified xsi:type="dcterms:W3CDTF">2026-09-07T10:35:21Z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