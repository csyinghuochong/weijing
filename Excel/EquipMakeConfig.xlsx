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27A52973-5FAF-42BF-BAD6-B97A3CD810D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quipMakeProto" sheetId="1" r:id="rId1"/>
  </sheets>
  <definedNames>
    <definedName name="_xlnm._FilterDatabase" localSheetId="0" hidden="1">EquipMakeProto!$G$1:$G$1194</definedName>
  </definedNames>
  <calcPr calcId="191029"/>
</workbook>
</file>

<file path=xl/calcChain.xml><?xml version="1.0" encoding="utf-8"?>
<calcChain xmlns="http://schemas.openxmlformats.org/spreadsheetml/2006/main">
  <c r="S521" i="1" l="1"/>
  <c r="S525" i="1" s="1"/>
  <c r="S520" i="1"/>
  <c r="S524" i="1" s="1"/>
  <c r="S519" i="1"/>
  <c r="S523" i="1" s="1"/>
  <c r="S518" i="1"/>
  <c r="S522" i="1" s="1"/>
  <c r="S509" i="1"/>
  <c r="S513" i="1" s="1"/>
  <c r="S508" i="1"/>
  <c r="S512" i="1" s="1"/>
  <c r="S507" i="1"/>
  <c r="S511" i="1" s="1"/>
  <c r="S506" i="1"/>
  <c r="S510" i="1" s="1"/>
  <c r="H499" i="1"/>
  <c r="H498" i="1"/>
  <c r="H495" i="1"/>
  <c r="H494" i="1"/>
  <c r="H491" i="1"/>
  <c r="H490" i="1"/>
  <c r="H488" i="1"/>
  <c r="H487" i="1"/>
  <c r="H485" i="1"/>
  <c r="H484" i="1"/>
  <c r="H483" i="1"/>
  <c r="H482" i="1"/>
  <c r="S460" i="1"/>
  <c r="S459" i="1"/>
  <c r="S457" i="1"/>
  <c r="S456" i="1"/>
  <c r="S455" i="1"/>
  <c r="S453" i="1"/>
  <c r="S452" i="1"/>
  <c r="S451" i="1"/>
  <c r="S449" i="1"/>
  <c r="S448" i="1"/>
  <c r="C447" i="1"/>
  <c r="C450" i="1" s="1"/>
  <c r="S446" i="1"/>
  <c r="C446" i="1"/>
  <c r="C449" i="1" s="1"/>
  <c r="S445" i="1"/>
  <c r="C445" i="1"/>
  <c r="C448" i="1" s="1"/>
  <c r="S443" i="1"/>
  <c r="S442" i="1"/>
  <c r="C226" i="1"/>
  <c r="C231" i="1" s="1"/>
  <c r="C236" i="1" s="1"/>
  <c r="C241" i="1" s="1"/>
  <c r="C225" i="1"/>
  <c r="C230" i="1" s="1"/>
  <c r="C235" i="1" s="1"/>
  <c r="C240" i="1" s="1"/>
  <c r="C224" i="1"/>
  <c r="C229" i="1" s="1"/>
  <c r="C234" i="1" s="1"/>
  <c r="C239" i="1" s="1"/>
  <c r="C223" i="1"/>
  <c r="C228" i="1" s="1"/>
  <c r="C233" i="1" s="1"/>
  <c r="C238" i="1" s="1"/>
  <c r="C222" i="1"/>
  <c r="C227" i="1" s="1"/>
  <c r="C232" i="1" s="1"/>
  <c r="C237" i="1" s="1"/>
  <c r="S199" i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S68" i="1"/>
  <c r="S104" i="1" s="1"/>
  <c r="S140" i="1" s="1"/>
  <c r="S176" i="1" s="1"/>
  <c r="S67" i="1"/>
  <c r="S103" i="1" s="1"/>
  <c r="S139" i="1" s="1"/>
  <c r="S175" i="1" s="1"/>
  <c r="S66" i="1"/>
  <c r="S102" i="1" s="1"/>
  <c r="S138" i="1" s="1"/>
  <c r="S174" i="1" s="1"/>
  <c r="S65" i="1"/>
  <c r="S101" i="1" s="1"/>
  <c r="S137" i="1" s="1"/>
  <c r="S173" i="1" s="1"/>
  <c r="S64" i="1"/>
  <c r="S100" i="1" s="1"/>
  <c r="S136" i="1" s="1"/>
  <c r="S172" i="1" s="1"/>
  <c r="S63" i="1"/>
  <c r="S99" i="1" s="1"/>
  <c r="S135" i="1" s="1"/>
  <c r="S171" i="1" s="1"/>
  <c r="S62" i="1"/>
  <c r="S98" i="1" s="1"/>
  <c r="S134" i="1" s="1"/>
  <c r="S170" i="1" s="1"/>
  <c r="S61" i="1"/>
  <c r="S97" i="1" s="1"/>
  <c r="S133" i="1" s="1"/>
  <c r="S169" i="1" s="1"/>
  <c r="S60" i="1"/>
  <c r="S96" i="1" s="1"/>
  <c r="S132" i="1" s="1"/>
  <c r="S168" i="1" s="1"/>
  <c r="S59" i="1"/>
  <c r="S95" i="1" s="1"/>
  <c r="S131" i="1" s="1"/>
  <c r="S167" i="1" s="1"/>
  <c r="S58" i="1"/>
  <c r="S94" i="1" s="1"/>
  <c r="S130" i="1" s="1"/>
  <c r="S166" i="1" s="1"/>
  <c r="S57" i="1"/>
  <c r="S93" i="1" s="1"/>
  <c r="S129" i="1" s="1"/>
  <c r="S165" i="1" s="1"/>
  <c r="S56" i="1"/>
  <c r="S92" i="1" s="1"/>
  <c r="S128" i="1" s="1"/>
  <c r="S164" i="1" s="1"/>
  <c r="S55" i="1"/>
  <c r="S91" i="1" s="1"/>
  <c r="S127" i="1" s="1"/>
  <c r="S163" i="1" s="1"/>
  <c r="S54" i="1"/>
  <c r="S90" i="1" s="1"/>
  <c r="S126" i="1" s="1"/>
  <c r="S162" i="1" s="1"/>
  <c r="S53" i="1"/>
  <c r="S89" i="1" s="1"/>
  <c r="S125" i="1" s="1"/>
  <c r="S161" i="1" s="1"/>
  <c r="S52" i="1"/>
  <c r="S88" i="1" s="1"/>
  <c r="S124" i="1" s="1"/>
  <c r="S160" i="1" s="1"/>
  <c r="S51" i="1"/>
  <c r="S87" i="1" s="1"/>
  <c r="S123" i="1" s="1"/>
  <c r="S159" i="1" s="1"/>
  <c r="S50" i="1"/>
  <c r="S86" i="1" s="1"/>
  <c r="S122" i="1" s="1"/>
  <c r="S158" i="1" s="1"/>
  <c r="S49" i="1"/>
  <c r="S85" i="1" s="1"/>
  <c r="S121" i="1" s="1"/>
  <c r="S157" i="1" s="1"/>
  <c r="S48" i="1"/>
  <c r="S84" i="1" s="1"/>
  <c r="S120" i="1" s="1"/>
  <c r="S156" i="1" s="1"/>
  <c r="S47" i="1"/>
  <c r="S83" i="1" s="1"/>
  <c r="S119" i="1" s="1"/>
  <c r="S155" i="1" s="1"/>
  <c r="S46" i="1"/>
  <c r="S82" i="1" s="1"/>
  <c r="S118" i="1" s="1"/>
  <c r="S154" i="1" s="1"/>
  <c r="S45" i="1"/>
  <c r="S81" i="1" s="1"/>
  <c r="S117" i="1" s="1"/>
  <c r="S153" i="1" s="1"/>
  <c r="S44" i="1"/>
  <c r="S80" i="1" s="1"/>
  <c r="S116" i="1" s="1"/>
  <c r="S152" i="1" s="1"/>
  <c r="S43" i="1"/>
  <c r="S79" i="1" s="1"/>
  <c r="S115" i="1" s="1"/>
  <c r="S151" i="1" s="1"/>
  <c r="S42" i="1"/>
  <c r="S78" i="1" s="1"/>
  <c r="S114" i="1" s="1"/>
  <c r="S1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00000000-0006-0000-0000-000001000000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0:</t>
        </r>
        <r>
          <rPr>
            <sz val="9"/>
            <rFont val="宋体"/>
            <family val="3"/>
            <charset val="134"/>
          </rPr>
          <t xml:space="preserve">图纸制造（需要消耗图纸）
</t>
        </r>
        <r>
          <rPr>
            <sz val="9"/>
            <rFont val="Tahoma"/>
            <family val="2"/>
          </rPr>
          <t>1.</t>
        </r>
        <r>
          <rPr>
            <sz val="9"/>
            <rFont val="宋体"/>
            <family val="3"/>
            <charset val="134"/>
          </rPr>
          <t xml:space="preserve">锻造类型
</t>
        </r>
        <r>
          <rPr>
            <sz val="9"/>
            <rFont val="Tahoma"/>
            <family val="2"/>
          </rPr>
          <t>2.</t>
        </r>
        <r>
          <rPr>
            <sz val="9"/>
            <rFont val="宋体"/>
            <family val="3"/>
            <charset val="134"/>
          </rPr>
          <t xml:space="preserve">裁缝类型
</t>
        </r>
        <r>
          <rPr>
            <sz val="9"/>
            <rFont val="Tahoma"/>
            <family val="2"/>
          </rPr>
          <t>3.</t>
        </r>
        <r>
          <rPr>
            <sz val="9"/>
            <rFont val="宋体"/>
            <family val="3"/>
            <charset val="134"/>
          </rPr>
          <t xml:space="preserve">炼金类型
</t>
        </r>
        <r>
          <rPr>
            <sz val="9"/>
            <rFont val="Tahoma"/>
            <family val="2"/>
          </rPr>
          <t>4.</t>
        </r>
        <r>
          <rPr>
            <sz val="9"/>
            <rFont val="宋体"/>
            <family val="3"/>
            <charset val="134"/>
          </rPr>
          <t>宝石类型
5.神器类型
6.附魔类型
8.家园类型
9:宠物装备类型</t>
        </r>
      </text>
    </comment>
    <comment ref="G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0 训练师学习
1 道具图纸学习</t>
        </r>
      </text>
    </comment>
    <comment ref="H3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低于学习等级5级以上不显示再学习列表中
</t>
        </r>
      </text>
    </comment>
    <comment ref="Q3" authorId="0" shapeId="0" xr:uid="{00000000-0006-0000-0000-000004000000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超过此等级无法制造此道具，</t>
        </r>
        <r>
          <rPr>
            <sz val="9"/>
            <rFont val="Tahoma"/>
            <family val="2"/>
          </rPr>
          <t>0</t>
        </r>
        <r>
          <rPr>
            <sz val="9"/>
            <rFont val="宋体"/>
            <family val="3"/>
            <charset val="134"/>
          </rPr>
          <t>表示没有限制</t>
        </r>
      </text>
    </comment>
    <comment ref="T3" authorId="0" shapeId="0" xr:uid="{00000000-0006-0000-0000-000005000000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达到此值后将不在增长</t>
        </r>
      </text>
    </comment>
    <comment ref="U3" authorId="0" shapeId="0" xr:uid="{00000000-0006-0000-0000-000006000000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支持</t>
        </r>
        <r>
          <rPr>
            <sz val="9"/>
            <rFont val="Tahoma"/>
            <family val="2"/>
          </rPr>
          <t>"</t>
        </r>
        <r>
          <rPr>
            <sz val="9"/>
            <rFont val="宋体"/>
            <family val="3"/>
            <charset val="134"/>
          </rPr>
          <t>，</t>
        </r>
        <r>
          <rPr>
            <sz val="9"/>
            <rFont val="Tahoma"/>
            <family val="2"/>
          </rPr>
          <t>"</t>
        </r>
        <r>
          <rPr>
            <sz val="9"/>
            <rFont val="宋体"/>
            <family val="3"/>
            <charset val="134"/>
          </rPr>
          <t xml:space="preserve">好
例如：
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>表示加</t>
        </r>
        <r>
          <rPr>
            <sz val="9"/>
            <rFont val="Tahoma"/>
            <family val="2"/>
          </rPr>
          <t>5</t>
        </r>
        <r>
          <rPr>
            <sz val="9"/>
            <rFont val="宋体"/>
            <family val="3"/>
            <charset val="134"/>
          </rPr>
          <t xml:space="preserve">点
</t>
        </r>
        <r>
          <rPr>
            <sz val="9"/>
            <rFont val="Tahoma"/>
            <family val="2"/>
          </rPr>
          <t>1,5</t>
        </r>
        <r>
          <rPr>
            <sz val="9"/>
            <rFont val="宋体"/>
            <family val="3"/>
            <charset val="134"/>
          </rPr>
          <t>表示随机加</t>
        </r>
        <r>
          <rPr>
            <sz val="9"/>
            <rFont val="Tahoma"/>
            <family val="2"/>
          </rPr>
          <t>1-5</t>
        </r>
        <r>
          <rPr>
            <sz val="9"/>
            <rFont val="宋体"/>
            <family val="3"/>
            <charset val="134"/>
          </rPr>
          <t>点</t>
        </r>
      </text>
    </comment>
    <comment ref="W3" authorId="0" shapeId="0" xr:uid="{00000000-0006-0000-0000-000007000000}">
      <text>
        <r>
          <rPr>
            <b/>
            <sz val="9"/>
            <rFont val="Tahoma"/>
            <family val="2"/>
          </rPr>
          <t>Administrator: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表示在熟练度转换概率生效值上进行转换，此值表示增加</t>
        </r>
        <r>
          <rPr>
            <sz val="9"/>
            <rFont val="Tahoma"/>
            <family val="2"/>
          </rPr>
          <t>20%</t>
        </r>
        <r>
          <rPr>
            <sz val="9"/>
            <rFont val="宋体"/>
            <family val="3"/>
            <charset val="134"/>
          </rPr>
          <t>概率</t>
        </r>
      </text>
    </comment>
    <comment ref="X3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单位:秒  86400 一天</t>
        </r>
      </text>
    </comment>
  </commentList>
</comments>
</file>

<file path=xl/sharedStrings.xml><?xml version="1.0" encoding="utf-8"?>
<sst xmlns="http://schemas.openxmlformats.org/spreadsheetml/2006/main" count="1530" uniqueCount="927">
  <si>
    <t>#</t>
  </si>
  <si>
    <t>Id</t>
  </si>
  <si>
    <t>测试说明</t>
  </si>
  <si>
    <t>制造类型</t>
  </si>
  <si>
    <t>制造装备</t>
  </si>
  <si>
    <t>学习类型</t>
  </si>
  <si>
    <t>学习等级</t>
  </si>
  <si>
    <t>学习消耗金币</t>
  </si>
  <si>
    <t>消耗活力值</t>
  </si>
  <si>
    <t>学习需要道具</t>
  </si>
  <si>
    <t>制造装备数量</t>
  </si>
  <si>
    <t>制作成功概率</t>
  </si>
  <si>
    <t>领悟概率</t>
  </si>
  <si>
    <t>触发隐藏属性概率</t>
  </si>
  <si>
    <t>制造装备等级</t>
  </si>
  <si>
    <t>制造装备最大等级</t>
  </si>
  <si>
    <t>制造星级</t>
  </si>
  <si>
    <t>需要熟练度</t>
  </si>
  <si>
    <t>增长熟练度上限</t>
  </si>
  <si>
    <t>增长熟练点数</t>
  </si>
  <si>
    <t>熟练度转换概率生效值</t>
  </si>
  <si>
    <t>熟练点数转换概率</t>
  </si>
  <si>
    <t>制造冷却时间</t>
  </si>
  <si>
    <t>制造消耗金币</t>
  </si>
  <si>
    <t>需要道具</t>
  </si>
  <si>
    <t>ProficiencyType</t>
  </si>
  <si>
    <t>MakeItemID</t>
  </si>
  <si>
    <t>LearnType</t>
  </si>
  <si>
    <r>
      <rPr>
        <sz val="10"/>
        <color theme="0"/>
        <rFont val="宋体"/>
        <family val="3"/>
        <charset val="134"/>
      </rPr>
      <t>L</t>
    </r>
    <r>
      <rPr>
        <sz val="10"/>
        <color theme="0"/>
        <rFont val="宋体"/>
        <family val="3"/>
        <charset val="134"/>
      </rPr>
      <t>earnLv</t>
    </r>
  </si>
  <si>
    <t>LearnGoldValue</t>
  </si>
  <si>
    <t>CostVitality</t>
  </si>
  <si>
    <t>LearnNeedItems</t>
  </si>
  <si>
    <t>MakeEquipNum</t>
  </si>
  <si>
    <t>MakeSuccesPro</t>
  </si>
  <si>
    <t>LearnPro</t>
  </si>
  <si>
    <t>MakeHintPro</t>
  </si>
  <si>
    <t>MakeLv</t>
  </si>
  <si>
    <t>MakeLvMax</t>
  </si>
  <si>
    <t>MakeStar</t>
  </si>
  <si>
    <t>NeedProficiencyValue</t>
  </si>
  <si>
    <t>ProficiencyMax</t>
  </si>
  <si>
    <t>ProficiencyValue</t>
  </si>
  <si>
    <r>
      <rPr>
        <sz val="10"/>
        <color theme="0"/>
        <rFont val="宋体"/>
        <family val="3"/>
        <charset val="134"/>
      </rPr>
      <t>ProficiencyStartPro</t>
    </r>
    <r>
      <rPr>
        <sz val="10"/>
        <color theme="0"/>
        <rFont val="宋体"/>
        <family val="3"/>
        <charset val="134"/>
      </rPr>
      <t>Value</t>
    </r>
  </si>
  <si>
    <r>
      <rPr>
        <sz val="10"/>
        <color theme="0"/>
        <rFont val="宋体"/>
        <family val="3"/>
        <charset val="134"/>
      </rPr>
      <t>Proficiency</t>
    </r>
    <r>
      <rPr>
        <sz val="10"/>
        <color theme="0"/>
        <rFont val="宋体"/>
        <family val="3"/>
        <charset val="134"/>
      </rPr>
      <t>Pro</t>
    </r>
    <r>
      <rPr>
        <sz val="10"/>
        <color theme="0"/>
        <rFont val="宋体"/>
        <family val="3"/>
        <charset val="134"/>
      </rPr>
      <t>Value</t>
    </r>
  </si>
  <si>
    <t>MakeTime</t>
  </si>
  <si>
    <t>MakeNeedGold</t>
  </si>
  <si>
    <t>NeedItems</t>
  </si>
  <si>
    <t>int</t>
  </si>
  <si>
    <t>string</t>
  </si>
  <si>
    <t>double</t>
  </si>
  <si>
    <t>int[]</t>
  </si>
  <si>
    <t>勇气之盔</t>
  </si>
  <si>
    <t>6,10</t>
  </si>
  <si>
    <t>10020001;10@10021010;10@10021001;10@10021008;2@10021009;1</t>
  </si>
  <si>
    <t>暴灵之盔</t>
  </si>
  <si>
    <t>10020001;10@10021010;10@10021002;10@10021008;2@10021009;1</t>
  </si>
  <si>
    <t>英勇之盔</t>
  </si>
  <si>
    <t>10020001;10@10021010;10@10021003;10@10021008;2@10021009;1</t>
  </si>
  <si>
    <t>勇气之手</t>
  </si>
  <si>
    <t>10020001;10@10021010;10@10021004;10@10021008;2@10021009;1</t>
  </si>
  <si>
    <t>暴灵之手</t>
  </si>
  <si>
    <t>10020001;10@10021010;10@10021005;10@10021008;2@10021009;1</t>
  </si>
  <si>
    <t>英勇之手</t>
  </si>
  <si>
    <t>10020001;10@10021010;10@10021006;10@10021008;2@10021009;1</t>
  </si>
  <si>
    <t>勇气之带</t>
  </si>
  <si>
    <t>10020001;10@10021010;10@10021007;10@10021008;2@10021009;1</t>
  </si>
  <si>
    <t>暴灵之带</t>
  </si>
  <si>
    <t>英勇之带</t>
  </si>
  <si>
    <t>勇气之靴</t>
  </si>
  <si>
    <t>暴灵之靴</t>
  </si>
  <si>
    <t>英勇之靴</t>
  </si>
  <si>
    <t>勇气之腿</t>
  </si>
  <si>
    <t>暴灵之腿</t>
  </si>
  <si>
    <t>英勇之腿</t>
  </si>
  <si>
    <t>疾风之链</t>
  </si>
  <si>
    <t>10020001;20@10021010;20@10021002;20@10021008;4@10021009;2</t>
  </si>
  <si>
    <t>疾风之戒</t>
  </si>
  <si>
    <t>10020001;20@10021010;20@10021003;20@10021008;4@10021009;2</t>
  </si>
  <si>
    <t>疾风之灵</t>
  </si>
  <si>
    <t>10020001;20@10021010;20@10021004;20@10021008;4@10021009;2</t>
  </si>
  <si>
    <t>疾风之符</t>
  </si>
  <si>
    <t>10020001;30@10021010;30@10021005;30@10021008;6@10021009;3</t>
  </si>
  <si>
    <t>疾风之剑</t>
  </si>
  <si>
    <t>10020001;30@10021010;30@10021006;30@10021008;6@10021009;3</t>
  </si>
  <si>
    <t>疾风之刀</t>
  </si>
  <si>
    <t>10020001;30@10021010;30@10021007;30@10021008;6@10021009;3</t>
  </si>
  <si>
    <t>勇气之甲</t>
  </si>
  <si>
    <t>10020001;20@10021010;20@10021005;20@10021008;4@10021009;2</t>
  </si>
  <si>
    <t>暴灵之甲</t>
  </si>
  <si>
    <t>10020001;20@10021010;20@10021006;20@10021008;4@10021009;2</t>
  </si>
  <si>
    <t>英勇之甲</t>
  </si>
  <si>
    <t>10020001;20@10021010;20@10021007;20@10021008;4@10021009;2</t>
  </si>
  <si>
    <t>疾风权杖</t>
  </si>
  <si>
    <t>疾风之书</t>
  </si>
  <si>
    <t>森灵之弓</t>
  </si>
  <si>
    <t>传承:新月神链</t>
  </si>
  <si>
    <t>10020001;200@10021010;200@14060004;1@10021008;20@10021009;10@10000143;6</t>
  </si>
  <si>
    <t>传承:勇者的无畏</t>
  </si>
  <si>
    <t>10020001;200@10021010;200@14100004;1@10021008;20@10021009;10@10000143;6</t>
  </si>
  <si>
    <t>传承:勇者的意志</t>
  </si>
  <si>
    <t>10020001;200@10021010;200@14100008;1@10021008;20@10021009;10@10000143;6</t>
  </si>
  <si>
    <t>传承:守护者的神杖</t>
  </si>
  <si>
    <t>10020001;200@10021010;200@14100104;1@10021008;20@10021009;10@10000143;6</t>
  </si>
  <si>
    <t>传承:圣灵的魔法书</t>
  </si>
  <si>
    <t>10020001;200@10021010;200@14100108;1@10021008;20@10021009;10@10000143;6</t>
  </si>
  <si>
    <t>传承:疾风者的疯狂</t>
  </si>
  <si>
    <t>10020001;200@10021010;200@14110004;1@10021008;30@10021009;15@10000143;10</t>
  </si>
  <si>
    <t>传承:圣域的记忆</t>
  </si>
  <si>
    <t>10020001;200@10021010;200@14110008;1@10021008;30@10021009;15@10000143;10</t>
  </si>
  <si>
    <t>传承:米希尔之力</t>
  </si>
  <si>
    <t>10020001;200@10021010;200@14110012;1@10021008;30@10021009;15@10000143;10</t>
  </si>
  <si>
    <t>传承:鱼骨神弓</t>
  </si>
  <si>
    <t>10020001;200@10021010;200@14100204;1@10021008;20@10021009;10@10000143;6</t>
  </si>
  <si>
    <t>命运之盔</t>
  </si>
  <si>
    <t>10020001;10@10022010;10@10022001;10@10022008;2@10022009;1</t>
  </si>
  <si>
    <t>魔光之盔</t>
  </si>
  <si>
    <t>10020001;10@10022010;10@10022002;10@10022008;2@10022009;1</t>
  </si>
  <si>
    <t>熔铸之盔</t>
  </si>
  <si>
    <t>10020001;10@10022010;10@10022003;10@10022008;2@10022009;1</t>
  </si>
  <si>
    <t>命运之手</t>
  </si>
  <si>
    <t>10020001;10@10022010;10@10022004;10@10022008;2@10022009;1</t>
  </si>
  <si>
    <t>魔光之手</t>
  </si>
  <si>
    <t>10020001;10@10022010;10@10022005;10@10022008;2@10022009;1</t>
  </si>
  <si>
    <t>熔铸之手</t>
  </si>
  <si>
    <t>10020001;10@10022010;10@10022006;10@10022008;2@10022009;1</t>
  </si>
  <si>
    <t>命运之带</t>
  </si>
  <si>
    <t>10020001;10@10022010;10@10022007;10@10022008;2@10022009;1</t>
  </si>
  <si>
    <t>魔光之带</t>
  </si>
  <si>
    <t>熔铸之带</t>
  </si>
  <si>
    <t>命运之靴</t>
  </si>
  <si>
    <t>魔光之靴</t>
  </si>
  <si>
    <t>熔铸之靴</t>
  </si>
  <si>
    <t>命运之腿</t>
  </si>
  <si>
    <t>魔光之腿</t>
  </si>
  <si>
    <t>熔铸之腿</t>
  </si>
  <si>
    <t>幽光之链</t>
  </si>
  <si>
    <t>10020001;20@10022010;20@10022002;20@10022008;4@10022009;2</t>
  </si>
  <si>
    <t>幽光之戒</t>
  </si>
  <si>
    <t>10020001;20@10022010;20@10022003;20@10022008;4@10022009;2</t>
  </si>
  <si>
    <t>幽光之灵</t>
  </si>
  <si>
    <t>10020001;20@10022010;20@10022004;20@10022008;4@10022009;2</t>
  </si>
  <si>
    <t>幽光之符</t>
  </si>
  <si>
    <t>10020001;30@10022010;30@10022005;30@10022008;6@10022009;3</t>
  </si>
  <si>
    <t>幽光之剑</t>
  </si>
  <si>
    <t>10020001;30@10022010;30@10022006;30@10022008;6@10022009;3</t>
  </si>
  <si>
    <t>幽光战刃</t>
  </si>
  <si>
    <t>10020001;30@10022010;30@10022007;30@10022008;6@10022009;3</t>
  </si>
  <si>
    <t>命运之甲</t>
  </si>
  <si>
    <t>10020001;20@10022010;20@10022005;20@10022008;4@10022009;2</t>
  </si>
  <si>
    <t>魔光之甲</t>
  </si>
  <si>
    <t>10020001;20@10022010;20@10022006;20@10022008;4@10022009;2</t>
  </si>
  <si>
    <t>熔铸之甲</t>
  </si>
  <si>
    <t>10020001;20@10022010;20@10022007;20@10022008;4@10022009;2</t>
  </si>
  <si>
    <t>幽光之杖</t>
  </si>
  <si>
    <t>幽光之书</t>
  </si>
  <si>
    <t>流光之弓</t>
  </si>
  <si>
    <t>传承:恒心使徒的魔链</t>
  </si>
  <si>
    <t>10020001;200@10022010;200@15206002;1@10022008;20@10022009;10@10000143;8</t>
  </si>
  <si>
    <t>传承:碧蓝之歌</t>
  </si>
  <si>
    <t>10020001;200@10022010;200@15210002;1@10022008;20@10022009;10@10000143;8</t>
  </si>
  <si>
    <t>传承:有坚不摧之力</t>
  </si>
  <si>
    <t>10020001;200@10022010;200@15210004;1@10022008;20@10022009;10@10000143;8</t>
  </si>
  <si>
    <t>传承:炽热燃烧权杖</t>
  </si>
  <si>
    <t>10020001;200@10022010;200@15210102;1@10022008;20@10022009;10@10000143;8</t>
  </si>
  <si>
    <t>传承:毁灭之书</t>
  </si>
  <si>
    <t>10020001;200@10022010;200@15210104;1@10022008;20@10022009;10@10000143;8</t>
  </si>
  <si>
    <t>传承:光之怒</t>
  </si>
  <si>
    <t>10020001;200@10022010;200@15211002;1@10022008;30@10022009;15@10000143;12</t>
  </si>
  <si>
    <t>传承:神灵启示者</t>
  </si>
  <si>
    <t>10020001;200@10022010;200@15211004;1@10022008;30@10022009;15@10000143;12</t>
  </si>
  <si>
    <t>传承:降魔护卫者</t>
  </si>
  <si>
    <t>10020001;200@10022010;200@15211006;1@10022008;30@10022009;15@10000143;12</t>
  </si>
  <si>
    <t>传承:漠灵之弓</t>
  </si>
  <si>
    <t>10020001;200@10022010;200@15210202;1@10022008;20@10022009;10@10000143;8</t>
  </si>
  <si>
    <t>怒风之盔</t>
  </si>
  <si>
    <t>10020001;10@10023010;10@10023001;10@10023008;2@10023009;1</t>
  </si>
  <si>
    <t>信念之盔</t>
  </si>
  <si>
    <t>10020001;10@10023010;10@10023002;10@10023008;2@10023009;1</t>
  </si>
  <si>
    <t>雷霆之盔</t>
  </si>
  <si>
    <t>10020001;10@10023010;10@10023003;10@10023008;2@10023009;1</t>
  </si>
  <si>
    <t>怒风之手</t>
  </si>
  <si>
    <t>10020001;10@10023010;10@10023004;10@10023008;2@10023009;1</t>
  </si>
  <si>
    <t>信念之手</t>
  </si>
  <si>
    <t>10020001;10@10023010;10@10023005;10@10023008;2@10023009;1</t>
  </si>
  <si>
    <t>雷霆之手</t>
  </si>
  <si>
    <t>10020001;10@10023010;10@10023006;10@10023008;2@10023009;1</t>
  </si>
  <si>
    <t>怒风之带</t>
  </si>
  <si>
    <t>10020001;10@10023010;10@10023007;10@10023008;2@10023009;1</t>
  </si>
  <si>
    <t>信念之带</t>
  </si>
  <si>
    <t>雷霆之带</t>
  </si>
  <si>
    <t>怒风之靴</t>
  </si>
  <si>
    <t>信念之靴</t>
  </si>
  <si>
    <t>雷霆之靴</t>
  </si>
  <si>
    <t>怒风之腿</t>
  </si>
  <si>
    <t>信念之腿</t>
  </si>
  <si>
    <t>雷霆之腿</t>
  </si>
  <si>
    <t>灰烬之链</t>
  </si>
  <si>
    <t>10020001;20@10023010;20@10023002;20@10023008;4@10023009;2</t>
  </si>
  <si>
    <t>灰烬之戒</t>
  </si>
  <si>
    <t>10020001;20@10023010;20@10023003;20@10023008;4@10023009;2</t>
  </si>
  <si>
    <t>灰烬之灵</t>
  </si>
  <si>
    <t>10020001;20@10023010;20@10023004;20@10023008;4@10023009;2</t>
  </si>
  <si>
    <t>灰烬之符</t>
  </si>
  <si>
    <t>10020001;30@10023010;30@10023005;30@10023008;6@10023009;3</t>
  </si>
  <si>
    <t>灰烬之剑</t>
  </si>
  <si>
    <t>10020001;30@10023010;30@10023006;30@10023008;6@10023009;3</t>
  </si>
  <si>
    <t>灰烬战刃</t>
  </si>
  <si>
    <t>10020001;30@10023010;30@10023007;30@10023008;6@10023009;3</t>
  </si>
  <si>
    <t>怒风之甲</t>
  </si>
  <si>
    <t>10020001;20@10023010;20@10023005;20@10023008;4@10023009;2</t>
  </si>
  <si>
    <t>信念之甲</t>
  </si>
  <si>
    <t>10020001;20@10023010;20@10023006;20@10023008;4@10023009;2</t>
  </si>
  <si>
    <t>雷霆之甲</t>
  </si>
  <si>
    <t>10020001;20@10023010;20@10023007;20@10023008;4@10023009;2</t>
  </si>
  <si>
    <t>灰烬之仗</t>
  </si>
  <si>
    <t>灰烬之书</t>
  </si>
  <si>
    <t>冰封之弓</t>
  </si>
  <si>
    <t>传承:末日的启示者</t>
  </si>
  <si>
    <t>10020001;200@10023010;200@15306002;1@10023008;20@10023009;10@10000143;12</t>
  </si>
  <si>
    <t>传承:寒冰使者的佩剑</t>
  </si>
  <si>
    <t>10020001;200@10023010;200@15310002;1@10023008;20@10023009;10@10000143;12</t>
  </si>
  <si>
    <t>传承:黎明的护卫者</t>
  </si>
  <si>
    <t>10020001;200@10023010;200@15310004;1@10023008;20@10023009;10@10000143;12</t>
  </si>
  <si>
    <t>传承:冰灵惩戒之杖</t>
  </si>
  <si>
    <t>10020001;200@10023010;200@15310102;1@10023008;20@10023009;10@10000143;12</t>
  </si>
  <si>
    <t>传承:王者的愤怒</t>
  </si>
  <si>
    <t>10020001;200@10023010;200@15310104;1@10023008;20@10023009;10@10000143;12</t>
  </si>
  <si>
    <t>传承:正义的呼唤</t>
  </si>
  <si>
    <t>10020001;200@10023010;200@15311002;1@10023008;30@10023009;15@10000143;16</t>
  </si>
  <si>
    <t>传承:暴灵的守护</t>
  </si>
  <si>
    <t>10020001;200@10023010;200@15311004;1@10023008;30@10023009;15@10000143;16</t>
  </si>
  <si>
    <t>传承:神官的黄昏</t>
  </si>
  <si>
    <t>10020001;200@10023010;200@15311006;1@10023008;30@10023009;15@10000143;16</t>
  </si>
  <si>
    <t>传承:雪人的呼唤</t>
  </si>
  <si>
    <t>10020001;200@10023010;200@15310202;1@10023008;20@10023009;10@10000143;12</t>
  </si>
  <si>
    <t>苍穹之盔</t>
  </si>
  <si>
    <t>10020001;10@10024010;10@10024001;10@10024008;2@10024009;1</t>
  </si>
  <si>
    <t>神谕之盔</t>
  </si>
  <si>
    <t>10020001;10@10024010;10@10024002;10@10024008;2@10024009;1</t>
  </si>
  <si>
    <t>龙脊之盔</t>
  </si>
  <si>
    <t>10020001;10@10024010;10@10024003;10@10024008;2@10024009;1</t>
  </si>
  <si>
    <t>苍穹之手</t>
  </si>
  <si>
    <t>10020001;10@10024010;10@10024004;10@10024008;2@10024009;1</t>
  </si>
  <si>
    <t>神谕之手</t>
  </si>
  <si>
    <t>10020001;10@10024010;10@10024005;10@10024008;2@10024009;1</t>
  </si>
  <si>
    <t>龙脊之手</t>
  </si>
  <si>
    <t>10020001;10@10024010;10@10024006;10@10024008;2@10024009;1</t>
  </si>
  <si>
    <t>苍穹之带</t>
  </si>
  <si>
    <t>10020001;10@10024010;10@10024007;10@10024008;2@10024009;1</t>
  </si>
  <si>
    <t>神谕之带</t>
  </si>
  <si>
    <t>龙脊之带</t>
  </si>
  <si>
    <t>苍穹之靴</t>
  </si>
  <si>
    <t>神谕之靴</t>
  </si>
  <si>
    <t>龙脊之靴</t>
  </si>
  <si>
    <t>苍穹之腿</t>
  </si>
  <si>
    <t>神谕之腿</t>
  </si>
  <si>
    <t>龙脊之腿</t>
  </si>
  <si>
    <t>幻影之链</t>
  </si>
  <si>
    <t>10020001;20@10024010;20@10024002;20@10024008;4@10024009;2</t>
  </si>
  <si>
    <t>幻影之戒</t>
  </si>
  <si>
    <t>10020001;20@10024010;20@10024003;20@10024008;4@10024009;2</t>
  </si>
  <si>
    <t>幻影之灵</t>
  </si>
  <si>
    <t>10020001;20@10024010;20@10024004;20@10024008;4@10024009;2</t>
  </si>
  <si>
    <t>幻影之符</t>
  </si>
  <si>
    <t>10020001;30@10024010;30@10024005;30@10024008;6@10024009;3</t>
  </si>
  <si>
    <t>幻影之剑</t>
  </si>
  <si>
    <t>10020001;30@10024010;30@10024006;30@10024008;6@10024009;3</t>
  </si>
  <si>
    <t>幻影之刀</t>
  </si>
  <si>
    <t>10020001;30@10024010;30@10024007;30@10024008;6@10024009;3</t>
  </si>
  <si>
    <t>苍穹之甲</t>
  </si>
  <si>
    <t>10020001;20@10024010;20@10024005;20@10024008;4@10024009;2</t>
  </si>
  <si>
    <t>神谕之甲</t>
  </si>
  <si>
    <t>10020001;20@10024010;20@10024006;20@10024008;4@10024009;2</t>
  </si>
  <si>
    <t>龙脊之甲</t>
  </si>
  <si>
    <t>10020001;20@10024010;20@10024007;20@10024008;4@10024009;2</t>
  </si>
  <si>
    <t>幻影之杖</t>
  </si>
  <si>
    <t>唤灵之弓</t>
  </si>
  <si>
    <t>传承:女王项链</t>
  </si>
  <si>
    <t>10020001;200@10024010;200@15406002;1@10024008;20@10024009;10@10000143;15</t>
  </si>
  <si>
    <t>传承:黑暗毁灭者</t>
  </si>
  <si>
    <t>10020001;200@10024010;200@15410002;1@10024008;20@10024009;10@10000143;15</t>
  </si>
  <si>
    <t>传承:末日的决战</t>
  </si>
  <si>
    <t>10020001;200@10024010;200@15410004;1@10024008;20@10024009;10@10000143;15</t>
  </si>
  <si>
    <t>传承:堕落的使者</t>
  </si>
  <si>
    <t>10020001;200@10024010;200@15410102;1@10024008;20@10024009;10@10000143;15</t>
  </si>
  <si>
    <t>传承:上层精灵的魔法</t>
  </si>
  <si>
    <t>10020001;200@10024010;200@15410104;1@10024008;20@10024009;10@10000143;15</t>
  </si>
  <si>
    <t>传承:尽头之声</t>
  </si>
  <si>
    <t>10020001;200@10024010;200@15411002;1@10024008;30@10024009;15@10000143;20</t>
  </si>
  <si>
    <t>传承:天籁长袍</t>
  </si>
  <si>
    <t>10020001;200@10024010;200@15411004;1@10024008;30@10024009;15@10000143;20</t>
  </si>
  <si>
    <t>传承:不败的意志</t>
  </si>
  <si>
    <t>10020001;200@10024010;200@15411006;1@10024008;30@10024009;15@10000143;20</t>
  </si>
  <si>
    <t>传承:暗灵使徒的召唤</t>
  </si>
  <si>
    <t>10020001;200@10024010;200@15410202;1@10024008;20@10024009;10@10000143;15</t>
  </si>
  <si>
    <t>10020001;10@10025010;10@10025001;10@10025008;2@10025009;1</t>
  </si>
  <si>
    <t>10020001;10@10025010;10@10025002;10@10025008;2@10025009;1</t>
  </si>
  <si>
    <t>10020001;10@10025010;10@10025003;10@10025008;2@10025009;1</t>
  </si>
  <si>
    <t>10020001;10@10025010;10@10025004;10@10025008;2@10025009;1</t>
  </si>
  <si>
    <t>10020001;10@10025010;10@10025005;10@10025008;2@10025009;1</t>
  </si>
  <si>
    <t>10020001;10@10025010;10@10025006;10@10025008;2@10025009;1</t>
  </si>
  <si>
    <t>10020001;10@10025010;10@10025007;10@10025008;2@10025009;1</t>
  </si>
  <si>
    <t>10020001;20@10025010;20@10025002;20@10025008;4@10025009;2</t>
  </si>
  <si>
    <t>10020001;20@10025010;20@10025003;20@10025008;4@10025009;2</t>
  </si>
  <si>
    <t>10020001;20@10025010;20@10025004;20@10025008;4@10025009;2</t>
  </si>
  <si>
    <t>10020001;30@10025010;30@10025005;30@10025008;6@10025009;3</t>
  </si>
  <si>
    <t>10020001;30@10025010;30@10025006;30@10025008;6@10025009;3</t>
  </si>
  <si>
    <t>10020001;30@10025010;30@10025007;30@10025008;6@10025009;3</t>
  </si>
  <si>
    <t>10020001;20@10025010;20@10025005;20@10025008;4@10025009;2</t>
  </si>
  <si>
    <t>10020001;20@10025010;20@10025006;20@10025008;4@10025009;2</t>
  </si>
  <si>
    <t>10020001;20@10025010;20@10025007;20@10025008;4@10025009;2</t>
  </si>
  <si>
    <t>炙热之弓</t>
  </si>
  <si>
    <t>传承:力量的召唤</t>
  </si>
  <si>
    <t>10020001;200@10025010;200@15506002;1@10025008;20@10025009;10@10000143;20</t>
  </si>
  <si>
    <t>传承:圣焰之剑</t>
  </si>
  <si>
    <t>10020001;200@10025010;200@15510002;1@10025008;20@10025009;10@10000143;20</t>
  </si>
  <si>
    <t>传承:远古王者之刃</t>
  </si>
  <si>
    <t>10020001;200@10025010;200@15510004;1@10025008;20@10025009;10@10000143;20</t>
  </si>
  <si>
    <t>传承:天堂的权杖</t>
  </si>
  <si>
    <t>10020001;200@10025010;200@15510102;1@10025008;20@10025009;10@10000143;20</t>
  </si>
  <si>
    <t>传承:时光能量魔法</t>
  </si>
  <si>
    <t>10020001;200@10025010;200@15510104;1@10025008;20@10025009;10@10000143;20</t>
  </si>
  <si>
    <t>传承:噩梦裁决者</t>
  </si>
  <si>
    <t>10020001;200@10025010;200@15511002;1@10025008;30@10025009;15@10000143;25</t>
  </si>
  <si>
    <t>传承:祝福者外衣</t>
  </si>
  <si>
    <t>10020001;200@10025010;200@15511004;1@10025008;30@10025009;15@10000143;25</t>
  </si>
  <si>
    <t>传承:怒之烈焰</t>
  </si>
  <si>
    <t>10020001;200@10025010;200@15511006;1@10025008;30@10025009;15@10000143;25</t>
  </si>
  <si>
    <t>传承:魔焰神弓</t>
  </si>
  <si>
    <t>10020001;200@10025010;200@15510202;1@10025008;20@10025009;10@10000143;20</t>
  </si>
  <si>
    <t>初级治愈药水</t>
  </si>
  <si>
    <t>1,1</t>
  </si>
  <si>
    <t>10020001;1@10021010;2</t>
  </si>
  <si>
    <t>初级攻击药水</t>
  </si>
  <si>
    <t>1,3</t>
  </si>
  <si>
    <t>10020001;5@10021010;5@10021001;3@10021003;3@</t>
  </si>
  <si>
    <t>初级防御药水</t>
  </si>
  <si>
    <t>10020001;5@10021010;5@10021002;3@10021004;3@</t>
  </si>
  <si>
    <t>初级生命合剂</t>
  </si>
  <si>
    <t>2,4</t>
  </si>
  <si>
    <t>10020001;5@10021010;5@10021003;3@10021005;3@10021008;1@</t>
  </si>
  <si>
    <t>初级攻击合剂</t>
  </si>
  <si>
    <t>10020001;5@10021010;5@10021004;3@10021006;3@10021008;1@</t>
  </si>
  <si>
    <t>初级防御合剂</t>
  </si>
  <si>
    <t>10020001;5@10021010;5@10021005;3@10021007;3@10021008;1@</t>
  </si>
  <si>
    <t>次级治愈药水</t>
  </si>
  <si>
    <t>次级攻击药水</t>
  </si>
  <si>
    <t>10020001;5@10022010;5@10022001;3@10022003;3@</t>
  </si>
  <si>
    <t>次级防御药水</t>
  </si>
  <si>
    <t>10020001;5@10022010;5@10022002;3@10022004;3@</t>
  </si>
  <si>
    <t>次级生命合剂</t>
  </si>
  <si>
    <t>10020001;5@10022010;5@10022003;3@10022005;3@10022008;1@</t>
  </si>
  <si>
    <t>次级攻击合剂</t>
  </si>
  <si>
    <t>10020001;5@10022010;5@10022004;3@10022006;3@10022008;1@</t>
  </si>
  <si>
    <t>次级防御合剂</t>
  </si>
  <si>
    <t>10020001;5@10022010;5@10022005;3@10022007;3@10022008;1@</t>
  </si>
  <si>
    <t>强效治愈药水</t>
  </si>
  <si>
    <t>10020001;1@10023010;2</t>
  </si>
  <si>
    <t>强效攻击药水</t>
  </si>
  <si>
    <t>10020001;5@10023010;5@10023001;3@10023003;3@</t>
  </si>
  <si>
    <t>强效防御药水</t>
  </si>
  <si>
    <t>10020001;5@10023010;5@10023002;3@10023004;3@</t>
  </si>
  <si>
    <t>强效生命合剂</t>
  </si>
  <si>
    <t>10020001;5@10023010;5@10023003;3@10023005;3@10023008;1@</t>
  </si>
  <si>
    <t>强效攻击合剂</t>
  </si>
  <si>
    <t>10020001;5@10023010;5@10023004;3@10023006;3@10023008;1@</t>
  </si>
  <si>
    <t>强效防御合剂</t>
  </si>
  <si>
    <t>10020001;5@10023010;5@10023005;3@10023007;3@10023008;1@</t>
  </si>
  <si>
    <t>极效治愈药水</t>
  </si>
  <si>
    <t>10020001;1@10024010;2</t>
  </si>
  <si>
    <t>极效攻击药水</t>
  </si>
  <si>
    <t>10020001;5@10024010;5@10024001;3@10024003;3@</t>
  </si>
  <si>
    <t>极效防御药水</t>
  </si>
  <si>
    <t>10020001;5@10024010;5@10024002;3@10024004;3@</t>
  </si>
  <si>
    <t>极效生命合剂</t>
  </si>
  <si>
    <t>10020001;5@10024010;5@10024003;3@10024005;3@10024008;1@</t>
  </si>
  <si>
    <t>极效攻击合剂</t>
  </si>
  <si>
    <t>10020001;5@10024010;5@10024004;3@10024006;3@10024008;1@</t>
  </si>
  <si>
    <t>极效防御合剂</t>
  </si>
  <si>
    <t>10020001;5@10024010;5@10024005;3@10024007;3@10024008;1@</t>
  </si>
  <si>
    <t>超级治愈药水</t>
  </si>
  <si>
    <t>10020001;1@10025010;2</t>
  </si>
  <si>
    <t>超级攻击药水</t>
  </si>
  <si>
    <t>10020001;5@10025010;5@10025001;3@10025003;3@</t>
  </si>
  <si>
    <t>超级防御药水</t>
  </si>
  <si>
    <t>10020001;5@10025010;5@10025002;3@10025004;3@</t>
  </si>
  <si>
    <t>超级生命合剂</t>
  </si>
  <si>
    <t>10020001;5@10025010;5@10025003;3@10025005;3@10025008;1@</t>
  </si>
  <si>
    <t>超级攻击合剂</t>
  </si>
  <si>
    <t>10020001;5@10025010;5@10025004;3@10025006;3@10025008;1@</t>
  </si>
  <si>
    <t>超级防御合剂</t>
  </si>
  <si>
    <t>10020001;5@10025010;5@10025005;3@10025007;3@10025008;1@</t>
  </si>
  <si>
    <t>炼金治愈药水</t>
  </si>
  <si>
    <t>10020001;2@10025010;6</t>
  </si>
  <si>
    <t>初级暴击等级合剂</t>
  </si>
  <si>
    <t>10020001;5@10021010;5@10000146;1@10021008;1</t>
  </si>
  <si>
    <t>初级闪避等级合剂</t>
  </si>
  <si>
    <t>初级命中等级合剂</t>
  </si>
  <si>
    <t>初级抗暴等级合剂</t>
  </si>
  <si>
    <t>命中炼金药剂</t>
  </si>
  <si>
    <t>10020001;20@10021010;20@10000146;3@10021008;1</t>
  </si>
  <si>
    <t>次级暴击等级合剂</t>
  </si>
  <si>
    <t>10020001;5@10022010;5@10000146;1@10022008;1</t>
  </si>
  <si>
    <t>次级闪避等级合剂</t>
  </si>
  <si>
    <t>次级命中等级合剂</t>
  </si>
  <si>
    <t>次级抗暴等级合剂</t>
  </si>
  <si>
    <t>闪避炼金药剂</t>
  </si>
  <si>
    <t>10020001;20@10022010;20@10000146;3@10022008;1</t>
  </si>
  <si>
    <t>强效暴击等级合剂</t>
  </si>
  <si>
    <t>10020001;5@10023010;5@10000146;1@10023008;1</t>
  </si>
  <si>
    <t>强效闪避等级合剂</t>
  </si>
  <si>
    <t>强效命中等级合剂</t>
  </si>
  <si>
    <t>强效抗暴等级合剂</t>
  </si>
  <si>
    <t>抗暴炼金药剂</t>
  </si>
  <si>
    <t>10020001;20@10023010;20@10000146;3@10023008;1</t>
  </si>
  <si>
    <t>极效暴击等级合剂</t>
  </si>
  <si>
    <t>10020001;5@10024010;5@10000146;1@10024008;1</t>
  </si>
  <si>
    <t>极效闪避等级合剂</t>
  </si>
  <si>
    <t>极效命中等级合剂</t>
  </si>
  <si>
    <t>极效抗暴等级合剂</t>
  </si>
  <si>
    <t>暴击炼金药剂</t>
  </si>
  <si>
    <t>10020001;20@10024010;20@10000146;3@10024008;1</t>
  </si>
  <si>
    <t>超级暴击等级合剂</t>
  </si>
  <si>
    <t>10020001;5@10025010;5@10000146;1@10025008;1</t>
  </si>
  <si>
    <t>超级闪避等级合剂</t>
  </si>
  <si>
    <t>超级命中等级合剂</t>
  </si>
  <si>
    <t>超级抗暴等级合剂</t>
  </si>
  <si>
    <t>速度炼金药剂</t>
  </si>
  <si>
    <t>10020001;20@10024010;20@10000146;3@10025008;1</t>
  </si>
  <si>
    <t>速度合剂</t>
  </si>
  <si>
    <t>10020001;20@10000146;3</t>
  </si>
  <si>
    <t>不稳定的爆炸药剂</t>
  </si>
  <si>
    <t>10020001;10</t>
  </si>
  <si>
    <t>炼金体力药水</t>
  </si>
  <si>
    <t>10020001;50@10000146;3</t>
  </si>
  <si>
    <t>炼金活力药剂</t>
  </si>
  <si>
    <t>10020001;50@10000146;1</t>
  </si>
  <si>
    <t>精钢锭</t>
  </si>
  <si>
    <t>10000146;2</t>
  </si>
  <si>
    <t>符文布</t>
  </si>
  <si>
    <t>无粉尘</t>
  </si>
  <si>
    <t>初级锻造鉴定符</t>
  </si>
  <si>
    <t>10020001;10@10000144;1@10010085;10</t>
  </si>
  <si>
    <t>初级首饰鉴定符</t>
  </si>
  <si>
    <t>初级防具鉴定符</t>
  </si>
  <si>
    <t>2级攻击石</t>
  </si>
  <si>
    <t>10045101;2</t>
  </si>
  <si>
    <t>3级攻击石</t>
  </si>
  <si>
    <t>10045102;2</t>
  </si>
  <si>
    <t>4级攻击石</t>
  </si>
  <si>
    <t>10045103;2</t>
  </si>
  <si>
    <t>5级攻击石</t>
  </si>
  <si>
    <t>10045104;2</t>
  </si>
  <si>
    <t>6级攻击石</t>
  </si>
  <si>
    <t>10045105;2</t>
  </si>
  <si>
    <t>7级攻击石</t>
  </si>
  <si>
    <t>10045106;2</t>
  </si>
  <si>
    <t>8级攻击石</t>
  </si>
  <si>
    <t>10045107;2</t>
  </si>
  <si>
    <t>9级攻击石</t>
  </si>
  <si>
    <t>10045108;2</t>
  </si>
  <si>
    <t>10级攻击石</t>
  </si>
  <si>
    <t>10045109;2</t>
  </si>
  <si>
    <t>11级攻击石</t>
  </si>
  <si>
    <t>10045110;2</t>
  </si>
  <si>
    <t>12级攻击石</t>
  </si>
  <si>
    <t>10045111;2</t>
  </si>
  <si>
    <t>13级攻击石</t>
  </si>
  <si>
    <t>10045112;2</t>
  </si>
  <si>
    <t>2级生命石</t>
  </si>
  <si>
    <t>10045201;2</t>
  </si>
  <si>
    <t>3级生命石</t>
  </si>
  <si>
    <t>10045202;2</t>
  </si>
  <si>
    <t>4级生命石</t>
  </si>
  <si>
    <t>10045203;2</t>
  </si>
  <si>
    <t>5级生命石</t>
  </si>
  <si>
    <t>10045204;2</t>
  </si>
  <si>
    <t>6级生命石</t>
  </si>
  <si>
    <t>10045205;2</t>
  </si>
  <si>
    <t>7级生命石</t>
  </si>
  <si>
    <t>10045206;2</t>
  </si>
  <si>
    <t>8级生命石</t>
  </si>
  <si>
    <t>10045207;2</t>
  </si>
  <si>
    <t>9级生命石</t>
  </si>
  <si>
    <t>10045208;2</t>
  </si>
  <si>
    <t>10级生命石</t>
  </si>
  <si>
    <t>10045209;2</t>
  </si>
  <si>
    <t>11级生命石</t>
  </si>
  <si>
    <t>10045210;2</t>
  </si>
  <si>
    <t>12级生命石</t>
  </si>
  <si>
    <t>10045211;2</t>
  </si>
  <si>
    <t>13级生命石</t>
  </si>
  <si>
    <t>10045212;2</t>
  </si>
  <si>
    <t>2级物防石</t>
  </si>
  <si>
    <t>10045301;2</t>
  </si>
  <si>
    <t>3级物防石</t>
  </si>
  <si>
    <t>10045302;2</t>
  </si>
  <si>
    <t>4级物防石</t>
  </si>
  <si>
    <t>10045303;2</t>
  </si>
  <si>
    <t>5级物防石</t>
  </si>
  <si>
    <t>10045304;2</t>
  </si>
  <si>
    <t>6级物防石</t>
  </si>
  <si>
    <t>10045305;2</t>
  </si>
  <si>
    <t>7级物防石</t>
  </si>
  <si>
    <t>10045306;2</t>
  </si>
  <si>
    <t>8级物防石</t>
  </si>
  <si>
    <t>10045307;2</t>
  </si>
  <si>
    <t>9级物防石</t>
  </si>
  <si>
    <t>10045308;2</t>
  </si>
  <si>
    <t>10级物防石</t>
  </si>
  <si>
    <t>10045309;2</t>
  </si>
  <si>
    <t>11级物防石</t>
  </si>
  <si>
    <t>10045310;2</t>
  </si>
  <si>
    <t>12级物防石</t>
  </si>
  <si>
    <t>10045311;2</t>
  </si>
  <si>
    <t>13级物防石</t>
  </si>
  <si>
    <t>10045312;2</t>
  </si>
  <si>
    <t>2级魔防石</t>
  </si>
  <si>
    <t>10045401;2</t>
  </si>
  <si>
    <t>3级魔防石</t>
  </si>
  <si>
    <t>10045402;2</t>
  </si>
  <si>
    <t>4级魔防石</t>
  </si>
  <si>
    <t>10045403;2</t>
  </si>
  <si>
    <t>5级魔防石</t>
  </si>
  <si>
    <t>10045404;2</t>
  </si>
  <si>
    <t>6级魔防石</t>
  </si>
  <si>
    <t>10045405;2</t>
  </si>
  <si>
    <t>7级魔防石</t>
  </si>
  <si>
    <t>10045406;2</t>
  </si>
  <si>
    <t>8级魔防石</t>
  </si>
  <si>
    <t>10045407;2</t>
  </si>
  <si>
    <t>9级魔防石</t>
  </si>
  <si>
    <t>10045408;2</t>
  </si>
  <si>
    <t>10级魔防石</t>
  </si>
  <si>
    <t>10045409;2</t>
  </si>
  <si>
    <t>11级魔防石</t>
  </si>
  <si>
    <t>10045410;2</t>
  </si>
  <si>
    <t>12级魔防石</t>
  </si>
  <si>
    <t>10045411;2</t>
  </si>
  <si>
    <t>13级魔防石</t>
  </si>
  <si>
    <t>10045412;2</t>
  </si>
  <si>
    <t>史诗:风灵之盔</t>
  </si>
  <si>
    <t>10020001;200@10025010;200@10010085;1000@10025008;20@10025009;10@10000143;35</t>
  </si>
  <si>
    <t>史诗:神谕之盔</t>
  </si>
  <si>
    <t>史诗:永恒之盔</t>
  </si>
  <si>
    <t>史诗:风灵之手</t>
  </si>
  <si>
    <t>史诗:神谕之手</t>
  </si>
  <si>
    <t>史诗:永恒之手</t>
  </si>
  <si>
    <t>史诗:风灵之带</t>
  </si>
  <si>
    <t>史诗:神谕之带</t>
  </si>
  <si>
    <t>史诗:永恒之带</t>
  </si>
  <si>
    <t>史诗:风灵之靴</t>
  </si>
  <si>
    <t>史诗:神谕之靴</t>
  </si>
  <si>
    <t>史诗:永恒之靴</t>
  </si>
  <si>
    <t>史诗:风灵之腿</t>
  </si>
  <si>
    <t>史诗:神谕之腿</t>
  </si>
  <si>
    <t>史诗:永恒之腿</t>
  </si>
  <si>
    <t>史诗:炙热之链</t>
  </si>
  <si>
    <t>10020001;350@10025010;350@10010085;2000@10025008;20@10025009;10@10000143;50</t>
  </si>
  <si>
    <t>史诗:炙热之戒</t>
  </si>
  <si>
    <t>史诗:炙热之灵</t>
  </si>
  <si>
    <t>史诗:炙热之符</t>
  </si>
  <si>
    <t>史诗:炙热之剑</t>
  </si>
  <si>
    <t>10020001;500@10025010;500@10010085;5000@10025008;20@10025009;10@10000143;100</t>
  </si>
  <si>
    <t>史诗:炙热战刃</t>
  </si>
  <si>
    <t>史诗:炙热之杖</t>
  </si>
  <si>
    <t>史诗:炙热之书</t>
  </si>
  <si>
    <t>史诗:风灵之甲</t>
  </si>
  <si>
    <t>10020001;300@10025010;300@10010085;3000@10025008;20@10025009;10@10000143;70</t>
  </si>
  <si>
    <t>史诗:神谕之甲</t>
  </si>
  <si>
    <t>史诗:永恒之甲</t>
  </si>
  <si>
    <t>史诗:炙热之弓</t>
  </si>
  <si>
    <t>初级生肖袋子</t>
  </si>
  <si>
    <t>10010037;10</t>
  </si>
  <si>
    <t>中级生肖袋子</t>
  </si>
  <si>
    <t>10010037;30</t>
  </si>
  <si>
    <t>高级生肖袋子</t>
  </si>
  <si>
    <t>10010037;100</t>
  </si>
  <si>
    <t>生肖封印灵石</t>
  </si>
  <si>
    <t>10010037;200</t>
  </si>
  <si>
    <t>10020001;1000@10000152;30@15601001;1@10025008;50@10025009;20@10000143;50</t>
  </si>
  <si>
    <t>10020001;1000@10000152;30@15601002;1@10025008;50@10025009;20@10000143;50</t>
  </si>
  <si>
    <t>10020001;1000@10000152;30@15601003;1@10025008;50@10025009;20@10000143;50</t>
  </si>
  <si>
    <t>10020001;1000@10000152;30@15602001;1@10025008;50@10025009;20@10000143;50</t>
  </si>
  <si>
    <t>10020001;1000@10000152;30@15602002;1@10025008;50@10025009;20@10000143;50</t>
  </si>
  <si>
    <t>10020001;1000@10000152;30@15602003;1@10025008;50@10025009;20@10000143;50</t>
  </si>
  <si>
    <t>10020001;1000@10000152;30@15603001;1@10025008;50@10025009;20@10000143;50</t>
  </si>
  <si>
    <t>10020001;1000@10000152;30@15603002;1@10025008;50@10025009;20@10000143;50</t>
  </si>
  <si>
    <t>10020001;1000@10000152;30@15603003;1@10025008;50@10025009;20@10000143;50</t>
  </si>
  <si>
    <t>10020001;1000@10000152;30@15604001;1@10025008;50@10025009;20@10000143;50</t>
  </si>
  <si>
    <t>10020001;1000@10000152;30@15604002;1@10025008;50@10025009;20@10000143;50</t>
  </si>
  <si>
    <t>10020001;1000@10000152;30@15604003;1@10025008;50@10025009;20@10000143;50</t>
  </si>
  <si>
    <t>10020001;1000@10000152;30@15605001;1@10025008;50@10025009;20@10000143;50</t>
  </si>
  <si>
    <t>10020001;1000@10000152;30@15605002;1@10025008;50@10025009;20@10000143;50</t>
  </si>
  <si>
    <t>10020001;1000@10000152;30@15605003;1@10025008;50@10025009;20@10000143;50</t>
  </si>
  <si>
    <t>10020001;1750@10000152;40@15606001;1@10025008;50@10025009;20@10000143;75</t>
  </si>
  <si>
    <t>10020001;1750@10000152;40@15607001;1@10025008;50@10025009;20@10000143;75</t>
  </si>
  <si>
    <t>10020001;1750@10000152;40@15608001;1@10025008;50@10025009;20@10000143;75</t>
  </si>
  <si>
    <t>10020001;1750@10000152;40@15609001;1@10025008;50@10025009;20@10000143;75</t>
  </si>
  <si>
    <t>10020001;2500@10000152;80@15610001;1@10025008;50@10025009;20@10000143;150</t>
  </si>
  <si>
    <t>10020001;2500@10000152;80@15610002;1@10025008;50@10025009;20@10000143;150</t>
  </si>
  <si>
    <t>10020001;2500@10000152;80@15610101;1@10025008;50@10025009;20@10000143;150</t>
  </si>
  <si>
    <t>10020001;2500@10000152;80@15610102;1@10025008;50@10025009;20@10000143;150</t>
  </si>
  <si>
    <t>10020001;1500@10000152;60@15611001;1@10025008;50@10025009;20@10000143;100</t>
  </si>
  <si>
    <t>10020001;1500@10000152;60@15611002;1@10025008;50@10025009;20@10000143;100</t>
  </si>
  <si>
    <t>10020001;1500@10000152;60@15611003;1@10025008;50@10025009;20@10000143;100</t>
  </si>
  <si>
    <t>传承史诗:支配之弓</t>
  </si>
  <si>
    <t>10020001;2500@10000152;80@15610201;1@10025008;50@10025009;20@10000143;150</t>
  </si>
  <si>
    <t>10020001;2000@10000165;30@15701001;1@10010085;5000@10000152;50@10000143;50</t>
  </si>
  <si>
    <t>10020001;2000@10000165;30@15701002;1@10010085;5000@10000152;50@10000143;50</t>
  </si>
  <si>
    <t>10020001;2000@10000165;30@15701003;1@10010085;5000@10000152;50@10000143;50</t>
  </si>
  <si>
    <t>10020001;2000@10000165;30@15702001;1@10010085;5000@10000152;50@10000143;50</t>
  </si>
  <si>
    <t>10020001;2000@10000165;30@15702002;1@10010085;5000@10000152;50@10000143;50</t>
  </si>
  <si>
    <t>10020001;2000@10000165;30@15702003;1@10010085;5000@10000152;50@10000143;50</t>
  </si>
  <si>
    <t>10020001;2000@10000165;30@15703001;1@10010085;5000@10000152;50@10000143;50</t>
  </si>
  <si>
    <t>10020001;2000@10000165;30@15703002;1@10010085;5000@10000152;50@10000143;50</t>
  </si>
  <si>
    <t>10020001;2000@10000165;30@15703003;1@10010085;5000@10000152;50@10000143;50</t>
  </si>
  <si>
    <t>10020001;2000@10000165;30@15704001;1@10010085;5000@10000152;50@10000143;50</t>
  </si>
  <si>
    <t>10020001;2000@10000165;30@15704002;1@10010085;5000@10000152;50@10000143;50</t>
  </si>
  <si>
    <t>10020001;2000@10000165;30@15704003;1@10010085;5000@10000152;50@10000143;50</t>
  </si>
  <si>
    <t>10020001;2000@10000165;30@15705001;1@10010085;5000@10000152;50@10000143;50</t>
  </si>
  <si>
    <t>10020001;2000@10000165;30@15705002;1@10010085;5000@10000152;50@10000143;50</t>
  </si>
  <si>
    <t>10020001;2000@10000165;30@15705003;1@10010085;5000@10000152;50@10000143;50</t>
  </si>
  <si>
    <t>10020001;3500@10000165;40@15706001;1@10010085;5000@10000152;50@10000143;75</t>
  </si>
  <si>
    <t>10020001;3500@10000165;40@15707001;1@10010085;5000@10000152;50@10000143;75</t>
  </si>
  <si>
    <t>10020001;3500@10000165;40@15708001;1@10010085;5000@10000152;50@10000143;75</t>
  </si>
  <si>
    <t>10020001;3500@10000165;40@15709001;1@10010085;5000@10000152;50@10000143;75</t>
  </si>
  <si>
    <t>10020001;5000@10000165;80@15710001;1@10010085;5000@10000152;50@10000143;150</t>
  </si>
  <si>
    <t>10020001;5000@10000165;80@15710002;1@10010085;5000@10000152;50@10000143;150</t>
  </si>
  <si>
    <t>10020001;5000@10000165;80@15710101;1@10010085;5000@10000152;50@10000143;150</t>
  </si>
  <si>
    <t>10020001;5000@10000165;80@15710102;1@10010085;5000@10000152;50@10000143;150</t>
  </si>
  <si>
    <t>10020001;3000@10000165;60@15711001;1@10010085;5000@10000152;50@10000143;100</t>
  </si>
  <si>
    <t>10020001;3000@10000165;60@15711002;1@10010085;5000@10000152;50@10000143;100</t>
  </si>
  <si>
    <t>10020001;3000@10000165;60@15711003;1@10010085;5000@10000152;50@10000143;100</t>
  </si>
  <si>
    <t>10020001;5000@10000165;80@15710201;1@10010085;5000@10000152;50@10000143;150</t>
  </si>
  <si>
    <t>宠物:白银头饰</t>
  </si>
  <si>
    <t>10020001;20@10022010;20@10022008;4@10022009;2@10000166;10</t>
  </si>
  <si>
    <t>宠物:白银项圈</t>
  </si>
  <si>
    <t>宠物:白银护腕</t>
  </si>
  <si>
    <t>宠物:黄金头饰</t>
  </si>
  <si>
    <t>10020001;30@10023010;30@10023008;4@10023009;2@10000166;15@10000143;3</t>
  </si>
  <si>
    <t>宠物:黄金项圈</t>
  </si>
  <si>
    <t>宠物:黄金护腕</t>
  </si>
  <si>
    <t>宠物:精灵头饰</t>
  </si>
  <si>
    <t>10020001;40@10024010;40@10024008;4@10024009;2@10000166;20@10000143;5</t>
  </si>
  <si>
    <t>宠物:精灵项圈</t>
  </si>
  <si>
    <t>宠物:精灵护腕</t>
  </si>
  <si>
    <t>宠物:无畏头饰</t>
  </si>
  <si>
    <t>10020001;50@10025010;50@10025008;4@10025009;2@10000166;25@10000143;10</t>
  </si>
  <si>
    <t>宠物:无畏项圈</t>
  </si>
  <si>
    <t>宠物:无畏护腕</t>
  </si>
  <si>
    <t>宠物:传说头饰</t>
  </si>
  <si>
    <t>10020001;100@10025010;100@10025008;6@10025009;3@10000166;30@10000143;20</t>
  </si>
  <si>
    <t>宠物:传说项圈</t>
  </si>
  <si>
    <t>宠物:传说护腕</t>
  </si>
  <si>
    <t>附魔头盔:初级攻击</t>
  </si>
  <si>
    <t>10020001;10@10000147;1@10021001;10</t>
  </si>
  <si>
    <t>附魔头盔:初级暴击等级</t>
  </si>
  <si>
    <t>10020001;10@10000147;1@10021002;10@10021008;1</t>
  </si>
  <si>
    <t>附魔头盔:格挡</t>
  </si>
  <si>
    <t>10020001;20@10000147;4@10021003;20@10021008;1</t>
  </si>
  <si>
    <t>附魔衣服:初级生命</t>
  </si>
  <si>
    <t>附魔衣服:初级闪避等级</t>
  </si>
  <si>
    <t>10020001;10@10000147;1@10021005;10@10021008;1</t>
  </si>
  <si>
    <t>附魔衣服:韧性</t>
  </si>
  <si>
    <t>10020001;20@10000147;4@10021006;20@10021008;1</t>
  </si>
  <si>
    <t>附魔手套:初级忽视防御</t>
  </si>
  <si>
    <t>10020001;10@10000147;1@10021002;10</t>
  </si>
  <si>
    <t>附魔手套:初级忽视魔防</t>
  </si>
  <si>
    <t>10020001;10@10000147;1@10021006;10</t>
  </si>
  <si>
    <t>附魔手套:冷却缩减</t>
  </si>
  <si>
    <t>10020001;20@10000147;4@10021007;20@10021008;1</t>
  </si>
  <si>
    <t>附魔腰带:初级耐力</t>
  </si>
  <si>
    <t>10020001;10@10000147;1@10021004;10@10021008;1</t>
  </si>
  <si>
    <t>附魔腰带:初级敏捷</t>
  </si>
  <si>
    <t>附魔腰带:初级体质</t>
  </si>
  <si>
    <t>10020001;10@10000147;1@10021006;10@10021008;1</t>
  </si>
  <si>
    <t>附魔腰带:命中</t>
  </si>
  <si>
    <t>附魔裤子:初级力量</t>
  </si>
  <si>
    <t>附魔裤子:初级智力</t>
  </si>
  <si>
    <t>附魔裤子:初级体质</t>
  </si>
  <si>
    <t>附魔裤子:伤害</t>
  </si>
  <si>
    <t>附魔鞋子:初级物防</t>
  </si>
  <si>
    <t>10020001;10@10000147;1@10021003;10</t>
  </si>
  <si>
    <t>附魔鞋子:初级魔防</t>
  </si>
  <si>
    <t>附魔鞋子:移动速度</t>
  </si>
  <si>
    <t>附魔头盔:中级攻击</t>
  </si>
  <si>
    <t>10020001;15@10000147;2@10021001;15</t>
  </si>
  <si>
    <t>附魔头盔:中级暴击等级</t>
  </si>
  <si>
    <t>10020001;15@10000147;2@10021002;15@10023008;1</t>
  </si>
  <si>
    <t>附魔头盔:物理闪避</t>
  </si>
  <si>
    <t>10020001;25@10000147;6@10021003;25@10023008;1</t>
  </si>
  <si>
    <t>附魔衣服:中级生命</t>
  </si>
  <si>
    <t>附魔衣服:中级闪避等级</t>
  </si>
  <si>
    <t>10020001;15@10000147;2@10021005;15@10023008;1</t>
  </si>
  <si>
    <t>附魔衣服:魔法闪避</t>
  </si>
  <si>
    <t>10020001;25@10000147;6@10021006;25@10023008;1</t>
  </si>
  <si>
    <t>附魔手套:中级忽视防御</t>
  </si>
  <si>
    <t>10020001;15@10000147;2@10021002;15</t>
  </si>
  <si>
    <t>附魔手套:中级忽视魔防</t>
  </si>
  <si>
    <t>10020001;15@10000147;2@10021006;15</t>
  </si>
  <si>
    <t>附魔手套:攻击速度</t>
  </si>
  <si>
    <t>10020001;25@10000147;6@10021007;25@10023008;1</t>
  </si>
  <si>
    <t>附魔腰带:中级耐力</t>
  </si>
  <si>
    <t>10020001;15@10000147;2@10021004;15@10023008;1</t>
  </si>
  <si>
    <t>附魔腰带:中级敏捷</t>
  </si>
  <si>
    <t>附魔腰带:中级体质</t>
  </si>
  <si>
    <t>10020001;15@10000147;2@10021006;15@10023008;1</t>
  </si>
  <si>
    <t>附魔腰带:冷却时间</t>
  </si>
  <si>
    <t>附魔裤子:中级力量</t>
  </si>
  <si>
    <t>附魔裤子:中级智力</t>
  </si>
  <si>
    <t>附魔裤子:中级体质</t>
  </si>
  <si>
    <t>附魔裤子:物理伤害</t>
  </si>
  <si>
    <t>附魔鞋子:中级物防</t>
  </si>
  <si>
    <t>10020001;15@10000147;2@10021003;15@10023008;1</t>
  </si>
  <si>
    <t>附魔鞋子:中级魔防</t>
  </si>
  <si>
    <t>附魔鞋子:暴击</t>
  </si>
  <si>
    <t>附魔头盔:高级攻击</t>
  </si>
  <si>
    <t>10020001;20@10000147;3@10021001;20</t>
  </si>
  <si>
    <t>附魔头盔:高级暴击等级</t>
  </si>
  <si>
    <t>10020001;20@10000147;3@10021002;20@10025008;1</t>
  </si>
  <si>
    <t>附魔头盔:重击</t>
  </si>
  <si>
    <t>10020001;30@10000147;8@10021003;30@10025008;1</t>
  </si>
  <si>
    <t>附魔衣服:高级生命</t>
  </si>
  <si>
    <t>附魔衣服:高级闪避等级</t>
  </si>
  <si>
    <t>10020001;20@10000147;3@10021005;20@10025008;1</t>
  </si>
  <si>
    <t>附魔衣服:伤害加成</t>
  </si>
  <si>
    <t>10020001;30@10000147;8@10021006;30@10025008;1</t>
  </si>
  <si>
    <t>附魔手套:高级忽视防御</t>
  </si>
  <si>
    <t>10020001;20@10000147;3@10021002;20</t>
  </si>
  <si>
    <t>附魔手套:高级忽视魔防</t>
  </si>
  <si>
    <t>10020001;20@10000147;3@10021006;20</t>
  </si>
  <si>
    <t>附魔手套:固定伤害</t>
  </si>
  <si>
    <t>10020001;30@10000147;8@10021007;30@10025008;1</t>
  </si>
  <si>
    <t>附魔腰带:高级耐力</t>
  </si>
  <si>
    <t>10020001;20@10000147;3@10021004;20@10025008;1</t>
  </si>
  <si>
    <t>附魔腰带:高级敏捷</t>
  </si>
  <si>
    <t>附魔腰带:高级体质</t>
  </si>
  <si>
    <t>10020001;20@10000147;3@10021006;20@10025008;1</t>
  </si>
  <si>
    <t>附魔腰带:生命升华</t>
  </si>
  <si>
    <t>附魔裤子:高级力量</t>
  </si>
  <si>
    <t>附魔裤子:高级智力</t>
  </si>
  <si>
    <t>附魔裤子:高级体质</t>
  </si>
  <si>
    <t>附魔裤子:技能伤害</t>
  </si>
  <si>
    <t>附魔鞋子:高级物防</t>
  </si>
  <si>
    <t>10020001;20@10000147;3@10021003;20</t>
  </si>
  <si>
    <t>附魔鞋子:高级魔防</t>
  </si>
  <si>
    <t>附魔鞋子:闪避</t>
  </si>
  <si>
    <t>磨刀石:暴击</t>
  </si>
  <si>
    <t>10020001;10@10000144;1@10021010;10@10021008;1</t>
  </si>
  <si>
    <t>磨刀石:命中</t>
  </si>
  <si>
    <t>磨刀石:闪避</t>
  </si>
  <si>
    <t>磨刀石:韧性</t>
  </si>
  <si>
    <t>精钢磨刀石:暴击</t>
  </si>
  <si>
    <t>10020001;10@10000144;2@10023010;10@10023008;1</t>
  </si>
  <si>
    <t>精钢磨刀石:命中</t>
  </si>
  <si>
    <t>精钢磨刀石:闪避</t>
  </si>
  <si>
    <t>精钢磨刀石:韧性</t>
  </si>
  <si>
    <t>锋利磨刀石:暴击</t>
  </si>
  <si>
    <t>10020001;10@10000144;3@10025010;10@10025008;1</t>
  </si>
  <si>
    <t>锋利磨刀石:命中</t>
  </si>
  <si>
    <t>锋利磨刀石:闪避</t>
  </si>
  <si>
    <t>锋利磨刀石:韧性</t>
  </si>
  <si>
    <t>金丝魔线</t>
  </si>
  <si>
    <t>10020001;10@10000145;2@10021010;10@10021008;1</t>
  </si>
  <si>
    <t>天蓝魔线</t>
  </si>
  <si>
    <t>金丝魔环</t>
  </si>
  <si>
    <t>天蓝魔环</t>
  </si>
  <si>
    <t>金色魔线</t>
  </si>
  <si>
    <t>10020001;10@10000145;4@10023010;10@10023008;1</t>
  </si>
  <si>
    <t>碧蓝魔线</t>
  </si>
  <si>
    <t>金色魔环</t>
  </si>
  <si>
    <t>碧蓝魔环</t>
  </si>
  <si>
    <t>辉煌魔线</t>
  </si>
  <si>
    <t>10020001;10@10000145;6@10025010;10@10025008;1</t>
  </si>
  <si>
    <t>闪光魔线</t>
  </si>
  <si>
    <t>辉煌魔环</t>
  </si>
  <si>
    <t>闪光魔环</t>
  </si>
  <si>
    <t>初级力量魔灵</t>
  </si>
  <si>
    <t>10020001;20@10000145;4@10021010;20@10021008;1</t>
  </si>
  <si>
    <t>中级力量魔灵</t>
  </si>
  <si>
    <t>10020001;25@10000145;6@10023010;25@10023008;1</t>
  </si>
  <si>
    <t>高级力量魔灵</t>
  </si>
  <si>
    <t>10020001;30@10000145;8@10025010;30@10025008;1</t>
  </si>
  <si>
    <t>初级智力魔灵</t>
  </si>
  <si>
    <t>中级智力魔灵</t>
  </si>
  <si>
    <t>高级智力魔灵</t>
  </si>
  <si>
    <t>初级敏捷魔灵</t>
  </si>
  <si>
    <t>中级敏捷魔灵</t>
  </si>
  <si>
    <t>高级敏捷魔灵</t>
  </si>
  <si>
    <t>初级耐力魔灵</t>
  </si>
  <si>
    <t>中级耐力魔灵</t>
  </si>
  <si>
    <t>高级耐力魔灵</t>
  </si>
  <si>
    <t>初级体质魔灵</t>
  </si>
  <si>
    <t>中级体质魔灵</t>
  </si>
  <si>
    <t>高级体质魔灵</t>
  </si>
  <si>
    <t>智力之石</t>
  </si>
  <si>
    <t>10020001;50@10000146;4@10021010;30@10021008;2@10021009;1</t>
  </si>
  <si>
    <t>力量之石</t>
  </si>
  <si>
    <t>灵魂之石</t>
  </si>
  <si>
    <t>10020001;75@10000146;6@10023010;30@10023008;2@10023009;1</t>
  </si>
  <si>
    <t>试炼之石</t>
  </si>
  <si>
    <t>光灵之石</t>
  </si>
  <si>
    <t>10020001;100@10000146;12@10025010;30@10025008;2@10025009;1</t>
  </si>
  <si>
    <t>勇猛之石</t>
  </si>
  <si>
    <t>炒鸡蛋</t>
  </si>
  <si>
    <t>10033001;1@10035001;1</t>
  </si>
  <si>
    <t>咸鸭蛋</t>
  </si>
  <si>
    <t>10035002;1@10035002;1</t>
  </si>
  <si>
    <t>胡萝卜汁</t>
  </si>
  <si>
    <t>10033002;1@10033003;1@10033003;1</t>
  </si>
  <si>
    <t>腌蛋</t>
  </si>
  <si>
    <t>10033002;1@10035001;1@10035002;1</t>
  </si>
  <si>
    <t>红萝卜汁</t>
  </si>
  <si>
    <t>10033001;1@10033004;1@10033004;1</t>
  </si>
  <si>
    <t>鸡汤</t>
  </si>
  <si>
    <t>10035003;1@10033001;1@10033002;1</t>
  </si>
  <si>
    <t>兔绒披风</t>
  </si>
  <si>
    <t>10035004;1@10035004;1@10035004;1</t>
  </si>
  <si>
    <t>绒毛面具</t>
  </si>
  <si>
    <t>10035004;1@10035005;1@10035004;1@10035005;1</t>
  </si>
  <si>
    <t>红薯团</t>
  </si>
  <si>
    <t>10033005;1@10033005;1@10033004;1@10035002;1</t>
  </si>
  <si>
    <t>鸡蛋汉堡</t>
  </si>
  <si>
    <t>10033006;1@10033005;1@10035003;1@10035001;1</t>
  </si>
  <si>
    <t>烤肉</t>
  </si>
  <si>
    <t>10035006;1@10035003;1@10033003;1@10033001;1</t>
  </si>
  <si>
    <t>猪肉串</t>
  </si>
  <si>
    <t>10035007;1@10035007;1@10033002;1@10033006;1</t>
  </si>
  <si>
    <t>牛皮护腕</t>
  </si>
  <si>
    <t>10035008;1@10035008;1@10035006;1@10035003;1</t>
  </si>
  <si>
    <t>清蒸土豆</t>
  </si>
  <si>
    <t>10033007;1@10033007;1@10033005;1@10035001;1</t>
  </si>
  <si>
    <t>水果汁</t>
  </si>
  <si>
    <t>10033008;1@10033008;1@10033004;1@10033003;1</t>
  </si>
  <si>
    <t>南瓜羹</t>
  </si>
  <si>
    <t>10033009;1@10033009;1@10033006;1@10033002;1</t>
  </si>
  <si>
    <t>绒毛围裙</t>
  </si>
  <si>
    <t>10035009;1@10035009;1@10035005;1@10035004;1</t>
  </si>
  <si>
    <t>黄瓜汁</t>
  </si>
  <si>
    <t>10033010;1@10033010;1@10033008;1@10033007;1</t>
  </si>
  <si>
    <t>牛奶点心</t>
  </si>
  <si>
    <t>10035010;1@10035010;1@10033009;1@10035002;1</t>
  </si>
  <si>
    <t>西红柿炒蛋</t>
  </si>
  <si>
    <t>10033011;1@10033011;1@10035001;1@10033001;1</t>
  </si>
  <si>
    <t>美味拼盘</t>
  </si>
  <si>
    <t>10035011;1@10035011;1@10033006;1@10033005;1</t>
  </si>
  <si>
    <t>美味蛋糕</t>
  </si>
  <si>
    <t>10033012;1@10033012;1@10035010;1@10033010;1</t>
  </si>
  <si>
    <t>美味奶汁</t>
  </si>
  <si>
    <t>10035012;1@10035012;1@10035010;1@10033009;1</t>
  </si>
  <si>
    <t>玉米骨汤</t>
  </si>
  <si>
    <t>10033013;1@10033013;1@10035011;1@10035007;1</t>
  </si>
  <si>
    <t>风味肉汁</t>
  </si>
  <si>
    <t>10035013;1@10035013;1@10035007;1@10033006;1</t>
  </si>
  <si>
    <t>风味炒饭</t>
  </si>
  <si>
    <t>10033014;1@10033014;1@10033012;1@10033010;1</t>
  </si>
  <si>
    <t>风味奶酪</t>
  </si>
  <si>
    <t>10035014;1@10035014;1@10035012;1@10033012;1</t>
  </si>
  <si>
    <t>西红柿组合</t>
  </si>
  <si>
    <t>10033011;1@10033011;1</t>
  </si>
  <si>
    <t>风味南瓜粥</t>
  </si>
  <si>
    <t>10033011;1@10033009;1@10033010;1@10033001;1</t>
  </si>
  <si>
    <t>回味汤圆</t>
  </si>
  <si>
    <t>10033012;1@10033012;1@10033007;1@10033004;1</t>
  </si>
  <si>
    <t>烤鸡肉</t>
  </si>
  <si>
    <t>10035003;1@10035003;1@10033001;1@10033002;1</t>
  </si>
  <si>
    <t>红烧烤肉</t>
  </si>
  <si>
    <t>10035006;1@10035006;1@10033006;1@10033002;1</t>
  </si>
  <si>
    <t>加厚皮裙</t>
  </si>
  <si>
    <t>10035009;1@10035009;1@10035008;1@10035008;1</t>
  </si>
  <si>
    <t>香味奶汁</t>
  </si>
  <si>
    <t>10035012;1@10035012;1@10035010;1</t>
  </si>
  <si>
    <t>绿色果汁</t>
  </si>
  <si>
    <t>10033008;1@10033008;1@10033010;1</t>
  </si>
  <si>
    <t>10000165;80@10000182;100@15810001;1@10010085;10000@10000152;150@10000143;150</t>
  </si>
  <si>
    <t>10000165;80@10000182;100@15810002;1@10010085;10000@10000152;150@10000143;150</t>
  </si>
  <si>
    <t>10000165;80@10000182;100@15810101;1@10010085;10000@10000152;150@10000143;150</t>
  </si>
  <si>
    <t>10000165;80@10000182;100@15810102;1@10010085;10000@10000152;150@10000143;150</t>
  </si>
  <si>
    <t>10000165;60@10000182;80@15811001;1@10010085;10000@10000152;100@10000143;100</t>
  </si>
  <si>
    <t>10000165;60@10000182;80@15811002;1@10010085;10000@10000152;100@10000143;100</t>
  </si>
  <si>
    <t>10000165;60@10000182;80@15811003;1@10010085;10000@10000152;100@10000143;100</t>
  </si>
  <si>
    <t>10000165;40@10000182;60@15806001;1@10010085;10000@10000152;75@10000143;75</t>
  </si>
  <si>
    <t>10000165;40@10000182;60@15807001;1@10010085;10000@10000152;75@10000143;75</t>
  </si>
  <si>
    <t>10000165;40@10000182;60@15808001;1@10010085;10000@10000152;75@10000143;75</t>
  </si>
  <si>
    <t>10000165;40@10000182;60@15809001;1@10010085;10000@10000152;75@10000143;75</t>
  </si>
  <si>
    <t>10000165;30@10000182;40@15801001;1@10010085;10000@10000152;50@10000143;50</t>
  </si>
  <si>
    <t>10000165;30@10000182;40@15801002;1@10010085;10000@10000152;50@10000143;50</t>
  </si>
  <si>
    <t>10000165;30@10000182;40@15801003;1@10010085;10000@10000152;50@10000143;50</t>
  </si>
  <si>
    <t>10000165;30@10000182;40@15802001;1@10010085;10000@10000152;50@10000143;50</t>
  </si>
  <si>
    <t>10000165;30@10000182;40@15802002;1@10010085;10000@10000152;50@10000143;50</t>
  </si>
  <si>
    <t>10000165;30@10000182;40@15802003;1@10010085;10000@10000152;50@10000143;50</t>
  </si>
  <si>
    <t>10000165;30@10000182;40@15803001;1@10010085;10000@10000152;50@10000143;50</t>
  </si>
  <si>
    <t>10000165;30@10000182;40@15803002;1@10010085;10000@10000152;50@10000143;50</t>
  </si>
  <si>
    <t>10000165;30@10000182;40@15803003;1@10010085;10000@10000152;50@10000143;50</t>
  </si>
  <si>
    <t>10000165;30@10000182;40@15804001;1@10010085;10000@10000152;50@10000143;50</t>
  </si>
  <si>
    <t>10000165;30@10000182;40@15804002;1@10010085;10000@10000152;50@10000143;50</t>
  </si>
  <si>
    <t>10000165;30@10000182;40@15804003;1@10010085;10000@10000152;50@10000143;50</t>
  </si>
  <si>
    <t>10000165;30@10000182;40@15805001;1@10010085;10000@10000152;50@10000143;50</t>
  </si>
  <si>
    <t>10000165;30@10000182;40@15805002;1@10010085;10000@10000152;50@10000143;50</t>
  </si>
  <si>
    <t>10000165;30@10000182;40@15805003;1@10010085;10000@10000152;50@10000143;50</t>
  </si>
  <si>
    <t>钻石钥匙</t>
    <phoneticPr fontId="17" type="noConversion"/>
  </si>
  <si>
    <t>10010033;3</t>
    <phoneticPr fontId="17" type="noConversion"/>
  </si>
  <si>
    <t>10000165;80@10000182;100@15810201;1@10010085;10000@10000152;150@10000143;150</t>
    <phoneticPr fontId="17" type="noConversion"/>
  </si>
  <si>
    <t>14级攻击石</t>
  </si>
  <si>
    <t>15级攻击石</t>
  </si>
  <si>
    <t>10045113;2</t>
    <phoneticPr fontId="17" type="noConversion"/>
  </si>
  <si>
    <t>10045114;2</t>
    <phoneticPr fontId="17" type="noConversion"/>
  </si>
  <si>
    <t>14级生命石</t>
    <phoneticPr fontId="17" type="noConversion"/>
  </si>
  <si>
    <t>15级生命石</t>
    <phoneticPr fontId="17" type="noConversion"/>
  </si>
  <si>
    <t>10045213;2</t>
    <phoneticPr fontId="17" type="noConversion"/>
  </si>
  <si>
    <t>10045214;2</t>
    <phoneticPr fontId="17" type="noConversion"/>
  </si>
  <si>
    <t>14级物防石</t>
  </si>
  <si>
    <t>15级物防石</t>
  </si>
  <si>
    <t>10045314;2</t>
    <phoneticPr fontId="17" type="noConversion"/>
  </si>
  <si>
    <t>10045313;2</t>
    <phoneticPr fontId="17" type="noConversion"/>
  </si>
  <si>
    <t>10045413;2</t>
    <phoneticPr fontId="17" type="noConversion"/>
  </si>
  <si>
    <t>10045414;2</t>
    <phoneticPr fontId="17" type="noConversion"/>
  </si>
  <si>
    <t>14级魔防石</t>
    <phoneticPr fontId="17" type="noConversion"/>
  </si>
  <si>
    <t>15级魔防石</t>
    <phoneticPr fontId="17" type="noConversion"/>
  </si>
  <si>
    <t>传承生肖宝箱</t>
  </si>
  <si>
    <t>传承生肖封印卷轴</t>
  </si>
  <si>
    <t>10010090;6</t>
    <phoneticPr fontId="17" type="noConversion"/>
  </si>
  <si>
    <t>10010090;4@11200010;1</t>
    <phoneticPr fontId="17" type="noConversion"/>
  </si>
  <si>
    <t>10000169;10@10000166;120@10000143;50@10000168;100@10010086;30@11500501;1</t>
    <phoneticPr fontId="17" type="noConversion"/>
  </si>
  <si>
    <t>10000169;10@10000166;120@10000143;50@10000168;100@10010086;30@11500503;1</t>
    <phoneticPr fontId="17" type="noConversion"/>
  </si>
  <si>
    <t>10000169;10@10000166;120@10000143;50@10000168;100@10010086;30@11500502;1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</si>
</sst>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0" tint="-0.34998626667073579"/>
      <name val="微软雅黑"/>
      <family val="2"/>
      <charset val="134"/>
    </font>
    <font>
      <sz val="10"/>
      <color rgb="FFFF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</font>
    <font>
      <b/>
      <sz val="9"/>
      <name val="Tahoma"/>
      <family val="2"/>
    </font>
    <font>
      <sz val="9"/>
      <name val="Tahoma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723807489242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6932889797662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3">
    <xf numFmtId="0" fontId="0" fillId="0" borderId="0"/>
    <xf numFmtId="0" fontId="11" fillId="0" borderId="0"/>
    <xf numFmtId="0" fontId="11" fillId="0" borderId="0"/>
  </cellStyleXfs>
  <cellXfs count="5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6" borderId="0" xfId="2" applyFont="1" applyFill="1" applyAlignment="1">
      <alignment horizontal="center" vertical="center"/>
    </xf>
    <xf numFmtId="0" fontId="7" fillId="6" borderId="3" xfId="2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9" fillId="2" borderId="3" xfId="2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7" fillId="7" borderId="3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9" fillId="2" borderId="4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0" fillId="2" borderId="3" xfId="2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</cellXfs>
  <cellStyles count="3">
    <cellStyle name="常规" xfId="0" builtinId="0"/>
    <cellStyle name="常规 2" xfId="1" xr:uid="{00000000-0005-0000-0000-000031000000}"/>
    <cellStyle name="常规 6" xfId="2" xr:uid="{00000000-0005-0000-0000-000032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Z1194"/>
  <sheetViews>
    <sheetView tabSelected="1" topLeftCell="O1" workbookViewId="0">
      <pane ySplit="5" topLeftCell="A426" activePane="bottomLeft" state="frozen"/>
      <selection pane="bottomLeft" activeCell="Z439" sqref="Z439"/>
    </sheetView>
  </sheetViews>
  <sheetFormatPr defaultColWidth="9" defaultRowHeight="14.25" x14ac:dyDescent="0.3"/>
  <cols>
    <col min="1" max="1" width="21.125" style="7" customWidth="1"/>
    <col min="2" max="2" width="12.75" style="7" customWidth="1"/>
    <col min="3" max="3" width="11.125" style="7" customWidth="1"/>
    <col min="4" max="4" width="23" style="5" customWidth="1"/>
    <col min="5" max="5" width="15.125" style="5" customWidth="1"/>
    <col min="6" max="7" width="15.5" style="7" customWidth="1"/>
    <col min="8" max="8" width="10.125" style="5" customWidth="1"/>
    <col min="9" max="10" width="12.375" style="5" customWidth="1"/>
    <col min="11" max="11" width="22.375" style="7" customWidth="1"/>
    <col min="12" max="12" width="12.25" style="7" customWidth="1"/>
    <col min="13" max="14" width="12.625" style="7" customWidth="1"/>
    <col min="15" max="15" width="15.75" style="7" customWidth="1"/>
    <col min="16" max="16" width="12.625" style="7" customWidth="1"/>
    <col min="17" max="17" width="14.125" style="7" customWidth="1"/>
    <col min="18" max="18" width="10.875" style="7" customWidth="1"/>
    <col min="19" max="19" width="9" style="7" customWidth="1"/>
    <col min="20" max="20" width="13.25" style="7" customWidth="1"/>
    <col min="21" max="21" width="13" style="7" customWidth="1"/>
    <col min="22" max="22" width="17.875" style="7" customWidth="1"/>
    <col min="23" max="24" width="21.375" style="7" customWidth="1"/>
    <col min="25" max="25" width="21" style="7" customWidth="1"/>
    <col min="26" max="26" width="48.25" style="7" customWidth="1"/>
    <col min="27" max="27" width="13.5" style="7" customWidth="1"/>
    <col min="28" max="16384" width="9" style="7"/>
  </cols>
  <sheetData>
    <row r="1" spans="3:26" ht="20.100000000000001" customHeight="1" x14ac:dyDescent="0.3"/>
    <row r="2" spans="3:26" ht="20.100000000000001" customHeight="1" x14ac:dyDescent="0.3">
      <c r="D2" s="5" t="s">
        <v>0</v>
      </c>
    </row>
    <row r="3" spans="3:26" ht="20.100000000000001" customHeight="1" x14ac:dyDescent="0.3">
      <c r="C3" s="8" t="s">
        <v>1</v>
      </c>
      <c r="D3" s="9" t="s">
        <v>2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0" t="s">
        <v>20</v>
      </c>
      <c r="W3" s="10" t="s">
        <v>21</v>
      </c>
      <c r="X3" s="10" t="s">
        <v>22</v>
      </c>
      <c r="Y3" s="10" t="s">
        <v>23</v>
      </c>
      <c r="Z3" s="10" t="s">
        <v>24</v>
      </c>
    </row>
    <row r="4" spans="3:26" ht="20.100000000000001" customHeight="1" x14ac:dyDescent="0.3">
      <c r="C4" s="8" t="s">
        <v>1</v>
      </c>
      <c r="D4" s="9"/>
      <c r="E4" s="10" t="s">
        <v>25</v>
      </c>
      <c r="F4" s="11" t="s">
        <v>26</v>
      </c>
      <c r="G4" s="11" t="s">
        <v>27</v>
      </c>
      <c r="H4" s="11" t="s">
        <v>28</v>
      </c>
      <c r="I4" s="11" t="s">
        <v>29</v>
      </c>
      <c r="J4" s="11" t="s">
        <v>30</v>
      </c>
      <c r="K4" s="11" t="s">
        <v>31</v>
      </c>
      <c r="L4" s="11" t="s">
        <v>32</v>
      </c>
      <c r="M4" s="10" t="s">
        <v>33</v>
      </c>
      <c r="N4" s="10" t="s">
        <v>34</v>
      </c>
      <c r="O4" s="10" t="s">
        <v>35</v>
      </c>
      <c r="P4" s="10" t="s">
        <v>36</v>
      </c>
      <c r="Q4" s="10" t="s">
        <v>37</v>
      </c>
      <c r="R4" s="10" t="s">
        <v>38</v>
      </c>
      <c r="S4" s="10" t="s">
        <v>39</v>
      </c>
      <c r="T4" s="10" t="s">
        <v>40</v>
      </c>
      <c r="U4" s="10" t="s">
        <v>41</v>
      </c>
      <c r="V4" s="10" t="s">
        <v>42</v>
      </c>
      <c r="W4" s="10" t="s">
        <v>43</v>
      </c>
      <c r="X4" s="10" t="s">
        <v>44</v>
      </c>
      <c r="Y4" s="10" t="s">
        <v>45</v>
      </c>
      <c r="Z4" s="10" t="s">
        <v>46</v>
      </c>
    </row>
    <row r="5" spans="3:26" ht="20.100000000000001" customHeight="1" x14ac:dyDescent="0.3">
      <c r="C5" s="8" t="s">
        <v>47</v>
      </c>
      <c r="D5" s="9"/>
      <c r="E5" s="10" t="s">
        <v>47</v>
      </c>
      <c r="F5" s="10" t="s">
        <v>47</v>
      </c>
      <c r="G5" s="10" t="s">
        <v>47</v>
      </c>
      <c r="H5" s="10" t="s">
        <v>47</v>
      </c>
      <c r="I5" s="10" t="s">
        <v>47</v>
      </c>
      <c r="J5" s="10" t="s">
        <v>47</v>
      </c>
      <c r="K5" s="10" t="s">
        <v>48</v>
      </c>
      <c r="L5" s="10" t="s">
        <v>47</v>
      </c>
      <c r="M5" s="10" t="s">
        <v>49</v>
      </c>
      <c r="N5" s="10" t="s">
        <v>49</v>
      </c>
      <c r="O5" s="10" t="s">
        <v>48</v>
      </c>
      <c r="P5" s="10" t="s">
        <v>47</v>
      </c>
      <c r="Q5" s="10" t="s">
        <v>47</v>
      </c>
      <c r="R5" s="10" t="s">
        <v>47</v>
      </c>
      <c r="S5" s="10" t="s">
        <v>47</v>
      </c>
      <c r="T5" s="10" t="s">
        <v>47</v>
      </c>
      <c r="U5" s="10" t="s">
        <v>50</v>
      </c>
      <c r="V5" s="10" t="s">
        <v>49</v>
      </c>
      <c r="W5" s="10" t="s">
        <v>49</v>
      </c>
      <c r="X5" s="10" t="s">
        <v>47</v>
      </c>
      <c r="Y5" s="10" t="s">
        <v>47</v>
      </c>
      <c r="Z5" s="10" t="s">
        <v>48</v>
      </c>
    </row>
    <row r="6" spans="3:26" s="1" customFormat="1" ht="20.100000000000001" customHeight="1" x14ac:dyDescent="0.35">
      <c r="C6" s="12">
        <v>100101</v>
      </c>
      <c r="D6" s="12" t="s">
        <v>51</v>
      </c>
      <c r="E6" s="12">
        <v>2</v>
      </c>
      <c r="F6" s="13">
        <v>14010004</v>
      </c>
      <c r="G6" s="14">
        <v>0</v>
      </c>
      <c r="H6" s="12">
        <v>1</v>
      </c>
      <c r="I6" s="12">
        <v>10000</v>
      </c>
      <c r="J6" s="12">
        <v>12</v>
      </c>
      <c r="K6" s="12">
        <v>0</v>
      </c>
      <c r="L6" s="21">
        <v>1</v>
      </c>
      <c r="M6" s="21">
        <v>1</v>
      </c>
      <c r="N6" s="22">
        <v>0.1</v>
      </c>
      <c r="O6" s="21">
        <v>1</v>
      </c>
      <c r="P6" s="21">
        <v>1</v>
      </c>
      <c r="Q6" s="21">
        <v>1</v>
      </c>
      <c r="R6" s="21">
        <v>3</v>
      </c>
      <c r="S6" s="21">
        <v>0</v>
      </c>
      <c r="T6" s="21">
        <v>120</v>
      </c>
      <c r="U6" s="22" t="s">
        <v>52</v>
      </c>
      <c r="V6" s="21">
        <v>1</v>
      </c>
      <c r="W6" s="21">
        <v>1</v>
      </c>
      <c r="X6" s="22">
        <v>0</v>
      </c>
      <c r="Y6" s="21">
        <v>0</v>
      </c>
      <c r="Z6" s="47" t="s">
        <v>53</v>
      </c>
    </row>
    <row r="7" spans="3:26" s="1" customFormat="1" ht="20.100000000000001" customHeight="1" x14ac:dyDescent="0.35">
      <c r="C7" s="12">
        <v>100102</v>
      </c>
      <c r="D7" s="12" t="s">
        <v>54</v>
      </c>
      <c r="E7" s="12">
        <v>2</v>
      </c>
      <c r="F7" s="13">
        <v>14010008</v>
      </c>
      <c r="G7" s="14">
        <v>0</v>
      </c>
      <c r="H7" s="12">
        <v>1</v>
      </c>
      <c r="I7" s="12">
        <v>10000</v>
      </c>
      <c r="J7" s="12">
        <v>12</v>
      </c>
      <c r="K7" s="12">
        <v>0</v>
      </c>
      <c r="L7" s="21">
        <v>1</v>
      </c>
      <c r="M7" s="21">
        <v>1</v>
      </c>
      <c r="N7" s="22">
        <v>0.1</v>
      </c>
      <c r="O7" s="21">
        <v>1</v>
      </c>
      <c r="P7" s="21">
        <v>1</v>
      </c>
      <c r="Q7" s="21">
        <v>1</v>
      </c>
      <c r="R7" s="21">
        <v>3</v>
      </c>
      <c r="S7" s="21">
        <v>0</v>
      </c>
      <c r="T7" s="21">
        <v>120</v>
      </c>
      <c r="U7" s="22" t="s">
        <v>52</v>
      </c>
      <c r="V7" s="21">
        <v>1</v>
      </c>
      <c r="W7" s="21">
        <v>1</v>
      </c>
      <c r="X7" s="22">
        <v>0</v>
      </c>
      <c r="Y7" s="21">
        <v>0</v>
      </c>
      <c r="Z7" s="47" t="s">
        <v>55</v>
      </c>
    </row>
    <row r="8" spans="3:26" s="1" customFormat="1" ht="20.100000000000001" customHeight="1" x14ac:dyDescent="0.35">
      <c r="C8" s="12">
        <v>100103</v>
      </c>
      <c r="D8" s="12" t="s">
        <v>56</v>
      </c>
      <c r="E8" s="12">
        <v>2</v>
      </c>
      <c r="F8" s="13">
        <v>14010012</v>
      </c>
      <c r="G8" s="14">
        <v>0</v>
      </c>
      <c r="H8" s="12">
        <v>1</v>
      </c>
      <c r="I8" s="12">
        <v>10000</v>
      </c>
      <c r="J8" s="12">
        <v>12</v>
      </c>
      <c r="K8" s="12">
        <v>0</v>
      </c>
      <c r="L8" s="21">
        <v>1</v>
      </c>
      <c r="M8" s="21">
        <v>1</v>
      </c>
      <c r="N8" s="22">
        <v>0.1</v>
      </c>
      <c r="O8" s="21">
        <v>1</v>
      </c>
      <c r="P8" s="21">
        <v>1</v>
      </c>
      <c r="Q8" s="21">
        <v>1</v>
      </c>
      <c r="R8" s="21">
        <v>3</v>
      </c>
      <c r="S8" s="21">
        <v>0</v>
      </c>
      <c r="T8" s="21">
        <v>120</v>
      </c>
      <c r="U8" s="22" t="s">
        <v>52</v>
      </c>
      <c r="V8" s="21">
        <v>1</v>
      </c>
      <c r="W8" s="21">
        <v>1</v>
      </c>
      <c r="X8" s="22">
        <v>0</v>
      </c>
      <c r="Y8" s="21">
        <v>0</v>
      </c>
      <c r="Z8" s="47" t="s">
        <v>57</v>
      </c>
    </row>
    <row r="9" spans="3:26" s="1" customFormat="1" ht="20.100000000000001" customHeight="1" x14ac:dyDescent="0.35">
      <c r="C9" s="12">
        <v>100104</v>
      </c>
      <c r="D9" s="12" t="s">
        <v>58</v>
      </c>
      <c r="E9" s="12">
        <v>2</v>
      </c>
      <c r="F9" s="13">
        <v>14020004</v>
      </c>
      <c r="G9" s="14">
        <v>0</v>
      </c>
      <c r="H9" s="12">
        <v>5</v>
      </c>
      <c r="I9" s="12">
        <v>10000</v>
      </c>
      <c r="J9" s="12">
        <v>12</v>
      </c>
      <c r="K9" s="12">
        <v>0</v>
      </c>
      <c r="L9" s="21">
        <v>1</v>
      </c>
      <c r="M9" s="21">
        <v>1</v>
      </c>
      <c r="N9" s="22">
        <v>0.1</v>
      </c>
      <c r="O9" s="21">
        <v>1</v>
      </c>
      <c r="P9" s="21">
        <v>1</v>
      </c>
      <c r="Q9" s="21">
        <v>1</v>
      </c>
      <c r="R9" s="21">
        <v>3</v>
      </c>
      <c r="S9" s="21">
        <v>10</v>
      </c>
      <c r="T9" s="21">
        <v>120</v>
      </c>
      <c r="U9" s="22" t="s">
        <v>52</v>
      </c>
      <c r="V9" s="21">
        <v>1</v>
      </c>
      <c r="W9" s="21">
        <v>1</v>
      </c>
      <c r="X9" s="22">
        <v>0</v>
      </c>
      <c r="Y9" s="21">
        <v>0</v>
      </c>
      <c r="Z9" s="47" t="s">
        <v>59</v>
      </c>
    </row>
    <row r="10" spans="3:26" s="1" customFormat="1" ht="20.100000000000001" customHeight="1" x14ac:dyDescent="0.35">
      <c r="C10" s="12">
        <v>100105</v>
      </c>
      <c r="D10" s="12" t="s">
        <v>60</v>
      </c>
      <c r="E10" s="12">
        <v>2</v>
      </c>
      <c r="F10" s="13">
        <v>14020008</v>
      </c>
      <c r="G10" s="14">
        <v>0</v>
      </c>
      <c r="H10" s="12">
        <v>5</v>
      </c>
      <c r="I10" s="12">
        <v>10000</v>
      </c>
      <c r="J10" s="12">
        <v>12</v>
      </c>
      <c r="K10" s="12">
        <v>0</v>
      </c>
      <c r="L10" s="21">
        <v>1</v>
      </c>
      <c r="M10" s="21">
        <v>1</v>
      </c>
      <c r="N10" s="22">
        <v>0.1</v>
      </c>
      <c r="O10" s="21">
        <v>1</v>
      </c>
      <c r="P10" s="21">
        <v>1</v>
      </c>
      <c r="Q10" s="21">
        <v>1</v>
      </c>
      <c r="R10" s="21">
        <v>3</v>
      </c>
      <c r="S10" s="21">
        <v>10</v>
      </c>
      <c r="T10" s="21">
        <v>120</v>
      </c>
      <c r="U10" s="22" t="s">
        <v>52</v>
      </c>
      <c r="V10" s="21">
        <v>1</v>
      </c>
      <c r="W10" s="21">
        <v>1</v>
      </c>
      <c r="X10" s="22">
        <v>0</v>
      </c>
      <c r="Y10" s="21">
        <v>0</v>
      </c>
      <c r="Z10" s="25" t="s">
        <v>61</v>
      </c>
    </row>
    <row r="11" spans="3:26" s="1" customFormat="1" ht="20.100000000000001" customHeight="1" x14ac:dyDescent="0.35">
      <c r="C11" s="12">
        <v>100106</v>
      </c>
      <c r="D11" s="12" t="s">
        <v>62</v>
      </c>
      <c r="E11" s="12">
        <v>2</v>
      </c>
      <c r="F11" s="13">
        <v>14020012</v>
      </c>
      <c r="G11" s="14">
        <v>0</v>
      </c>
      <c r="H11" s="12">
        <v>5</v>
      </c>
      <c r="I11" s="12">
        <v>10000</v>
      </c>
      <c r="J11" s="12">
        <v>12</v>
      </c>
      <c r="K11" s="12">
        <v>0</v>
      </c>
      <c r="L11" s="21">
        <v>1</v>
      </c>
      <c r="M11" s="21">
        <v>1</v>
      </c>
      <c r="N11" s="22">
        <v>0.1</v>
      </c>
      <c r="O11" s="21">
        <v>1</v>
      </c>
      <c r="P11" s="21">
        <v>1</v>
      </c>
      <c r="Q11" s="21">
        <v>1</v>
      </c>
      <c r="R11" s="21">
        <v>3</v>
      </c>
      <c r="S11" s="21">
        <v>10</v>
      </c>
      <c r="T11" s="21">
        <v>120</v>
      </c>
      <c r="U11" s="22" t="s">
        <v>52</v>
      </c>
      <c r="V11" s="21">
        <v>1</v>
      </c>
      <c r="W11" s="21">
        <v>1</v>
      </c>
      <c r="X11" s="22">
        <v>0</v>
      </c>
      <c r="Y11" s="21">
        <v>0</v>
      </c>
      <c r="Z11" s="25" t="s">
        <v>63</v>
      </c>
    </row>
    <row r="12" spans="3:26" s="1" customFormat="1" ht="20.100000000000001" customHeight="1" x14ac:dyDescent="0.35">
      <c r="C12" s="12">
        <v>100107</v>
      </c>
      <c r="D12" s="12" t="s">
        <v>64</v>
      </c>
      <c r="E12" s="12">
        <v>2</v>
      </c>
      <c r="F12" s="13">
        <v>14030004</v>
      </c>
      <c r="G12" s="14">
        <v>0</v>
      </c>
      <c r="H12" s="12">
        <v>6</v>
      </c>
      <c r="I12" s="12">
        <v>10000</v>
      </c>
      <c r="J12" s="12">
        <v>12</v>
      </c>
      <c r="K12" s="12">
        <v>0</v>
      </c>
      <c r="L12" s="21">
        <v>1</v>
      </c>
      <c r="M12" s="21">
        <v>1</v>
      </c>
      <c r="N12" s="22">
        <v>0.1</v>
      </c>
      <c r="O12" s="21">
        <v>1</v>
      </c>
      <c r="P12" s="21">
        <v>1</v>
      </c>
      <c r="Q12" s="21">
        <v>1</v>
      </c>
      <c r="R12" s="21">
        <v>3</v>
      </c>
      <c r="S12" s="21">
        <v>20</v>
      </c>
      <c r="T12" s="21">
        <v>120</v>
      </c>
      <c r="U12" s="22" t="s">
        <v>52</v>
      </c>
      <c r="V12" s="21">
        <v>1</v>
      </c>
      <c r="W12" s="21">
        <v>1</v>
      </c>
      <c r="X12" s="22">
        <v>0</v>
      </c>
      <c r="Y12" s="21">
        <v>0</v>
      </c>
      <c r="Z12" s="25" t="s">
        <v>65</v>
      </c>
    </row>
    <row r="13" spans="3:26" s="1" customFormat="1" ht="20.100000000000001" customHeight="1" x14ac:dyDescent="0.35">
      <c r="C13" s="12">
        <v>100108</v>
      </c>
      <c r="D13" s="12" t="s">
        <v>66</v>
      </c>
      <c r="E13" s="12">
        <v>2</v>
      </c>
      <c r="F13" s="13">
        <v>14030008</v>
      </c>
      <c r="G13" s="14">
        <v>0</v>
      </c>
      <c r="H13" s="12">
        <v>6</v>
      </c>
      <c r="I13" s="12">
        <v>10000</v>
      </c>
      <c r="J13" s="12">
        <v>12</v>
      </c>
      <c r="K13" s="12">
        <v>0</v>
      </c>
      <c r="L13" s="21">
        <v>1</v>
      </c>
      <c r="M13" s="21">
        <v>1</v>
      </c>
      <c r="N13" s="22">
        <v>0.1</v>
      </c>
      <c r="O13" s="21">
        <v>1</v>
      </c>
      <c r="P13" s="21">
        <v>1</v>
      </c>
      <c r="Q13" s="21">
        <v>1</v>
      </c>
      <c r="R13" s="21">
        <v>3</v>
      </c>
      <c r="S13" s="21">
        <v>20</v>
      </c>
      <c r="T13" s="21">
        <v>120</v>
      </c>
      <c r="U13" s="22" t="s">
        <v>52</v>
      </c>
      <c r="V13" s="21">
        <v>1</v>
      </c>
      <c r="W13" s="21">
        <v>1</v>
      </c>
      <c r="X13" s="22">
        <v>0</v>
      </c>
      <c r="Y13" s="21">
        <v>0</v>
      </c>
      <c r="Z13" s="25" t="s">
        <v>53</v>
      </c>
    </row>
    <row r="14" spans="3:26" s="1" customFormat="1" ht="20.100000000000001" customHeight="1" x14ac:dyDescent="0.35">
      <c r="C14" s="12">
        <v>100109</v>
      </c>
      <c r="D14" s="12" t="s">
        <v>67</v>
      </c>
      <c r="E14" s="12">
        <v>2</v>
      </c>
      <c r="F14" s="13">
        <v>14030012</v>
      </c>
      <c r="G14" s="14">
        <v>0</v>
      </c>
      <c r="H14" s="12">
        <v>6</v>
      </c>
      <c r="I14" s="12">
        <v>10000</v>
      </c>
      <c r="J14" s="12">
        <v>12</v>
      </c>
      <c r="K14" s="12">
        <v>0</v>
      </c>
      <c r="L14" s="21">
        <v>1</v>
      </c>
      <c r="M14" s="21">
        <v>1</v>
      </c>
      <c r="N14" s="22">
        <v>0.1</v>
      </c>
      <c r="O14" s="21">
        <v>1</v>
      </c>
      <c r="P14" s="21">
        <v>1</v>
      </c>
      <c r="Q14" s="21">
        <v>1</v>
      </c>
      <c r="R14" s="21">
        <v>3</v>
      </c>
      <c r="S14" s="21">
        <v>20</v>
      </c>
      <c r="T14" s="21">
        <v>120</v>
      </c>
      <c r="U14" s="22" t="s">
        <v>52</v>
      </c>
      <c r="V14" s="21">
        <v>1</v>
      </c>
      <c r="W14" s="21">
        <v>1</v>
      </c>
      <c r="X14" s="22">
        <v>0</v>
      </c>
      <c r="Y14" s="21">
        <v>0</v>
      </c>
      <c r="Z14" s="25" t="s">
        <v>55</v>
      </c>
    </row>
    <row r="15" spans="3:26" s="1" customFormat="1" ht="20.100000000000001" customHeight="1" x14ac:dyDescent="0.35">
      <c r="C15" s="12">
        <v>100110</v>
      </c>
      <c r="D15" s="12" t="s">
        <v>68</v>
      </c>
      <c r="E15" s="12">
        <v>2</v>
      </c>
      <c r="F15" s="13">
        <v>14040004</v>
      </c>
      <c r="G15" s="14">
        <v>0</v>
      </c>
      <c r="H15" s="12">
        <v>7</v>
      </c>
      <c r="I15" s="12">
        <v>10000</v>
      </c>
      <c r="J15" s="12">
        <v>12</v>
      </c>
      <c r="K15" s="12">
        <v>0</v>
      </c>
      <c r="L15" s="21">
        <v>1</v>
      </c>
      <c r="M15" s="21">
        <v>1</v>
      </c>
      <c r="N15" s="22">
        <v>0.1</v>
      </c>
      <c r="O15" s="21">
        <v>1</v>
      </c>
      <c r="P15" s="21">
        <v>1</v>
      </c>
      <c r="Q15" s="21">
        <v>1</v>
      </c>
      <c r="R15" s="21">
        <v>3</v>
      </c>
      <c r="S15" s="21">
        <v>30</v>
      </c>
      <c r="T15" s="21">
        <v>120</v>
      </c>
      <c r="U15" s="22" t="s">
        <v>52</v>
      </c>
      <c r="V15" s="21">
        <v>1</v>
      </c>
      <c r="W15" s="21">
        <v>1</v>
      </c>
      <c r="X15" s="22">
        <v>0</v>
      </c>
      <c r="Y15" s="21">
        <v>0</v>
      </c>
      <c r="Z15" s="25" t="s">
        <v>57</v>
      </c>
    </row>
    <row r="16" spans="3:26" s="1" customFormat="1" ht="20.100000000000001" customHeight="1" x14ac:dyDescent="0.35">
      <c r="C16" s="12">
        <v>100111</v>
      </c>
      <c r="D16" s="12" t="s">
        <v>69</v>
      </c>
      <c r="E16" s="12">
        <v>2</v>
      </c>
      <c r="F16" s="13">
        <v>14040008</v>
      </c>
      <c r="G16" s="14">
        <v>0</v>
      </c>
      <c r="H16" s="12">
        <v>7</v>
      </c>
      <c r="I16" s="12">
        <v>10000</v>
      </c>
      <c r="J16" s="12">
        <v>12</v>
      </c>
      <c r="K16" s="12">
        <v>0</v>
      </c>
      <c r="L16" s="21">
        <v>1</v>
      </c>
      <c r="M16" s="21">
        <v>1</v>
      </c>
      <c r="N16" s="22">
        <v>0.1</v>
      </c>
      <c r="O16" s="21">
        <v>1</v>
      </c>
      <c r="P16" s="21">
        <v>1</v>
      </c>
      <c r="Q16" s="21">
        <v>1</v>
      </c>
      <c r="R16" s="21">
        <v>3</v>
      </c>
      <c r="S16" s="21">
        <v>30</v>
      </c>
      <c r="T16" s="21">
        <v>120</v>
      </c>
      <c r="U16" s="22" t="s">
        <v>52</v>
      </c>
      <c r="V16" s="21">
        <v>1</v>
      </c>
      <c r="W16" s="21">
        <v>1</v>
      </c>
      <c r="X16" s="22">
        <v>0</v>
      </c>
      <c r="Y16" s="21">
        <v>0</v>
      </c>
      <c r="Z16" s="25" t="s">
        <v>59</v>
      </c>
    </row>
    <row r="17" spans="3:26" s="1" customFormat="1" ht="20.100000000000001" customHeight="1" x14ac:dyDescent="0.35">
      <c r="C17" s="12">
        <v>100112</v>
      </c>
      <c r="D17" s="12" t="s">
        <v>70</v>
      </c>
      <c r="E17" s="12">
        <v>2</v>
      </c>
      <c r="F17" s="13">
        <v>14040012</v>
      </c>
      <c r="G17" s="14">
        <v>0</v>
      </c>
      <c r="H17" s="12">
        <v>7</v>
      </c>
      <c r="I17" s="12">
        <v>10000</v>
      </c>
      <c r="J17" s="12">
        <v>12</v>
      </c>
      <c r="K17" s="12">
        <v>0</v>
      </c>
      <c r="L17" s="21">
        <v>1</v>
      </c>
      <c r="M17" s="21">
        <v>1</v>
      </c>
      <c r="N17" s="22">
        <v>0.1</v>
      </c>
      <c r="O17" s="21">
        <v>1</v>
      </c>
      <c r="P17" s="21">
        <v>1</v>
      </c>
      <c r="Q17" s="21">
        <v>1</v>
      </c>
      <c r="R17" s="21">
        <v>3</v>
      </c>
      <c r="S17" s="21">
        <v>30</v>
      </c>
      <c r="T17" s="21">
        <v>120</v>
      </c>
      <c r="U17" s="22" t="s">
        <v>52</v>
      </c>
      <c r="V17" s="21">
        <v>1</v>
      </c>
      <c r="W17" s="21">
        <v>1</v>
      </c>
      <c r="X17" s="22">
        <v>0</v>
      </c>
      <c r="Y17" s="21">
        <v>0</v>
      </c>
      <c r="Z17" s="25" t="s">
        <v>61</v>
      </c>
    </row>
    <row r="18" spans="3:26" s="1" customFormat="1" ht="20.100000000000001" customHeight="1" x14ac:dyDescent="0.35">
      <c r="C18" s="12">
        <v>100113</v>
      </c>
      <c r="D18" s="12" t="s">
        <v>71</v>
      </c>
      <c r="E18" s="12">
        <v>2</v>
      </c>
      <c r="F18" s="13">
        <v>14050004</v>
      </c>
      <c r="G18" s="14">
        <v>0</v>
      </c>
      <c r="H18" s="12">
        <v>8</v>
      </c>
      <c r="I18" s="12">
        <v>10000</v>
      </c>
      <c r="J18" s="12">
        <v>12</v>
      </c>
      <c r="K18" s="12">
        <v>0</v>
      </c>
      <c r="L18" s="21">
        <v>1</v>
      </c>
      <c r="M18" s="21">
        <v>1</v>
      </c>
      <c r="N18" s="22">
        <v>0.1</v>
      </c>
      <c r="O18" s="21">
        <v>1</v>
      </c>
      <c r="P18" s="21">
        <v>1</v>
      </c>
      <c r="Q18" s="21">
        <v>1</v>
      </c>
      <c r="R18" s="21">
        <v>3</v>
      </c>
      <c r="S18" s="21">
        <v>40</v>
      </c>
      <c r="T18" s="21">
        <v>120</v>
      </c>
      <c r="U18" s="22" t="s">
        <v>52</v>
      </c>
      <c r="V18" s="21">
        <v>1</v>
      </c>
      <c r="W18" s="21">
        <v>1</v>
      </c>
      <c r="X18" s="22">
        <v>0</v>
      </c>
      <c r="Y18" s="21">
        <v>0</v>
      </c>
      <c r="Z18" s="25" t="s">
        <v>63</v>
      </c>
    </row>
    <row r="19" spans="3:26" s="1" customFormat="1" ht="20.100000000000001" customHeight="1" x14ac:dyDescent="0.35">
      <c r="C19" s="12">
        <v>100114</v>
      </c>
      <c r="D19" s="12" t="s">
        <v>72</v>
      </c>
      <c r="E19" s="12">
        <v>2</v>
      </c>
      <c r="F19" s="13">
        <v>14050008</v>
      </c>
      <c r="G19" s="14">
        <v>0</v>
      </c>
      <c r="H19" s="12">
        <v>8</v>
      </c>
      <c r="I19" s="12">
        <v>10000</v>
      </c>
      <c r="J19" s="12">
        <v>12</v>
      </c>
      <c r="K19" s="12">
        <v>0</v>
      </c>
      <c r="L19" s="21">
        <v>1</v>
      </c>
      <c r="M19" s="21">
        <v>1</v>
      </c>
      <c r="N19" s="22">
        <v>0.1</v>
      </c>
      <c r="O19" s="21">
        <v>1</v>
      </c>
      <c r="P19" s="21">
        <v>1</v>
      </c>
      <c r="Q19" s="21">
        <v>1</v>
      </c>
      <c r="R19" s="21">
        <v>3</v>
      </c>
      <c r="S19" s="21">
        <v>40</v>
      </c>
      <c r="T19" s="21">
        <v>120</v>
      </c>
      <c r="U19" s="22" t="s">
        <v>52</v>
      </c>
      <c r="V19" s="21">
        <v>1</v>
      </c>
      <c r="W19" s="21">
        <v>1</v>
      </c>
      <c r="X19" s="22">
        <v>0</v>
      </c>
      <c r="Y19" s="21">
        <v>0</v>
      </c>
      <c r="Z19" s="25" t="s">
        <v>65</v>
      </c>
    </row>
    <row r="20" spans="3:26" s="1" customFormat="1" ht="20.100000000000001" customHeight="1" x14ac:dyDescent="0.35">
      <c r="C20" s="12">
        <v>100115</v>
      </c>
      <c r="D20" s="12" t="s">
        <v>73</v>
      </c>
      <c r="E20" s="12">
        <v>2</v>
      </c>
      <c r="F20" s="13">
        <v>14050012</v>
      </c>
      <c r="G20" s="14">
        <v>0</v>
      </c>
      <c r="H20" s="12">
        <v>8</v>
      </c>
      <c r="I20" s="12">
        <v>10000</v>
      </c>
      <c r="J20" s="12">
        <v>12</v>
      </c>
      <c r="K20" s="12">
        <v>0</v>
      </c>
      <c r="L20" s="21">
        <v>1</v>
      </c>
      <c r="M20" s="21">
        <v>1</v>
      </c>
      <c r="N20" s="22">
        <v>0.1</v>
      </c>
      <c r="O20" s="21">
        <v>1</v>
      </c>
      <c r="P20" s="21">
        <v>1</v>
      </c>
      <c r="Q20" s="21">
        <v>1</v>
      </c>
      <c r="R20" s="21">
        <v>3</v>
      </c>
      <c r="S20" s="21">
        <v>40</v>
      </c>
      <c r="T20" s="21">
        <v>120</v>
      </c>
      <c r="U20" s="22" t="s">
        <v>52</v>
      </c>
      <c r="V20" s="21">
        <v>1</v>
      </c>
      <c r="W20" s="21">
        <v>1</v>
      </c>
      <c r="X20" s="22">
        <v>0</v>
      </c>
      <c r="Y20" s="21">
        <v>0</v>
      </c>
      <c r="Z20" s="25" t="s">
        <v>53</v>
      </c>
    </row>
    <row r="21" spans="3:26" s="1" customFormat="1" ht="20.100000000000001" customHeight="1" x14ac:dyDescent="0.35">
      <c r="C21" s="12">
        <v>100116</v>
      </c>
      <c r="D21" s="12" t="s">
        <v>74</v>
      </c>
      <c r="E21" s="12">
        <v>3</v>
      </c>
      <c r="F21" s="13">
        <v>14060004</v>
      </c>
      <c r="G21" s="14">
        <v>0</v>
      </c>
      <c r="H21" s="12">
        <v>9</v>
      </c>
      <c r="I21" s="12">
        <v>10000</v>
      </c>
      <c r="J21" s="12">
        <v>12</v>
      </c>
      <c r="K21" s="12">
        <v>0</v>
      </c>
      <c r="L21" s="21">
        <v>1</v>
      </c>
      <c r="M21" s="21">
        <v>1</v>
      </c>
      <c r="N21" s="22">
        <v>0.1</v>
      </c>
      <c r="O21" s="21">
        <v>1</v>
      </c>
      <c r="P21" s="21">
        <v>1</v>
      </c>
      <c r="Q21" s="21">
        <v>1</v>
      </c>
      <c r="R21" s="21">
        <v>3</v>
      </c>
      <c r="S21" s="21">
        <v>50</v>
      </c>
      <c r="T21" s="21">
        <v>120</v>
      </c>
      <c r="U21" s="22" t="s">
        <v>52</v>
      </c>
      <c r="V21" s="21">
        <v>1</v>
      </c>
      <c r="W21" s="21">
        <v>1</v>
      </c>
      <c r="X21" s="22">
        <v>0</v>
      </c>
      <c r="Y21" s="21">
        <v>0</v>
      </c>
      <c r="Z21" s="25" t="s">
        <v>75</v>
      </c>
    </row>
    <row r="22" spans="3:26" s="1" customFormat="1" ht="20.100000000000001" customHeight="1" x14ac:dyDescent="0.35">
      <c r="C22" s="12">
        <v>100117</v>
      </c>
      <c r="D22" s="12" t="s">
        <v>76</v>
      </c>
      <c r="E22" s="12">
        <v>3</v>
      </c>
      <c r="F22" s="13">
        <v>14070004</v>
      </c>
      <c r="G22" s="14">
        <v>0</v>
      </c>
      <c r="H22" s="12">
        <v>9</v>
      </c>
      <c r="I22" s="12">
        <v>10000</v>
      </c>
      <c r="J22" s="12">
        <v>12</v>
      </c>
      <c r="K22" s="12">
        <v>0</v>
      </c>
      <c r="L22" s="21">
        <v>1</v>
      </c>
      <c r="M22" s="21">
        <v>1</v>
      </c>
      <c r="N22" s="22">
        <v>0.1</v>
      </c>
      <c r="O22" s="21">
        <v>1</v>
      </c>
      <c r="P22" s="21">
        <v>1</v>
      </c>
      <c r="Q22" s="21">
        <v>1</v>
      </c>
      <c r="R22" s="21">
        <v>3</v>
      </c>
      <c r="S22" s="21">
        <v>50</v>
      </c>
      <c r="T22" s="21">
        <v>120</v>
      </c>
      <c r="U22" s="22" t="s">
        <v>52</v>
      </c>
      <c r="V22" s="21">
        <v>1</v>
      </c>
      <c r="W22" s="21">
        <v>1</v>
      </c>
      <c r="X22" s="22">
        <v>0</v>
      </c>
      <c r="Y22" s="21">
        <v>0</v>
      </c>
      <c r="Z22" s="25" t="s">
        <v>77</v>
      </c>
    </row>
    <row r="23" spans="3:26" s="1" customFormat="1" ht="20.100000000000001" customHeight="1" x14ac:dyDescent="0.35">
      <c r="C23" s="12">
        <v>100118</v>
      </c>
      <c r="D23" s="12" t="s">
        <v>78</v>
      </c>
      <c r="E23" s="12">
        <v>1</v>
      </c>
      <c r="F23" s="13">
        <v>14080003</v>
      </c>
      <c r="G23" s="14">
        <v>0</v>
      </c>
      <c r="H23" s="12">
        <v>10</v>
      </c>
      <c r="I23" s="12">
        <v>10000</v>
      </c>
      <c r="J23" s="12">
        <v>12</v>
      </c>
      <c r="K23" s="12">
        <v>0</v>
      </c>
      <c r="L23" s="21">
        <v>1</v>
      </c>
      <c r="M23" s="21">
        <v>1</v>
      </c>
      <c r="N23" s="22">
        <v>0.1</v>
      </c>
      <c r="O23" s="21">
        <v>1</v>
      </c>
      <c r="P23" s="21">
        <v>1</v>
      </c>
      <c r="Q23" s="21">
        <v>1</v>
      </c>
      <c r="R23" s="21">
        <v>3</v>
      </c>
      <c r="S23" s="21">
        <v>50</v>
      </c>
      <c r="T23" s="21">
        <v>120</v>
      </c>
      <c r="U23" s="22" t="s">
        <v>52</v>
      </c>
      <c r="V23" s="21">
        <v>1</v>
      </c>
      <c r="W23" s="21">
        <v>1</v>
      </c>
      <c r="X23" s="22">
        <v>0</v>
      </c>
      <c r="Y23" s="21">
        <v>0</v>
      </c>
      <c r="Z23" s="25" t="s">
        <v>79</v>
      </c>
    </row>
    <row r="24" spans="3:26" s="1" customFormat="1" ht="20.100000000000001" customHeight="1" x14ac:dyDescent="0.35">
      <c r="C24" s="12">
        <v>100119</v>
      </c>
      <c r="D24" s="12" t="s">
        <v>80</v>
      </c>
      <c r="E24" s="12">
        <v>1</v>
      </c>
      <c r="F24" s="13">
        <v>14090003</v>
      </c>
      <c r="G24" s="14">
        <v>0</v>
      </c>
      <c r="H24" s="12">
        <v>11</v>
      </c>
      <c r="I24" s="12">
        <v>10000</v>
      </c>
      <c r="J24" s="12">
        <v>12</v>
      </c>
      <c r="K24" s="12">
        <v>0</v>
      </c>
      <c r="L24" s="21">
        <v>1</v>
      </c>
      <c r="M24" s="21">
        <v>1</v>
      </c>
      <c r="N24" s="22">
        <v>0.1</v>
      </c>
      <c r="O24" s="21">
        <v>1</v>
      </c>
      <c r="P24" s="21">
        <v>1</v>
      </c>
      <c r="Q24" s="21">
        <v>1</v>
      </c>
      <c r="R24" s="21">
        <v>3</v>
      </c>
      <c r="S24" s="21">
        <v>20</v>
      </c>
      <c r="T24" s="21">
        <v>120</v>
      </c>
      <c r="U24" s="22" t="s">
        <v>52</v>
      </c>
      <c r="V24" s="21">
        <v>1</v>
      </c>
      <c r="W24" s="21">
        <v>1</v>
      </c>
      <c r="X24" s="22">
        <v>0</v>
      </c>
      <c r="Y24" s="21">
        <v>0</v>
      </c>
      <c r="Z24" s="25" t="s">
        <v>81</v>
      </c>
    </row>
    <row r="25" spans="3:26" s="1" customFormat="1" ht="20.100000000000001" customHeight="1" x14ac:dyDescent="0.35">
      <c r="C25" s="12">
        <v>100120</v>
      </c>
      <c r="D25" s="12" t="s">
        <v>82</v>
      </c>
      <c r="E25" s="12">
        <v>1</v>
      </c>
      <c r="F25" s="13">
        <v>14100004</v>
      </c>
      <c r="G25" s="14">
        <v>0</v>
      </c>
      <c r="H25" s="12">
        <v>12</v>
      </c>
      <c r="I25" s="12">
        <v>10000</v>
      </c>
      <c r="J25" s="12">
        <v>12</v>
      </c>
      <c r="K25" s="12">
        <v>0</v>
      </c>
      <c r="L25" s="21">
        <v>1</v>
      </c>
      <c r="M25" s="21">
        <v>1</v>
      </c>
      <c r="N25" s="22">
        <v>0.1</v>
      </c>
      <c r="O25" s="21">
        <v>1</v>
      </c>
      <c r="P25" s="21">
        <v>1</v>
      </c>
      <c r="Q25" s="21">
        <v>1</v>
      </c>
      <c r="R25" s="21">
        <v>3</v>
      </c>
      <c r="S25" s="21">
        <v>40</v>
      </c>
      <c r="T25" s="21">
        <v>120</v>
      </c>
      <c r="U25" s="22" t="s">
        <v>52</v>
      </c>
      <c r="V25" s="21">
        <v>1</v>
      </c>
      <c r="W25" s="21">
        <v>1</v>
      </c>
      <c r="X25" s="22">
        <v>0</v>
      </c>
      <c r="Y25" s="21">
        <v>0</v>
      </c>
      <c r="Z25" s="25" t="s">
        <v>83</v>
      </c>
    </row>
    <row r="26" spans="3:26" s="1" customFormat="1" ht="20.100000000000001" customHeight="1" x14ac:dyDescent="0.35">
      <c r="C26" s="12">
        <v>100121</v>
      </c>
      <c r="D26" s="12" t="s">
        <v>84</v>
      </c>
      <c r="E26" s="12">
        <v>1</v>
      </c>
      <c r="F26" s="13">
        <v>14100008</v>
      </c>
      <c r="G26" s="14">
        <v>0</v>
      </c>
      <c r="H26" s="12">
        <v>12</v>
      </c>
      <c r="I26" s="12">
        <v>10000</v>
      </c>
      <c r="J26" s="12">
        <v>12</v>
      </c>
      <c r="K26" s="12">
        <v>0</v>
      </c>
      <c r="L26" s="21">
        <v>1</v>
      </c>
      <c r="M26" s="21">
        <v>1</v>
      </c>
      <c r="N26" s="22">
        <v>0.1</v>
      </c>
      <c r="O26" s="21">
        <v>1</v>
      </c>
      <c r="P26" s="21">
        <v>1</v>
      </c>
      <c r="Q26" s="21">
        <v>1</v>
      </c>
      <c r="R26" s="21">
        <v>3</v>
      </c>
      <c r="S26" s="21">
        <v>60</v>
      </c>
      <c r="T26" s="21">
        <v>120</v>
      </c>
      <c r="U26" s="22" t="s">
        <v>52</v>
      </c>
      <c r="V26" s="21">
        <v>1</v>
      </c>
      <c r="W26" s="21">
        <v>1</v>
      </c>
      <c r="X26" s="22">
        <v>0</v>
      </c>
      <c r="Y26" s="21">
        <v>0</v>
      </c>
      <c r="Z26" s="25" t="s">
        <v>85</v>
      </c>
    </row>
    <row r="27" spans="3:26" s="1" customFormat="1" ht="20.100000000000001" customHeight="1" x14ac:dyDescent="0.35">
      <c r="C27" s="12">
        <v>100122</v>
      </c>
      <c r="D27" s="12" t="s">
        <v>86</v>
      </c>
      <c r="E27" s="12">
        <v>2</v>
      </c>
      <c r="F27" s="13">
        <v>14110004</v>
      </c>
      <c r="G27" s="14">
        <v>0</v>
      </c>
      <c r="H27" s="12">
        <v>8</v>
      </c>
      <c r="I27" s="12">
        <v>10000</v>
      </c>
      <c r="J27" s="12">
        <v>12</v>
      </c>
      <c r="K27" s="12">
        <v>0</v>
      </c>
      <c r="L27" s="21">
        <v>1</v>
      </c>
      <c r="M27" s="21">
        <v>1</v>
      </c>
      <c r="N27" s="22">
        <v>0.1</v>
      </c>
      <c r="O27" s="21">
        <v>1</v>
      </c>
      <c r="P27" s="21">
        <v>1</v>
      </c>
      <c r="Q27" s="21">
        <v>1</v>
      </c>
      <c r="R27" s="21">
        <v>3</v>
      </c>
      <c r="S27" s="21">
        <v>60</v>
      </c>
      <c r="T27" s="21">
        <v>120</v>
      </c>
      <c r="U27" s="22" t="s">
        <v>52</v>
      </c>
      <c r="V27" s="21">
        <v>1</v>
      </c>
      <c r="W27" s="21">
        <v>1</v>
      </c>
      <c r="X27" s="22">
        <v>0</v>
      </c>
      <c r="Y27" s="21">
        <v>0</v>
      </c>
      <c r="Z27" s="26" t="s">
        <v>87</v>
      </c>
    </row>
    <row r="28" spans="3:26" s="1" customFormat="1" ht="20.100000000000001" customHeight="1" x14ac:dyDescent="0.35">
      <c r="C28" s="12">
        <v>100123</v>
      </c>
      <c r="D28" s="12" t="s">
        <v>88</v>
      </c>
      <c r="E28" s="12">
        <v>2</v>
      </c>
      <c r="F28" s="13">
        <v>14110008</v>
      </c>
      <c r="G28" s="14">
        <v>0</v>
      </c>
      <c r="H28" s="12">
        <v>8</v>
      </c>
      <c r="I28" s="12">
        <v>10000</v>
      </c>
      <c r="J28" s="12">
        <v>12</v>
      </c>
      <c r="K28" s="12">
        <v>0</v>
      </c>
      <c r="L28" s="21">
        <v>1</v>
      </c>
      <c r="M28" s="21">
        <v>1</v>
      </c>
      <c r="N28" s="22">
        <v>0.1</v>
      </c>
      <c r="O28" s="21">
        <v>1</v>
      </c>
      <c r="P28" s="21">
        <v>1</v>
      </c>
      <c r="Q28" s="21">
        <v>1</v>
      </c>
      <c r="R28" s="21">
        <v>3</v>
      </c>
      <c r="S28" s="21">
        <v>60</v>
      </c>
      <c r="T28" s="21">
        <v>120</v>
      </c>
      <c r="U28" s="22" t="s">
        <v>52</v>
      </c>
      <c r="V28" s="21">
        <v>1</v>
      </c>
      <c r="W28" s="21">
        <v>1</v>
      </c>
      <c r="X28" s="22">
        <v>0</v>
      </c>
      <c r="Y28" s="21">
        <v>0</v>
      </c>
      <c r="Z28" s="26" t="s">
        <v>89</v>
      </c>
    </row>
    <row r="29" spans="3:26" s="1" customFormat="1" ht="20.100000000000001" customHeight="1" x14ac:dyDescent="0.35">
      <c r="C29" s="12">
        <v>100124</v>
      </c>
      <c r="D29" s="12" t="s">
        <v>90</v>
      </c>
      <c r="E29" s="12">
        <v>2</v>
      </c>
      <c r="F29" s="13">
        <v>14110012</v>
      </c>
      <c r="G29" s="14">
        <v>0</v>
      </c>
      <c r="H29" s="12">
        <v>8</v>
      </c>
      <c r="I29" s="12">
        <v>10000</v>
      </c>
      <c r="J29" s="12">
        <v>12</v>
      </c>
      <c r="K29" s="12">
        <v>0</v>
      </c>
      <c r="L29" s="21">
        <v>1</v>
      </c>
      <c r="M29" s="21">
        <v>1</v>
      </c>
      <c r="N29" s="22">
        <v>0.1</v>
      </c>
      <c r="O29" s="21">
        <v>1</v>
      </c>
      <c r="P29" s="21">
        <v>1</v>
      </c>
      <c r="Q29" s="21">
        <v>1</v>
      </c>
      <c r="R29" s="21">
        <v>3</v>
      </c>
      <c r="S29" s="21">
        <v>60</v>
      </c>
      <c r="T29" s="21">
        <v>120</v>
      </c>
      <c r="U29" s="22" t="s">
        <v>52</v>
      </c>
      <c r="V29" s="21">
        <v>1</v>
      </c>
      <c r="W29" s="21">
        <v>1</v>
      </c>
      <c r="X29" s="22">
        <v>0</v>
      </c>
      <c r="Y29" s="21">
        <v>0</v>
      </c>
      <c r="Z29" s="26" t="s">
        <v>91</v>
      </c>
    </row>
    <row r="30" spans="3:26" s="1" customFormat="1" ht="20.100000000000001" customHeight="1" x14ac:dyDescent="0.35">
      <c r="C30" s="12">
        <v>100125</v>
      </c>
      <c r="D30" s="15" t="s">
        <v>92</v>
      </c>
      <c r="E30" s="12">
        <v>1</v>
      </c>
      <c r="F30" s="16">
        <v>14100104</v>
      </c>
      <c r="G30" s="14">
        <v>0</v>
      </c>
      <c r="H30" s="12">
        <v>12</v>
      </c>
      <c r="I30" s="12">
        <v>10000</v>
      </c>
      <c r="J30" s="12">
        <v>12</v>
      </c>
      <c r="K30" s="12">
        <v>0</v>
      </c>
      <c r="L30" s="21">
        <v>1</v>
      </c>
      <c r="M30" s="21">
        <v>1</v>
      </c>
      <c r="N30" s="22">
        <v>0.1</v>
      </c>
      <c r="O30" s="21">
        <v>1</v>
      </c>
      <c r="P30" s="21">
        <v>1</v>
      </c>
      <c r="Q30" s="21">
        <v>1</v>
      </c>
      <c r="R30" s="21">
        <v>3</v>
      </c>
      <c r="S30" s="21">
        <v>40</v>
      </c>
      <c r="T30" s="21">
        <v>120</v>
      </c>
      <c r="U30" s="22" t="s">
        <v>52</v>
      </c>
      <c r="V30" s="21">
        <v>1</v>
      </c>
      <c r="W30" s="21">
        <v>1</v>
      </c>
      <c r="X30" s="22">
        <v>0</v>
      </c>
      <c r="Y30" s="21">
        <v>0</v>
      </c>
      <c r="Z30" s="25" t="s">
        <v>83</v>
      </c>
    </row>
    <row r="31" spans="3:26" s="1" customFormat="1" ht="20.100000000000001" customHeight="1" x14ac:dyDescent="0.35">
      <c r="C31" s="12">
        <v>100126</v>
      </c>
      <c r="D31" s="15" t="s">
        <v>93</v>
      </c>
      <c r="E31" s="12">
        <v>1</v>
      </c>
      <c r="F31" s="16">
        <v>14100108</v>
      </c>
      <c r="G31" s="14">
        <v>0</v>
      </c>
      <c r="H31" s="12">
        <v>12</v>
      </c>
      <c r="I31" s="12">
        <v>10000</v>
      </c>
      <c r="J31" s="12">
        <v>12</v>
      </c>
      <c r="K31" s="12">
        <v>0</v>
      </c>
      <c r="L31" s="21">
        <v>1</v>
      </c>
      <c r="M31" s="21">
        <v>1</v>
      </c>
      <c r="N31" s="22">
        <v>0.1</v>
      </c>
      <c r="O31" s="21">
        <v>1</v>
      </c>
      <c r="P31" s="21">
        <v>1</v>
      </c>
      <c r="Q31" s="21">
        <v>1</v>
      </c>
      <c r="R31" s="21">
        <v>3</v>
      </c>
      <c r="S31" s="21">
        <v>60</v>
      </c>
      <c r="T31" s="21">
        <v>120</v>
      </c>
      <c r="U31" s="22" t="s">
        <v>52</v>
      </c>
      <c r="V31" s="21">
        <v>1</v>
      </c>
      <c r="W31" s="21">
        <v>1</v>
      </c>
      <c r="X31" s="22">
        <v>0</v>
      </c>
      <c r="Y31" s="21">
        <v>0</v>
      </c>
      <c r="Z31" s="25" t="s">
        <v>85</v>
      </c>
    </row>
    <row r="32" spans="3:26" s="1" customFormat="1" ht="20.100000000000001" customHeight="1" x14ac:dyDescent="0.35">
      <c r="C32" s="12">
        <v>100127</v>
      </c>
      <c r="D32" s="15" t="s">
        <v>94</v>
      </c>
      <c r="E32" s="12">
        <v>1</v>
      </c>
      <c r="F32" s="16">
        <v>14100204</v>
      </c>
      <c r="G32" s="14">
        <v>0</v>
      </c>
      <c r="H32" s="12">
        <v>12</v>
      </c>
      <c r="I32" s="12">
        <v>10000</v>
      </c>
      <c r="J32" s="12">
        <v>12</v>
      </c>
      <c r="K32" s="12">
        <v>0</v>
      </c>
      <c r="L32" s="21">
        <v>1</v>
      </c>
      <c r="M32" s="21">
        <v>1</v>
      </c>
      <c r="N32" s="22">
        <v>0.1</v>
      </c>
      <c r="O32" s="21">
        <v>1</v>
      </c>
      <c r="P32" s="21">
        <v>1</v>
      </c>
      <c r="Q32" s="21">
        <v>1</v>
      </c>
      <c r="R32" s="21">
        <v>3</v>
      </c>
      <c r="S32" s="21">
        <v>40</v>
      </c>
      <c r="T32" s="21">
        <v>120</v>
      </c>
      <c r="U32" s="22" t="s">
        <v>52</v>
      </c>
      <c r="V32" s="21">
        <v>1</v>
      </c>
      <c r="W32" s="21">
        <v>1</v>
      </c>
      <c r="X32" s="22">
        <v>0</v>
      </c>
      <c r="Y32" s="21">
        <v>0</v>
      </c>
      <c r="Z32" s="25" t="s">
        <v>83</v>
      </c>
    </row>
    <row r="33" spans="3:26" s="2" customFormat="1" ht="20.100000000000001" customHeight="1" x14ac:dyDescent="0.35">
      <c r="C33" s="17">
        <v>100151</v>
      </c>
      <c r="D33" s="18" t="s">
        <v>95</v>
      </c>
      <c r="E33" s="19">
        <v>5</v>
      </c>
      <c r="F33" s="17">
        <v>14060005</v>
      </c>
      <c r="G33" s="14">
        <v>0</v>
      </c>
      <c r="H33" s="19">
        <v>12</v>
      </c>
      <c r="I33" s="19">
        <v>50000</v>
      </c>
      <c r="J33" s="19">
        <v>20</v>
      </c>
      <c r="K33" s="19">
        <v>0</v>
      </c>
      <c r="L33" s="23">
        <v>1</v>
      </c>
      <c r="M33" s="23">
        <v>1</v>
      </c>
      <c r="N33" s="24">
        <v>0.1</v>
      </c>
      <c r="O33" s="21">
        <v>1</v>
      </c>
      <c r="P33" s="23">
        <v>1</v>
      </c>
      <c r="Q33" s="23">
        <v>1</v>
      </c>
      <c r="R33" s="23">
        <v>3</v>
      </c>
      <c r="S33" s="23">
        <v>0</v>
      </c>
      <c r="T33" s="21">
        <v>0</v>
      </c>
      <c r="U33" s="24">
        <v>0</v>
      </c>
      <c r="V33" s="23">
        <v>1</v>
      </c>
      <c r="W33" s="23">
        <v>1</v>
      </c>
      <c r="X33" s="22">
        <v>0</v>
      </c>
      <c r="Y33" s="23">
        <v>0</v>
      </c>
      <c r="Z33" s="27" t="s">
        <v>96</v>
      </c>
    </row>
    <row r="34" spans="3:26" s="2" customFormat="1" ht="20.100000000000001" customHeight="1" x14ac:dyDescent="0.35">
      <c r="C34" s="17">
        <v>100152</v>
      </c>
      <c r="D34" s="18" t="s">
        <v>97</v>
      </c>
      <c r="E34" s="19">
        <v>5</v>
      </c>
      <c r="F34" s="13">
        <v>14100011</v>
      </c>
      <c r="G34" s="14">
        <v>0</v>
      </c>
      <c r="H34" s="19">
        <v>12</v>
      </c>
      <c r="I34" s="19">
        <v>50000</v>
      </c>
      <c r="J34" s="19">
        <v>20</v>
      </c>
      <c r="K34" s="19">
        <v>0</v>
      </c>
      <c r="L34" s="23">
        <v>1</v>
      </c>
      <c r="M34" s="23">
        <v>1</v>
      </c>
      <c r="N34" s="24">
        <v>0.1</v>
      </c>
      <c r="O34" s="21">
        <v>1</v>
      </c>
      <c r="P34" s="23">
        <v>1</v>
      </c>
      <c r="Q34" s="23">
        <v>1</v>
      </c>
      <c r="R34" s="23">
        <v>3</v>
      </c>
      <c r="S34" s="23">
        <v>0</v>
      </c>
      <c r="T34" s="21">
        <v>0</v>
      </c>
      <c r="U34" s="24">
        <v>0</v>
      </c>
      <c r="V34" s="23">
        <v>1</v>
      </c>
      <c r="W34" s="23">
        <v>1</v>
      </c>
      <c r="X34" s="22">
        <v>0</v>
      </c>
      <c r="Y34" s="23">
        <v>0</v>
      </c>
      <c r="Z34" s="27" t="s">
        <v>98</v>
      </c>
    </row>
    <row r="35" spans="3:26" s="2" customFormat="1" ht="20.100000000000001" customHeight="1" x14ac:dyDescent="0.35">
      <c r="C35" s="17">
        <v>100153</v>
      </c>
      <c r="D35" s="18" t="s">
        <v>99</v>
      </c>
      <c r="E35" s="19">
        <v>5</v>
      </c>
      <c r="F35" s="13">
        <v>14100012</v>
      </c>
      <c r="G35" s="14">
        <v>0</v>
      </c>
      <c r="H35" s="19">
        <v>12</v>
      </c>
      <c r="I35" s="19">
        <v>50000</v>
      </c>
      <c r="J35" s="19">
        <v>20</v>
      </c>
      <c r="K35" s="19">
        <v>0</v>
      </c>
      <c r="L35" s="23">
        <v>1</v>
      </c>
      <c r="M35" s="23">
        <v>1</v>
      </c>
      <c r="N35" s="24">
        <v>0.1</v>
      </c>
      <c r="O35" s="21">
        <v>1</v>
      </c>
      <c r="P35" s="23">
        <v>1</v>
      </c>
      <c r="Q35" s="23">
        <v>1</v>
      </c>
      <c r="R35" s="23">
        <v>3</v>
      </c>
      <c r="S35" s="23">
        <v>0</v>
      </c>
      <c r="T35" s="21">
        <v>0</v>
      </c>
      <c r="U35" s="24">
        <v>0</v>
      </c>
      <c r="V35" s="23">
        <v>1</v>
      </c>
      <c r="W35" s="23">
        <v>1</v>
      </c>
      <c r="X35" s="22">
        <v>0</v>
      </c>
      <c r="Y35" s="23">
        <v>0</v>
      </c>
      <c r="Z35" s="27" t="s">
        <v>100</v>
      </c>
    </row>
    <row r="36" spans="3:26" s="2" customFormat="1" ht="20.100000000000001" customHeight="1" x14ac:dyDescent="0.35">
      <c r="C36" s="17">
        <v>100154</v>
      </c>
      <c r="D36" s="18" t="s">
        <v>101</v>
      </c>
      <c r="E36" s="19">
        <v>5</v>
      </c>
      <c r="F36" s="17">
        <v>14100111</v>
      </c>
      <c r="G36" s="14">
        <v>0</v>
      </c>
      <c r="H36" s="19">
        <v>12</v>
      </c>
      <c r="I36" s="19">
        <v>50000</v>
      </c>
      <c r="J36" s="19">
        <v>20</v>
      </c>
      <c r="K36" s="19">
        <v>0</v>
      </c>
      <c r="L36" s="23">
        <v>1</v>
      </c>
      <c r="M36" s="23">
        <v>1</v>
      </c>
      <c r="N36" s="24">
        <v>0.1</v>
      </c>
      <c r="O36" s="21">
        <v>1</v>
      </c>
      <c r="P36" s="23">
        <v>1</v>
      </c>
      <c r="Q36" s="23">
        <v>1</v>
      </c>
      <c r="R36" s="23">
        <v>3</v>
      </c>
      <c r="S36" s="23">
        <v>0</v>
      </c>
      <c r="T36" s="21">
        <v>0</v>
      </c>
      <c r="U36" s="24">
        <v>0</v>
      </c>
      <c r="V36" s="23">
        <v>1</v>
      </c>
      <c r="W36" s="23">
        <v>1</v>
      </c>
      <c r="X36" s="22">
        <v>0</v>
      </c>
      <c r="Y36" s="23">
        <v>0</v>
      </c>
      <c r="Z36" s="27" t="s">
        <v>102</v>
      </c>
    </row>
    <row r="37" spans="3:26" s="2" customFormat="1" ht="20.100000000000001" customHeight="1" x14ac:dyDescent="0.35">
      <c r="C37" s="17">
        <v>100155</v>
      </c>
      <c r="D37" s="18" t="s">
        <v>103</v>
      </c>
      <c r="E37" s="19">
        <v>5</v>
      </c>
      <c r="F37" s="17">
        <v>14100112</v>
      </c>
      <c r="G37" s="14">
        <v>0</v>
      </c>
      <c r="H37" s="19">
        <v>12</v>
      </c>
      <c r="I37" s="19">
        <v>50000</v>
      </c>
      <c r="J37" s="19">
        <v>20</v>
      </c>
      <c r="K37" s="19">
        <v>0</v>
      </c>
      <c r="L37" s="23">
        <v>1</v>
      </c>
      <c r="M37" s="23">
        <v>1</v>
      </c>
      <c r="N37" s="24">
        <v>0.1</v>
      </c>
      <c r="O37" s="21">
        <v>1</v>
      </c>
      <c r="P37" s="23">
        <v>1</v>
      </c>
      <c r="Q37" s="23">
        <v>1</v>
      </c>
      <c r="R37" s="23">
        <v>3</v>
      </c>
      <c r="S37" s="23">
        <v>0</v>
      </c>
      <c r="T37" s="21">
        <v>0</v>
      </c>
      <c r="U37" s="24">
        <v>0</v>
      </c>
      <c r="V37" s="23">
        <v>1</v>
      </c>
      <c r="W37" s="23">
        <v>1</v>
      </c>
      <c r="X37" s="22">
        <v>0</v>
      </c>
      <c r="Y37" s="23">
        <v>0</v>
      </c>
      <c r="Z37" s="27" t="s">
        <v>104</v>
      </c>
    </row>
    <row r="38" spans="3:26" s="2" customFormat="1" ht="20.100000000000001" customHeight="1" x14ac:dyDescent="0.35">
      <c r="C38" s="17">
        <v>100156</v>
      </c>
      <c r="D38" s="18" t="s">
        <v>105</v>
      </c>
      <c r="E38" s="19">
        <v>5</v>
      </c>
      <c r="F38" s="17">
        <v>14110021</v>
      </c>
      <c r="G38" s="14">
        <v>0</v>
      </c>
      <c r="H38" s="19">
        <v>12</v>
      </c>
      <c r="I38" s="19">
        <v>50000</v>
      </c>
      <c r="J38" s="19">
        <v>20</v>
      </c>
      <c r="K38" s="19">
        <v>0</v>
      </c>
      <c r="L38" s="23">
        <v>1</v>
      </c>
      <c r="M38" s="23">
        <v>1</v>
      </c>
      <c r="N38" s="24">
        <v>0.1</v>
      </c>
      <c r="O38" s="21">
        <v>1</v>
      </c>
      <c r="P38" s="23">
        <v>1</v>
      </c>
      <c r="Q38" s="23">
        <v>1</v>
      </c>
      <c r="R38" s="23">
        <v>3</v>
      </c>
      <c r="S38" s="23">
        <v>0</v>
      </c>
      <c r="T38" s="21">
        <v>0</v>
      </c>
      <c r="U38" s="24">
        <v>0</v>
      </c>
      <c r="V38" s="23">
        <v>1</v>
      </c>
      <c r="W38" s="23">
        <v>1</v>
      </c>
      <c r="X38" s="22">
        <v>0</v>
      </c>
      <c r="Y38" s="23">
        <v>0</v>
      </c>
      <c r="Z38" s="27" t="s">
        <v>106</v>
      </c>
    </row>
    <row r="39" spans="3:26" s="2" customFormat="1" ht="20.100000000000001" customHeight="1" x14ac:dyDescent="0.35">
      <c r="C39" s="17">
        <v>100157</v>
      </c>
      <c r="D39" s="18" t="s">
        <v>107</v>
      </c>
      <c r="E39" s="19">
        <v>5</v>
      </c>
      <c r="F39" s="17">
        <v>14110022</v>
      </c>
      <c r="G39" s="14">
        <v>0</v>
      </c>
      <c r="H39" s="19">
        <v>12</v>
      </c>
      <c r="I39" s="19">
        <v>50000</v>
      </c>
      <c r="J39" s="19">
        <v>20</v>
      </c>
      <c r="K39" s="19">
        <v>0</v>
      </c>
      <c r="L39" s="23">
        <v>1</v>
      </c>
      <c r="M39" s="23">
        <v>1</v>
      </c>
      <c r="N39" s="24">
        <v>0.1</v>
      </c>
      <c r="O39" s="21">
        <v>1</v>
      </c>
      <c r="P39" s="23">
        <v>1</v>
      </c>
      <c r="Q39" s="23">
        <v>1</v>
      </c>
      <c r="R39" s="23">
        <v>3</v>
      </c>
      <c r="S39" s="23">
        <v>0</v>
      </c>
      <c r="T39" s="21">
        <v>0</v>
      </c>
      <c r="U39" s="24">
        <v>0</v>
      </c>
      <c r="V39" s="23">
        <v>1</v>
      </c>
      <c r="W39" s="23">
        <v>1</v>
      </c>
      <c r="X39" s="22">
        <v>0</v>
      </c>
      <c r="Y39" s="23">
        <v>0</v>
      </c>
      <c r="Z39" s="27" t="s">
        <v>108</v>
      </c>
    </row>
    <row r="40" spans="3:26" s="2" customFormat="1" ht="20.100000000000001" customHeight="1" x14ac:dyDescent="0.35">
      <c r="C40" s="17">
        <v>100158</v>
      </c>
      <c r="D40" s="18" t="s">
        <v>109</v>
      </c>
      <c r="E40" s="19">
        <v>5</v>
      </c>
      <c r="F40" s="17">
        <v>14110023</v>
      </c>
      <c r="G40" s="14">
        <v>0</v>
      </c>
      <c r="H40" s="19">
        <v>12</v>
      </c>
      <c r="I40" s="19">
        <v>50000</v>
      </c>
      <c r="J40" s="19">
        <v>20</v>
      </c>
      <c r="K40" s="19">
        <v>0</v>
      </c>
      <c r="L40" s="23">
        <v>1</v>
      </c>
      <c r="M40" s="23">
        <v>1</v>
      </c>
      <c r="N40" s="24">
        <v>0.1</v>
      </c>
      <c r="O40" s="21">
        <v>1</v>
      </c>
      <c r="P40" s="23">
        <v>1</v>
      </c>
      <c r="Q40" s="23">
        <v>1</v>
      </c>
      <c r="R40" s="23">
        <v>3</v>
      </c>
      <c r="S40" s="23">
        <v>0</v>
      </c>
      <c r="T40" s="21">
        <v>0</v>
      </c>
      <c r="U40" s="24">
        <v>0</v>
      </c>
      <c r="V40" s="23">
        <v>1</v>
      </c>
      <c r="W40" s="23">
        <v>1</v>
      </c>
      <c r="X40" s="22">
        <v>0</v>
      </c>
      <c r="Y40" s="23">
        <v>0</v>
      </c>
      <c r="Z40" s="27" t="s">
        <v>110</v>
      </c>
    </row>
    <row r="41" spans="3:26" s="2" customFormat="1" ht="20.100000000000001" customHeight="1" x14ac:dyDescent="0.35">
      <c r="C41" s="17">
        <v>100159</v>
      </c>
      <c r="D41" s="18" t="s">
        <v>111</v>
      </c>
      <c r="E41" s="19">
        <v>5</v>
      </c>
      <c r="F41" s="13">
        <v>14100211</v>
      </c>
      <c r="G41" s="14">
        <v>0</v>
      </c>
      <c r="H41" s="19">
        <v>12</v>
      </c>
      <c r="I41" s="19">
        <v>50000</v>
      </c>
      <c r="J41" s="19">
        <v>20</v>
      </c>
      <c r="K41" s="19">
        <v>0</v>
      </c>
      <c r="L41" s="23">
        <v>1</v>
      </c>
      <c r="M41" s="23">
        <v>1</v>
      </c>
      <c r="N41" s="24">
        <v>0.1</v>
      </c>
      <c r="O41" s="21">
        <v>1</v>
      </c>
      <c r="P41" s="23">
        <v>1</v>
      </c>
      <c r="Q41" s="23">
        <v>1</v>
      </c>
      <c r="R41" s="23">
        <v>3</v>
      </c>
      <c r="S41" s="23">
        <v>0</v>
      </c>
      <c r="T41" s="21">
        <v>0</v>
      </c>
      <c r="U41" s="24">
        <v>0</v>
      </c>
      <c r="V41" s="23">
        <v>1</v>
      </c>
      <c r="W41" s="23">
        <v>1</v>
      </c>
      <c r="X41" s="22">
        <v>0</v>
      </c>
      <c r="Y41" s="23">
        <v>0</v>
      </c>
      <c r="Z41" s="27" t="s">
        <v>112</v>
      </c>
    </row>
    <row r="42" spans="3:26" s="1" customFormat="1" ht="20.100000000000001" customHeight="1" x14ac:dyDescent="0.35">
      <c r="C42" s="12">
        <v>100201</v>
      </c>
      <c r="D42" s="12" t="s">
        <v>113</v>
      </c>
      <c r="E42" s="12">
        <v>2</v>
      </c>
      <c r="F42" s="20">
        <v>15201002</v>
      </c>
      <c r="G42" s="14">
        <v>0</v>
      </c>
      <c r="H42" s="12">
        <v>20</v>
      </c>
      <c r="I42" s="12">
        <v>12500</v>
      </c>
      <c r="J42" s="12">
        <v>12</v>
      </c>
      <c r="K42" s="12">
        <v>0</v>
      </c>
      <c r="L42" s="21">
        <v>1</v>
      </c>
      <c r="M42" s="21">
        <v>1</v>
      </c>
      <c r="N42" s="22">
        <v>0.1</v>
      </c>
      <c r="O42" s="21">
        <v>1</v>
      </c>
      <c r="P42" s="21">
        <v>1</v>
      </c>
      <c r="Q42" s="21">
        <v>1</v>
      </c>
      <c r="R42" s="21">
        <v>3</v>
      </c>
      <c r="S42" s="21">
        <f t="shared" ref="S42:S68" si="0">S6+100</f>
        <v>100</v>
      </c>
      <c r="T42" s="21">
        <v>220</v>
      </c>
      <c r="U42" s="22" t="s">
        <v>52</v>
      </c>
      <c r="V42" s="21">
        <v>1</v>
      </c>
      <c r="W42" s="21">
        <v>1</v>
      </c>
      <c r="X42" s="22">
        <v>0</v>
      </c>
      <c r="Y42" s="21">
        <v>0</v>
      </c>
      <c r="Z42" s="26" t="s">
        <v>114</v>
      </c>
    </row>
    <row r="43" spans="3:26" s="1" customFormat="1" ht="20.100000000000001" customHeight="1" x14ac:dyDescent="0.35">
      <c r="C43" s="12">
        <v>100202</v>
      </c>
      <c r="D43" s="12" t="s">
        <v>115</v>
      </c>
      <c r="E43" s="12">
        <v>2</v>
      </c>
      <c r="F43" s="20">
        <v>15201004</v>
      </c>
      <c r="G43" s="14">
        <v>0</v>
      </c>
      <c r="H43" s="12">
        <v>20</v>
      </c>
      <c r="I43" s="12">
        <v>12500</v>
      </c>
      <c r="J43" s="12">
        <v>12</v>
      </c>
      <c r="K43" s="12">
        <v>0</v>
      </c>
      <c r="L43" s="21">
        <v>1</v>
      </c>
      <c r="M43" s="21">
        <v>1</v>
      </c>
      <c r="N43" s="22">
        <v>0.1</v>
      </c>
      <c r="O43" s="21">
        <v>1</v>
      </c>
      <c r="P43" s="21">
        <v>1</v>
      </c>
      <c r="Q43" s="21">
        <v>1</v>
      </c>
      <c r="R43" s="21">
        <v>3</v>
      </c>
      <c r="S43" s="21">
        <f t="shared" si="0"/>
        <v>100</v>
      </c>
      <c r="T43" s="21">
        <v>220</v>
      </c>
      <c r="U43" s="22" t="s">
        <v>52</v>
      </c>
      <c r="V43" s="21">
        <v>1</v>
      </c>
      <c r="W43" s="21">
        <v>1</v>
      </c>
      <c r="X43" s="22">
        <v>0</v>
      </c>
      <c r="Y43" s="21">
        <v>0</v>
      </c>
      <c r="Z43" s="26" t="s">
        <v>116</v>
      </c>
    </row>
    <row r="44" spans="3:26" s="1" customFormat="1" ht="20.100000000000001" customHeight="1" x14ac:dyDescent="0.35">
      <c r="C44" s="12">
        <v>100203</v>
      </c>
      <c r="D44" s="12" t="s">
        <v>117</v>
      </c>
      <c r="E44" s="12">
        <v>2</v>
      </c>
      <c r="F44" s="20">
        <v>15201006</v>
      </c>
      <c r="G44" s="14">
        <v>0</v>
      </c>
      <c r="H44" s="12">
        <v>20</v>
      </c>
      <c r="I44" s="12">
        <v>12500</v>
      </c>
      <c r="J44" s="12">
        <v>12</v>
      </c>
      <c r="K44" s="12">
        <v>0</v>
      </c>
      <c r="L44" s="21">
        <v>1</v>
      </c>
      <c r="M44" s="21">
        <v>1</v>
      </c>
      <c r="N44" s="22">
        <v>0.1</v>
      </c>
      <c r="O44" s="21">
        <v>1</v>
      </c>
      <c r="P44" s="21">
        <v>1</v>
      </c>
      <c r="Q44" s="21">
        <v>1</v>
      </c>
      <c r="R44" s="21">
        <v>3</v>
      </c>
      <c r="S44" s="21">
        <f t="shared" si="0"/>
        <v>100</v>
      </c>
      <c r="T44" s="21">
        <v>220</v>
      </c>
      <c r="U44" s="22" t="s">
        <v>52</v>
      </c>
      <c r="V44" s="21">
        <v>1</v>
      </c>
      <c r="W44" s="21">
        <v>1</v>
      </c>
      <c r="X44" s="22">
        <v>0</v>
      </c>
      <c r="Y44" s="21">
        <v>0</v>
      </c>
      <c r="Z44" s="26" t="s">
        <v>118</v>
      </c>
    </row>
    <row r="45" spans="3:26" s="1" customFormat="1" ht="20.100000000000001" customHeight="1" x14ac:dyDescent="0.35">
      <c r="C45" s="12">
        <v>100204</v>
      </c>
      <c r="D45" s="12" t="s">
        <v>119</v>
      </c>
      <c r="E45" s="12">
        <v>2</v>
      </c>
      <c r="F45" s="20">
        <v>15202002</v>
      </c>
      <c r="G45" s="14">
        <v>0</v>
      </c>
      <c r="H45" s="12">
        <v>21</v>
      </c>
      <c r="I45" s="12">
        <v>12500</v>
      </c>
      <c r="J45" s="12">
        <v>12</v>
      </c>
      <c r="K45" s="12">
        <v>0</v>
      </c>
      <c r="L45" s="21">
        <v>1</v>
      </c>
      <c r="M45" s="21">
        <v>1</v>
      </c>
      <c r="N45" s="22">
        <v>0.1</v>
      </c>
      <c r="O45" s="21">
        <v>1</v>
      </c>
      <c r="P45" s="21">
        <v>1</v>
      </c>
      <c r="Q45" s="21">
        <v>1</v>
      </c>
      <c r="R45" s="21">
        <v>3</v>
      </c>
      <c r="S45" s="21">
        <f t="shared" si="0"/>
        <v>110</v>
      </c>
      <c r="T45" s="21">
        <v>220</v>
      </c>
      <c r="U45" s="22" t="s">
        <v>52</v>
      </c>
      <c r="V45" s="21">
        <v>1</v>
      </c>
      <c r="W45" s="21">
        <v>1</v>
      </c>
      <c r="X45" s="22">
        <v>0</v>
      </c>
      <c r="Y45" s="21">
        <v>0</v>
      </c>
      <c r="Z45" s="26" t="s">
        <v>120</v>
      </c>
    </row>
    <row r="46" spans="3:26" s="1" customFormat="1" ht="20.100000000000001" customHeight="1" x14ac:dyDescent="0.35">
      <c r="C46" s="12">
        <v>100205</v>
      </c>
      <c r="D46" s="12" t="s">
        <v>121</v>
      </c>
      <c r="E46" s="12">
        <v>2</v>
      </c>
      <c r="F46" s="20">
        <v>15202004</v>
      </c>
      <c r="G46" s="14">
        <v>0</v>
      </c>
      <c r="H46" s="12">
        <v>21</v>
      </c>
      <c r="I46" s="12">
        <v>12500</v>
      </c>
      <c r="J46" s="12">
        <v>12</v>
      </c>
      <c r="K46" s="12">
        <v>0</v>
      </c>
      <c r="L46" s="21">
        <v>1</v>
      </c>
      <c r="M46" s="21">
        <v>1</v>
      </c>
      <c r="N46" s="22">
        <v>0.1</v>
      </c>
      <c r="O46" s="21">
        <v>1</v>
      </c>
      <c r="P46" s="21">
        <v>1</v>
      </c>
      <c r="Q46" s="21">
        <v>1</v>
      </c>
      <c r="R46" s="21">
        <v>3</v>
      </c>
      <c r="S46" s="21">
        <f t="shared" si="0"/>
        <v>110</v>
      </c>
      <c r="T46" s="21">
        <v>220</v>
      </c>
      <c r="U46" s="22" t="s">
        <v>52</v>
      </c>
      <c r="V46" s="21">
        <v>1</v>
      </c>
      <c r="W46" s="21">
        <v>1</v>
      </c>
      <c r="X46" s="22">
        <v>0</v>
      </c>
      <c r="Y46" s="21">
        <v>0</v>
      </c>
      <c r="Z46" s="26" t="s">
        <v>122</v>
      </c>
    </row>
    <row r="47" spans="3:26" s="1" customFormat="1" ht="20.100000000000001" customHeight="1" x14ac:dyDescent="0.35">
      <c r="C47" s="12">
        <v>100206</v>
      </c>
      <c r="D47" s="12" t="s">
        <v>123</v>
      </c>
      <c r="E47" s="12">
        <v>2</v>
      </c>
      <c r="F47" s="20">
        <v>15202006</v>
      </c>
      <c r="G47" s="14">
        <v>0</v>
      </c>
      <c r="H47" s="12">
        <v>21</v>
      </c>
      <c r="I47" s="12">
        <v>12500</v>
      </c>
      <c r="J47" s="12">
        <v>12</v>
      </c>
      <c r="K47" s="12">
        <v>0</v>
      </c>
      <c r="L47" s="21">
        <v>1</v>
      </c>
      <c r="M47" s="21">
        <v>1</v>
      </c>
      <c r="N47" s="22">
        <v>0.1</v>
      </c>
      <c r="O47" s="21">
        <v>1</v>
      </c>
      <c r="P47" s="21">
        <v>1</v>
      </c>
      <c r="Q47" s="21">
        <v>1</v>
      </c>
      <c r="R47" s="21">
        <v>3</v>
      </c>
      <c r="S47" s="21">
        <f t="shared" si="0"/>
        <v>110</v>
      </c>
      <c r="T47" s="21">
        <v>220</v>
      </c>
      <c r="U47" s="22" t="s">
        <v>52</v>
      </c>
      <c r="V47" s="21">
        <v>1</v>
      </c>
      <c r="W47" s="21">
        <v>1</v>
      </c>
      <c r="X47" s="22">
        <v>0</v>
      </c>
      <c r="Y47" s="21">
        <v>0</v>
      </c>
      <c r="Z47" s="26" t="s">
        <v>124</v>
      </c>
    </row>
    <row r="48" spans="3:26" s="1" customFormat="1" ht="20.100000000000001" customHeight="1" x14ac:dyDescent="0.35">
      <c r="C48" s="12">
        <v>100207</v>
      </c>
      <c r="D48" s="12" t="s">
        <v>125</v>
      </c>
      <c r="E48" s="12">
        <v>2</v>
      </c>
      <c r="F48" s="20">
        <v>15203002</v>
      </c>
      <c r="G48" s="14">
        <v>0</v>
      </c>
      <c r="H48" s="12">
        <v>22</v>
      </c>
      <c r="I48" s="12">
        <v>12500</v>
      </c>
      <c r="J48" s="12">
        <v>12</v>
      </c>
      <c r="K48" s="12">
        <v>0</v>
      </c>
      <c r="L48" s="21">
        <v>1</v>
      </c>
      <c r="M48" s="21">
        <v>1</v>
      </c>
      <c r="N48" s="22">
        <v>0.1</v>
      </c>
      <c r="O48" s="21">
        <v>1</v>
      </c>
      <c r="P48" s="21">
        <v>1</v>
      </c>
      <c r="Q48" s="21">
        <v>1</v>
      </c>
      <c r="R48" s="21">
        <v>3</v>
      </c>
      <c r="S48" s="21">
        <f t="shared" si="0"/>
        <v>120</v>
      </c>
      <c r="T48" s="21">
        <v>220</v>
      </c>
      <c r="U48" s="22" t="s">
        <v>52</v>
      </c>
      <c r="V48" s="21">
        <v>1</v>
      </c>
      <c r="W48" s="21">
        <v>1</v>
      </c>
      <c r="X48" s="22">
        <v>0</v>
      </c>
      <c r="Y48" s="21">
        <v>0</v>
      </c>
      <c r="Z48" s="26" t="s">
        <v>126</v>
      </c>
    </row>
    <row r="49" spans="3:26" s="1" customFormat="1" ht="20.100000000000001" customHeight="1" x14ac:dyDescent="0.35">
      <c r="C49" s="12">
        <v>100208</v>
      </c>
      <c r="D49" s="12" t="s">
        <v>127</v>
      </c>
      <c r="E49" s="12">
        <v>2</v>
      </c>
      <c r="F49" s="20">
        <v>15203004</v>
      </c>
      <c r="G49" s="14">
        <v>0</v>
      </c>
      <c r="H49" s="12">
        <v>22</v>
      </c>
      <c r="I49" s="12">
        <v>12500</v>
      </c>
      <c r="J49" s="12">
        <v>12</v>
      </c>
      <c r="K49" s="12">
        <v>0</v>
      </c>
      <c r="L49" s="21">
        <v>1</v>
      </c>
      <c r="M49" s="21">
        <v>1</v>
      </c>
      <c r="N49" s="22">
        <v>0.1</v>
      </c>
      <c r="O49" s="21">
        <v>1</v>
      </c>
      <c r="P49" s="21">
        <v>1</v>
      </c>
      <c r="Q49" s="21">
        <v>1</v>
      </c>
      <c r="R49" s="21">
        <v>3</v>
      </c>
      <c r="S49" s="21">
        <f t="shared" si="0"/>
        <v>120</v>
      </c>
      <c r="T49" s="21">
        <v>220</v>
      </c>
      <c r="U49" s="22" t="s">
        <v>52</v>
      </c>
      <c r="V49" s="21">
        <v>1</v>
      </c>
      <c r="W49" s="21">
        <v>1</v>
      </c>
      <c r="X49" s="22">
        <v>0</v>
      </c>
      <c r="Y49" s="21">
        <v>0</v>
      </c>
      <c r="Z49" s="26" t="s">
        <v>114</v>
      </c>
    </row>
    <row r="50" spans="3:26" s="1" customFormat="1" ht="20.100000000000001" customHeight="1" x14ac:dyDescent="0.35">
      <c r="C50" s="12">
        <v>100209</v>
      </c>
      <c r="D50" s="12" t="s">
        <v>128</v>
      </c>
      <c r="E50" s="12">
        <v>2</v>
      </c>
      <c r="F50" s="20">
        <v>15203006</v>
      </c>
      <c r="G50" s="14">
        <v>0</v>
      </c>
      <c r="H50" s="12">
        <v>22</v>
      </c>
      <c r="I50" s="12">
        <v>12500</v>
      </c>
      <c r="J50" s="12">
        <v>12</v>
      </c>
      <c r="K50" s="12">
        <v>0</v>
      </c>
      <c r="L50" s="21">
        <v>1</v>
      </c>
      <c r="M50" s="21">
        <v>1</v>
      </c>
      <c r="N50" s="22">
        <v>0.1</v>
      </c>
      <c r="O50" s="21">
        <v>1</v>
      </c>
      <c r="P50" s="21">
        <v>1</v>
      </c>
      <c r="Q50" s="21">
        <v>1</v>
      </c>
      <c r="R50" s="21">
        <v>3</v>
      </c>
      <c r="S50" s="21">
        <f t="shared" si="0"/>
        <v>120</v>
      </c>
      <c r="T50" s="21">
        <v>220</v>
      </c>
      <c r="U50" s="22" t="s">
        <v>52</v>
      </c>
      <c r="V50" s="21">
        <v>1</v>
      </c>
      <c r="W50" s="21">
        <v>1</v>
      </c>
      <c r="X50" s="22">
        <v>0</v>
      </c>
      <c r="Y50" s="21">
        <v>0</v>
      </c>
      <c r="Z50" s="26" t="s">
        <v>116</v>
      </c>
    </row>
    <row r="51" spans="3:26" s="1" customFormat="1" ht="20.100000000000001" customHeight="1" x14ac:dyDescent="0.35">
      <c r="C51" s="12">
        <v>100210</v>
      </c>
      <c r="D51" s="12" t="s">
        <v>129</v>
      </c>
      <c r="E51" s="12">
        <v>2</v>
      </c>
      <c r="F51" s="20">
        <v>15204002</v>
      </c>
      <c r="G51" s="14">
        <v>0</v>
      </c>
      <c r="H51" s="12">
        <v>23</v>
      </c>
      <c r="I51" s="12">
        <v>12500</v>
      </c>
      <c r="J51" s="12">
        <v>12</v>
      </c>
      <c r="K51" s="12">
        <v>0</v>
      </c>
      <c r="L51" s="21">
        <v>1</v>
      </c>
      <c r="M51" s="21">
        <v>1</v>
      </c>
      <c r="N51" s="22">
        <v>0.1</v>
      </c>
      <c r="O51" s="21">
        <v>1</v>
      </c>
      <c r="P51" s="21">
        <v>1</v>
      </c>
      <c r="Q51" s="21">
        <v>1</v>
      </c>
      <c r="R51" s="21">
        <v>3</v>
      </c>
      <c r="S51" s="21">
        <f t="shared" si="0"/>
        <v>130</v>
      </c>
      <c r="T51" s="21">
        <v>220</v>
      </c>
      <c r="U51" s="22" t="s">
        <v>52</v>
      </c>
      <c r="V51" s="21">
        <v>1</v>
      </c>
      <c r="W51" s="21">
        <v>1</v>
      </c>
      <c r="X51" s="22">
        <v>0</v>
      </c>
      <c r="Y51" s="21">
        <v>0</v>
      </c>
      <c r="Z51" s="26" t="s">
        <v>118</v>
      </c>
    </row>
    <row r="52" spans="3:26" s="1" customFormat="1" ht="20.100000000000001" customHeight="1" x14ac:dyDescent="0.35">
      <c r="C52" s="12">
        <v>100211</v>
      </c>
      <c r="D52" s="12" t="s">
        <v>130</v>
      </c>
      <c r="E52" s="12">
        <v>2</v>
      </c>
      <c r="F52" s="20">
        <v>15204004</v>
      </c>
      <c r="G52" s="14">
        <v>0</v>
      </c>
      <c r="H52" s="12">
        <v>23</v>
      </c>
      <c r="I52" s="12">
        <v>12500</v>
      </c>
      <c r="J52" s="12">
        <v>12</v>
      </c>
      <c r="K52" s="12">
        <v>0</v>
      </c>
      <c r="L52" s="21">
        <v>1</v>
      </c>
      <c r="M52" s="21">
        <v>1</v>
      </c>
      <c r="N52" s="22">
        <v>0.1</v>
      </c>
      <c r="O52" s="21">
        <v>1</v>
      </c>
      <c r="P52" s="21">
        <v>1</v>
      </c>
      <c r="Q52" s="21">
        <v>1</v>
      </c>
      <c r="R52" s="21">
        <v>3</v>
      </c>
      <c r="S52" s="21">
        <f t="shared" si="0"/>
        <v>130</v>
      </c>
      <c r="T52" s="21">
        <v>220</v>
      </c>
      <c r="U52" s="22" t="s">
        <v>52</v>
      </c>
      <c r="V52" s="21">
        <v>1</v>
      </c>
      <c r="W52" s="21">
        <v>1</v>
      </c>
      <c r="X52" s="22">
        <v>0</v>
      </c>
      <c r="Y52" s="21">
        <v>0</v>
      </c>
      <c r="Z52" s="26" t="s">
        <v>120</v>
      </c>
    </row>
    <row r="53" spans="3:26" s="1" customFormat="1" ht="20.100000000000001" customHeight="1" x14ac:dyDescent="0.35">
      <c r="C53" s="12">
        <v>100212</v>
      </c>
      <c r="D53" s="12" t="s">
        <v>131</v>
      </c>
      <c r="E53" s="12">
        <v>2</v>
      </c>
      <c r="F53" s="20">
        <v>15204006</v>
      </c>
      <c r="G53" s="14">
        <v>0</v>
      </c>
      <c r="H53" s="12">
        <v>23</v>
      </c>
      <c r="I53" s="12">
        <v>12500</v>
      </c>
      <c r="J53" s="12">
        <v>12</v>
      </c>
      <c r="K53" s="12">
        <v>0</v>
      </c>
      <c r="L53" s="21">
        <v>1</v>
      </c>
      <c r="M53" s="21">
        <v>1</v>
      </c>
      <c r="N53" s="22">
        <v>0.1</v>
      </c>
      <c r="O53" s="21">
        <v>1</v>
      </c>
      <c r="P53" s="21">
        <v>1</v>
      </c>
      <c r="Q53" s="21">
        <v>1</v>
      </c>
      <c r="R53" s="21">
        <v>3</v>
      </c>
      <c r="S53" s="21">
        <f t="shared" si="0"/>
        <v>130</v>
      </c>
      <c r="T53" s="21">
        <v>220</v>
      </c>
      <c r="U53" s="22" t="s">
        <v>52</v>
      </c>
      <c r="V53" s="21">
        <v>1</v>
      </c>
      <c r="W53" s="21">
        <v>1</v>
      </c>
      <c r="X53" s="22">
        <v>0</v>
      </c>
      <c r="Y53" s="21">
        <v>0</v>
      </c>
      <c r="Z53" s="26" t="s">
        <v>122</v>
      </c>
    </row>
    <row r="54" spans="3:26" s="1" customFormat="1" ht="20.100000000000001" customHeight="1" x14ac:dyDescent="0.35">
      <c r="C54" s="12">
        <v>100213</v>
      </c>
      <c r="D54" s="12" t="s">
        <v>132</v>
      </c>
      <c r="E54" s="12">
        <v>2</v>
      </c>
      <c r="F54" s="20">
        <v>15205002</v>
      </c>
      <c r="G54" s="14">
        <v>0</v>
      </c>
      <c r="H54" s="12">
        <v>24</v>
      </c>
      <c r="I54" s="12">
        <v>12500</v>
      </c>
      <c r="J54" s="12">
        <v>12</v>
      </c>
      <c r="K54" s="12">
        <v>0</v>
      </c>
      <c r="L54" s="21">
        <v>1</v>
      </c>
      <c r="M54" s="21">
        <v>1</v>
      </c>
      <c r="N54" s="22">
        <v>0.1</v>
      </c>
      <c r="O54" s="21">
        <v>1</v>
      </c>
      <c r="P54" s="21">
        <v>1</v>
      </c>
      <c r="Q54" s="21">
        <v>1</v>
      </c>
      <c r="R54" s="21">
        <v>3</v>
      </c>
      <c r="S54" s="21">
        <f t="shared" si="0"/>
        <v>140</v>
      </c>
      <c r="T54" s="21">
        <v>220</v>
      </c>
      <c r="U54" s="22" t="s">
        <v>52</v>
      </c>
      <c r="V54" s="21">
        <v>1</v>
      </c>
      <c r="W54" s="21">
        <v>1</v>
      </c>
      <c r="X54" s="22">
        <v>0</v>
      </c>
      <c r="Y54" s="21">
        <v>0</v>
      </c>
      <c r="Z54" s="26" t="s">
        <v>124</v>
      </c>
    </row>
    <row r="55" spans="3:26" s="1" customFormat="1" ht="20.100000000000001" customHeight="1" x14ac:dyDescent="0.35">
      <c r="C55" s="12">
        <v>100214</v>
      </c>
      <c r="D55" s="12" t="s">
        <v>133</v>
      </c>
      <c r="E55" s="12">
        <v>2</v>
      </c>
      <c r="F55" s="20">
        <v>15205004</v>
      </c>
      <c r="G55" s="14">
        <v>0</v>
      </c>
      <c r="H55" s="12">
        <v>24</v>
      </c>
      <c r="I55" s="12">
        <v>12500</v>
      </c>
      <c r="J55" s="12">
        <v>12</v>
      </c>
      <c r="K55" s="12">
        <v>0</v>
      </c>
      <c r="L55" s="21">
        <v>1</v>
      </c>
      <c r="M55" s="21">
        <v>1</v>
      </c>
      <c r="N55" s="22">
        <v>0.1</v>
      </c>
      <c r="O55" s="21">
        <v>1</v>
      </c>
      <c r="P55" s="21">
        <v>1</v>
      </c>
      <c r="Q55" s="21">
        <v>1</v>
      </c>
      <c r="R55" s="21">
        <v>3</v>
      </c>
      <c r="S55" s="21">
        <f t="shared" si="0"/>
        <v>140</v>
      </c>
      <c r="T55" s="21">
        <v>220</v>
      </c>
      <c r="U55" s="22" t="s">
        <v>52</v>
      </c>
      <c r="V55" s="21">
        <v>1</v>
      </c>
      <c r="W55" s="21">
        <v>1</v>
      </c>
      <c r="X55" s="22">
        <v>0</v>
      </c>
      <c r="Y55" s="21">
        <v>0</v>
      </c>
      <c r="Z55" s="26" t="s">
        <v>126</v>
      </c>
    </row>
    <row r="56" spans="3:26" s="1" customFormat="1" ht="20.100000000000001" customHeight="1" x14ac:dyDescent="0.35">
      <c r="C56" s="12">
        <v>100215</v>
      </c>
      <c r="D56" s="12" t="s">
        <v>134</v>
      </c>
      <c r="E56" s="12">
        <v>2</v>
      </c>
      <c r="F56" s="20">
        <v>15205006</v>
      </c>
      <c r="G56" s="14">
        <v>0</v>
      </c>
      <c r="H56" s="12">
        <v>24</v>
      </c>
      <c r="I56" s="12">
        <v>12500</v>
      </c>
      <c r="J56" s="12">
        <v>12</v>
      </c>
      <c r="K56" s="12">
        <v>0</v>
      </c>
      <c r="L56" s="21">
        <v>1</v>
      </c>
      <c r="M56" s="21">
        <v>1</v>
      </c>
      <c r="N56" s="22">
        <v>0.1</v>
      </c>
      <c r="O56" s="21">
        <v>1</v>
      </c>
      <c r="P56" s="21">
        <v>1</v>
      </c>
      <c r="Q56" s="21">
        <v>1</v>
      </c>
      <c r="R56" s="21">
        <v>3</v>
      </c>
      <c r="S56" s="21">
        <f t="shared" si="0"/>
        <v>140</v>
      </c>
      <c r="T56" s="21">
        <v>220</v>
      </c>
      <c r="U56" s="22" t="s">
        <v>52</v>
      </c>
      <c r="V56" s="21">
        <v>1</v>
      </c>
      <c r="W56" s="21">
        <v>1</v>
      </c>
      <c r="X56" s="22">
        <v>0</v>
      </c>
      <c r="Y56" s="21">
        <v>0</v>
      </c>
      <c r="Z56" s="26" t="s">
        <v>114</v>
      </c>
    </row>
    <row r="57" spans="3:26" s="1" customFormat="1" ht="20.100000000000001" customHeight="1" x14ac:dyDescent="0.35">
      <c r="C57" s="12">
        <v>100216</v>
      </c>
      <c r="D57" s="12" t="s">
        <v>135</v>
      </c>
      <c r="E57" s="12">
        <v>3</v>
      </c>
      <c r="F57" s="20">
        <v>15206002</v>
      </c>
      <c r="G57" s="14">
        <v>0</v>
      </c>
      <c r="H57" s="12">
        <v>21</v>
      </c>
      <c r="I57" s="12">
        <v>12500</v>
      </c>
      <c r="J57" s="12">
        <v>12</v>
      </c>
      <c r="K57" s="12">
        <v>0</v>
      </c>
      <c r="L57" s="21">
        <v>1</v>
      </c>
      <c r="M57" s="21">
        <v>1</v>
      </c>
      <c r="N57" s="22">
        <v>0.1</v>
      </c>
      <c r="O57" s="21">
        <v>1</v>
      </c>
      <c r="P57" s="21">
        <v>1</v>
      </c>
      <c r="Q57" s="21">
        <v>1</v>
      </c>
      <c r="R57" s="21">
        <v>3</v>
      </c>
      <c r="S57" s="21">
        <f t="shared" si="0"/>
        <v>150</v>
      </c>
      <c r="T57" s="21">
        <v>220</v>
      </c>
      <c r="U57" s="22" t="s">
        <v>52</v>
      </c>
      <c r="V57" s="21">
        <v>1</v>
      </c>
      <c r="W57" s="21">
        <v>1</v>
      </c>
      <c r="X57" s="22">
        <v>0</v>
      </c>
      <c r="Y57" s="21">
        <v>0</v>
      </c>
      <c r="Z57" s="26" t="s">
        <v>136</v>
      </c>
    </row>
    <row r="58" spans="3:26" s="1" customFormat="1" ht="20.100000000000001" customHeight="1" x14ac:dyDescent="0.35">
      <c r="C58" s="12">
        <v>100217</v>
      </c>
      <c r="D58" s="12" t="s">
        <v>137</v>
      </c>
      <c r="E58" s="12">
        <v>3</v>
      </c>
      <c r="F58" s="20">
        <v>15207002</v>
      </c>
      <c r="G58" s="14">
        <v>0</v>
      </c>
      <c r="H58" s="12">
        <v>23</v>
      </c>
      <c r="I58" s="12">
        <v>12500</v>
      </c>
      <c r="J58" s="12">
        <v>12</v>
      </c>
      <c r="K58" s="12">
        <v>0</v>
      </c>
      <c r="L58" s="21">
        <v>1</v>
      </c>
      <c r="M58" s="21">
        <v>1</v>
      </c>
      <c r="N58" s="22">
        <v>0.1</v>
      </c>
      <c r="O58" s="21">
        <v>1</v>
      </c>
      <c r="P58" s="21">
        <v>1</v>
      </c>
      <c r="Q58" s="21">
        <v>1</v>
      </c>
      <c r="R58" s="21">
        <v>3</v>
      </c>
      <c r="S58" s="21">
        <f t="shared" si="0"/>
        <v>150</v>
      </c>
      <c r="T58" s="21">
        <v>220</v>
      </c>
      <c r="U58" s="22" t="s">
        <v>52</v>
      </c>
      <c r="V58" s="21">
        <v>1</v>
      </c>
      <c r="W58" s="21">
        <v>1</v>
      </c>
      <c r="X58" s="22">
        <v>0</v>
      </c>
      <c r="Y58" s="21">
        <v>0</v>
      </c>
      <c r="Z58" s="26" t="s">
        <v>138</v>
      </c>
    </row>
    <row r="59" spans="3:26" s="1" customFormat="1" ht="20.100000000000001" customHeight="1" x14ac:dyDescent="0.35">
      <c r="C59" s="12">
        <v>100218</v>
      </c>
      <c r="D59" s="12" t="s">
        <v>139</v>
      </c>
      <c r="E59" s="12">
        <v>1</v>
      </c>
      <c r="F59" s="20">
        <v>15208002</v>
      </c>
      <c r="G59" s="14">
        <v>0</v>
      </c>
      <c r="H59" s="12">
        <v>21</v>
      </c>
      <c r="I59" s="12">
        <v>12500</v>
      </c>
      <c r="J59" s="12">
        <v>12</v>
      </c>
      <c r="K59" s="12">
        <v>0</v>
      </c>
      <c r="L59" s="21">
        <v>1</v>
      </c>
      <c r="M59" s="21">
        <v>1</v>
      </c>
      <c r="N59" s="22">
        <v>0.1</v>
      </c>
      <c r="O59" s="21">
        <v>1</v>
      </c>
      <c r="P59" s="21">
        <v>1</v>
      </c>
      <c r="Q59" s="21">
        <v>1</v>
      </c>
      <c r="R59" s="21">
        <v>3</v>
      </c>
      <c r="S59" s="21">
        <f t="shared" si="0"/>
        <v>150</v>
      </c>
      <c r="T59" s="21">
        <v>220</v>
      </c>
      <c r="U59" s="22" t="s">
        <v>52</v>
      </c>
      <c r="V59" s="21">
        <v>1</v>
      </c>
      <c r="W59" s="21">
        <v>1</v>
      </c>
      <c r="X59" s="22">
        <v>0</v>
      </c>
      <c r="Y59" s="21">
        <v>0</v>
      </c>
      <c r="Z59" s="26" t="s">
        <v>140</v>
      </c>
    </row>
    <row r="60" spans="3:26" s="1" customFormat="1" ht="20.100000000000001" customHeight="1" x14ac:dyDescent="0.35">
      <c r="C60" s="12">
        <v>100219</v>
      </c>
      <c r="D60" s="12" t="s">
        <v>141</v>
      </c>
      <c r="E60" s="12">
        <v>1</v>
      </c>
      <c r="F60" s="20">
        <v>15209002</v>
      </c>
      <c r="G60" s="14">
        <v>0</v>
      </c>
      <c r="H60" s="12">
        <v>20</v>
      </c>
      <c r="I60" s="12">
        <v>12500</v>
      </c>
      <c r="J60" s="12">
        <v>12</v>
      </c>
      <c r="K60" s="12">
        <v>0</v>
      </c>
      <c r="L60" s="21">
        <v>1</v>
      </c>
      <c r="M60" s="21">
        <v>1</v>
      </c>
      <c r="N60" s="22">
        <v>0.1</v>
      </c>
      <c r="O60" s="21">
        <v>1</v>
      </c>
      <c r="P60" s="21">
        <v>1</v>
      </c>
      <c r="Q60" s="21">
        <v>1</v>
      </c>
      <c r="R60" s="21">
        <v>3</v>
      </c>
      <c r="S60" s="21">
        <f t="shared" si="0"/>
        <v>120</v>
      </c>
      <c r="T60" s="21">
        <v>220</v>
      </c>
      <c r="U60" s="22" t="s">
        <v>52</v>
      </c>
      <c r="V60" s="21">
        <v>1</v>
      </c>
      <c r="W60" s="21">
        <v>1</v>
      </c>
      <c r="X60" s="22">
        <v>0</v>
      </c>
      <c r="Y60" s="21">
        <v>0</v>
      </c>
      <c r="Z60" s="26" t="s">
        <v>142</v>
      </c>
    </row>
    <row r="61" spans="3:26" s="1" customFormat="1" ht="20.100000000000001" customHeight="1" x14ac:dyDescent="0.35">
      <c r="C61" s="12">
        <v>100220</v>
      </c>
      <c r="D61" s="12" t="s">
        <v>143</v>
      </c>
      <c r="E61" s="12">
        <v>1</v>
      </c>
      <c r="F61" s="20">
        <v>15210002</v>
      </c>
      <c r="G61" s="14">
        <v>0</v>
      </c>
      <c r="H61" s="12">
        <v>25</v>
      </c>
      <c r="I61" s="12">
        <v>12500</v>
      </c>
      <c r="J61" s="12">
        <v>12</v>
      </c>
      <c r="K61" s="12">
        <v>0</v>
      </c>
      <c r="L61" s="21">
        <v>1</v>
      </c>
      <c r="M61" s="21">
        <v>1</v>
      </c>
      <c r="N61" s="22">
        <v>0.1</v>
      </c>
      <c r="O61" s="21">
        <v>1</v>
      </c>
      <c r="P61" s="21">
        <v>1</v>
      </c>
      <c r="Q61" s="21">
        <v>1</v>
      </c>
      <c r="R61" s="21">
        <v>3</v>
      </c>
      <c r="S61" s="21">
        <f t="shared" si="0"/>
        <v>140</v>
      </c>
      <c r="T61" s="21">
        <v>220</v>
      </c>
      <c r="U61" s="22" t="s">
        <v>52</v>
      </c>
      <c r="V61" s="21">
        <v>1</v>
      </c>
      <c r="W61" s="21">
        <v>1</v>
      </c>
      <c r="X61" s="22">
        <v>0</v>
      </c>
      <c r="Y61" s="21">
        <v>0</v>
      </c>
      <c r="Z61" s="26" t="s">
        <v>144</v>
      </c>
    </row>
    <row r="62" spans="3:26" s="1" customFormat="1" ht="20.100000000000001" customHeight="1" x14ac:dyDescent="0.35">
      <c r="C62" s="12">
        <v>100221</v>
      </c>
      <c r="D62" s="12" t="s">
        <v>145</v>
      </c>
      <c r="E62" s="12">
        <v>1</v>
      </c>
      <c r="F62" s="20">
        <v>15210004</v>
      </c>
      <c r="G62" s="14">
        <v>0</v>
      </c>
      <c r="H62" s="12">
        <v>25</v>
      </c>
      <c r="I62" s="12">
        <v>12500</v>
      </c>
      <c r="J62" s="12">
        <v>12</v>
      </c>
      <c r="K62" s="12">
        <v>0</v>
      </c>
      <c r="L62" s="21">
        <v>1</v>
      </c>
      <c r="M62" s="21">
        <v>1</v>
      </c>
      <c r="N62" s="22">
        <v>0.1</v>
      </c>
      <c r="O62" s="21">
        <v>1</v>
      </c>
      <c r="P62" s="21">
        <v>1</v>
      </c>
      <c r="Q62" s="21">
        <v>1</v>
      </c>
      <c r="R62" s="21">
        <v>3</v>
      </c>
      <c r="S62" s="21">
        <f t="shared" si="0"/>
        <v>160</v>
      </c>
      <c r="T62" s="21">
        <v>220</v>
      </c>
      <c r="U62" s="22" t="s">
        <v>52</v>
      </c>
      <c r="V62" s="21">
        <v>1</v>
      </c>
      <c r="W62" s="21">
        <v>1</v>
      </c>
      <c r="X62" s="22">
        <v>0</v>
      </c>
      <c r="Y62" s="21">
        <v>0</v>
      </c>
      <c r="Z62" s="26" t="s">
        <v>146</v>
      </c>
    </row>
    <row r="63" spans="3:26" s="1" customFormat="1" ht="20.100000000000001" customHeight="1" x14ac:dyDescent="0.35">
      <c r="C63" s="12">
        <v>100222</v>
      </c>
      <c r="D63" s="12" t="s">
        <v>147</v>
      </c>
      <c r="E63" s="12">
        <v>2</v>
      </c>
      <c r="F63" s="20">
        <v>15211002</v>
      </c>
      <c r="G63" s="14">
        <v>0</v>
      </c>
      <c r="H63" s="12">
        <v>25</v>
      </c>
      <c r="I63" s="12">
        <v>12500</v>
      </c>
      <c r="J63" s="12">
        <v>12</v>
      </c>
      <c r="K63" s="12">
        <v>0</v>
      </c>
      <c r="L63" s="21">
        <v>1</v>
      </c>
      <c r="M63" s="21">
        <v>1</v>
      </c>
      <c r="N63" s="22">
        <v>0.1</v>
      </c>
      <c r="O63" s="21">
        <v>1</v>
      </c>
      <c r="P63" s="21">
        <v>1</v>
      </c>
      <c r="Q63" s="21">
        <v>1</v>
      </c>
      <c r="R63" s="21">
        <v>3</v>
      </c>
      <c r="S63" s="21">
        <f t="shared" si="0"/>
        <v>160</v>
      </c>
      <c r="T63" s="21">
        <v>220</v>
      </c>
      <c r="U63" s="22" t="s">
        <v>52</v>
      </c>
      <c r="V63" s="21">
        <v>1</v>
      </c>
      <c r="W63" s="21">
        <v>1</v>
      </c>
      <c r="X63" s="22">
        <v>0</v>
      </c>
      <c r="Y63" s="21">
        <v>0</v>
      </c>
      <c r="Z63" s="26" t="s">
        <v>148</v>
      </c>
    </row>
    <row r="64" spans="3:26" s="1" customFormat="1" ht="20.100000000000001" customHeight="1" x14ac:dyDescent="0.35">
      <c r="C64" s="12">
        <v>100223</v>
      </c>
      <c r="D64" s="12" t="s">
        <v>149</v>
      </c>
      <c r="E64" s="12">
        <v>2</v>
      </c>
      <c r="F64" s="20">
        <v>15211004</v>
      </c>
      <c r="G64" s="14">
        <v>0</v>
      </c>
      <c r="H64" s="12">
        <v>25</v>
      </c>
      <c r="I64" s="12">
        <v>12500</v>
      </c>
      <c r="J64" s="12">
        <v>12</v>
      </c>
      <c r="K64" s="12">
        <v>0</v>
      </c>
      <c r="L64" s="21">
        <v>1</v>
      </c>
      <c r="M64" s="21">
        <v>1</v>
      </c>
      <c r="N64" s="22">
        <v>0.1</v>
      </c>
      <c r="O64" s="21">
        <v>1</v>
      </c>
      <c r="P64" s="21">
        <v>1</v>
      </c>
      <c r="Q64" s="21">
        <v>1</v>
      </c>
      <c r="R64" s="21">
        <v>3</v>
      </c>
      <c r="S64" s="21">
        <f t="shared" si="0"/>
        <v>160</v>
      </c>
      <c r="T64" s="21">
        <v>220</v>
      </c>
      <c r="U64" s="22" t="s">
        <v>52</v>
      </c>
      <c r="V64" s="21">
        <v>1</v>
      </c>
      <c r="W64" s="21">
        <v>1</v>
      </c>
      <c r="X64" s="22">
        <v>0</v>
      </c>
      <c r="Y64" s="21">
        <v>0</v>
      </c>
      <c r="Z64" s="26" t="s">
        <v>150</v>
      </c>
    </row>
    <row r="65" spans="3:26" s="1" customFormat="1" ht="20.100000000000001" customHeight="1" x14ac:dyDescent="0.35">
      <c r="C65" s="12">
        <v>100224</v>
      </c>
      <c r="D65" s="12" t="s">
        <v>151</v>
      </c>
      <c r="E65" s="12">
        <v>2</v>
      </c>
      <c r="F65" s="20">
        <v>15211006</v>
      </c>
      <c r="G65" s="14">
        <v>0</v>
      </c>
      <c r="H65" s="12">
        <v>25</v>
      </c>
      <c r="I65" s="12">
        <v>12500</v>
      </c>
      <c r="J65" s="12">
        <v>12</v>
      </c>
      <c r="K65" s="12">
        <v>0</v>
      </c>
      <c r="L65" s="21">
        <v>1</v>
      </c>
      <c r="M65" s="21">
        <v>1</v>
      </c>
      <c r="N65" s="22">
        <v>0.1</v>
      </c>
      <c r="O65" s="21">
        <v>1</v>
      </c>
      <c r="P65" s="21">
        <v>1</v>
      </c>
      <c r="Q65" s="21">
        <v>1</v>
      </c>
      <c r="R65" s="21">
        <v>3</v>
      </c>
      <c r="S65" s="21">
        <f t="shared" si="0"/>
        <v>160</v>
      </c>
      <c r="T65" s="21">
        <v>220</v>
      </c>
      <c r="U65" s="22" t="s">
        <v>52</v>
      </c>
      <c r="V65" s="21">
        <v>1</v>
      </c>
      <c r="W65" s="21">
        <v>1</v>
      </c>
      <c r="X65" s="22">
        <v>0</v>
      </c>
      <c r="Y65" s="21">
        <v>0</v>
      </c>
      <c r="Z65" s="26" t="s">
        <v>152</v>
      </c>
    </row>
    <row r="66" spans="3:26" s="1" customFormat="1" ht="20.100000000000001" customHeight="1" x14ac:dyDescent="0.35">
      <c r="C66" s="12">
        <v>100225</v>
      </c>
      <c r="D66" s="12" t="s">
        <v>153</v>
      </c>
      <c r="E66" s="12">
        <v>1</v>
      </c>
      <c r="F66" s="20">
        <v>15210102</v>
      </c>
      <c r="G66" s="14">
        <v>0</v>
      </c>
      <c r="H66" s="12">
        <v>25</v>
      </c>
      <c r="I66" s="12">
        <v>12500</v>
      </c>
      <c r="J66" s="12">
        <v>12</v>
      </c>
      <c r="K66" s="12">
        <v>0</v>
      </c>
      <c r="L66" s="21">
        <v>1</v>
      </c>
      <c r="M66" s="21">
        <v>1</v>
      </c>
      <c r="N66" s="22">
        <v>0.1</v>
      </c>
      <c r="O66" s="21">
        <v>1</v>
      </c>
      <c r="P66" s="21">
        <v>1</v>
      </c>
      <c r="Q66" s="21">
        <v>1</v>
      </c>
      <c r="R66" s="21">
        <v>3</v>
      </c>
      <c r="S66" s="21">
        <f t="shared" si="0"/>
        <v>140</v>
      </c>
      <c r="T66" s="21">
        <v>220</v>
      </c>
      <c r="U66" s="22" t="s">
        <v>52</v>
      </c>
      <c r="V66" s="21">
        <v>1</v>
      </c>
      <c r="W66" s="21">
        <v>1</v>
      </c>
      <c r="X66" s="22">
        <v>0</v>
      </c>
      <c r="Y66" s="21">
        <v>0</v>
      </c>
      <c r="Z66" s="26" t="s">
        <v>144</v>
      </c>
    </row>
    <row r="67" spans="3:26" s="1" customFormat="1" ht="20.100000000000001" customHeight="1" x14ac:dyDescent="0.35">
      <c r="C67" s="12">
        <v>100226</v>
      </c>
      <c r="D67" s="12" t="s">
        <v>154</v>
      </c>
      <c r="E67" s="12">
        <v>1</v>
      </c>
      <c r="F67" s="20">
        <v>15210104</v>
      </c>
      <c r="G67" s="14">
        <v>0</v>
      </c>
      <c r="H67" s="12">
        <v>25</v>
      </c>
      <c r="I67" s="12">
        <v>12500</v>
      </c>
      <c r="J67" s="12">
        <v>12</v>
      </c>
      <c r="K67" s="12">
        <v>0</v>
      </c>
      <c r="L67" s="21">
        <v>1</v>
      </c>
      <c r="M67" s="21">
        <v>1</v>
      </c>
      <c r="N67" s="22">
        <v>0.1</v>
      </c>
      <c r="O67" s="21">
        <v>1</v>
      </c>
      <c r="P67" s="21">
        <v>1</v>
      </c>
      <c r="Q67" s="21">
        <v>1</v>
      </c>
      <c r="R67" s="21">
        <v>3</v>
      </c>
      <c r="S67" s="21">
        <f t="shared" si="0"/>
        <v>160</v>
      </c>
      <c r="T67" s="21">
        <v>220</v>
      </c>
      <c r="U67" s="22" t="s">
        <v>52</v>
      </c>
      <c r="V67" s="21">
        <v>1</v>
      </c>
      <c r="W67" s="21">
        <v>1</v>
      </c>
      <c r="X67" s="22">
        <v>0</v>
      </c>
      <c r="Y67" s="21">
        <v>0</v>
      </c>
      <c r="Z67" s="26" t="s">
        <v>146</v>
      </c>
    </row>
    <row r="68" spans="3:26" s="1" customFormat="1" ht="20.100000000000001" customHeight="1" x14ac:dyDescent="0.35">
      <c r="C68" s="12">
        <v>100227</v>
      </c>
      <c r="D68" s="12" t="s">
        <v>155</v>
      </c>
      <c r="E68" s="12">
        <v>1</v>
      </c>
      <c r="F68" s="20">
        <v>15210202</v>
      </c>
      <c r="G68" s="14">
        <v>0</v>
      </c>
      <c r="H68" s="12">
        <v>25</v>
      </c>
      <c r="I68" s="12">
        <v>12500</v>
      </c>
      <c r="J68" s="12">
        <v>12</v>
      </c>
      <c r="K68" s="12">
        <v>0</v>
      </c>
      <c r="L68" s="21">
        <v>1</v>
      </c>
      <c r="M68" s="21">
        <v>1</v>
      </c>
      <c r="N68" s="22">
        <v>0.1</v>
      </c>
      <c r="O68" s="21">
        <v>1</v>
      </c>
      <c r="P68" s="21">
        <v>1</v>
      </c>
      <c r="Q68" s="21">
        <v>1</v>
      </c>
      <c r="R68" s="21">
        <v>3</v>
      </c>
      <c r="S68" s="21">
        <f t="shared" si="0"/>
        <v>140</v>
      </c>
      <c r="T68" s="21">
        <v>220</v>
      </c>
      <c r="U68" s="22" t="s">
        <v>52</v>
      </c>
      <c r="V68" s="21">
        <v>1</v>
      </c>
      <c r="W68" s="21">
        <v>1</v>
      </c>
      <c r="X68" s="22">
        <v>0</v>
      </c>
      <c r="Y68" s="21">
        <v>0</v>
      </c>
      <c r="Z68" s="26" t="s">
        <v>146</v>
      </c>
    </row>
    <row r="69" spans="3:26" s="2" customFormat="1" ht="20.100000000000001" customHeight="1" x14ac:dyDescent="0.35">
      <c r="C69" s="18">
        <v>100251</v>
      </c>
      <c r="D69" s="18" t="s">
        <v>156</v>
      </c>
      <c r="E69" s="19">
        <v>5</v>
      </c>
      <c r="F69" s="18">
        <v>15206003</v>
      </c>
      <c r="G69" s="14">
        <v>0</v>
      </c>
      <c r="H69" s="19">
        <v>25</v>
      </c>
      <c r="I69" s="12">
        <v>100000</v>
      </c>
      <c r="J69" s="12">
        <v>20</v>
      </c>
      <c r="K69" s="12">
        <v>0</v>
      </c>
      <c r="L69" s="21">
        <v>1</v>
      </c>
      <c r="M69" s="21">
        <v>1</v>
      </c>
      <c r="N69" s="22">
        <v>0.1</v>
      </c>
      <c r="O69" s="21">
        <v>1</v>
      </c>
      <c r="P69" s="21">
        <v>1</v>
      </c>
      <c r="Q69" s="21">
        <v>1</v>
      </c>
      <c r="R69" s="21">
        <v>3</v>
      </c>
      <c r="S69" s="23">
        <v>0</v>
      </c>
      <c r="T69" s="21">
        <v>0</v>
      </c>
      <c r="U69" s="24">
        <v>0</v>
      </c>
      <c r="V69" s="21">
        <v>1</v>
      </c>
      <c r="W69" s="21">
        <v>1</v>
      </c>
      <c r="X69" s="22">
        <v>0</v>
      </c>
      <c r="Y69" s="21">
        <v>0</v>
      </c>
      <c r="Z69" s="27" t="s">
        <v>157</v>
      </c>
    </row>
    <row r="70" spans="3:26" s="2" customFormat="1" ht="20.100000000000001" customHeight="1" x14ac:dyDescent="0.35">
      <c r="C70" s="18">
        <v>100252</v>
      </c>
      <c r="D70" s="18" t="s">
        <v>158</v>
      </c>
      <c r="E70" s="19">
        <v>5</v>
      </c>
      <c r="F70" s="18">
        <v>15210011</v>
      </c>
      <c r="G70" s="14">
        <v>0</v>
      </c>
      <c r="H70" s="19">
        <v>25</v>
      </c>
      <c r="I70" s="12">
        <v>100000</v>
      </c>
      <c r="J70" s="12">
        <v>20</v>
      </c>
      <c r="K70" s="12">
        <v>0</v>
      </c>
      <c r="L70" s="21">
        <v>1</v>
      </c>
      <c r="M70" s="21">
        <v>1</v>
      </c>
      <c r="N70" s="22">
        <v>0.1</v>
      </c>
      <c r="O70" s="21">
        <v>1</v>
      </c>
      <c r="P70" s="21">
        <v>1</v>
      </c>
      <c r="Q70" s="21">
        <v>1</v>
      </c>
      <c r="R70" s="21">
        <v>3</v>
      </c>
      <c r="S70" s="23">
        <v>0</v>
      </c>
      <c r="T70" s="21">
        <v>0</v>
      </c>
      <c r="U70" s="24">
        <v>0</v>
      </c>
      <c r="V70" s="21">
        <v>1</v>
      </c>
      <c r="W70" s="21">
        <v>1</v>
      </c>
      <c r="X70" s="22">
        <v>0</v>
      </c>
      <c r="Y70" s="21">
        <v>0</v>
      </c>
      <c r="Z70" s="27" t="s">
        <v>159</v>
      </c>
    </row>
    <row r="71" spans="3:26" s="2" customFormat="1" ht="20.100000000000001" customHeight="1" x14ac:dyDescent="0.35">
      <c r="C71" s="18">
        <v>100253</v>
      </c>
      <c r="D71" s="18" t="s">
        <v>160</v>
      </c>
      <c r="E71" s="19">
        <v>5</v>
      </c>
      <c r="F71" s="18">
        <v>15210012</v>
      </c>
      <c r="G71" s="14">
        <v>0</v>
      </c>
      <c r="H71" s="19">
        <v>25</v>
      </c>
      <c r="I71" s="12">
        <v>100000</v>
      </c>
      <c r="J71" s="12">
        <v>20</v>
      </c>
      <c r="K71" s="12">
        <v>0</v>
      </c>
      <c r="L71" s="21">
        <v>1</v>
      </c>
      <c r="M71" s="21">
        <v>1</v>
      </c>
      <c r="N71" s="22">
        <v>0.1</v>
      </c>
      <c r="O71" s="21">
        <v>1</v>
      </c>
      <c r="P71" s="21">
        <v>1</v>
      </c>
      <c r="Q71" s="21">
        <v>1</v>
      </c>
      <c r="R71" s="21">
        <v>3</v>
      </c>
      <c r="S71" s="23">
        <v>0</v>
      </c>
      <c r="T71" s="21">
        <v>0</v>
      </c>
      <c r="U71" s="24">
        <v>0</v>
      </c>
      <c r="V71" s="21">
        <v>1</v>
      </c>
      <c r="W71" s="21">
        <v>1</v>
      </c>
      <c r="X71" s="22">
        <v>0</v>
      </c>
      <c r="Y71" s="21">
        <v>0</v>
      </c>
      <c r="Z71" s="27" t="s">
        <v>161</v>
      </c>
    </row>
    <row r="72" spans="3:26" s="2" customFormat="1" ht="20.100000000000001" customHeight="1" x14ac:dyDescent="0.35">
      <c r="C72" s="18">
        <v>100254</v>
      </c>
      <c r="D72" s="18" t="s">
        <v>162</v>
      </c>
      <c r="E72" s="19">
        <v>5</v>
      </c>
      <c r="F72" s="18">
        <v>15210111</v>
      </c>
      <c r="G72" s="14">
        <v>0</v>
      </c>
      <c r="H72" s="19">
        <v>25</v>
      </c>
      <c r="I72" s="12">
        <v>100000</v>
      </c>
      <c r="J72" s="12">
        <v>20</v>
      </c>
      <c r="K72" s="12">
        <v>0</v>
      </c>
      <c r="L72" s="21">
        <v>1</v>
      </c>
      <c r="M72" s="21">
        <v>1</v>
      </c>
      <c r="N72" s="22">
        <v>0.1</v>
      </c>
      <c r="O72" s="21">
        <v>1</v>
      </c>
      <c r="P72" s="21">
        <v>1</v>
      </c>
      <c r="Q72" s="21">
        <v>1</v>
      </c>
      <c r="R72" s="21">
        <v>3</v>
      </c>
      <c r="S72" s="23">
        <v>0</v>
      </c>
      <c r="T72" s="21">
        <v>0</v>
      </c>
      <c r="U72" s="24">
        <v>0</v>
      </c>
      <c r="V72" s="21">
        <v>1</v>
      </c>
      <c r="W72" s="21">
        <v>1</v>
      </c>
      <c r="X72" s="22">
        <v>0</v>
      </c>
      <c r="Y72" s="21">
        <v>0</v>
      </c>
      <c r="Z72" s="27" t="s">
        <v>163</v>
      </c>
    </row>
    <row r="73" spans="3:26" s="2" customFormat="1" ht="20.100000000000001" customHeight="1" x14ac:dyDescent="0.35">
      <c r="C73" s="18">
        <v>100255</v>
      </c>
      <c r="D73" s="18" t="s">
        <v>164</v>
      </c>
      <c r="E73" s="19">
        <v>5</v>
      </c>
      <c r="F73" s="18">
        <v>15210112</v>
      </c>
      <c r="G73" s="14">
        <v>0</v>
      </c>
      <c r="H73" s="19">
        <v>25</v>
      </c>
      <c r="I73" s="12">
        <v>100000</v>
      </c>
      <c r="J73" s="12">
        <v>20</v>
      </c>
      <c r="K73" s="12">
        <v>0</v>
      </c>
      <c r="L73" s="21">
        <v>1</v>
      </c>
      <c r="M73" s="21">
        <v>1</v>
      </c>
      <c r="N73" s="22">
        <v>0.1</v>
      </c>
      <c r="O73" s="21">
        <v>1</v>
      </c>
      <c r="P73" s="21">
        <v>1</v>
      </c>
      <c r="Q73" s="21">
        <v>1</v>
      </c>
      <c r="R73" s="21">
        <v>3</v>
      </c>
      <c r="S73" s="23">
        <v>0</v>
      </c>
      <c r="T73" s="21">
        <v>0</v>
      </c>
      <c r="U73" s="24">
        <v>0</v>
      </c>
      <c r="V73" s="21">
        <v>1</v>
      </c>
      <c r="W73" s="21">
        <v>1</v>
      </c>
      <c r="X73" s="22">
        <v>0</v>
      </c>
      <c r="Y73" s="21">
        <v>0</v>
      </c>
      <c r="Z73" s="27" t="s">
        <v>165</v>
      </c>
    </row>
    <row r="74" spans="3:26" s="2" customFormat="1" ht="20.100000000000001" customHeight="1" x14ac:dyDescent="0.35">
      <c r="C74" s="18">
        <v>100256</v>
      </c>
      <c r="D74" s="18" t="s">
        <v>166</v>
      </c>
      <c r="E74" s="19">
        <v>5</v>
      </c>
      <c r="F74" s="18">
        <v>15211011</v>
      </c>
      <c r="G74" s="14">
        <v>0</v>
      </c>
      <c r="H74" s="19">
        <v>25</v>
      </c>
      <c r="I74" s="12">
        <v>100000</v>
      </c>
      <c r="J74" s="12">
        <v>20</v>
      </c>
      <c r="K74" s="12">
        <v>0</v>
      </c>
      <c r="L74" s="21">
        <v>1</v>
      </c>
      <c r="M74" s="21">
        <v>1</v>
      </c>
      <c r="N74" s="22">
        <v>0.1</v>
      </c>
      <c r="O74" s="21">
        <v>1</v>
      </c>
      <c r="P74" s="21">
        <v>1</v>
      </c>
      <c r="Q74" s="21">
        <v>1</v>
      </c>
      <c r="R74" s="21">
        <v>3</v>
      </c>
      <c r="S74" s="23">
        <v>0</v>
      </c>
      <c r="T74" s="21">
        <v>0</v>
      </c>
      <c r="U74" s="24">
        <v>0</v>
      </c>
      <c r="V74" s="21">
        <v>1</v>
      </c>
      <c r="W74" s="21">
        <v>1</v>
      </c>
      <c r="X74" s="22">
        <v>0</v>
      </c>
      <c r="Y74" s="21">
        <v>0</v>
      </c>
      <c r="Z74" s="27" t="s">
        <v>167</v>
      </c>
    </row>
    <row r="75" spans="3:26" s="2" customFormat="1" ht="20.100000000000001" customHeight="1" x14ac:dyDescent="0.35">
      <c r="C75" s="18">
        <v>100257</v>
      </c>
      <c r="D75" s="18" t="s">
        <v>168</v>
      </c>
      <c r="E75" s="19">
        <v>5</v>
      </c>
      <c r="F75" s="18">
        <v>15211012</v>
      </c>
      <c r="G75" s="14">
        <v>0</v>
      </c>
      <c r="H75" s="19">
        <v>25</v>
      </c>
      <c r="I75" s="12">
        <v>100000</v>
      </c>
      <c r="J75" s="12">
        <v>20</v>
      </c>
      <c r="K75" s="12">
        <v>0</v>
      </c>
      <c r="L75" s="21">
        <v>1</v>
      </c>
      <c r="M75" s="21">
        <v>1</v>
      </c>
      <c r="N75" s="22">
        <v>0.1</v>
      </c>
      <c r="O75" s="21">
        <v>1</v>
      </c>
      <c r="P75" s="21">
        <v>1</v>
      </c>
      <c r="Q75" s="21">
        <v>1</v>
      </c>
      <c r="R75" s="21">
        <v>3</v>
      </c>
      <c r="S75" s="23">
        <v>0</v>
      </c>
      <c r="T75" s="21">
        <v>0</v>
      </c>
      <c r="U75" s="24">
        <v>0</v>
      </c>
      <c r="V75" s="21">
        <v>1</v>
      </c>
      <c r="W75" s="21">
        <v>1</v>
      </c>
      <c r="X75" s="22">
        <v>0</v>
      </c>
      <c r="Y75" s="21">
        <v>0</v>
      </c>
      <c r="Z75" s="27" t="s">
        <v>169</v>
      </c>
    </row>
    <row r="76" spans="3:26" s="2" customFormat="1" ht="20.100000000000001" customHeight="1" x14ac:dyDescent="0.35">
      <c r="C76" s="18">
        <v>100258</v>
      </c>
      <c r="D76" s="18" t="s">
        <v>170</v>
      </c>
      <c r="E76" s="19">
        <v>5</v>
      </c>
      <c r="F76" s="18">
        <v>15211013</v>
      </c>
      <c r="G76" s="14">
        <v>0</v>
      </c>
      <c r="H76" s="19">
        <v>25</v>
      </c>
      <c r="I76" s="12">
        <v>100000</v>
      </c>
      <c r="J76" s="12">
        <v>20</v>
      </c>
      <c r="K76" s="12">
        <v>0</v>
      </c>
      <c r="L76" s="21">
        <v>1</v>
      </c>
      <c r="M76" s="21">
        <v>1</v>
      </c>
      <c r="N76" s="22">
        <v>0.1</v>
      </c>
      <c r="O76" s="21">
        <v>1</v>
      </c>
      <c r="P76" s="21">
        <v>1</v>
      </c>
      <c r="Q76" s="21">
        <v>1</v>
      </c>
      <c r="R76" s="21">
        <v>3</v>
      </c>
      <c r="S76" s="23">
        <v>0</v>
      </c>
      <c r="T76" s="21">
        <v>0</v>
      </c>
      <c r="U76" s="24">
        <v>0</v>
      </c>
      <c r="V76" s="21">
        <v>1</v>
      </c>
      <c r="W76" s="21">
        <v>1</v>
      </c>
      <c r="X76" s="22">
        <v>0</v>
      </c>
      <c r="Y76" s="21">
        <v>0</v>
      </c>
      <c r="Z76" s="27" t="s">
        <v>171</v>
      </c>
    </row>
    <row r="77" spans="3:26" s="2" customFormat="1" ht="20.100000000000001" customHeight="1" x14ac:dyDescent="0.35">
      <c r="C77" s="18">
        <v>100259</v>
      </c>
      <c r="D77" s="18" t="s">
        <v>172</v>
      </c>
      <c r="E77" s="19">
        <v>5</v>
      </c>
      <c r="F77" s="18">
        <v>15210211</v>
      </c>
      <c r="G77" s="14">
        <v>0</v>
      </c>
      <c r="H77" s="19">
        <v>25</v>
      </c>
      <c r="I77" s="12">
        <v>100000</v>
      </c>
      <c r="J77" s="12">
        <v>20</v>
      </c>
      <c r="K77" s="12">
        <v>0</v>
      </c>
      <c r="L77" s="21">
        <v>1</v>
      </c>
      <c r="M77" s="21">
        <v>1</v>
      </c>
      <c r="N77" s="22">
        <v>0.1</v>
      </c>
      <c r="O77" s="21">
        <v>1</v>
      </c>
      <c r="P77" s="21">
        <v>1</v>
      </c>
      <c r="Q77" s="21">
        <v>1</v>
      </c>
      <c r="R77" s="21">
        <v>3</v>
      </c>
      <c r="S77" s="23">
        <v>0</v>
      </c>
      <c r="T77" s="21">
        <v>0</v>
      </c>
      <c r="U77" s="24">
        <v>0</v>
      </c>
      <c r="V77" s="21">
        <v>1</v>
      </c>
      <c r="W77" s="21">
        <v>1</v>
      </c>
      <c r="X77" s="22">
        <v>0</v>
      </c>
      <c r="Y77" s="21">
        <v>0</v>
      </c>
      <c r="Z77" s="27" t="s">
        <v>173</v>
      </c>
    </row>
    <row r="78" spans="3:26" s="1" customFormat="1" ht="20.100000000000001" customHeight="1" x14ac:dyDescent="0.35">
      <c r="C78" s="12">
        <v>100301</v>
      </c>
      <c r="D78" s="12" t="s">
        <v>174</v>
      </c>
      <c r="E78" s="12">
        <v>2</v>
      </c>
      <c r="F78" s="20">
        <v>15301002</v>
      </c>
      <c r="G78" s="14">
        <v>0</v>
      </c>
      <c r="H78" s="12">
        <v>30</v>
      </c>
      <c r="I78" s="12">
        <v>15000</v>
      </c>
      <c r="J78" s="12">
        <v>12</v>
      </c>
      <c r="K78" s="12">
        <v>0</v>
      </c>
      <c r="L78" s="21">
        <v>1</v>
      </c>
      <c r="M78" s="21">
        <v>1</v>
      </c>
      <c r="N78" s="22">
        <v>0.1</v>
      </c>
      <c r="O78" s="21">
        <v>1</v>
      </c>
      <c r="P78" s="21">
        <v>1</v>
      </c>
      <c r="Q78" s="21">
        <v>1</v>
      </c>
      <c r="R78" s="21">
        <v>3</v>
      </c>
      <c r="S78" s="21">
        <f t="shared" ref="S78:S104" si="1">S42+100</f>
        <v>200</v>
      </c>
      <c r="T78" s="21">
        <v>320</v>
      </c>
      <c r="U78" s="22" t="s">
        <v>52</v>
      </c>
      <c r="V78" s="21">
        <v>1</v>
      </c>
      <c r="W78" s="21">
        <v>1</v>
      </c>
      <c r="X78" s="22">
        <v>0</v>
      </c>
      <c r="Y78" s="21">
        <v>0</v>
      </c>
      <c r="Z78" s="26" t="s">
        <v>175</v>
      </c>
    </row>
    <row r="79" spans="3:26" s="1" customFormat="1" ht="20.100000000000001" customHeight="1" x14ac:dyDescent="0.35">
      <c r="C79" s="12">
        <v>100302</v>
      </c>
      <c r="D79" s="12" t="s">
        <v>176</v>
      </c>
      <c r="E79" s="12">
        <v>2</v>
      </c>
      <c r="F79" s="20">
        <v>15301004</v>
      </c>
      <c r="G79" s="14">
        <v>0</v>
      </c>
      <c r="H79" s="12">
        <v>30</v>
      </c>
      <c r="I79" s="12">
        <v>15000</v>
      </c>
      <c r="J79" s="12">
        <v>12</v>
      </c>
      <c r="K79" s="12">
        <v>0</v>
      </c>
      <c r="L79" s="21">
        <v>1</v>
      </c>
      <c r="M79" s="21">
        <v>1</v>
      </c>
      <c r="N79" s="22">
        <v>0.1</v>
      </c>
      <c r="O79" s="21">
        <v>1</v>
      </c>
      <c r="P79" s="21">
        <v>1</v>
      </c>
      <c r="Q79" s="21">
        <v>1</v>
      </c>
      <c r="R79" s="21">
        <v>3</v>
      </c>
      <c r="S79" s="21">
        <f t="shared" si="1"/>
        <v>200</v>
      </c>
      <c r="T79" s="21">
        <v>320</v>
      </c>
      <c r="U79" s="22" t="s">
        <v>52</v>
      </c>
      <c r="V79" s="21">
        <v>1</v>
      </c>
      <c r="W79" s="21">
        <v>1</v>
      </c>
      <c r="X79" s="22">
        <v>0</v>
      </c>
      <c r="Y79" s="21">
        <v>0</v>
      </c>
      <c r="Z79" s="26" t="s">
        <v>177</v>
      </c>
    </row>
    <row r="80" spans="3:26" s="1" customFormat="1" ht="20.100000000000001" customHeight="1" x14ac:dyDescent="0.35">
      <c r="C80" s="12">
        <v>100303</v>
      </c>
      <c r="D80" s="12" t="s">
        <v>178</v>
      </c>
      <c r="E80" s="12">
        <v>2</v>
      </c>
      <c r="F80" s="20">
        <v>15301006</v>
      </c>
      <c r="G80" s="14">
        <v>0</v>
      </c>
      <c r="H80" s="12">
        <v>30</v>
      </c>
      <c r="I80" s="12">
        <v>15000</v>
      </c>
      <c r="J80" s="12">
        <v>12</v>
      </c>
      <c r="K80" s="12">
        <v>0</v>
      </c>
      <c r="L80" s="21">
        <v>1</v>
      </c>
      <c r="M80" s="21">
        <v>1</v>
      </c>
      <c r="N80" s="22">
        <v>0.1</v>
      </c>
      <c r="O80" s="21">
        <v>1</v>
      </c>
      <c r="P80" s="21">
        <v>1</v>
      </c>
      <c r="Q80" s="21">
        <v>1</v>
      </c>
      <c r="R80" s="21">
        <v>3</v>
      </c>
      <c r="S80" s="21">
        <f t="shared" si="1"/>
        <v>200</v>
      </c>
      <c r="T80" s="21">
        <v>320</v>
      </c>
      <c r="U80" s="22" t="s">
        <v>52</v>
      </c>
      <c r="V80" s="21">
        <v>1</v>
      </c>
      <c r="W80" s="21">
        <v>1</v>
      </c>
      <c r="X80" s="22">
        <v>0</v>
      </c>
      <c r="Y80" s="21">
        <v>0</v>
      </c>
      <c r="Z80" s="26" t="s">
        <v>179</v>
      </c>
    </row>
    <row r="81" spans="3:26" s="1" customFormat="1" ht="20.100000000000001" customHeight="1" x14ac:dyDescent="0.35">
      <c r="C81" s="12">
        <v>100304</v>
      </c>
      <c r="D81" s="12" t="s">
        <v>180</v>
      </c>
      <c r="E81" s="12">
        <v>2</v>
      </c>
      <c r="F81" s="20">
        <v>15302002</v>
      </c>
      <c r="G81" s="14">
        <v>0</v>
      </c>
      <c r="H81" s="12">
        <v>31</v>
      </c>
      <c r="I81" s="12">
        <v>15000</v>
      </c>
      <c r="J81" s="12">
        <v>12</v>
      </c>
      <c r="K81" s="12">
        <v>0</v>
      </c>
      <c r="L81" s="21">
        <v>1</v>
      </c>
      <c r="M81" s="21">
        <v>1</v>
      </c>
      <c r="N81" s="22">
        <v>0.1</v>
      </c>
      <c r="O81" s="21">
        <v>1</v>
      </c>
      <c r="P81" s="21">
        <v>1</v>
      </c>
      <c r="Q81" s="21">
        <v>1</v>
      </c>
      <c r="R81" s="21">
        <v>3</v>
      </c>
      <c r="S81" s="21">
        <f t="shared" si="1"/>
        <v>210</v>
      </c>
      <c r="T81" s="21">
        <v>320</v>
      </c>
      <c r="U81" s="22" t="s">
        <v>52</v>
      </c>
      <c r="V81" s="21">
        <v>1</v>
      </c>
      <c r="W81" s="21">
        <v>1</v>
      </c>
      <c r="X81" s="22">
        <v>0</v>
      </c>
      <c r="Y81" s="21">
        <v>0</v>
      </c>
      <c r="Z81" s="26" t="s">
        <v>181</v>
      </c>
    </row>
    <row r="82" spans="3:26" s="1" customFormat="1" ht="20.100000000000001" customHeight="1" x14ac:dyDescent="0.35">
      <c r="C82" s="12">
        <v>100305</v>
      </c>
      <c r="D82" s="12" t="s">
        <v>182</v>
      </c>
      <c r="E82" s="12">
        <v>2</v>
      </c>
      <c r="F82" s="20">
        <v>15302004</v>
      </c>
      <c r="G82" s="14">
        <v>0</v>
      </c>
      <c r="H82" s="12">
        <v>31</v>
      </c>
      <c r="I82" s="12">
        <v>15000</v>
      </c>
      <c r="J82" s="12">
        <v>12</v>
      </c>
      <c r="K82" s="12">
        <v>0</v>
      </c>
      <c r="L82" s="21">
        <v>1</v>
      </c>
      <c r="M82" s="21">
        <v>1</v>
      </c>
      <c r="N82" s="22">
        <v>0.1</v>
      </c>
      <c r="O82" s="21">
        <v>1</v>
      </c>
      <c r="P82" s="21">
        <v>1</v>
      </c>
      <c r="Q82" s="21">
        <v>1</v>
      </c>
      <c r="R82" s="21">
        <v>3</v>
      </c>
      <c r="S82" s="21">
        <f t="shared" si="1"/>
        <v>210</v>
      </c>
      <c r="T82" s="21">
        <v>320</v>
      </c>
      <c r="U82" s="22" t="s">
        <v>52</v>
      </c>
      <c r="V82" s="21">
        <v>1</v>
      </c>
      <c r="W82" s="21">
        <v>1</v>
      </c>
      <c r="X82" s="22">
        <v>0</v>
      </c>
      <c r="Y82" s="21">
        <v>0</v>
      </c>
      <c r="Z82" s="26" t="s">
        <v>183</v>
      </c>
    </row>
    <row r="83" spans="3:26" s="1" customFormat="1" ht="20.100000000000001" customHeight="1" x14ac:dyDescent="0.35">
      <c r="C83" s="12">
        <v>100306</v>
      </c>
      <c r="D83" s="12" t="s">
        <v>184</v>
      </c>
      <c r="E83" s="12">
        <v>2</v>
      </c>
      <c r="F83" s="20">
        <v>15302006</v>
      </c>
      <c r="G83" s="14">
        <v>0</v>
      </c>
      <c r="H83" s="12">
        <v>31</v>
      </c>
      <c r="I83" s="12">
        <v>15000</v>
      </c>
      <c r="J83" s="12">
        <v>12</v>
      </c>
      <c r="K83" s="12">
        <v>0</v>
      </c>
      <c r="L83" s="21">
        <v>1</v>
      </c>
      <c r="M83" s="21">
        <v>1</v>
      </c>
      <c r="N83" s="22">
        <v>0.1</v>
      </c>
      <c r="O83" s="21">
        <v>1</v>
      </c>
      <c r="P83" s="21">
        <v>1</v>
      </c>
      <c r="Q83" s="21">
        <v>1</v>
      </c>
      <c r="R83" s="21">
        <v>3</v>
      </c>
      <c r="S83" s="21">
        <f t="shared" si="1"/>
        <v>210</v>
      </c>
      <c r="T83" s="21">
        <v>320</v>
      </c>
      <c r="U83" s="22" t="s">
        <v>52</v>
      </c>
      <c r="V83" s="21">
        <v>1</v>
      </c>
      <c r="W83" s="21">
        <v>1</v>
      </c>
      <c r="X83" s="22">
        <v>0</v>
      </c>
      <c r="Y83" s="21">
        <v>0</v>
      </c>
      <c r="Z83" s="26" t="s">
        <v>185</v>
      </c>
    </row>
    <row r="84" spans="3:26" s="1" customFormat="1" ht="20.100000000000001" customHeight="1" x14ac:dyDescent="0.35">
      <c r="C84" s="12">
        <v>100307</v>
      </c>
      <c r="D84" s="12" t="s">
        <v>186</v>
      </c>
      <c r="E84" s="12">
        <v>2</v>
      </c>
      <c r="F84" s="20">
        <v>15303002</v>
      </c>
      <c r="G84" s="14">
        <v>0</v>
      </c>
      <c r="H84" s="12">
        <v>32</v>
      </c>
      <c r="I84" s="12">
        <v>15000</v>
      </c>
      <c r="J84" s="12">
        <v>12</v>
      </c>
      <c r="K84" s="12">
        <v>0</v>
      </c>
      <c r="L84" s="21">
        <v>1</v>
      </c>
      <c r="M84" s="21">
        <v>1</v>
      </c>
      <c r="N84" s="22">
        <v>0.1</v>
      </c>
      <c r="O84" s="21">
        <v>1</v>
      </c>
      <c r="P84" s="21">
        <v>1</v>
      </c>
      <c r="Q84" s="21">
        <v>1</v>
      </c>
      <c r="R84" s="21">
        <v>3</v>
      </c>
      <c r="S84" s="21">
        <f t="shared" si="1"/>
        <v>220</v>
      </c>
      <c r="T84" s="21">
        <v>320</v>
      </c>
      <c r="U84" s="22" t="s">
        <v>52</v>
      </c>
      <c r="V84" s="21">
        <v>1</v>
      </c>
      <c r="W84" s="21">
        <v>1</v>
      </c>
      <c r="X84" s="22">
        <v>0</v>
      </c>
      <c r="Y84" s="21">
        <v>0</v>
      </c>
      <c r="Z84" s="26" t="s">
        <v>187</v>
      </c>
    </row>
    <row r="85" spans="3:26" s="1" customFormat="1" ht="20.100000000000001" customHeight="1" x14ac:dyDescent="0.35">
      <c r="C85" s="12">
        <v>100308</v>
      </c>
      <c r="D85" s="12" t="s">
        <v>188</v>
      </c>
      <c r="E85" s="12">
        <v>2</v>
      </c>
      <c r="F85" s="20">
        <v>15303004</v>
      </c>
      <c r="G85" s="14">
        <v>0</v>
      </c>
      <c r="H85" s="12">
        <v>32</v>
      </c>
      <c r="I85" s="12">
        <v>15000</v>
      </c>
      <c r="J85" s="12">
        <v>12</v>
      </c>
      <c r="K85" s="12">
        <v>0</v>
      </c>
      <c r="L85" s="21">
        <v>1</v>
      </c>
      <c r="M85" s="21">
        <v>1</v>
      </c>
      <c r="N85" s="22">
        <v>0.1</v>
      </c>
      <c r="O85" s="21">
        <v>1</v>
      </c>
      <c r="P85" s="21">
        <v>1</v>
      </c>
      <c r="Q85" s="21">
        <v>1</v>
      </c>
      <c r="R85" s="21">
        <v>3</v>
      </c>
      <c r="S85" s="21">
        <f t="shared" si="1"/>
        <v>220</v>
      </c>
      <c r="T85" s="21">
        <v>320</v>
      </c>
      <c r="U85" s="22" t="s">
        <v>52</v>
      </c>
      <c r="V85" s="21">
        <v>1</v>
      </c>
      <c r="W85" s="21">
        <v>1</v>
      </c>
      <c r="X85" s="22">
        <v>0</v>
      </c>
      <c r="Y85" s="21">
        <v>0</v>
      </c>
      <c r="Z85" s="26" t="s">
        <v>175</v>
      </c>
    </row>
    <row r="86" spans="3:26" s="1" customFormat="1" ht="20.100000000000001" customHeight="1" x14ac:dyDescent="0.35">
      <c r="C86" s="12">
        <v>100309</v>
      </c>
      <c r="D86" s="12" t="s">
        <v>189</v>
      </c>
      <c r="E86" s="12">
        <v>2</v>
      </c>
      <c r="F86" s="20">
        <v>15303006</v>
      </c>
      <c r="G86" s="14">
        <v>0</v>
      </c>
      <c r="H86" s="12">
        <v>32</v>
      </c>
      <c r="I86" s="12">
        <v>15000</v>
      </c>
      <c r="J86" s="12">
        <v>12</v>
      </c>
      <c r="K86" s="12">
        <v>0</v>
      </c>
      <c r="L86" s="21">
        <v>1</v>
      </c>
      <c r="M86" s="21">
        <v>1</v>
      </c>
      <c r="N86" s="22">
        <v>0.1</v>
      </c>
      <c r="O86" s="21">
        <v>1</v>
      </c>
      <c r="P86" s="21">
        <v>1</v>
      </c>
      <c r="Q86" s="21">
        <v>1</v>
      </c>
      <c r="R86" s="21">
        <v>3</v>
      </c>
      <c r="S86" s="21">
        <f t="shared" si="1"/>
        <v>220</v>
      </c>
      <c r="T86" s="21">
        <v>320</v>
      </c>
      <c r="U86" s="22" t="s">
        <v>52</v>
      </c>
      <c r="V86" s="21">
        <v>1</v>
      </c>
      <c r="W86" s="21">
        <v>1</v>
      </c>
      <c r="X86" s="22">
        <v>0</v>
      </c>
      <c r="Y86" s="21">
        <v>0</v>
      </c>
      <c r="Z86" s="26" t="s">
        <v>177</v>
      </c>
    </row>
    <row r="87" spans="3:26" s="1" customFormat="1" ht="20.100000000000001" customHeight="1" x14ac:dyDescent="0.35">
      <c r="C87" s="12">
        <v>100310</v>
      </c>
      <c r="D87" s="12" t="s">
        <v>190</v>
      </c>
      <c r="E87" s="12">
        <v>2</v>
      </c>
      <c r="F87" s="20">
        <v>15304002</v>
      </c>
      <c r="G87" s="14">
        <v>0</v>
      </c>
      <c r="H87" s="12">
        <v>33</v>
      </c>
      <c r="I87" s="12">
        <v>15000</v>
      </c>
      <c r="J87" s="12">
        <v>12</v>
      </c>
      <c r="K87" s="12">
        <v>0</v>
      </c>
      <c r="L87" s="21">
        <v>1</v>
      </c>
      <c r="M87" s="21">
        <v>1</v>
      </c>
      <c r="N87" s="22">
        <v>0.1</v>
      </c>
      <c r="O87" s="21">
        <v>1</v>
      </c>
      <c r="P87" s="21">
        <v>1</v>
      </c>
      <c r="Q87" s="21">
        <v>1</v>
      </c>
      <c r="R87" s="21">
        <v>3</v>
      </c>
      <c r="S87" s="21">
        <f t="shared" si="1"/>
        <v>230</v>
      </c>
      <c r="T87" s="21">
        <v>320</v>
      </c>
      <c r="U87" s="22" t="s">
        <v>52</v>
      </c>
      <c r="V87" s="21">
        <v>1</v>
      </c>
      <c r="W87" s="21">
        <v>1</v>
      </c>
      <c r="X87" s="22">
        <v>0</v>
      </c>
      <c r="Y87" s="21">
        <v>0</v>
      </c>
      <c r="Z87" s="26" t="s">
        <v>179</v>
      </c>
    </row>
    <row r="88" spans="3:26" s="1" customFormat="1" ht="20.100000000000001" customHeight="1" x14ac:dyDescent="0.35">
      <c r="C88" s="12">
        <v>100311</v>
      </c>
      <c r="D88" s="12" t="s">
        <v>191</v>
      </c>
      <c r="E88" s="12">
        <v>2</v>
      </c>
      <c r="F88" s="20">
        <v>15304004</v>
      </c>
      <c r="G88" s="14">
        <v>0</v>
      </c>
      <c r="H88" s="12">
        <v>33</v>
      </c>
      <c r="I88" s="12">
        <v>15000</v>
      </c>
      <c r="J88" s="12">
        <v>12</v>
      </c>
      <c r="K88" s="12">
        <v>0</v>
      </c>
      <c r="L88" s="21">
        <v>1</v>
      </c>
      <c r="M88" s="21">
        <v>1</v>
      </c>
      <c r="N88" s="22">
        <v>0.1</v>
      </c>
      <c r="O88" s="21">
        <v>1</v>
      </c>
      <c r="P88" s="21">
        <v>1</v>
      </c>
      <c r="Q88" s="21">
        <v>1</v>
      </c>
      <c r="R88" s="21">
        <v>3</v>
      </c>
      <c r="S88" s="21">
        <f t="shared" si="1"/>
        <v>230</v>
      </c>
      <c r="T88" s="21">
        <v>320</v>
      </c>
      <c r="U88" s="22" t="s">
        <v>52</v>
      </c>
      <c r="V88" s="21">
        <v>1</v>
      </c>
      <c r="W88" s="21">
        <v>1</v>
      </c>
      <c r="X88" s="22">
        <v>0</v>
      </c>
      <c r="Y88" s="21">
        <v>0</v>
      </c>
      <c r="Z88" s="26" t="s">
        <v>181</v>
      </c>
    </row>
    <row r="89" spans="3:26" s="1" customFormat="1" ht="20.100000000000001" customHeight="1" x14ac:dyDescent="0.35">
      <c r="C89" s="12">
        <v>100312</v>
      </c>
      <c r="D89" s="12" t="s">
        <v>192</v>
      </c>
      <c r="E89" s="12">
        <v>2</v>
      </c>
      <c r="F89" s="20">
        <v>15304006</v>
      </c>
      <c r="G89" s="14">
        <v>0</v>
      </c>
      <c r="H89" s="12">
        <v>33</v>
      </c>
      <c r="I89" s="12">
        <v>15000</v>
      </c>
      <c r="J89" s="12">
        <v>12</v>
      </c>
      <c r="K89" s="12">
        <v>0</v>
      </c>
      <c r="L89" s="21">
        <v>1</v>
      </c>
      <c r="M89" s="21">
        <v>1</v>
      </c>
      <c r="N89" s="22">
        <v>0.1</v>
      </c>
      <c r="O89" s="21">
        <v>1</v>
      </c>
      <c r="P89" s="21">
        <v>1</v>
      </c>
      <c r="Q89" s="21">
        <v>1</v>
      </c>
      <c r="R89" s="21">
        <v>3</v>
      </c>
      <c r="S89" s="21">
        <f t="shared" si="1"/>
        <v>230</v>
      </c>
      <c r="T89" s="21">
        <v>320</v>
      </c>
      <c r="U89" s="22" t="s">
        <v>52</v>
      </c>
      <c r="V89" s="21">
        <v>1</v>
      </c>
      <c r="W89" s="21">
        <v>1</v>
      </c>
      <c r="X89" s="22">
        <v>0</v>
      </c>
      <c r="Y89" s="21">
        <v>0</v>
      </c>
      <c r="Z89" s="26" t="s">
        <v>183</v>
      </c>
    </row>
    <row r="90" spans="3:26" s="1" customFormat="1" ht="20.100000000000001" customHeight="1" x14ac:dyDescent="0.35">
      <c r="C90" s="12">
        <v>100313</v>
      </c>
      <c r="D90" s="12" t="s">
        <v>193</v>
      </c>
      <c r="E90" s="12">
        <v>2</v>
      </c>
      <c r="F90" s="20">
        <v>15305002</v>
      </c>
      <c r="G90" s="14">
        <v>0</v>
      </c>
      <c r="H90" s="12">
        <v>34</v>
      </c>
      <c r="I90" s="12">
        <v>15000</v>
      </c>
      <c r="J90" s="12">
        <v>12</v>
      </c>
      <c r="K90" s="12">
        <v>0</v>
      </c>
      <c r="L90" s="21">
        <v>1</v>
      </c>
      <c r="M90" s="21">
        <v>1</v>
      </c>
      <c r="N90" s="22">
        <v>0.1</v>
      </c>
      <c r="O90" s="21">
        <v>1</v>
      </c>
      <c r="P90" s="21">
        <v>1</v>
      </c>
      <c r="Q90" s="21">
        <v>1</v>
      </c>
      <c r="R90" s="21">
        <v>3</v>
      </c>
      <c r="S90" s="21">
        <f t="shared" si="1"/>
        <v>240</v>
      </c>
      <c r="T90" s="21">
        <v>320</v>
      </c>
      <c r="U90" s="22" t="s">
        <v>52</v>
      </c>
      <c r="V90" s="21">
        <v>1</v>
      </c>
      <c r="W90" s="21">
        <v>1</v>
      </c>
      <c r="X90" s="22">
        <v>0</v>
      </c>
      <c r="Y90" s="21">
        <v>0</v>
      </c>
      <c r="Z90" s="26" t="s">
        <v>185</v>
      </c>
    </row>
    <row r="91" spans="3:26" s="1" customFormat="1" ht="20.100000000000001" customHeight="1" x14ac:dyDescent="0.35">
      <c r="C91" s="12">
        <v>100314</v>
      </c>
      <c r="D91" s="12" t="s">
        <v>194</v>
      </c>
      <c r="E91" s="12">
        <v>2</v>
      </c>
      <c r="F91" s="20">
        <v>15305004</v>
      </c>
      <c r="G91" s="14">
        <v>0</v>
      </c>
      <c r="H91" s="12">
        <v>34</v>
      </c>
      <c r="I91" s="12">
        <v>15000</v>
      </c>
      <c r="J91" s="12">
        <v>12</v>
      </c>
      <c r="K91" s="12">
        <v>0</v>
      </c>
      <c r="L91" s="21">
        <v>1</v>
      </c>
      <c r="M91" s="21">
        <v>1</v>
      </c>
      <c r="N91" s="22">
        <v>0.1</v>
      </c>
      <c r="O91" s="21">
        <v>1</v>
      </c>
      <c r="P91" s="21">
        <v>1</v>
      </c>
      <c r="Q91" s="21">
        <v>1</v>
      </c>
      <c r="R91" s="21">
        <v>3</v>
      </c>
      <c r="S91" s="21">
        <f t="shared" si="1"/>
        <v>240</v>
      </c>
      <c r="T91" s="21">
        <v>320</v>
      </c>
      <c r="U91" s="22" t="s">
        <v>52</v>
      </c>
      <c r="V91" s="21">
        <v>1</v>
      </c>
      <c r="W91" s="21">
        <v>1</v>
      </c>
      <c r="X91" s="22">
        <v>0</v>
      </c>
      <c r="Y91" s="21">
        <v>0</v>
      </c>
      <c r="Z91" s="26" t="s">
        <v>187</v>
      </c>
    </row>
    <row r="92" spans="3:26" s="1" customFormat="1" ht="20.100000000000001" customHeight="1" x14ac:dyDescent="0.35">
      <c r="C92" s="12">
        <v>100315</v>
      </c>
      <c r="D92" s="12" t="s">
        <v>195</v>
      </c>
      <c r="E92" s="12">
        <v>2</v>
      </c>
      <c r="F92" s="20">
        <v>15305006</v>
      </c>
      <c r="G92" s="14">
        <v>0</v>
      </c>
      <c r="H92" s="12">
        <v>34</v>
      </c>
      <c r="I92" s="12">
        <v>15000</v>
      </c>
      <c r="J92" s="12">
        <v>12</v>
      </c>
      <c r="K92" s="12">
        <v>0</v>
      </c>
      <c r="L92" s="21">
        <v>1</v>
      </c>
      <c r="M92" s="21">
        <v>1</v>
      </c>
      <c r="N92" s="22">
        <v>0.1</v>
      </c>
      <c r="O92" s="21">
        <v>1</v>
      </c>
      <c r="P92" s="21">
        <v>1</v>
      </c>
      <c r="Q92" s="21">
        <v>1</v>
      </c>
      <c r="R92" s="21">
        <v>3</v>
      </c>
      <c r="S92" s="21">
        <f t="shared" si="1"/>
        <v>240</v>
      </c>
      <c r="T92" s="21">
        <v>320</v>
      </c>
      <c r="U92" s="22" t="s">
        <v>52</v>
      </c>
      <c r="V92" s="21">
        <v>1</v>
      </c>
      <c r="W92" s="21">
        <v>1</v>
      </c>
      <c r="X92" s="22">
        <v>0</v>
      </c>
      <c r="Y92" s="21">
        <v>0</v>
      </c>
      <c r="Z92" s="26" t="s">
        <v>175</v>
      </c>
    </row>
    <row r="93" spans="3:26" s="1" customFormat="1" ht="20.100000000000001" customHeight="1" x14ac:dyDescent="0.35">
      <c r="C93" s="12">
        <v>100316</v>
      </c>
      <c r="D93" s="12" t="s">
        <v>196</v>
      </c>
      <c r="E93" s="12">
        <v>3</v>
      </c>
      <c r="F93" s="20">
        <v>15306002</v>
      </c>
      <c r="G93" s="14">
        <v>0</v>
      </c>
      <c r="H93" s="12">
        <v>31</v>
      </c>
      <c r="I93" s="12">
        <v>15000</v>
      </c>
      <c r="J93" s="12">
        <v>12</v>
      </c>
      <c r="K93" s="12">
        <v>0</v>
      </c>
      <c r="L93" s="21">
        <v>1</v>
      </c>
      <c r="M93" s="21">
        <v>1</v>
      </c>
      <c r="N93" s="22">
        <v>0.1</v>
      </c>
      <c r="O93" s="21">
        <v>1</v>
      </c>
      <c r="P93" s="21">
        <v>1</v>
      </c>
      <c r="Q93" s="21">
        <v>1</v>
      </c>
      <c r="R93" s="21">
        <v>3</v>
      </c>
      <c r="S93" s="21">
        <f t="shared" si="1"/>
        <v>250</v>
      </c>
      <c r="T93" s="21">
        <v>320</v>
      </c>
      <c r="U93" s="22" t="s">
        <v>52</v>
      </c>
      <c r="V93" s="21">
        <v>1</v>
      </c>
      <c r="W93" s="21">
        <v>1</v>
      </c>
      <c r="X93" s="22">
        <v>0</v>
      </c>
      <c r="Y93" s="21">
        <v>0</v>
      </c>
      <c r="Z93" s="26" t="s">
        <v>197</v>
      </c>
    </row>
    <row r="94" spans="3:26" s="1" customFormat="1" ht="20.100000000000001" customHeight="1" x14ac:dyDescent="0.35">
      <c r="C94" s="12">
        <v>100317</v>
      </c>
      <c r="D94" s="12" t="s">
        <v>198</v>
      </c>
      <c r="E94" s="12">
        <v>3</v>
      </c>
      <c r="F94" s="20">
        <v>15307002</v>
      </c>
      <c r="G94" s="14">
        <v>0</v>
      </c>
      <c r="H94" s="12">
        <v>33</v>
      </c>
      <c r="I94" s="12">
        <v>15000</v>
      </c>
      <c r="J94" s="12">
        <v>12</v>
      </c>
      <c r="K94" s="12">
        <v>0</v>
      </c>
      <c r="L94" s="21">
        <v>1</v>
      </c>
      <c r="M94" s="21">
        <v>1</v>
      </c>
      <c r="N94" s="22">
        <v>0.1</v>
      </c>
      <c r="O94" s="21">
        <v>1</v>
      </c>
      <c r="P94" s="21">
        <v>1</v>
      </c>
      <c r="Q94" s="21">
        <v>1</v>
      </c>
      <c r="R94" s="21">
        <v>3</v>
      </c>
      <c r="S94" s="21">
        <f t="shared" si="1"/>
        <v>250</v>
      </c>
      <c r="T94" s="21">
        <v>320</v>
      </c>
      <c r="U94" s="22" t="s">
        <v>52</v>
      </c>
      <c r="V94" s="21">
        <v>1</v>
      </c>
      <c r="W94" s="21">
        <v>1</v>
      </c>
      <c r="X94" s="22">
        <v>0</v>
      </c>
      <c r="Y94" s="21">
        <v>0</v>
      </c>
      <c r="Z94" s="26" t="s">
        <v>199</v>
      </c>
    </row>
    <row r="95" spans="3:26" s="1" customFormat="1" ht="20.100000000000001" customHeight="1" x14ac:dyDescent="0.35">
      <c r="C95" s="12">
        <v>100318</v>
      </c>
      <c r="D95" s="12" t="s">
        <v>200</v>
      </c>
      <c r="E95" s="12">
        <v>1</v>
      </c>
      <c r="F95" s="20">
        <v>15308002</v>
      </c>
      <c r="G95" s="14">
        <v>0</v>
      </c>
      <c r="H95" s="12">
        <v>31</v>
      </c>
      <c r="I95" s="12">
        <v>15000</v>
      </c>
      <c r="J95" s="12">
        <v>12</v>
      </c>
      <c r="K95" s="12">
        <v>0</v>
      </c>
      <c r="L95" s="21">
        <v>1</v>
      </c>
      <c r="M95" s="21">
        <v>1</v>
      </c>
      <c r="N95" s="22">
        <v>0.1</v>
      </c>
      <c r="O95" s="21">
        <v>1</v>
      </c>
      <c r="P95" s="21">
        <v>1</v>
      </c>
      <c r="Q95" s="21">
        <v>1</v>
      </c>
      <c r="R95" s="21">
        <v>3</v>
      </c>
      <c r="S95" s="21">
        <f t="shared" si="1"/>
        <v>250</v>
      </c>
      <c r="T95" s="21">
        <v>320</v>
      </c>
      <c r="U95" s="22" t="s">
        <v>52</v>
      </c>
      <c r="V95" s="21">
        <v>1</v>
      </c>
      <c r="W95" s="21">
        <v>1</v>
      </c>
      <c r="X95" s="22">
        <v>0</v>
      </c>
      <c r="Y95" s="21">
        <v>0</v>
      </c>
      <c r="Z95" s="26" t="s">
        <v>201</v>
      </c>
    </row>
    <row r="96" spans="3:26" s="1" customFormat="1" ht="20.100000000000001" customHeight="1" x14ac:dyDescent="0.35">
      <c r="C96" s="12">
        <v>100319</v>
      </c>
      <c r="D96" s="12" t="s">
        <v>202</v>
      </c>
      <c r="E96" s="12">
        <v>1</v>
      </c>
      <c r="F96" s="20">
        <v>15309002</v>
      </c>
      <c r="G96" s="14">
        <v>0</v>
      </c>
      <c r="H96" s="12">
        <v>30</v>
      </c>
      <c r="I96" s="12">
        <v>15000</v>
      </c>
      <c r="J96" s="12">
        <v>12</v>
      </c>
      <c r="K96" s="12">
        <v>0</v>
      </c>
      <c r="L96" s="21">
        <v>1</v>
      </c>
      <c r="M96" s="21">
        <v>1</v>
      </c>
      <c r="N96" s="22">
        <v>0.1</v>
      </c>
      <c r="O96" s="21">
        <v>1</v>
      </c>
      <c r="P96" s="21">
        <v>1</v>
      </c>
      <c r="Q96" s="21">
        <v>1</v>
      </c>
      <c r="R96" s="21">
        <v>3</v>
      </c>
      <c r="S96" s="21">
        <f t="shared" si="1"/>
        <v>220</v>
      </c>
      <c r="T96" s="21">
        <v>320</v>
      </c>
      <c r="U96" s="22" t="s">
        <v>52</v>
      </c>
      <c r="V96" s="21">
        <v>1</v>
      </c>
      <c r="W96" s="21">
        <v>1</v>
      </c>
      <c r="X96" s="22">
        <v>0</v>
      </c>
      <c r="Y96" s="21">
        <v>0</v>
      </c>
      <c r="Z96" s="26" t="s">
        <v>203</v>
      </c>
    </row>
    <row r="97" spans="3:26" s="1" customFormat="1" ht="20.100000000000001" customHeight="1" x14ac:dyDescent="0.35">
      <c r="C97" s="12">
        <v>100320</v>
      </c>
      <c r="D97" s="12" t="s">
        <v>204</v>
      </c>
      <c r="E97" s="12">
        <v>1</v>
      </c>
      <c r="F97" s="20">
        <v>15310002</v>
      </c>
      <c r="G97" s="14">
        <v>0</v>
      </c>
      <c r="H97" s="12">
        <v>35</v>
      </c>
      <c r="I97" s="12">
        <v>15000</v>
      </c>
      <c r="J97" s="12">
        <v>12</v>
      </c>
      <c r="K97" s="12">
        <v>0</v>
      </c>
      <c r="L97" s="21">
        <v>1</v>
      </c>
      <c r="M97" s="21">
        <v>1</v>
      </c>
      <c r="N97" s="22">
        <v>0.1</v>
      </c>
      <c r="O97" s="21">
        <v>1</v>
      </c>
      <c r="P97" s="21">
        <v>1</v>
      </c>
      <c r="Q97" s="21">
        <v>1</v>
      </c>
      <c r="R97" s="21">
        <v>3</v>
      </c>
      <c r="S97" s="21">
        <f t="shared" si="1"/>
        <v>240</v>
      </c>
      <c r="T97" s="21">
        <v>320</v>
      </c>
      <c r="U97" s="22" t="s">
        <v>52</v>
      </c>
      <c r="V97" s="21">
        <v>1</v>
      </c>
      <c r="W97" s="21">
        <v>1</v>
      </c>
      <c r="X97" s="22">
        <v>0</v>
      </c>
      <c r="Y97" s="21">
        <v>0</v>
      </c>
      <c r="Z97" s="26" t="s">
        <v>205</v>
      </c>
    </row>
    <row r="98" spans="3:26" s="1" customFormat="1" ht="20.100000000000001" customHeight="1" x14ac:dyDescent="0.35">
      <c r="C98" s="12">
        <v>100321</v>
      </c>
      <c r="D98" s="12" t="s">
        <v>206</v>
      </c>
      <c r="E98" s="12">
        <v>1</v>
      </c>
      <c r="F98" s="20">
        <v>15310004</v>
      </c>
      <c r="G98" s="14">
        <v>0</v>
      </c>
      <c r="H98" s="12">
        <v>35</v>
      </c>
      <c r="I98" s="12">
        <v>15000</v>
      </c>
      <c r="J98" s="12">
        <v>12</v>
      </c>
      <c r="K98" s="12">
        <v>0</v>
      </c>
      <c r="L98" s="21">
        <v>1</v>
      </c>
      <c r="M98" s="21">
        <v>1</v>
      </c>
      <c r="N98" s="22">
        <v>0.1</v>
      </c>
      <c r="O98" s="21">
        <v>1</v>
      </c>
      <c r="P98" s="21">
        <v>1</v>
      </c>
      <c r="Q98" s="21">
        <v>1</v>
      </c>
      <c r="R98" s="21">
        <v>3</v>
      </c>
      <c r="S98" s="21">
        <f t="shared" si="1"/>
        <v>260</v>
      </c>
      <c r="T98" s="21">
        <v>320</v>
      </c>
      <c r="U98" s="22" t="s">
        <v>52</v>
      </c>
      <c r="V98" s="21">
        <v>1</v>
      </c>
      <c r="W98" s="21">
        <v>1</v>
      </c>
      <c r="X98" s="22">
        <v>0</v>
      </c>
      <c r="Y98" s="21">
        <v>0</v>
      </c>
      <c r="Z98" s="26" t="s">
        <v>207</v>
      </c>
    </row>
    <row r="99" spans="3:26" s="1" customFormat="1" ht="20.100000000000001" customHeight="1" x14ac:dyDescent="0.35">
      <c r="C99" s="12">
        <v>100322</v>
      </c>
      <c r="D99" s="12" t="s">
        <v>208</v>
      </c>
      <c r="E99" s="12">
        <v>2</v>
      </c>
      <c r="F99" s="20">
        <v>15311002</v>
      </c>
      <c r="G99" s="14">
        <v>0</v>
      </c>
      <c r="H99" s="12">
        <v>35</v>
      </c>
      <c r="I99" s="12">
        <v>15000</v>
      </c>
      <c r="J99" s="12">
        <v>12</v>
      </c>
      <c r="K99" s="12">
        <v>0</v>
      </c>
      <c r="L99" s="21">
        <v>1</v>
      </c>
      <c r="M99" s="21">
        <v>1</v>
      </c>
      <c r="N99" s="22">
        <v>0.1</v>
      </c>
      <c r="O99" s="21">
        <v>1</v>
      </c>
      <c r="P99" s="21">
        <v>1</v>
      </c>
      <c r="Q99" s="21">
        <v>1</v>
      </c>
      <c r="R99" s="21">
        <v>3</v>
      </c>
      <c r="S99" s="21">
        <f t="shared" si="1"/>
        <v>260</v>
      </c>
      <c r="T99" s="21">
        <v>320</v>
      </c>
      <c r="U99" s="22" t="s">
        <v>52</v>
      </c>
      <c r="V99" s="21">
        <v>1</v>
      </c>
      <c r="W99" s="21">
        <v>1</v>
      </c>
      <c r="X99" s="22">
        <v>0</v>
      </c>
      <c r="Y99" s="21">
        <v>0</v>
      </c>
      <c r="Z99" s="26" t="s">
        <v>209</v>
      </c>
    </row>
    <row r="100" spans="3:26" s="1" customFormat="1" ht="20.100000000000001" customHeight="1" x14ac:dyDescent="0.35">
      <c r="C100" s="12">
        <v>100323</v>
      </c>
      <c r="D100" s="12" t="s">
        <v>210</v>
      </c>
      <c r="E100" s="12">
        <v>2</v>
      </c>
      <c r="F100" s="20">
        <v>15311004</v>
      </c>
      <c r="G100" s="14">
        <v>0</v>
      </c>
      <c r="H100" s="12">
        <v>35</v>
      </c>
      <c r="I100" s="12">
        <v>15000</v>
      </c>
      <c r="J100" s="12">
        <v>12</v>
      </c>
      <c r="K100" s="12">
        <v>0</v>
      </c>
      <c r="L100" s="21">
        <v>1</v>
      </c>
      <c r="M100" s="21">
        <v>1</v>
      </c>
      <c r="N100" s="22">
        <v>0.1</v>
      </c>
      <c r="O100" s="21">
        <v>1</v>
      </c>
      <c r="P100" s="21">
        <v>1</v>
      </c>
      <c r="Q100" s="21">
        <v>1</v>
      </c>
      <c r="R100" s="21">
        <v>3</v>
      </c>
      <c r="S100" s="21">
        <f t="shared" si="1"/>
        <v>260</v>
      </c>
      <c r="T100" s="21">
        <v>320</v>
      </c>
      <c r="U100" s="22" t="s">
        <v>52</v>
      </c>
      <c r="V100" s="21">
        <v>1</v>
      </c>
      <c r="W100" s="21">
        <v>1</v>
      </c>
      <c r="X100" s="22">
        <v>0</v>
      </c>
      <c r="Y100" s="21">
        <v>0</v>
      </c>
      <c r="Z100" s="26" t="s">
        <v>211</v>
      </c>
    </row>
    <row r="101" spans="3:26" s="1" customFormat="1" ht="20.100000000000001" customHeight="1" x14ac:dyDescent="0.35">
      <c r="C101" s="12">
        <v>100324</v>
      </c>
      <c r="D101" s="12" t="s">
        <v>212</v>
      </c>
      <c r="E101" s="12">
        <v>2</v>
      </c>
      <c r="F101" s="20">
        <v>15311006</v>
      </c>
      <c r="G101" s="14">
        <v>0</v>
      </c>
      <c r="H101" s="12">
        <v>35</v>
      </c>
      <c r="I101" s="12">
        <v>15000</v>
      </c>
      <c r="J101" s="12">
        <v>12</v>
      </c>
      <c r="K101" s="12">
        <v>0</v>
      </c>
      <c r="L101" s="21">
        <v>1</v>
      </c>
      <c r="M101" s="21">
        <v>1</v>
      </c>
      <c r="N101" s="22">
        <v>0.1</v>
      </c>
      <c r="O101" s="21">
        <v>1</v>
      </c>
      <c r="P101" s="21">
        <v>1</v>
      </c>
      <c r="Q101" s="21">
        <v>1</v>
      </c>
      <c r="R101" s="21">
        <v>3</v>
      </c>
      <c r="S101" s="21">
        <f t="shared" si="1"/>
        <v>260</v>
      </c>
      <c r="T101" s="21">
        <v>320</v>
      </c>
      <c r="U101" s="22" t="s">
        <v>52</v>
      </c>
      <c r="V101" s="21">
        <v>1</v>
      </c>
      <c r="W101" s="21">
        <v>1</v>
      </c>
      <c r="X101" s="22">
        <v>0</v>
      </c>
      <c r="Y101" s="21">
        <v>0</v>
      </c>
      <c r="Z101" s="26" t="s">
        <v>213</v>
      </c>
    </row>
    <row r="102" spans="3:26" s="1" customFormat="1" ht="20.100000000000001" customHeight="1" x14ac:dyDescent="0.35">
      <c r="C102" s="12">
        <v>100325</v>
      </c>
      <c r="D102" s="15" t="s">
        <v>214</v>
      </c>
      <c r="E102" s="12">
        <v>1</v>
      </c>
      <c r="F102" s="15">
        <v>15310102</v>
      </c>
      <c r="G102" s="14">
        <v>0</v>
      </c>
      <c r="H102" s="12">
        <v>35</v>
      </c>
      <c r="I102" s="12">
        <v>15000</v>
      </c>
      <c r="J102" s="12">
        <v>12</v>
      </c>
      <c r="K102" s="12">
        <v>0</v>
      </c>
      <c r="L102" s="21">
        <v>1</v>
      </c>
      <c r="M102" s="21">
        <v>1</v>
      </c>
      <c r="N102" s="22">
        <v>0.1</v>
      </c>
      <c r="O102" s="21">
        <v>1</v>
      </c>
      <c r="P102" s="21">
        <v>1</v>
      </c>
      <c r="Q102" s="21">
        <v>1</v>
      </c>
      <c r="R102" s="21">
        <v>3</v>
      </c>
      <c r="S102" s="21">
        <f t="shared" si="1"/>
        <v>240</v>
      </c>
      <c r="T102" s="21">
        <v>320</v>
      </c>
      <c r="U102" s="22" t="s">
        <v>52</v>
      </c>
      <c r="V102" s="21">
        <v>1</v>
      </c>
      <c r="W102" s="21">
        <v>1</v>
      </c>
      <c r="X102" s="22">
        <v>0</v>
      </c>
      <c r="Y102" s="21">
        <v>0</v>
      </c>
      <c r="Z102" s="26" t="s">
        <v>205</v>
      </c>
    </row>
    <row r="103" spans="3:26" s="1" customFormat="1" ht="20.100000000000001" customHeight="1" x14ac:dyDescent="0.35">
      <c r="C103" s="12">
        <v>100326</v>
      </c>
      <c r="D103" s="15" t="s">
        <v>215</v>
      </c>
      <c r="E103" s="12">
        <v>1</v>
      </c>
      <c r="F103" s="15">
        <v>15310104</v>
      </c>
      <c r="G103" s="14">
        <v>0</v>
      </c>
      <c r="H103" s="12">
        <v>35</v>
      </c>
      <c r="I103" s="12">
        <v>15000</v>
      </c>
      <c r="J103" s="12">
        <v>12</v>
      </c>
      <c r="K103" s="12">
        <v>0</v>
      </c>
      <c r="L103" s="21">
        <v>1</v>
      </c>
      <c r="M103" s="21">
        <v>1</v>
      </c>
      <c r="N103" s="22">
        <v>0.1</v>
      </c>
      <c r="O103" s="21">
        <v>1</v>
      </c>
      <c r="P103" s="21">
        <v>1</v>
      </c>
      <c r="Q103" s="21">
        <v>1</v>
      </c>
      <c r="R103" s="21">
        <v>3</v>
      </c>
      <c r="S103" s="21">
        <f t="shared" si="1"/>
        <v>260</v>
      </c>
      <c r="T103" s="21">
        <v>320</v>
      </c>
      <c r="U103" s="22" t="s">
        <v>52</v>
      </c>
      <c r="V103" s="21">
        <v>1</v>
      </c>
      <c r="W103" s="21">
        <v>1</v>
      </c>
      <c r="X103" s="22">
        <v>0</v>
      </c>
      <c r="Y103" s="21">
        <v>0</v>
      </c>
      <c r="Z103" s="26" t="s">
        <v>207</v>
      </c>
    </row>
    <row r="104" spans="3:26" s="1" customFormat="1" ht="20.100000000000001" customHeight="1" x14ac:dyDescent="0.35">
      <c r="C104" s="12">
        <v>100327</v>
      </c>
      <c r="D104" s="15" t="s">
        <v>216</v>
      </c>
      <c r="E104" s="12">
        <v>1</v>
      </c>
      <c r="F104" s="15">
        <v>15310202</v>
      </c>
      <c r="G104" s="14">
        <v>0</v>
      </c>
      <c r="H104" s="12">
        <v>35</v>
      </c>
      <c r="I104" s="12">
        <v>15000</v>
      </c>
      <c r="J104" s="12">
        <v>12</v>
      </c>
      <c r="K104" s="12">
        <v>0</v>
      </c>
      <c r="L104" s="21">
        <v>1</v>
      </c>
      <c r="M104" s="21">
        <v>1</v>
      </c>
      <c r="N104" s="22">
        <v>0.1</v>
      </c>
      <c r="O104" s="21">
        <v>1</v>
      </c>
      <c r="P104" s="21">
        <v>1</v>
      </c>
      <c r="Q104" s="21">
        <v>1</v>
      </c>
      <c r="R104" s="21">
        <v>3</v>
      </c>
      <c r="S104" s="21">
        <f t="shared" si="1"/>
        <v>240</v>
      </c>
      <c r="T104" s="21">
        <v>320</v>
      </c>
      <c r="U104" s="22" t="s">
        <v>52</v>
      </c>
      <c r="V104" s="21">
        <v>1</v>
      </c>
      <c r="W104" s="21">
        <v>1</v>
      </c>
      <c r="X104" s="22">
        <v>0</v>
      </c>
      <c r="Y104" s="21">
        <v>0</v>
      </c>
      <c r="Z104" s="26" t="s">
        <v>207</v>
      </c>
    </row>
    <row r="105" spans="3:26" s="2" customFormat="1" ht="20.100000000000001" customHeight="1" x14ac:dyDescent="0.35">
      <c r="C105" s="18">
        <v>100351</v>
      </c>
      <c r="D105" s="18" t="s">
        <v>217</v>
      </c>
      <c r="E105" s="19">
        <v>5</v>
      </c>
      <c r="F105" s="18">
        <v>15306003</v>
      </c>
      <c r="G105" s="14">
        <v>0</v>
      </c>
      <c r="H105" s="12">
        <v>35</v>
      </c>
      <c r="I105" s="12">
        <v>100000</v>
      </c>
      <c r="J105" s="12">
        <v>20</v>
      </c>
      <c r="K105" s="12">
        <v>0</v>
      </c>
      <c r="L105" s="21">
        <v>1</v>
      </c>
      <c r="M105" s="21">
        <v>1</v>
      </c>
      <c r="N105" s="22">
        <v>0.1</v>
      </c>
      <c r="O105" s="21">
        <v>1</v>
      </c>
      <c r="P105" s="21">
        <v>1</v>
      </c>
      <c r="Q105" s="21">
        <v>1</v>
      </c>
      <c r="R105" s="21">
        <v>3</v>
      </c>
      <c r="S105" s="23">
        <v>0</v>
      </c>
      <c r="T105" s="21">
        <v>0</v>
      </c>
      <c r="U105" s="24">
        <v>0</v>
      </c>
      <c r="V105" s="21">
        <v>1</v>
      </c>
      <c r="W105" s="21">
        <v>1</v>
      </c>
      <c r="X105" s="22">
        <v>0</v>
      </c>
      <c r="Y105" s="21">
        <v>0</v>
      </c>
      <c r="Z105" s="27" t="s">
        <v>218</v>
      </c>
    </row>
    <row r="106" spans="3:26" s="2" customFormat="1" ht="20.100000000000001" customHeight="1" x14ac:dyDescent="0.35">
      <c r="C106" s="18">
        <v>100352</v>
      </c>
      <c r="D106" s="18" t="s">
        <v>219</v>
      </c>
      <c r="E106" s="19">
        <v>5</v>
      </c>
      <c r="F106" s="18">
        <v>15310011</v>
      </c>
      <c r="G106" s="14">
        <v>0</v>
      </c>
      <c r="H106" s="12">
        <v>35</v>
      </c>
      <c r="I106" s="12">
        <v>100000</v>
      </c>
      <c r="J106" s="12">
        <v>20</v>
      </c>
      <c r="K106" s="12">
        <v>0</v>
      </c>
      <c r="L106" s="21">
        <v>1</v>
      </c>
      <c r="M106" s="21">
        <v>1</v>
      </c>
      <c r="N106" s="22">
        <v>0.1</v>
      </c>
      <c r="O106" s="21">
        <v>1</v>
      </c>
      <c r="P106" s="21">
        <v>1</v>
      </c>
      <c r="Q106" s="21">
        <v>1</v>
      </c>
      <c r="R106" s="21">
        <v>3</v>
      </c>
      <c r="S106" s="23">
        <v>0</v>
      </c>
      <c r="T106" s="21">
        <v>0</v>
      </c>
      <c r="U106" s="24">
        <v>0</v>
      </c>
      <c r="V106" s="21">
        <v>1</v>
      </c>
      <c r="W106" s="21">
        <v>1</v>
      </c>
      <c r="X106" s="22">
        <v>0</v>
      </c>
      <c r="Y106" s="21">
        <v>0</v>
      </c>
      <c r="Z106" s="27" t="s">
        <v>220</v>
      </c>
    </row>
    <row r="107" spans="3:26" s="2" customFormat="1" ht="20.100000000000001" customHeight="1" x14ac:dyDescent="0.35">
      <c r="C107" s="18">
        <v>100353</v>
      </c>
      <c r="D107" s="18" t="s">
        <v>221</v>
      </c>
      <c r="E107" s="19">
        <v>5</v>
      </c>
      <c r="F107" s="18">
        <v>15310012</v>
      </c>
      <c r="G107" s="14">
        <v>0</v>
      </c>
      <c r="H107" s="12">
        <v>35</v>
      </c>
      <c r="I107" s="12">
        <v>100000</v>
      </c>
      <c r="J107" s="12">
        <v>20</v>
      </c>
      <c r="K107" s="12">
        <v>0</v>
      </c>
      <c r="L107" s="21">
        <v>1</v>
      </c>
      <c r="M107" s="21">
        <v>1</v>
      </c>
      <c r="N107" s="22">
        <v>0.1</v>
      </c>
      <c r="O107" s="21">
        <v>1</v>
      </c>
      <c r="P107" s="21">
        <v>1</v>
      </c>
      <c r="Q107" s="21">
        <v>1</v>
      </c>
      <c r="R107" s="21">
        <v>3</v>
      </c>
      <c r="S107" s="23">
        <v>0</v>
      </c>
      <c r="T107" s="21">
        <v>0</v>
      </c>
      <c r="U107" s="24">
        <v>0</v>
      </c>
      <c r="V107" s="21">
        <v>1</v>
      </c>
      <c r="W107" s="21">
        <v>1</v>
      </c>
      <c r="X107" s="22">
        <v>0</v>
      </c>
      <c r="Y107" s="21">
        <v>0</v>
      </c>
      <c r="Z107" s="27" t="s">
        <v>222</v>
      </c>
    </row>
    <row r="108" spans="3:26" s="2" customFormat="1" ht="20.100000000000001" customHeight="1" x14ac:dyDescent="0.35">
      <c r="C108" s="18">
        <v>100354</v>
      </c>
      <c r="D108" s="18" t="s">
        <v>223</v>
      </c>
      <c r="E108" s="19">
        <v>5</v>
      </c>
      <c r="F108" s="18">
        <v>15310111</v>
      </c>
      <c r="G108" s="14">
        <v>0</v>
      </c>
      <c r="H108" s="12">
        <v>35</v>
      </c>
      <c r="I108" s="12">
        <v>100000</v>
      </c>
      <c r="J108" s="12">
        <v>20</v>
      </c>
      <c r="K108" s="12">
        <v>0</v>
      </c>
      <c r="L108" s="21">
        <v>1</v>
      </c>
      <c r="M108" s="21">
        <v>1</v>
      </c>
      <c r="N108" s="22">
        <v>0.1</v>
      </c>
      <c r="O108" s="21">
        <v>1</v>
      </c>
      <c r="P108" s="21">
        <v>1</v>
      </c>
      <c r="Q108" s="21">
        <v>1</v>
      </c>
      <c r="R108" s="21">
        <v>3</v>
      </c>
      <c r="S108" s="23">
        <v>0</v>
      </c>
      <c r="T108" s="21">
        <v>0</v>
      </c>
      <c r="U108" s="24">
        <v>0</v>
      </c>
      <c r="V108" s="21">
        <v>1</v>
      </c>
      <c r="W108" s="21">
        <v>1</v>
      </c>
      <c r="X108" s="22">
        <v>0</v>
      </c>
      <c r="Y108" s="21">
        <v>0</v>
      </c>
      <c r="Z108" s="27" t="s">
        <v>224</v>
      </c>
    </row>
    <row r="109" spans="3:26" s="2" customFormat="1" ht="20.100000000000001" customHeight="1" x14ac:dyDescent="0.35">
      <c r="C109" s="18">
        <v>100355</v>
      </c>
      <c r="D109" s="18" t="s">
        <v>225</v>
      </c>
      <c r="E109" s="19">
        <v>5</v>
      </c>
      <c r="F109" s="18">
        <v>15310112</v>
      </c>
      <c r="G109" s="14">
        <v>0</v>
      </c>
      <c r="H109" s="12">
        <v>35</v>
      </c>
      <c r="I109" s="12">
        <v>100000</v>
      </c>
      <c r="J109" s="12">
        <v>20</v>
      </c>
      <c r="K109" s="12">
        <v>0</v>
      </c>
      <c r="L109" s="21">
        <v>1</v>
      </c>
      <c r="M109" s="21">
        <v>1</v>
      </c>
      <c r="N109" s="22">
        <v>0.1</v>
      </c>
      <c r="O109" s="21">
        <v>1</v>
      </c>
      <c r="P109" s="21">
        <v>1</v>
      </c>
      <c r="Q109" s="21">
        <v>1</v>
      </c>
      <c r="R109" s="21">
        <v>3</v>
      </c>
      <c r="S109" s="23">
        <v>0</v>
      </c>
      <c r="T109" s="21">
        <v>0</v>
      </c>
      <c r="U109" s="24">
        <v>0</v>
      </c>
      <c r="V109" s="21">
        <v>1</v>
      </c>
      <c r="W109" s="21">
        <v>1</v>
      </c>
      <c r="X109" s="22">
        <v>0</v>
      </c>
      <c r="Y109" s="21">
        <v>0</v>
      </c>
      <c r="Z109" s="27" t="s">
        <v>226</v>
      </c>
    </row>
    <row r="110" spans="3:26" s="2" customFormat="1" ht="20.100000000000001" customHeight="1" x14ac:dyDescent="0.35">
      <c r="C110" s="18">
        <v>100356</v>
      </c>
      <c r="D110" s="18" t="s">
        <v>227</v>
      </c>
      <c r="E110" s="19">
        <v>5</v>
      </c>
      <c r="F110" s="18">
        <v>15311011</v>
      </c>
      <c r="G110" s="14">
        <v>0</v>
      </c>
      <c r="H110" s="12">
        <v>35</v>
      </c>
      <c r="I110" s="12">
        <v>100000</v>
      </c>
      <c r="J110" s="12">
        <v>20</v>
      </c>
      <c r="K110" s="12">
        <v>0</v>
      </c>
      <c r="L110" s="21">
        <v>1</v>
      </c>
      <c r="M110" s="21">
        <v>1</v>
      </c>
      <c r="N110" s="22">
        <v>0.1</v>
      </c>
      <c r="O110" s="21">
        <v>1</v>
      </c>
      <c r="P110" s="21">
        <v>1</v>
      </c>
      <c r="Q110" s="21">
        <v>1</v>
      </c>
      <c r="R110" s="21">
        <v>3</v>
      </c>
      <c r="S110" s="23">
        <v>0</v>
      </c>
      <c r="T110" s="21">
        <v>0</v>
      </c>
      <c r="U110" s="24">
        <v>0</v>
      </c>
      <c r="V110" s="21">
        <v>1</v>
      </c>
      <c r="W110" s="21">
        <v>1</v>
      </c>
      <c r="X110" s="22">
        <v>0</v>
      </c>
      <c r="Y110" s="21">
        <v>0</v>
      </c>
      <c r="Z110" s="27" t="s">
        <v>228</v>
      </c>
    </row>
    <row r="111" spans="3:26" s="2" customFormat="1" ht="20.100000000000001" customHeight="1" x14ac:dyDescent="0.35">
      <c r="C111" s="18">
        <v>100357</v>
      </c>
      <c r="D111" s="18" t="s">
        <v>229</v>
      </c>
      <c r="E111" s="19">
        <v>5</v>
      </c>
      <c r="F111" s="18">
        <v>15311012</v>
      </c>
      <c r="G111" s="14">
        <v>0</v>
      </c>
      <c r="H111" s="12">
        <v>35</v>
      </c>
      <c r="I111" s="12">
        <v>100000</v>
      </c>
      <c r="J111" s="12">
        <v>20</v>
      </c>
      <c r="K111" s="12">
        <v>0</v>
      </c>
      <c r="L111" s="21">
        <v>1</v>
      </c>
      <c r="M111" s="21">
        <v>1</v>
      </c>
      <c r="N111" s="22">
        <v>0.1</v>
      </c>
      <c r="O111" s="21">
        <v>1</v>
      </c>
      <c r="P111" s="21">
        <v>1</v>
      </c>
      <c r="Q111" s="21">
        <v>1</v>
      </c>
      <c r="R111" s="21">
        <v>3</v>
      </c>
      <c r="S111" s="23">
        <v>0</v>
      </c>
      <c r="T111" s="21">
        <v>0</v>
      </c>
      <c r="U111" s="24">
        <v>0</v>
      </c>
      <c r="V111" s="21">
        <v>1</v>
      </c>
      <c r="W111" s="21">
        <v>1</v>
      </c>
      <c r="X111" s="22">
        <v>0</v>
      </c>
      <c r="Y111" s="21">
        <v>0</v>
      </c>
      <c r="Z111" s="27" t="s">
        <v>230</v>
      </c>
    </row>
    <row r="112" spans="3:26" s="2" customFormat="1" ht="20.100000000000001" customHeight="1" x14ac:dyDescent="0.35">
      <c r="C112" s="18">
        <v>100358</v>
      </c>
      <c r="D112" s="18" t="s">
        <v>231</v>
      </c>
      <c r="E112" s="19">
        <v>5</v>
      </c>
      <c r="F112" s="18">
        <v>15311013</v>
      </c>
      <c r="G112" s="14">
        <v>0</v>
      </c>
      <c r="H112" s="12">
        <v>35</v>
      </c>
      <c r="I112" s="12">
        <v>100000</v>
      </c>
      <c r="J112" s="12">
        <v>20</v>
      </c>
      <c r="K112" s="12">
        <v>0</v>
      </c>
      <c r="L112" s="21">
        <v>1</v>
      </c>
      <c r="M112" s="21">
        <v>1</v>
      </c>
      <c r="N112" s="22">
        <v>0.1</v>
      </c>
      <c r="O112" s="21">
        <v>1</v>
      </c>
      <c r="P112" s="21">
        <v>1</v>
      </c>
      <c r="Q112" s="21">
        <v>1</v>
      </c>
      <c r="R112" s="21">
        <v>3</v>
      </c>
      <c r="S112" s="23">
        <v>0</v>
      </c>
      <c r="T112" s="21">
        <v>0</v>
      </c>
      <c r="U112" s="24">
        <v>0</v>
      </c>
      <c r="V112" s="21">
        <v>1</v>
      </c>
      <c r="W112" s="21">
        <v>1</v>
      </c>
      <c r="X112" s="22">
        <v>0</v>
      </c>
      <c r="Y112" s="21">
        <v>0</v>
      </c>
      <c r="Z112" s="27" t="s">
        <v>232</v>
      </c>
    </row>
    <row r="113" spans="3:26" s="2" customFormat="1" ht="20.100000000000001" customHeight="1" x14ac:dyDescent="0.35">
      <c r="C113" s="18">
        <v>100359</v>
      </c>
      <c r="D113" s="18" t="s">
        <v>233</v>
      </c>
      <c r="E113" s="19">
        <v>5</v>
      </c>
      <c r="F113" s="18">
        <v>15310211</v>
      </c>
      <c r="G113" s="14">
        <v>0</v>
      </c>
      <c r="H113" s="12">
        <v>35</v>
      </c>
      <c r="I113" s="12">
        <v>100000</v>
      </c>
      <c r="J113" s="12">
        <v>20</v>
      </c>
      <c r="K113" s="12">
        <v>0</v>
      </c>
      <c r="L113" s="21">
        <v>1</v>
      </c>
      <c r="M113" s="21">
        <v>1</v>
      </c>
      <c r="N113" s="22">
        <v>0.1</v>
      </c>
      <c r="O113" s="21">
        <v>1</v>
      </c>
      <c r="P113" s="21">
        <v>1</v>
      </c>
      <c r="Q113" s="21">
        <v>1</v>
      </c>
      <c r="R113" s="21">
        <v>3</v>
      </c>
      <c r="S113" s="23">
        <v>0</v>
      </c>
      <c r="T113" s="21">
        <v>0</v>
      </c>
      <c r="U113" s="24">
        <v>0</v>
      </c>
      <c r="V113" s="21">
        <v>1</v>
      </c>
      <c r="W113" s="21">
        <v>1</v>
      </c>
      <c r="X113" s="22">
        <v>0</v>
      </c>
      <c r="Y113" s="21">
        <v>0</v>
      </c>
      <c r="Z113" s="27" t="s">
        <v>234</v>
      </c>
    </row>
    <row r="114" spans="3:26" s="1" customFormat="1" ht="20.100000000000001" customHeight="1" x14ac:dyDescent="0.35">
      <c r="C114" s="12">
        <v>100401</v>
      </c>
      <c r="D114" s="12" t="s">
        <v>235</v>
      </c>
      <c r="E114" s="12">
        <v>2</v>
      </c>
      <c r="F114" s="20">
        <v>15401002</v>
      </c>
      <c r="G114" s="14">
        <v>0</v>
      </c>
      <c r="H114" s="12">
        <v>40</v>
      </c>
      <c r="I114" s="12">
        <v>20000</v>
      </c>
      <c r="J114" s="12">
        <v>12</v>
      </c>
      <c r="K114" s="12">
        <v>0</v>
      </c>
      <c r="L114" s="21">
        <v>1</v>
      </c>
      <c r="M114" s="21">
        <v>1</v>
      </c>
      <c r="N114" s="22">
        <v>0.1</v>
      </c>
      <c r="O114" s="21">
        <v>1</v>
      </c>
      <c r="P114" s="21">
        <v>1</v>
      </c>
      <c r="Q114" s="21">
        <v>1</v>
      </c>
      <c r="R114" s="21">
        <v>3</v>
      </c>
      <c r="S114" s="21">
        <f t="shared" ref="S114:S140" si="2">S78+100</f>
        <v>300</v>
      </c>
      <c r="T114" s="21">
        <v>420</v>
      </c>
      <c r="U114" s="22" t="s">
        <v>52</v>
      </c>
      <c r="V114" s="21">
        <v>1</v>
      </c>
      <c r="W114" s="21">
        <v>1</v>
      </c>
      <c r="X114" s="22">
        <v>0</v>
      </c>
      <c r="Y114" s="21">
        <v>0</v>
      </c>
      <c r="Z114" s="26" t="s">
        <v>236</v>
      </c>
    </row>
    <row r="115" spans="3:26" s="1" customFormat="1" ht="20.100000000000001" customHeight="1" x14ac:dyDescent="0.35">
      <c r="C115" s="12">
        <v>100402</v>
      </c>
      <c r="D115" s="12" t="s">
        <v>237</v>
      </c>
      <c r="E115" s="12">
        <v>2</v>
      </c>
      <c r="F115" s="20">
        <v>15401004</v>
      </c>
      <c r="G115" s="14">
        <v>0</v>
      </c>
      <c r="H115" s="12">
        <v>40</v>
      </c>
      <c r="I115" s="12">
        <v>20000</v>
      </c>
      <c r="J115" s="12">
        <v>12</v>
      </c>
      <c r="K115" s="12">
        <v>0</v>
      </c>
      <c r="L115" s="21">
        <v>1</v>
      </c>
      <c r="M115" s="21">
        <v>1</v>
      </c>
      <c r="N115" s="22">
        <v>0.1</v>
      </c>
      <c r="O115" s="21">
        <v>1</v>
      </c>
      <c r="P115" s="21">
        <v>1</v>
      </c>
      <c r="Q115" s="21">
        <v>1</v>
      </c>
      <c r="R115" s="21">
        <v>3</v>
      </c>
      <c r="S115" s="21">
        <f t="shared" si="2"/>
        <v>300</v>
      </c>
      <c r="T115" s="21">
        <v>420</v>
      </c>
      <c r="U115" s="22" t="s">
        <v>52</v>
      </c>
      <c r="V115" s="21">
        <v>1</v>
      </c>
      <c r="W115" s="21">
        <v>1</v>
      </c>
      <c r="X115" s="22">
        <v>0</v>
      </c>
      <c r="Y115" s="21">
        <v>0</v>
      </c>
      <c r="Z115" s="26" t="s">
        <v>238</v>
      </c>
    </row>
    <row r="116" spans="3:26" s="1" customFormat="1" ht="20.100000000000001" customHeight="1" x14ac:dyDescent="0.35">
      <c r="C116" s="12">
        <v>100403</v>
      </c>
      <c r="D116" s="12" t="s">
        <v>239</v>
      </c>
      <c r="E116" s="12">
        <v>2</v>
      </c>
      <c r="F116" s="20">
        <v>15401006</v>
      </c>
      <c r="G116" s="14">
        <v>0</v>
      </c>
      <c r="H116" s="12">
        <v>40</v>
      </c>
      <c r="I116" s="12">
        <v>20000</v>
      </c>
      <c r="J116" s="12">
        <v>12</v>
      </c>
      <c r="K116" s="12">
        <v>0</v>
      </c>
      <c r="L116" s="21">
        <v>1</v>
      </c>
      <c r="M116" s="21">
        <v>1</v>
      </c>
      <c r="N116" s="22">
        <v>0.1</v>
      </c>
      <c r="O116" s="21">
        <v>1</v>
      </c>
      <c r="P116" s="21">
        <v>1</v>
      </c>
      <c r="Q116" s="21">
        <v>1</v>
      </c>
      <c r="R116" s="21">
        <v>3</v>
      </c>
      <c r="S116" s="21">
        <f t="shared" si="2"/>
        <v>300</v>
      </c>
      <c r="T116" s="21">
        <v>420</v>
      </c>
      <c r="U116" s="22" t="s">
        <v>52</v>
      </c>
      <c r="V116" s="21">
        <v>1</v>
      </c>
      <c r="W116" s="21">
        <v>1</v>
      </c>
      <c r="X116" s="22">
        <v>0</v>
      </c>
      <c r="Y116" s="21">
        <v>0</v>
      </c>
      <c r="Z116" s="26" t="s">
        <v>240</v>
      </c>
    </row>
    <row r="117" spans="3:26" s="1" customFormat="1" ht="20.100000000000001" customHeight="1" x14ac:dyDescent="0.35">
      <c r="C117" s="12">
        <v>100404</v>
      </c>
      <c r="D117" s="12" t="s">
        <v>241</v>
      </c>
      <c r="E117" s="12">
        <v>2</v>
      </c>
      <c r="F117" s="20">
        <v>15402002</v>
      </c>
      <c r="G117" s="14">
        <v>0</v>
      </c>
      <c r="H117" s="12">
        <v>41</v>
      </c>
      <c r="I117" s="12">
        <v>20000</v>
      </c>
      <c r="J117" s="12">
        <v>12</v>
      </c>
      <c r="K117" s="12">
        <v>0</v>
      </c>
      <c r="L117" s="21">
        <v>1</v>
      </c>
      <c r="M117" s="21">
        <v>1</v>
      </c>
      <c r="N117" s="22">
        <v>0.1</v>
      </c>
      <c r="O117" s="21">
        <v>1</v>
      </c>
      <c r="P117" s="21">
        <v>1</v>
      </c>
      <c r="Q117" s="21">
        <v>1</v>
      </c>
      <c r="R117" s="21">
        <v>3</v>
      </c>
      <c r="S117" s="21">
        <f t="shared" si="2"/>
        <v>310</v>
      </c>
      <c r="T117" s="21">
        <v>420</v>
      </c>
      <c r="U117" s="22" t="s">
        <v>52</v>
      </c>
      <c r="V117" s="21">
        <v>1</v>
      </c>
      <c r="W117" s="21">
        <v>1</v>
      </c>
      <c r="X117" s="22">
        <v>0</v>
      </c>
      <c r="Y117" s="21">
        <v>0</v>
      </c>
      <c r="Z117" s="26" t="s">
        <v>242</v>
      </c>
    </row>
    <row r="118" spans="3:26" s="1" customFormat="1" ht="20.100000000000001" customHeight="1" x14ac:dyDescent="0.35">
      <c r="C118" s="12">
        <v>100405</v>
      </c>
      <c r="D118" s="12" t="s">
        <v>243</v>
      </c>
      <c r="E118" s="12">
        <v>2</v>
      </c>
      <c r="F118" s="20">
        <v>15402004</v>
      </c>
      <c r="G118" s="14">
        <v>0</v>
      </c>
      <c r="H118" s="12">
        <v>41</v>
      </c>
      <c r="I118" s="12">
        <v>20000</v>
      </c>
      <c r="J118" s="12">
        <v>12</v>
      </c>
      <c r="K118" s="12">
        <v>0</v>
      </c>
      <c r="L118" s="21">
        <v>1</v>
      </c>
      <c r="M118" s="21">
        <v>1</v>
      </c>
      <c r="N118" s="22">
        <v>0.1</v>
      </c>
      <c r="O118" s="21">
        <v>1</v>
      </c>
      <c r="P118" s="21">
        <v>1</v>
      </c>
      <c r="Q118" s="21">
        <v>1</v>
      </c>
      <c r="R118" s="21">
        <v>3</v>
      </c>
      <c r="S118" s="21">
        <f t="shared" si="2"/>
        <v>310</v>
      </c>
      <c r="T118" s="21">
        <v>420</v>
      </c>
      <c r="U118" s="22" t="s">
        <v>52</v>
      </c>
      <c r="V118" s="21">
        <v>1</v>
      </c>
      <c r="W118" s="21">
        <v>1</v>
      </c>
      <c r="X118" s="22">
        <v>0</v>
      </c>
      <c r="Y118" s="21">
        <v>0</v>
      </c>
      <c r="Z118" s="26" t="s">
        <v>244</v>
      </c>
    </row>
    <row r="119" spans="3:26" s="1" customFormat="1" ht="20.100000000000001" customHeight="1" x14ac:dyDescent="0.35">
      <c r="C119" s="12">
        <v>100406</v>
      </c>
      <c r="D119" s="12" t="s">
        <v>245</v>
      </c>
      <c r="E119" s="12">
        <v>2</v>
      </c>
      <c r="F119" s="20">
        <v>15402006</v>
      </c>
      <c r="G119" s="14">
        <v>0</v>
      </c>
      <c r="H119" s="12">
        <v>41</v>
      </c>
      <c r="I119" s="12">
        <v>20000</v>
      </c>
      <c r="J119" s="12">
        <v>12</v>
      </c>
      <c r="K119" s="12">
        <v>0</v>
      </c>
      <c r="L119" s="21">
        <v>1</v>
      </c>
      <c r="M119" s="21">
        <v>1</v>
      </c>
      <c r="N119" s="22">
        <v>0.1</v>
      </c>
      <c r="O119" s="21">
        <v>1</v>
      </c>
      <c r="P119" s="21">
        <v>1</v>
      </c>
      <c r="Q119" s="21">
        <v>1</v>
      </c>
      <c r="R119" s="21">
        <v>3</v>
      </c>
      <c r="S119" s="21">
        <f t="shared" si="2"/>
        <v>310</v>
      </c>
      <c r="T119" s="21">
        <v>420</v>
      </c>
      <c r="U119" s="22" t="s">
        <v>52</v>
      </c>
      <c r="V119" s="21">
        <v>1</v>
      </c>
      <c r="W119" s="21">
        <v>1</v>
      </c>
      <c r="X119" s="22">
        <v>0</v>
      </c>
      <c r="Y119" s="21">
        <v>0</v>
      </c>
      <c r="Z119" s="26" t="s">
        <v>246</v>
      </c>
    </row>
    <row r="120" spans="3:26" s="1" customFormat="1" ht="20.100000000000001" customHeight="1" x14ac:dyDescent="0.35">
      <c r="C120" s="12">
        <v>100407</v>
      </c>
      <c r="D120" s="12" t="s">
        <v>247</v>
      </c>
      <c r="E120" s="12">
        <v>2</v>
      </c>
      <c r="F120" s="20">
        <v>15403002</v>
      </c>
      <c r="G120" s="14">
        <v>0</v>
      </c>
      <c r="H120" s="12">
        <v>42</v>
      </c>
      <c r="I120" s="12">
        <v>20000</v>
      </c>
      <c r="J120" s="12">
        <v>12</v>
      </c>
      <c r="K120" s="12">
        <v>0</v>
      </c>
      <c r="L120" s="21">
        <v>1</v>
      </c>
      <c r="M120" s="21">
        <v>1</v>
      </c>
      <c r="N120" s="22">
        <v>0.1</v>
      </c>
      <c r="O120" s="21">
        <v>1</v>
      </c>
      <c r="P120" s="21">
        <v>1</v>
      </c>
      <c r="Q120" s="21">
        <v>1</v>
      </c>
      <c r="R120" s="21">
        <v>3</v>
      </c>
      <c r="S120" s="21">
        <f t="shared" si="2"/>
        <v>320</v>
      </c>
      <c r="T120" s="21">
        <v>420</v>
      </c>
      <c r="U120" s="22" t="s">
        <v>52</v>
      </c>
      <c r="V120" s="21">
        <v>1</v>
      </c>
      <c r="W120" s="21">
        <v>1</v>
      </c>
      <c r="X120" s="22">
        <v>0</v>
      </c>
      <c r="Y120" s="21">
        <v>0</v>
      </c>
      <c r="Z120" s="26" t="s">
        <v>248</v>
      </c>
    </row>
    <row r="121" spans="3:26" s="1" customFormat="1" ht="20.100000000000001" customHeight="1" x14ac:dyDescent="0.35">
      <c r="C121" s="12">
        <v>100408</v>
      </c>
      <c r="D121" s="12" t="s">
        <v>249</v>
      </c>
      <c r="E121" s="12">
        <v>2</v>
      </c>
      <c r="F121" s="20">
        <v>15403004</v>
      </c>
      <c r="G121" s="14">
        <v>0</v>
      </c>
      <c r="H121" s="12">
        <v>42</v>
      </c>
      <c r="I121" s="12">
        <v>20000</v>
      </c>
      <c r="J121" s="12">
        <v>12</v>
      </c>
      <c r="K121" s="12">
        <v>0</v>
      </c>
      <c r="L121" s="21">
        <v>1</v>
      </c>
      <c r="M121" s="21">
        <v>1</v>
      </c>
      <c r="N121" s="22">
        <v>0.1</v>
      </c>
      <c r="O121" s="21">
        <v>1</v>
      </c>
      <c r="P121" s="21">
        <v>1</v>
      </c>
      <c r="Q121" s="21">
        <v>1</v>
      </c>
      <c r="R121" s="21">
        <v>3</v>
      </c>
      <c r="S121" s="21">
        <f t="shared" si="2"/>
        <v>320</v>
      </c>
      <c r="T121" s="21">
        <v>420</v>
      </c>
      <c r="U121" s="22" t="s">
        <v>52</v>
      </c>
      <c r="V121" s="21">
        <v>1</v>
      </c>
      <c r="W121" s="21">
        <v>1</v>
      </c>
      <c r="X121" s="22">
        <v>0</v>
      </c>
      <c r="Y121" s="21">
        <v>0</v>
      </c>
      <c r="Z121" s="26" t="s">
        <v>236</v>
      </c>
    </row>
    <row r="122" spans="3:26" s="1" customFormat="1" ht="20.100000000000001" customHeight="1" x14ac:dyDescent="0.35">
      <c r="C122" s="12">
        <v>100409</v>
      </c>
      <c r="D122" s="12" t="s">
        <v>250</v>
      </c>
      <c r="E122" s="12">
        <v>2</v>
      </c>
      <c r="F122" s="20">
        <v>15403006</v>
      </c>
      <c r="G122" s="14">
        <v>0</v>
      </c>
      <c r="H122" s="12">
        <v>42</v>
      </c>
      <c r="I122" s="12">
        <v>20000</v>
      </c>
      <c r="J122" s="12">
        <v>12</v>
      </c>
      <c r="K122" s="12">
        <v>0</v>
      </c>
      <c r="L122" s="21">
        <v>1</v>
      </c>
      <c r="M122" s="21">
        <v>1</v>
      </c>
      <c r="N122" s="22">
        <v>0.1</v>
      </c>
      <c r="O122" s="21">
        <v>1</v>
      </c>
      <c r="P122" s="21">
        <v>1</v>
      </c>
      <c r="Q122" s="21">
        <v>1</v>
      </c>
      <c r="R122" s="21">
        <v>3</v>
      </c>
      <c r="S122" s="21">
        <f t="shared" si="2"/>
        <v>320</v>
      </c>
      <c r="T122" s="21">
        <v>420</v>
      </c>
      <c r="U122" s="22" t="s">
        <v>52</v>
      </c>
      <c r="V122" s="21">
        <v>1</v>
      </c>
      <c r="W122" s="21">
        <v>1</v>
      </c>
      <c r="X122" s="22">
        <v>0</v>
      </c>
      <c r="Y122" s="21">
        <v>0</v>
      </c>
      <c r="Z122" s="26" t="s">
        <v>238</v>
      </c>
    </row>
    <row r="123" spans="3:26" s="1" customFormat="1" ht="20.100000000000001" customHeight="1" x14ac:dyDescent="0.35">
      <c r="C123" s="12">
        <v>100410</v>
      </c>
      <c r="D123" s="12" t="s">
        <v>251</v>
      </c>
      <c r="E123" s="12">
        <v>2</v>
      </c>
      <c r="F123" s="20">
        <v>15404002</v>
      </c>
      <c r="G123" s="14">
        <v>0</v>
      </c>
      <c r="H123" s="12">
        <v>43</v>
      </c>
      <c r="I123" s="12">
        <v>20000</v>
      </c>
      <c r="J123" s="12">
        <v>12</v>
      </c>
      <c r="K123" s="12">
        <v>0</v>
      </c>
      <c r="L123" s="21">
        <v>1</v>
      </c>
      <c r="M123" s="21">
        <v>1</v>
      </c>
      <c r="N123" s="22">
        <v>0.1</v>
      </c>
      <c r="O123" s="21">
        <v>1</v>
      </c>
      <c r="P123" s="21">
        <v>1</v>
      </c>
      <c r="Q123" s="21">
        <v>1</v>
      </c>
      <c r="R123" s="21">
        <v>3</v>
      </c>
      <c r="S123" s="21">
        <f t="shared" si="2"/>
        <v>330</v>
      </c>
      <c r="T123" s="21">
        <v>420</v>
      </c>
      <c r="U123" s="22" t="s">
        <v>52</v>
      </c>
      <c r="V123" s="21">
        <v>1</v>
      </c>
      <c r="W123" s="21">
        <v>1</v>
      </c>
      <c r="X123" s="22">
        <v>0</v>
      </c>
      <c r="Y123" s="21">
        <v>0</v>
      </c>
      <c r="Z123" s="26" t="s">
        <v>240</v>
      </c>
    </row>
    <row r="124" spans="3:26" s="1" customFormat="1" ht="20.100000000000001" customHeight="1" x14ac:dyDescent="0.35">
      <c r="C124" s="12">
        <v>100411</v>
      </c>
      <c r="D124" s="12" t="s">
        <v>252</v>
      </c>
      <c r="E124" s="12">
        <v>2</v>
      </c>
      <c r="F124" s="20">
        <v>15404004</v>
      </c>
      <c r="G124" s="14">
        <v>0</v>
      </c>
      <c r="H124" s="12">
        <v>43</v>
      </c>
      <c r="I124" s="12">
        <v>20000</v>
      </c>
      <c r="J124" s="12">
        <v>12</v>
      </c>
      <c r="K124" s="12">
        <v>0</v>
      </c>
      <c r="L124" s="21">
        <v>1</v>
      </c>
      <c r="M124" s="21">
        <v>1</v>
      </c>
      <c r="N124" s="22">
        <v>0.1</v>
      </c>
      <c r="O124" s="21">
        <v>1</v>
      </c>
      <c r="P124" s="21">
        <v>1</v>
      </c>
      <c r="Q124" s="21">
        <v>1</v>
      </c>
      <c r="R124" s="21">
        <v>3</v>
      </c>
      <c r="S124" s="21">
        <f t="shared" si="2"/>
        <v>330</v>
      </c>
      <c r="T124" s="21">
        <v>420</v>
      </c>
      <c r="U124" s="22" t="s">
        <v>52</v>
      </c>
      <c r="V124" s="21">
        <v>1</v>
      </c>
      <c r="W124" s="21">
        <v>1</v>
      </c>
      <c r="X124" s="22">
        <v>0</v>
      </c>
      <c r="Y124" s="21">
        <v>0</v>
      </c>
      <c r="Z124" s="26" t="s">
        <v>242</v>
      </c>
    </row>
    <row r="125" spans="3:26" s="1" customFormat="1" ht="20.100000000000001" customHeight="1" x14ac:dyDescent="0.35">
      <c r="C125" s="12">
        <v>100412</v>
      </c>
      <c r="D125" s="12" t="s">
        <v>253</v>
      </c>
      <c r="E125" s="12">
        <v>2</v>
      </c>
      <c r="F125" s="20">
        <v>15404006</v>
      </c>
      <c r="G125" s="14">
        <v>0</v>
      </c>
      <c r="H125" s="12">
        <v>43</v>
      </c>
      <c r="I125" s="12">
        <v>20000</v>
      </c>
      <c r="J125" s="12">
        <v>12</v>
      </c>
      <c r="K125" s="12">
        <v>0</v>
      </c>
      <c r="L125" s="21">
        <v>1</v>
      </c>
      <c r="M125" s="21">
        <v>1</v>
      </c>
      <c r="N125" s="22">
        <v>0.1</v>
      </c>
      <c r="O125" s="21">
        <v>1</v>
      </c>
      <c r="P125" s="21">
        <v>1</v>
      </c>
      <c r="Q125" s="21">
        <v>1</v>
      </c>
      <c r="R125" s="21">
        <v>3</v>
      </c>
      <c r="S125" s="21">
        <f t="shared" si="2"/>
        <v>330</v>
      </c>
      <c r="T125" s="21">
        <v>420</v>
      </c>
      <c r="U125" s="22" t="s">
        <v>52</v>
      </c>
      <c r="V125" s="21">
        <v>1</v>
      </c>
      <c r="W125" s="21">
        <v>1</v>
      </c>
      <c r="X125" s="22">
        <v>0</v>
      </c>
      <c r="Y125" s="21">
        <v>0</v>
      </c>
      <c r="Z125" s="26" t="s">
        <v>244</v>
      </c>
    </row>
    <row r="126" spans="3:26" s="1" customFormat="1" ht="20.100000000000001" customHeight="1" x14ac:dyDescent="0.35">
      <c r="C126" s="12">
        <v>100413</v>
      </c>
      <c r="D126" s="12" t="s">
        <v>254</v>
      </c>
      <c r="E126" s="12">
        <v>2</v>
      </c>
      <c r="F126" s="20">
        <v>15405002</v>
      </c>
      <c r="G126" s="14">
        <v>0</v>
      </c>
      <c r="H126" s="12">
        <v>44</v>
      </c>
      <c r="I126" s="12">
        <v>20000</v>
      </c>
      <c r="J126" s="12">
        <v>12</v>
      </c>
      <c r="K126" s="12">
        <v>0</v>
      </c>
      <c r="L126" s="21">
        <v>1</v>
      </c>
      <c r="M126" s="21">
        <v>1</v>
      </c>
      <c r="N126" s="22">
        <v>0.1</v>
      </c>
      <c r="O126" s="21">
        <v>1</v>
      </c>
      <c r="P126" s="21">
        <v>1</v>
      </c>
      <c r="Q126" s="21">
        <v>1</v>
      </c>
      <c r="R126" s="21">
        <v>3</v>
      </c>
      <c r="S126" s="21">
        <f t="shared" si="2"/>
        <v>340</v>
      </c>
      <c r="T126" s="21">
        <v>420</v>
      </c>
      <c r="U126" s="22" t="s">
        <v>52</v>
      </c>
      <c r="V126" s="21">
        <v>1</v>
      </c>
      <c r="W126" s="21">
        <v>1</v>
      </c>
      <c r="X126" s="22">
        <v>0</v>
      </c>
      <c r="Y126" s="21">
        <v>0</v>
      </c>
      <c r="Z126" s="26" t="s">
        <v>246</v>
      </c>
    </row>
    <row r="127" spans="3:26" s="1" customFormat="1" ht="20.100000000000001" customHeight="1" x14ac:dyDescent="0.35">
      <c r="C127" s="12">
        <v>100414</v>
      </c>
      <c r="D127" s="12" t="s">
        <v>255</v>
      </c>
      <c r="E127" s="12">
        <v>2</v>
      </c>
      <c r="F127" s="20">
        <v>15405004</v>
      </c>
      <c r="G127" s="14">
        <v>0</v>
      </c>
      <c r="H127" s="12">
        <v>44</v>
      </c>
      <c r="I127" s="12">
        <v>20000</v>
      </c>
      <c r="J127" s="12">
        <v>12</v>
      </c>
      <c r="K127" s="12">
        <v>0</v>
      </c>
      <c r="L127" s="21">
        <v>1</v>
      </c>
      <c r="M127" s="21">
        <v>1</v>
      </c>
      <c r="N127" s="22">
        <v>0.1</v>
      </c>
      <c r="O127" s="21">
        <v>1</v>
      </c>
      <c r="P127" s="21">
        <v>1</v>
      </c>
      <c r="Q127" s="21">
        <v>1</v>
      </c>
      <c r="R127" s="21">
        <v>3</v>
      </c>
      <c r="S127" s="21">
        <f t="shared" si="2"/>
        <v>340</v>
      </c>
      <c r="T127" s="21">
        <v>420</v>
      </c>
      <c r="U127" s="22" t="s">
        <v>52</v>
      </c>
      <c r="V127" s="21">
        <v>1</v>
      </c>
      <c r="W127" s="21">
        <v>1</v>
      </c>
      <c r="X127" s="22">
        <v>0</v>
      </c>
      <c r="Y127" s="21">
        <v>0</v>
      </c>
      <c r="Z127" s="26" t="s">
        <v>248</v>
      </c>
    </row>
    <row r="128" spans="3:26" s="1" customFormat="1" ht="20.100000000000001" customHeight="1" x14ac:dyDescent="0.35">
      <c r="C128" s="12">
        <v>100415</v>
      </c>
      <c r="D128" s="12" t="s">
        <v>256</v>
      </c>
      <c r="E128" s="12">
        <v>2</v>
      </c>
      <c r="F128" s="20">
        <v>15405006</v>
      </c>
      <c r="G128" s="14">
        <v>0</v>
      </c>
      <c r="H128" s="12">
        <v>44</v>
      </c>
      <c r="I128" s="12">
        <v>20000</v>
      </c>
      <c r="J128" s="12">
        <v>12</v>
      </c>
      <c r="K128" s="12">
        <v>0</v>
      </c>
      <c r="L128" s="21">
        <v>1</v>
      </c>
      <c r="M128" s="21">
        <v>1</v>
      </c>
      <c r="N128" s="22">
        <v>0.1</v>
      </c>
      <c r="O128" s="21">
        <v>1</v>
      </c>
      <c r="P128" s="21">
        <v>1</v>
      </c>
      <c r="Q128" s="21">
        <v>1</v>
      </c>
      <c r="R128" s="21">
        <v>3</v>
      </c>
      <c r="S128" s="21">
        <f t="shared" si="2"/>
        <v>340</v>
      </c>
      <c r="T128" s="21">
        <v>420</v>
      </c>
      <c r="U128" s="22" t="s">
        <v>52</v>
      </c>
      <c r="V128" s="21">
        <v>1</v>
      </c>
      <c r="W128" s="21">
        <v>1</v>
      </c>
      <c r="X128" s="22">
        <v>0</v>
      </c>
      <c r="Y128" s="21">
        <v>0</v>
      </c>
      <c r="Z128" s="26" t="s">
        <v>236</v>
      </c>
    </row>
    <row r="129" spans="3:26" s="1" customFormat="1" ht="20.100000000000001" customHeight="1" x14ac:dyDescent="0.35">
      <c r="C129" s="12">
        <v>100416</v>
      </c>
      <c r="D129" s="12" t="s">
        <v>257</v>
      </c>
      <c r="E129" s="12">
        <v>3</v>
      </c>
      <c r="F129" s="20">
        <v>15406002</v>
      </c>
      <c r="G129" s="14">
        <v>0</v>
      </c>
      <c r="H129" s="12">
        <v>41</v>
      </c>
      <c r="I129" s="12">
        <v>20000</v>
      </c>
      <c r="J129" s="12">
        <v>12</v>
      </c>
      <c r="K129" s="12">
        <v>0</v>
      </c>
      <c r="L129" s="21">
        <v>1</v>
      </c>
      <c r="M129" s="21">
        <v>1</v>
      </c>
      <c r="N129" s="22">
        <v>0.1</v>
      </c>
      <c r="O129" s="21">
        <v>1</v>
      </c>
      <c r="P129" s="21">
        <v>1</v>
      </c>
      <c r="Q129" s="21">
        <v>1</v>
      </c>
      <c r="R129" s="21">
        <v>3</v>
      </c>
      <c r="S129" s="21">
        <f t="shared" si="2"/>
        <v>350</v>
      </c>
      <c r="T129" s="21">
        <v>420</v>
      </c>
      <c r="U129" s="22" t="s">
        <v>52</v>
      </c>
      <c r="V129" s="21">
        <v>1</v>
      </c>
      <c r="W129" s="21">
        <v>1</v>
      </c>
      <c r="X129" s="22">
        <v>0</v>
      </c>
      <c r="Y129" s="21">
        <v>0</v>
      </c>
      <c r="Z129" s="26" t="s">
        <v>258</v>
      </c>
    </row>
    <row r="130" spans="3:26" s="1" customFormat="1" ht="20.100000000000001" customHeight="1" x14ac:dyDescent="0.35">
      <c r="C130" s="12">
        <v>100417</v>
      </c>
      <c r="D130" s="12" t="s">
        <v>259</v>
      </c>
      <c r="E130" s="12">
        <v>3</v>
      </c>
      <c r="F130" s="20">
        <v>15407002</v>
      </c>
      <c r="G130" s="14">
        <v>0</v>
      </c>
      <c r="H130" s="12">
        <v>43</v>
      </c>
      <c r="I130" s="12">
        <v>20000</v>
      </c>
      <c r="J130" s="12">
        <v>12</v>
      </c>
      <c r="K130" s="12">
        <v>0</v>
      </c>
      <c r="L130" s="21">
        <v>1</v>
      </c>
      <c r="M130" s="21">
        <v>1</v>
      </c>
      <c r="N130" s="22">
        <v>0.1</v>
      </c>
      <c r="O130" s="21">
        <v>1</v>
      </c>
      <c r="P130" s="21">
        <v>1</v>
      </c>
      <c r="Q130" s="21">
        <v>1</v>
      </c>
      <c r="R130" s="21">
        <v>3</v>
      </c>
      <c r="S130" s="21">
        <f t="shared" si="2"/>
        <v>350</v>
      </c>
      <c r="T130" s="21">
        <v>420</v>
      </c>
      <c r="U130" s="22" t="s">
        <v>52</v>
      </c>
      <c r="V130" s="21">
        <v>1</v>
      </c>
      <c r="W130" s="21">
        <v>1</v>
      </c>
      <c r="X130" s="22">
        <v>0</v>
      </c>
      <c r="Y130" s="21">
        <v>0</v>
      </c>
      <c r="Z130" s="26" t="s">
        <v>260</v>
      </c>
    </row>
    <row r="131" spans="3:26" s="1" customFormat="1" ht="20.100000000000001" customHeight="1" x14ac:dyDescent="0.35">
      <c r="C131" s="12">
        <v>100418</v>
      </c>
      <c r="D131" s="12" t="s">
        <v>261</v>
      </c>
      <c r="E131" s="12">
        <v>1</v>
      </c>
      <c r="F131" s="20">
        <v>15408002</v>
      </c>
      <c r="G131" s="14">
        <v>0</v>
      </c>
      <c r="H131" s="12">
        <v>41</v>
      </c>
      <c r="I131" s="12">
        <v>20000</v>
      </c>
      <c r="J131" s="12">
        <v>12</v>
      </c>
      <c r="K131" s="12">
        <v>0</v>
      </c>
      <c r="L131" s="21">
        <v>1</v>
      </c>
      <c r="M131" s="21">
        <v>1</v>
      </c>
      <c r="N131" s="22">
        <v>0.1</v>
      </c>
      <c r="O131" s="21">
        <v>1</v>
      </c>
      <c r="P131" s="21">
        <v>1</v>
      </c>
      <c r="Q131" s="21">
        <v>1</v>
      </c>
      <c r="R131" s="21">
        <v>3</v>
      </c>
      <c r="S131" s="21">
        <f t="shared" si="2"/>
        <v>350</v>
      </c>
      <c r="T131" s="21">
        <v>420</v>
      </c>
      <c r="U131" s="22" t="s">
        <v>52</v>
      </c>
      <c r="V131" s="21">
        <v>1</v>
      </c>
      <c r="W131" s="21">
        <v>1</v>
      </c>
      <c r="X131" s="22">
        <v>0</v>
      </c>
      <c r="Y131" s="21">
        <v>0</v>
      </c>
      <c r="Z131" s="26" t="s">
        <v>262</v>
      </c>
    </row>
    <row r="132" spans="3:26" s="1" customFormat="1" ht="20.100000000000001" customHeight="1" x14ac:dyDescent="0.35">
      <c r="C132" s="12">
        <v>100419</v>
      </c>
      <c r="D132" s="12" t="s">
        <v>263</v>
      </c>
      <c r="E132" s="12">
        <v>1</v>
      </c>
      <c r="F132" s="20">
        <v>15409002</v>
      </c>
      <c r="G132" s="14">
        <v>0</v>
      </c>
      <c r="H132" s="12">
        <v>40</v>
      </c>
      <c r="I132" s="12">
        <v>20000</v>
      </c>
      <c r="J132" s="12">
        <v>12</v>
      </c>
      <c r="K132" s="12">
        <v>0</v>
      </c>
      <c r="L132" s="21">
        <v>1</v>
      </c>
      <c r="M132" s="21">
        <v>1</v>
      </c>
      <c r="N132" s="22">
        <v>0.1</v>
      </c>
      <c r="O132" s="21">
        <v>1</v>
      </c>
      <c r="P132" s="21">
        <v>1</v>
      </c>
      <c r="Q132" s="21">
        <v>1</v>
      </c>
      <c r="R132" s="21">
        <v>3</v>
      </c>
      <c r="S132" s="21">
        <f t="shared" si="2"/>
        <v>320</v>
      </c>
      <c r="T132" s="21">
        <v>420</v>
      </c>
      <c r="U132" s="22" t="s">
        <v>52</v>
      </c>
      <c r="V132" s="21">
        <v>1</v>
      </c>
      <c r="W132" s="21">
        <v>1</v>
      </c>
      <c r="X132" s="22">
        <v>0</v>
      </c>
      <c r="Y132" s="21">
        <v>0</v>
      </c>
      <c r="Z132" s="26" t="s">
        <v>264</v>
      </c>
    </row>
    <row r="133" spans="3:26" s="1" customFormat="1" ht="20.100000000000001" customHeight="1" x14ac:dyDescent="0.35">
      <c r="C133" s="12">
        <v>100420</v>
      </c>
      <c r="D133" s="12" t="s">
        <v>265</v>
      </c>
      <c r="E133" s="12">
        <v>1</v>
      </c>
      <c r="F133" s="20">
        <v>15410002</v>
      </c>
      <c r="G133" s="14">
        <v>0</v>
      </c>
      <c r="H133" s="12">
        <v>45</v>
      </c>
      <c r="I133" s="12">
        <v>20000</v>
      </c>
      <c r="J133" s="12">
        <v>12</v>
      </c>
      <c r="K133" s="12">
        <v>0</v>
      </c>
      <c r="L133" s="21">
        <v>1</v>
      </c>
      <c r="M133" s="21">
        <v>1</v>
      </c>
      <c r="N133" s="22">
        <v>0.1</v>
      </c>
      <c r="O133" s="21">
        <v>1</v>
      </c>
      <c r="P133" s="21">
        <v>1</v>
      </c>
      <c r="Q133" s="21">
        <v>1</v>
      </c>
      <c r="R133" s="21">
        <v>3</v>
      </c>
      <c r="S133" s="21">
        <f t="shared" si="2"/>
        <v>340</v>
      </c>
      <c r="T133" s="21">
        <v>420</v>
      </c>
      <c r="U133" s="22" t="s">
        <v>52</v>
      </c>
      <c r="V133" s="21">
        <v>1</v>
      </c>
      <c r="W133" s="21">
        <v>1</v>
      </c>
      <c r="X133" s="22">
        <v>0</v>
      </c>
      <c r="Y133" s="21">
        <v>0</v>
      </c>
      <c r="Z133" s="26" t="s">
        <v>266</v>
      </c>
    </row>
    <row r="134" spans="3:26" s="1" customFormat="1" ht="20.100000000000001" customHeight="1" x14ac:dyDescent="0.35">
      <c r="C134" s="12">
        <v>100421</v>
      </c>
      <c r="D134" s="20" t="s">
        <v>267</v>
      </c>
      <c r="E134" s="12">
        <v>1</v>
      </c>
      <c r="F134" s="20">
        <v>15410004</v>
      </c>
      <c r="G134" s="14">
        <v>0</v>
      </c>
      <c r="H134" s="12">
        <v>45</v>
      </c>
      <c r="I134" s="12">
        <v>20000</v>
      </c>
      <c r="J134" s="12">
        <v>12</v>
      </c>
      <c r="K134" s="12">
        <v>0</v>
      </c>
      <c r="L134" s="21">
        <v>1</v>
      </c>
      <c r="M134" s="21">
        <v>1</v>
      </c>
      <c r="N134" s="22">
        <v>0.1</v>
      </c>
      <c r="O134" s="21">
        <v>1</v>
      </c>
      <c r="P134" s="21">
        <v>1</v>
      </c>
      <c r="Q134" s="21">
        <v>1</v>
      </c>
      <c r="R134" s="21">
        <v>3</v>
      </c>
      <c r="S134" s="21">
        <f t="shared" si="2"/>
        <v>360</v>
      </c>
      <c r="T134" s="21">
        <v>420</v>
      </c>
      <c r="U134" s="22" t="s">
        <v>52</v>
      </c>
      <c r="V134" s="21">
        <v>1</v>
      </c>
      <c r="W134" s="21">
        <v>1</v>
      </c>
      <c r="X134" s="22">
        <v>0</v>
      </c>
      <c r="Y134" s="21">
        <v>0</v>
      </c>
      <c r="Z134" s="26" t="s">
        <v>268</v>
      </c>
    </row>
    <row r="135" spans="3:26" s="1" customFormat="1" ht="20.100000000000001" customHeight="1" x14ac:dyDescent="0.35">
      <c r="C135" s="12">
        <v>100422</v>
      </c>
      <c r="D135" s="12" t="s">
        <v>269</v>
      </c>
      <c r="E135" s="12">
        <v>2</v>
      </c>
      <c r="F135" s="20">
        <v>15411002</v>
      </c>
      <c r="G135" s="14">
        <v>0</v>
      </c>
      <c r="H135" s="12">
        <v>45</v>
      </c>
      <c r="I135" s="12">
        <v>20000</v>
      </c>
      <c r="J135" s="12">
        <v>12</v>
      </c>
      <c r="K135" s="12">
        <v>0</v>
      </c>
      <c r="L135" s="21">
        <v>1</v>
      </c>
      <c r="M135" s="21">
        <v>1</v>
      </c>
      <c r="N135" s="22">
        <v>0.1</v>
      </c>
      <c r="O135" s="21">
        <v>1</v>
      </c>
      <c r="P135" s="21">
        <v>1</v>
      </c>
      <c r="Q135" s="21">
        <v>1</v>
      </c>
      <c r="R135" s="21">
        <v>3</v>
      </c>
      <c r="S135" s="21">
        <f t="shared" si="2"/>
        <v>360</v>
      </c>
      <c r="T135" s="21">
        <v>420</v>
      </c>
      <c r="U135" s="22" t="s">
        <v>52</v>
      </c>
      <c r="V135" s="21">
        <v>1</v>
      </c>
      <c r="W135" s="21">
        <v>1</v>
      </c>
      <c r="X135" s="22">
        <v>0</v>
      </c>
      <c r="Y135" s="21">
        <v>0</v>
      </c>
      <c r="Z135" s="26" t="s">
        <v>270</v>
      </c>
    </row>
    <row r="136" spans="3:26" s="1" customFormat="1" ht="20.100000000000001" customHeight="1" x14ac:dyDescent="0.35">
      <c r="C136" s="12">
        <v>100423</v>
      </c>
      <c r="D136" s="12" t="s">
        <v>271</v>
      </c>
      <c r="E136" s="12">
        <v>2</v>
      </c>
      <c r="F136" s="20">
        <v>15411004</v>
      </c>
      <c r="G136" s="14">
        <v>0</v>
      </c>
      <c r="H136" s="12">
        <v>45</v>
      </c>
      <c r="I136" s="12">
        <v>20000</v>
      </c>
      <c r="J136" s="12">
        <v>12</v>
      </c>
      <c r="K136" s="12">
        <v>0</v>
      </c>
      <c r="L136" s="21">
        <v>1</v>
      </c>
      <c r="M136" s="21">
        <v>1</v>
      </c>
      <c r="N136" s="22">
        <v>0.1</v>
      </c>
      <c r="O136" s="21">
        <v>1</v>
      </c>
      <c r="P136" s="21">
        <v>1</v>
      </c>
      <c r="Q136" s="21">
        <v>1</v>
      </c>
      <c r="R136" s="21">
        <v>3</v>
      </c>
      <c r="S136" s="21">
        <f t="shared" si="2"/>
        <v>360</v>
      </c>
      <c r="T136" s="21">
        <v>420</v>
      </c>
      <c r="U136" s="22" t="s">
        <v>52</v>
      </c>
      <c r="V136" s="21">
        <v>1</v>
      </c>
      <c r="W136" s="21">
        <v>1</v>
      </c>
      <c r="X136" s="22">
        <v>0</v>
      </c>
      <c r="Y136" s="21">
        <v>0</v>
      </c>
      <c r="Z136" s="26" t="s">
        <v>272</v>
      </c>
    </row>
    <row r="137" spans="3:26" s="1" customFormat="1" ht="20.100000000000001" customHeight="1" x14ac:dyDescent="0.35">
      <c r="C137" s="12">
        <v>100424</v>
      </c>
      <c r="D137" s="12" t="s">
        <v>273</v>
      </c>
      <c r="E137" s="12">
        <v>2</v>
      </c>
      <c r="F137" s="20">
        <v>15411006</v>
      </c>
      <c r="G137" s="14">
        <v>0</v>
      </c>
      <c r="H137" s="12">
        <v>45</v>
      </c>
      <c r="I137" s="12">
        <v>20000</v>
      </c>
      <c r="J137" s="12">
        <v>12</v>
      </c>
      <c r="K137" s="12">
        <v>0</v>
      </c>
      <c r="L137" s="21">
        <v>1</v>
      </c>
      <c r="M137" s="21">
        <v>1</v>
      </c>
      <c r="N137" s="22">
        <v>0.1</v>
      </c>
      <c r="O137" s="21">
        <v>1</v>
      </c>
      <c r="P137" s="21">
        <v>1</v>
      </c>
      <c r="Q137" s="21">
        <v>1</v>
      </c>
      <c r="R137" s="21">
        <v>3</v>
      </c>
      <c r="S137" s="21">
        <f t="shared" si="2"/>
        <v>360</v>
      </c>
      <c r="T137" s="21">
        <v>420</v>
      </c>
      <c r="U137" s="22" t="s">
        <v>52</v>
      </c>
      <c r="V137" s="21">
        <v>1</v>
      </c>
      <c r="W137" s="21">
        <v>1</v>
      </c>
      <c r="X137" s="22">
        <v>0</v>
      </c>
      <c r="Y137" s="21">
        <v>0</v>
      </c>
      <c r="Z137" s="26" t="s">
        <v>274</v>
      </c>
    </row>
    <row r="138" spans="3:26" s="1" customFormat="1" ht="20.100000000000001" customHeight="1" x14ac:dyDescent="0.35">
      <c r="C138" s="12">
        <v>100425</v>
      </c>
      <c r="D138" s="15" t="s">
        <v>275</v>
      </c>
      <c r="E138" s="12">
        <v>1</v>
      </c>
      <c r="F138" s="15">
        <v>15410102</v>
      </c>
      <c r="G138" s="14">
        <v>0</v>
      </c>
      <c r="H138" s="12">
        <v>45</v>
      </c>
      <c r="I138" s="12">
        <v>20000</v>
      </c>
      <c r="J138" s="12">
        <v>20</v>
      </c>
      <c r="K138" s="12">
        <v>0</v>
      </c>
      <c r="L138" s="21">
        <v>1</v>
      </c>
      <c r="M138" s="21">
        <v>1</v>
      </c>
      <c r="N138" s="22">
        <v>0.1</v>
      </c>
      <c r="O138" s="21">
        <v>1</v>
      </c>
      <c r="P138" s="21">
        <v>1</v>
      </c>
      <c r="Q138" s="21">
        <v>1</v>
      </c>
      <c r="R138" s="21">
        <v>3</v>
      </c>
      <c r="S138" s="21">
        <f t="shared" si="2"/>
        <v>340</v>
      </c>
      <c r="T138" s="21">
        <v>420</v>
      </c>
      <c r="U138" s="22" t="s">
        <v>52</v>
      </c>
      <c r="V138" s="21">
        <v>1</v>
      </c>
      <c r="W138" s="21">
        <v>1</v>
      </c>
      <c r="X138" s="22">
        <v>0</v>
      </c>
      <c r="Y138" s="21">
        <v>0</v>
      </c>
      <c r="Z138" s="26" t="s">
        <v>266</v>
      </c>
    </row>
    <row r="139" spans="3:26" s="1" customFormat="1" ht="20.100000000000001" customHeight="1" x14ac:dyDescent="0.35">
      <c r="C139" s="12">
        <v>100426</v>
      </c>
      <c r="D139" s="15" t="s">
        <v>275</v>
      </c>
      <c r="E139" s="12">
        <v>1</v>
      </c>
      <c r="F139" s="15">
        <v>15410104</v>
      </c>
      <c r="G139" s="14">
        <v>0</v>
      </c>
      <c r="H139" s="12">
        <v>45</v>
      </c>
      <c r="I139" s="12">
        <v>20000</v>
      </c>
      <c r="J139" s="12">
        <v>20</v>
      </c>
      <c r="K139" s="12">
        <v>0</v>
      </c>
      <c r="L139" s="21">
        <v>1</v>
      </c>
      <c r="M139" s="21">
        <v>1</v>
      </c>
      <c r="N139" s="22">
        <v>0.1</v>
      </c>
      <c r="O139" s="21">
        <v>1</v>
      </c>
      <c r="P139" s="21">
        <v>1</v>
      </c>
      <c r="Q139" s="21">
        <v>1</v>
      </c>
      <c r="R139" s="21">
        <v>3</v>
      </c>
      <c r="S139" s="21">
        <f t="shared" si="2"/>
        <v>360</v>
      </c>
      <c r="T139" s="21">
        <v>420</v>
      </c>
      <c r="U139" s="22" t="s">
        <v>52</v>
      </c>
      <c r="V139" s="21">
        <v>1</v>
      </c>
      <c r="W139" s="21">
        <v>1</v>
      </c>
      <c r="X139" s="22">
        <v>0</v>
      </c>
      <c r="Y139" s="21">
        <v>0</v>
      </c>
      <c r="Z139" s="26" t="s">
        <v>268</v>
      </c>
    </row>
    <row r="140" spans="3:26" s="1" customFormat="1" ht="20.100000000000001" customHeight="1" x14ac:dyDescent="0.35">
      <c r="C140" s="12">
        <v>100427</v>
      </c>
      <c r="D140" s="12" t="s">
        <v>276</v>
      </c>
      <c r="E140" s="12">
        <v>1</v>
      </c>
      <c r="F140" s="20">
        <v>15410202</v>
      </c>
      <c r="G140" s="14">
        <v>0</v>
      </c>
      <c r="H140" s="12">
        <v>45</v>
      </c>
      <c r="I140" s="12">
        <v>20000</v>
      </c>
      <c r="J140" s="12">
        <v>12</v>
      </c>
      <c r="K140" s="12">
        <v>0</v>
      </c>
      <c r="L140" s="21">
        <v>1</v>
      </c>
      <c r="M140" s="21">
        <v>1</v>
      </c>
      <c r="N140" s="22">
        <v>0.1</v>
      </c>
      <c r="O140" s="21">
        <v>1</v>
      </c>
      <c r="P140" s="21">
        <v>1</v>
      </c>
      <c r="Q140" s="21">
        <v>1</v>
      </c>
      <c r="R140" s="21">
        <v>3</v>
      </c>
      <c r="S140" s="21">
        <f t="shared" si="2"/>
        <v>340</v>
      </c>
      <c r="T140" s="21">
        <v>420</v>
      </c>
      <c r="U140" s="22" t="s">
        <v>52</v>
      </c>
      <c r="V140" s="21">
        <v>1</v>
      </c>
      <c r="W140" s="21">
        <v>1</v>
      </c>
      <c r="X140" s="22">
        <v>0</v>
      </c>
      <c r="Y140" s="21">
        <v>0</v>
      </c>
      <c r="Z140" s="26" t="s">
        <v>266</v>
      </c>
    </row>
    <row r="141" spans="3:26" s="2" customFormat="1" ht="20.100000000000001" customHeight="1" x14ac:dyDescent="0.35">
      <c r="C141" s="18">
        <v>100451</v>
      </c>
      <c r="D141" s="18" t="s">
        <v>277</v>
      </c>
      <c r="E141" s="19">
        <v>5</v>
      </c>
      <c r="F141" s="18">
        <v>15406003</v>
      </c>
      <c r="G141" s="14">
        <v>0</v>
      </c>
      <c r="H141" s="12">
        <v>45</v>
      </c>
      <c r="I141" s="12">
        <v>100000</v>
      </c>
      <c r="J141" s="12">
        <v>20</v>
      </c>
      <c r="K141" s="12">
        <v>0</v>
      </c>
      <c r="L141" s="21">
        <v>1</v>
      </c>
      <c r="M141" s="21">
        <v>1</v>
      </c>
      <c r="N141" s="22">
        <v>0.1</v>
      </c>
      <c r="O141" s="21">
        <v>1</v>
      </c>
      <c r="P141" s="21">
        <v>1</v>
      </c>
      <c r="Q141" s="21">
        <v>1</v>
      </c>
      <c r="R141" s="21">
        <v>3</v>
      </c>
      <c r="S141" s="23">
        <v>0</v>
      </c>
      <c r="T141" s="21">
        <v>0</v>
      </c>
      <c r="U141" s="22">
        <v>0</v>
      </c>
      <c r="V141" s="21">
        <v>1</v>
      </c>
      <c r="W141" s="21">
        <v>1</v>
      </c>
      <c r="X141" s="22">
        <v>0</v>
      </c>
      <c r="Y141" s="21">
        <v>0</v>
      </c>
      <c r="Z141" s="27" t="s">
        <v>278</v>
      </c>
    </row>
    <row r="142" spans="3:26" s="2" customFormat="1" ht="20.100000000000001" customHeight="1" x14ac:dyDescent="0.35">
      <c r="C142" s="18">
        <v>100452</v>
      </c>
      <c r="D142" s="18" t="s">
        <v>279</v>
      </c>
      <c r="E142" s="19">
        <v>5</v>
      </c>
      <c r="F142" s="18">
        <v>15410011</v>
      </c>
      <c r="G142" s="14">
        <v>0</v>
      </c>
      <c r="H142" s="12">
        <v>45</v>
      </c>
      <c r="I142" s="12">
        <v>100000</v>
      </c>
      <c r="J142" s="12">
        <v>20</v>
      </c>
      <c r="K142" s="12">
        <v>0</v>
      </c>
      <c r="L142" s="21">
        <v>1</v>
      </c>
      <c r="M142" s="21">
        <v>1</v>
      </c>
      <c r="N142" s="22">
        <v>0.1</v>
      </c>
      <c r="O142" s="21">
        <v>1</v>
      </c>
      <c r="P142" s="21">
        <v>1</v>
      </c>
      <c r="Q142" s="21">
        <v>1</v>
      </c>
      <c r="R142" s="21">
        <v>3</v>
      </c>
      <c r="S142" s="23">
        <v>0</v>
      </c>
      <c r="T142" s="21">
        <v>0</v>
      </c>
      <c r="U142" s="22">
        <v>0</v>
      </c>
      <c r="V142" s="21">
        <v>1</v>
      </c>
      <c r="W142" s="21">
        <v>1</v>
      </c>
      <c r="X142" s="22">
        <v>0</v>
      </c>
      <c r="Y142" s="21">
        <v>0</v>
      </c>
      <c r="Z142" s="27" t="s">
        <v>280</v>
      </c>
    </row>
    <row r="143" spans="3:26" s="2" customFormat="1" ht="20.100000000000001" customHeight="1" x14ac:dyDescent="0.35">
      <c r="C143" s="18">
        <v>100453</v>
      </c>
      <c r="D143" s="18" t="s">
        <v>281</v>
      </c>
      <c r="E143" s="19">
        <v>5</v>
      </c>
      <c r="F143" s="18">
        <v>15410012</v>
      </c>
      <c r="G143" s="14">
        <v>0</v>
      </c>
      <c r="H143" s="12">
        <v>45</v>
      </c>
      <c r="I143" s="12">
        <v>100000</v>
      </c>
      <c r="J143" s="12">
        <v>20</v>
      </c>
      <c r="K143" s="12">
        <v>0</v>
      </c>
      <c r="L143" s="21">
        <v>1</v>
      </c>
      <c r="M143" s="21">
        <v>1</v>
      </c>
      <c r="N143" s="22">
        <v>0.1</v>
      </c>
      <c r="O143" s="21">
        <v>1</v>
      </c>
      <c r="P143" s="21">
        <v>1</v>
      </c>
      <c r="Q143" s="21">
        <v>1</v>
      </c>
      <c r="R143" s="21">
        <v>3</v>
      </c>
      <c r="S143" s="23">
        <v>0</v>
      </c>
      <c r="T143" s="21">
        <v>0</v>
      </c>
      <c r="U143" s="22">
        <v>0</v>
      </c>
      <c r="V143" s="21">
        <v>1</v>
      </c>
      <c r="W143" s="21">
        <v>1</v>
      </c>
      <c r="X143" s="22">
        <v>0</v>
      </c>
      <c r="Y143" s="21">
        <v>0</v>
      </c>
      <c r="Z143" s="27" t="s">
        <v>282</v>
      </c>
    </row>
    <row r="144" spans="3:26" s="2" customFormat="1" ht="20.100000000000001" customHeight="1" x14ac:dyDescent="0.35">
      <c r="C144" s="18">
        <v>100454</v>
      </c>
      <c r="D144" s="18" t="s">
        <v>283</v>
      </c>
      <c r="E144" s="19">
        <v>5</v>
      </c>
      <c r="F144" s="18">
        <v>15410111</v>
      </c>
      <c r="G144" s="14">
        <v>0</v>
      </c>
      <c r="H144" s="12">
        <v>45</v>
      </c>
      <c r="I144" s="12">
        <v>100000</v>
      </c>
      <c r="J144" s="12">
        <v>20</v>
      </c>
      <c r="K144" s="12">
        <v>0</v>
      </c>
      <c r="L144" s="21">
        <v>1</v>
      </c>
      <c r="M144" s="21">
        <v>1</v>
      </c>
      <c r="N144" s="22">
        <v>0.1</v>
      </c>
      <c r="O144" s="21">
        <v>1</v>
      </c>
      <c r="P144" s="21">
        <v>1</v>
      </c>
      <c r="Q144" s="21">
        <v>1</v>
      </c>
      <c r="R144" s="21">
        <v>3</v>
      </c>
      <c r="S144" s="23">
        <v>0</v>
      </c>
      <c r="T144" s="21">
        <v>0</v>
      </c>
      <c r="U144" s="22">
        <v>0</v>
      </c>
      <c r="V144" s="21">
        <v>1</v>
      </c>
      <c r="W144" s="21">
        <v>1</v>
      </c>
      <c r="X144" s="22">
        <v>0</v>
      </c>
      <c r="Y144" s="21">
        <v>0</v>
      </c>
      <c r="Z144" s="27" t="s">
        <v>284</v>
      </c>
    </row>
    <row r="145" spans="3:26" s="2" customFormat="1" ht="20.100000000000001" customHeight="1" x14ac:dyDescent="0.35">
      <c r="C145" s="18">
        <v>100455</v>
      </c>
      <c r="D145" s="18" t="s">
        <v>285</v>
      </c>
      <c r="E145" s="19">
        <v>5</v>
      </c>
      <c r="F145" s="18">
        <v>15410112</v>
      </c>
      <c r="G145" s="14">
        <v>0</v>
      </c>
      <c r="H145" s="12">
        <v>45</v>
      </c>
      <c r="I145" s="12">
        <v>100000</v>
      </c>
      <c r="J145" s="12">
        <v>20</v>
      </c>
      <c r="K145" s="12">
        <v>0</v>
      </c>
      <c r="L145" s="21">
        <v>1</v>
      </c>
      <c r="M145" s="21">
        <v>1</v>
      </c>
      <c r="N145" s="22">
        <v>0.1</v>
      </c>
      <c r="O145" s="21">
        <v>1</v>
      </c>
      <c r="P145" s="21">
        <v>1</v>
      </c>
      <c r="Q145" s="21">
        <v>1</v>
      </c>
      <c r="R145" s="21">
        <v>3</v>
      </c>
      <c r="S145" s="23">
        <v>0</v>
      </c>
      <c r="T145" s="21">
        <v>0</v>
      </c>
      <c r="U145" s="22">
        <v>0</v>
      </c>
      <c r="V145" s="21">
        <v>1</v>
      </c>
      <c r="W145" s="21">
        <v>1</v>
      </c>
      <c r="X145" s="22">
        <v>0</v>
      </c>
      <c r="Y145" s="21">
        <v>0</v>
      </c>
      <c r="Z145" s="27" t="s">
        <v>286</v>
      </c>
    </row>
    <row r="146" spans="3:26" s="2" customFormat="1" ht="20.100000000000001" customHeight="1" x14ac:dyDescent="0.35">
      <c r="C146" s="18">
        <v>100456</v>
      </c>
      <c r="D146" s="18" t="s">
        <v>287</v>
      </c>
      <c r="E146" s="19">
        <v>5</v>
      </c>
      <c r="F146" s="18">
        <v>15411011</v>
      </c>
      <c r="G146" s="14">
        <v>0</v>
      </c>
      <c r="H146" s="12">
        <v>45</v>
      </c>
      <c r="I146" s="12">
        <v>100000</v>
      </c>
      <c r="J146" s="12">
        <v>20</v>
      </c>
      <c r="K146" s="12">
        <v>0</v>
      </c>
      <c r="L146" s="21">
        <v>1</v>
      </c>
      <c r="M146" s="21">
        <v>1</v>
      </c>
      <c r="N146" s="22">
        <v>0.1</v>
      </c>
      <c r="O146" s="21">
        <v>1</v>
      </c>
      <c r="P146" s="21">
        <v>1</v>
      </c>
      <c r="Q146" s="21">
        <v>1</v>
      </c>
      <c r="R146" s="21">
        <v>3</v>
      </c>
      <c r="S146" s="23">
        <v>0</v>
      </c>
      <c r="T146" s="21">
        <v>0</v>
      </c>
      <c r="U146" s="22">
        <v>0</v>
      </c>
      <c r="V146" s="21">
        <v>1</v>
      </c>
      <c r="W146" s="21">
        <v>1</v>
      </c>
      <c r="X146" s="22">
        <v>0</v>
      </c>
      <c r="Y146" s="21">
        <v>0</v>
      </c>
      <c r="Z146" s="27" t="s">
        <v>288</v>
      </c>
    </row>
    <row r="147" spans="3:26" s="2" customFormat="1" ht="20.100000000000001" customHeight="1" x14ac:dyDescent="0.35">
      <c r="C147" s="18">
        <v>100457</v>
      </c>
      <c r="D147" s="18" t="s">
        <v>289</v>
      </c>
      <c r="E147" s="19">
        <v>5</v>
      </c>
      <c r="F147" s="18">
        <v>15411012</v>
      </c>
      <c r="G147" s="14">
        <v>0</v>
      </c>
      <c r="H147" s="12">
        <v>45</v>
      </c>
      <c r="I147" s="12">
        <v>100000</v>
      </c>
      <c r="J147" s="12">
        <v>20</v>
      </c>
      <c r="K147" s="12">
        <v>0</v>
      </c>
      <c r="L147" s="21">
        <v>1</v>
      </c>
      <c r="M147" s="21">
        <v>1</v>
      </c>
      <c r="N147" s="22">
        <v>0.1</v>
      </c>
      <c r="O147" s="21">
        <v>1</v>
      </c>
      <c r="P147" s="21">
        <v>1</v>
      </c>
      <c r="Q147" s="21">
        <v>1</v>
      </c>
      <c r="R147" s="21">
        <v>3</v>
      </c>
      <c r="S147" s="23">
        <v>0</v>
      </c>
      <c r="T147" s="21">
        <v>0</v>
      </c>
      <c r="U147" s="22">
        <v>0</v>
      </c>
      <c r="V147" s="21">
        <v>1</v>
      </c>
      <c r="W147" s="21">
        <v>1</v>
      </c>
      <c r="X147" s="22">
        <v>0</v>
      </c>
      <c r="Y147" s="21">
        <v>0</v>
      </c>
      <c r="Z147" s="27" t="s">
        <v>290</v>
      </c>
    </row>
    <row r="148" spans="3:26" s="2" customFormat="1" ht="20.100000000000001" customHeight="1" x14ac:dyDescent="0.35">
      <c r="C148" s="18">
        <v>100458</v>
      </c>
      <c r="D148" s="18" t="s">
        <v>291</v>
      </c>
      <c r="E148" s="19">
        <v>5</v>
      </c>
      <c r="F148" s="18">
        <v>15411013</v>
      </c>
      <c r="G148" s="14">
        <v>0</v>
      </c>
      <c r="H148" s="12">
        <v>45</v>
      </c>
      <c r="I148" s="12">
        <v>100000</v>
      </c>
      <c r="J148" s="12">
        <v>20</v>
      </c>
      <c r="K148" s="12">
        <v>0</v>
      </c>
      <c r="L148" s="21">
        <v>1</v>
      </c>
      <c r="M148" s="21">
        <v>1</v>
      </c>
      <c r="N148" s="22">
        <v>0.1</v>
      </c>
      <c r="O148" s="21">
        <v>1</v>
      </c>
      <c r="P148" s="21">
        <v>1</v>
      </c>
      <c r="Q148" s="21">
        <v>1</v>
      </c>
      <c r="R148" s="21">
        <v>3</v>
      </c>
      <c r="S148" s="23">
        <v>0</v>
      </c>
      <c r="T148" s="21">
        <v>0</v>
      </c>
      <c r="U148" s="22">
        <v>0</v>
      </c>
      <c r="V148" s="21">
        <v>1</v>
      </c>
      <c r="W148" s="21">
        <v>1</v>
      </c>
      <c r="X148" s="22">
        <v>0</v>
      </c>
      <c r="Y148" s="21">
        <v>0</v>
      </c>
      <c r="Z148" s="27" t="s">
        <v>292</v>
      </c>
    </row>
    <row r="149" spans="3:26" s="2" customFormat="1" ht="20.100000000000001" customHeight="1" x14ac:dyDescent="0.35">
      <c r="C149" s="18">
        <v>100459</v>
      </c>
      <c r="D149" s="18" t="s">
        <v>293</v>
      </c>
      <c r="E149" s="19">
        <v>5</v>
      </c>
      <c r="F149" s="18">
        <v>15410211</v>
      </c>
      <c r="G149" s="14">
        <v>0</v>
      </c>
      <c r="H149" s="12">
        <v>45</v>
      </c>
      <c r="I149" s="12">
        <v>100000</v>
      </c>
      <c r="J149" s="12">
        <v>20</v>
      </c>
      <c r="K149" s="12">
        <v>0</v>
      </c>
      <c r="L149" s="21">
        <v>1</v>
      </c>
      <c r="M149" s="21">
        <v>1</v>
      </c>
      <c r="N149" s="22">
        <v>0.1</v>
      </c>
      <c r="O149" s="21">
        <v>1</v>
      </c>
      <c r="P149" s="21">
        <v>1</v>
      </c>
      <c r="Q149" s="21">
        <v>1</v>
      </c>
      <c r="R149" s="21">
        <v>3</v>
      </c>
      <c r="S149" s="23">
        <v>0</v>
      </c>
      <c r="T149" s="21">
        <v>0</v>
      </c>
      <c r="U149" s="22">
        <v>0</v>
      </c>
      <c r="V149" s="21">
        <v>1</v>
      </c>
      <c r="W149" s="21">
        <v>1</v>
      </c>
      <c r="X149" s="22">
        <v>0</v>
      </c>
      <c r="Y149" s="21">
        <v>0</v>
      </c>
      <c r="Z149" s="27" t="s">
        <v>294</v>
      </c>
    </row>
    <row r="150" spans="3:26" s="1" customFormat="1" ht="20.100000000000001" customHeight="1" x14ac:dyDescent="0.35">
      <c r="C150" s="12">
        <v>100501</v>
      </c>
      <c r="D150" s="12" t="s">
        <v>235</v>
      </c>
      <c r="E150" s="12">
        <v>2</v>
      </c>
      <c r="F150" s="20">
        <v>15501002</v>
      </c>
      <c r="G150" s="14">
        <v>0</v>
      </c>
      <c r="H150" s="12">
        <f t="shared" ref="H150:H185" si="3">H114+10</f>
        <v>50</v>
      </c>
      <c r="I150" s="12">
        <v>25000</v>
      </c>
      <c r="J150" s="12">
        <v>12</v>
      </c>
      <c r="K150" s="12">
        <v>0</v>
      </c>
      <c r="L150" s="21">
        <v>1</v>
      </c>
      <c r="M150" s="21">
        <v>1</v>
      </c>
      <c r="N150" s="22">
        <v>0.1</v>
      </c>
      <c r="O150" s="21">
        <v>1</v>
      </c>
      <c r="P150" s="21">
        <v>1</v>
      </c>
      <c r="Q150" s="21">
        <v>1</v>
      </c>
      <c r="R150" s="21">
        <v>3</v>
      </c>
      <c r="S150" s="21">
        <f t="shared" ref="S150:S176" si="4">S114+100</f>
        <v>400</v>
      </c>
      <c r="T150" s="21">
        <v>500</v>
      </c>
      <c r="U150" s="22" t="s">
        <v>52</v>
      </c>
      <c r="V150" s="21">
        <v>1</v>
      </c>
      <c r="W150" s="21">
        <v>1</v>
      </c>
      <c r="X150" s="22">
        <v>0</v>
      </c>
      <c r="Y150" s="21">
        <v>0</v>
      </c>
      <c r="Z150" s="26" t="s">
        <v>295</v>
      </c>
    </row>
    <row r="151" spans="3:26" s="1" customFormat="1" ht="20.100000000000001" customHeight="1" x14ac:dyDescent="0.35">
      <c r="C151" s="12">
        <v>100502</v>
      </c>
      <c r="D151" s="12" t="s">
        <v>237</v>
      </c>
      <c r="E151" s="12">
        <v>2</v>
      </c>
      <c r="F151" s="20">
        <v>15501004</v>
      </c>
      <c r="G151" s="14">
        <v>0</v>
      </c>
      <c r="H151" s="12">
        <f t="shared" si="3"/>
        <v>50</v>
      </c>
      <c r="I151" s="12">
        <v>25000</v>
      </c>
      <c r="J151" s="12">
        <v>12</v>
      </c>
      <c r="K151" s="12">
        <v>0</v>
      </c>
      <c r="L151" s="21">
        <v>1</v>
      </c>
      <c r="M151" s="21">
        <v>1</v>
      </c>
      <c r="N151" s="22">
        <v>0.1</v>
      </c>
      <c r="O151" s="21">
        <v>1</v>
      </c>
      <c r="P151" s="21">
        <v>1</v>
      </c>
      <c r="Q151" s="21">
        <v>1</v>
      </c>
      <c r="R151" s="21">
        <v>3</v>
      </c>
      <c r="S151" s="21">
        <f t="shared" si="4"/>
        <v>400</v>
      </c>
      <c r="T151" s="21">
        <v>500</v>
      </c>
      <c r="U151" s="22" t="s">
        <v>52</v>
      </c>
      <c r="V151" s="21">
        <v>1</v>
      </c>
      <c r="W151" s="21">
        <v>1</v>
      </c>
      <c r="X151" s="22">
        <v>0</v>
      </c>
      <c r="Y151" s="21">
        <v>0</v>
      </c>
      <c r="Z151" s="26" t="s">
        <v>296</v>
      </c>
    </row>
    <row r="152" spans="3:26" s="1" customFormat="1" ht="20.100000000000001" customHeight="1" x14ac:dyDescent="0.35">
      <c r="C152" s="12">
        <v>100503</v>
      </c>
      <c r="D152" s="12" t="s">
        <v>239</v>
      </c>
      <c r="E152" s="12">
        <v>2</v>
      </c>
      <c r="F152" s="20">
        <v>15501006</v>
      </c>
      <c r="G152" s="14">
        <v>0</v>
      </c>
      <c r="H152" s="12">
        <f t="shared" si="3"/>
        <v>50</v>
      </c>
      <c r="I152" s="12">
        <v>25000</v>
      </c>
      <c r="J152" s="12">
        <v>12</v>
      </c>
      <c r="K152" s="12">
        <v>0</v>
      </c>
      <c r="L152" s="21">
        <v>1</v>
      </c>
      <c r="M152" s="21">
        <v>1</v>
      </c>
      <c r="N152" s="22">
        <v>0.1</v>
      </c>
      <c r="O152" s="21">
        <v>1</v>
      </c>
      <c r="P152" s="21">
        <v>1</v>
      </c>
      <c r="Q152" s="21">
        <v>1</v>
      </c>
      <c r="R152" s="21">
        <v>3</v>
      </c>
      <c r="S152" s="21">
        <f t="shared" si="4"/>
        <v>400</v>
      </c>
      <c r="T152" s="21">
        <v>500</v>
      </c>
      <c r="U152" s="22" t="s">
        <v>52</v>
      </c>
      <c r="V152" s="21">
        <v>1</v>
      </c>
      <c r="W152" s="21">
        <v>1</v>
      </c>
      <c r="X152" s="22">
        <v>0</v>
      </c>
      <c r="Y152" s="21">
        <v>0</v>
      </c>
      <c r="Z152" s="26" t="s">
        <v>297</v>
      </c>
    </row>
    <row r="153" spans="3:26" s="1" customFormat="1" ht="20.100000000000001" customHeight="1" x14ac:dyDescent="0.35">
      <c r="C153" s="12">
        <v>100504</v>
      </c>
      <c r="D153" s="12" t="s">
        <v>241</v>
      </c>
      <c r="E153" s="12">
        <v>2</v>
      </c>
      <c r="F153" s="20">
        <v>15502002</v>
      </c>
      <c r="G153" s="14">
        <v>0</v>
      </c>
      <c r="H153" s="12">
        <f t="shared" si="3"/>
        <v>51</v>
      </c>
      <c r="I153" s="12">
        <v>25000</v>
      </c>
      <c r="J153" s="12">
        <v>12</v>
      </c>
      <c r="K153" s="12">
        <v>0</v>
      </c>
      <c r="L153" s="21">
        <v>1</v>
      </c>
      <c r="M153" s="21">
        <v>1</v>
      </c>
      <c r="N153" s="22">
        <v>0.1</v>
      </c>
      <c r="O153" s="21">
        <v>1</v>
      </c>
      <c r="P153" s="21">
        <v>1</v>
      </c>
      <c r="Q153" s="21">
        <v>1</v>
      </c>
      <c r="R153" s="21">
        <v>3</v>
      </c>
      <c r="S153" s="21">
        <f t="shared" si="4"/>
        <v>410</v>
      </c>
      <c r="T153" s="21">
        <v>500</v>
      </c>
      <c r="U153" s="22" t="s">
        <v>52</v>
      </c>
      <c r="V153" s="21">
        <v>1</v>
      </c>
      <c r="W153" s="21">
        <v>1</v>
      </c>
      <c r="X153" s="22">
        <v>0</v>
      </c>
      <c r="Y153" s="21">
        <v>0</v>
      </c>
      <c r="Z153" s="26" t="s">
        <v>298</v>
      </c>
    </row>
    <row r="154" spans="3:26" s="1" customFormat="1" ht="20.100000000000001" customHeight="1" x14ac:dyDescent="0.35">
      <c r="C154" s="12">
        <v>100505</v>
      </c>
      <c r="D154" s="12" t="s">
        <v>243</v>
      </c>
      <c r="E154" s="12">
        <v>2</v>
      </c>
      <c r="F154" s="20">
        <v>15502004</v>
      </c>
      <c r="G154" s="14">
        <v>0</v>
      </c>
      <c r="H154" s="12">
        <f t="shared" si="3"/>
        <v>51</v>
      </c>
      <c r="I154" s="12">
        <v>25000</v>
      </c>
      <c r="J154" s="12">
        <v>12</v>
      </c>
      <c r="K154" s="12">
        <v>0</v>
      </c>
      <c r="L154" s="21">
        <v>1</v>
      </c>
      <c r="M154" s="21">
        <v>1</v>
      </c>
      <c r="N154" s="22">
        <v>0.1</v>
      </c>
      <c r="O154" s="21">
        <v>1</v>
      </c>
      <c r="P154" s="21">
        <v>1</v>
      </c>
      <c r="Q154" s="21">
        <v>1</v>
      </c>
      <c r="R154" s="21">
        <v>3</v>
      </c>
      <c r="S154" s="21">
        <f t="shared" si="4"/>
        <v>410</v>
      </c>
      <c r="T154" s="21">
        <v>500</v>
      </c>
      <c r="U154" s="22" t="s">
        <v>52</v>
      </c>
      <c r="V154" s="21">
        <v>1</v>
      </c>
      <c r="W154" s="21">
        <v>1</v>
      </c>
      <c r="X154" s="22">
        <v>0</v>
      </c>
      <c r="Y154" s="21">
        <v>0</v>
      </c>
      <c r="Z154" s="26" t="s">
        <v>299</v>
      </c>
    </row>
    <row r="155" spans="3:26" s="1" customFormat="1" ht="20.100000000000001" customHeight="1" x14ac:dyDescent="0.35">
      <c r="C155" s="12">
        <v>100506</v>
      </c>
      <c r="D155" s="12" t="s">
        <v>245</v>
      </c>
      <c r="E155" s="12">
        <v>2</v>
      </c>
      <c r="F155" s="20">
        <v>15502006</v>
      </c>
      <c r="G155" s="14">
        <v>0</v>
      </c>
      <c r="H155" s="12">
        <f t="shared" si="3"/>
        <v>51</v>
      </c>
      <c r="I155" s="12">
        <v>25000</v>
      </c>
      <c r="J155" s="12">
        <v>12</v>
      </c>
      <c r="K155" s="12">
        <v>0</v>
      </c>
      <c r="L155" s="21">
        <v>1</v>
      </c>
      <c r="M155" s="21">
        <v>1</v>
      </c>
      <c r="N155" s="22">
        <v>0.1</v>
      </c>
      <c r="O155" s="21">
        <v>1</v>
      </c>
      <c r="P155" s="21">
        <v>1</v>
      </c>
      <c r="Q155" s="21">
        <v>1</v>
      </c>
      <c r="R155" s="21">
        <v>3</v>
      </c>
      <c r="S155" s="21">
        <f t="shared" si="4"/>
        <v>410</v>
      </c>
      <c r="T155" s="21">
        <v>500</v>
      </c>
      <c r="U155" s="22" t="s">
        <v>52</v>
      </c>
      <c r="V155" s="21">
        <v>1</v>
      </c>
      <c r="W155" s="21">
        <v>1</v>
      </c>
      <c r="X155" s="22">
        <v>0</v>
      </c>
      <c r="Y155" s="21">
        <v>0</v>
      </c>
      <c r="Z155" s="26" t="s">
        <v>300</v>
      </c>
    </row>
    <row r="156" spans="3:26" s="1" customFormat="1" ht="20.100000000000001" customHeight="1" x14ac:dyDescent="0.35">
      <c r="C156" s="12">
        <v>100507</v>
      </c>
      <c r="D156" s="12" t="s">
        <v>247</v>
      </c>
      <c r="E156" s="12">
        <v>2</v>
      </c>
      <c r="F156" s="20">
        <v>15503002</v>
      </c>
      <c r="G156" s="14">
        <v>0</v>
      </c>
      <c r="H156" s="12">
        <f t="shared" si="3"/>
        <v>52</v>
      </c>
      <c r="I156" s="12">
        <v>25000</v>
      </c>
      <c r="J156" s="12">
        <v>12</v>
      </c>
      <c r="K156" s="12">
        <v>0</v>
      </c>
      <c r="L156" s="21">
        <v>1</v>
      </c>
      <c r="M156" s="21">
        <v>1</v>
      </c>
      <c r="N156" s="22">
        <v>0.1</v>
      </c>
      <c r="O156" s="21">
        <v>1</v>
      </c>
      <c r="P156" s="21">
        <v>1</v>
      </c>
      <c r="Q156" s="21">
        <v>1</v>
      </c>
      <c r="R156" s="21">
        <v>3</v>
      </c>
      <c r="S156" s="21">
        <f t="shared" si="4"/>
        <v>420</v>
      </c>
      <c r="T156" s="21">
        <v>500</v>
      </c>
      <c r="U156" s="22" t="s">
        <v>52</v>
      </c>
      <c r="V156" s="21">
        <v>1</v>
      </c>
      <c r="W156" s="21">
        <v>1</v>
      </c>
      <c r="X156" s="22">
        <v>0</v>
      </c>
      <c r="Y156" s="21">
        <v>0</v>
      </c>
      <c r="Z156" s="26" t="s">
        <v>301</v>
      </c>
    </row>
    <row r="157" spans="3:26" s="1" customFormat="1" ht="20.100000000000001" customHeight="1" x14ac:dyDescent="0.35">
      <c r="C157" s="12">
        <v>100508</v>
      </c>
      <c r="D157" s="12" t="s">
        <v>249</v>
      </c>
      <c r="E157" s="12">
        <v>2</v>
      </c>
      <c r="F157" s="20">
        <v>15503004</v>
      </c>
      <c r="G157" s="14">
        <v>0</v>
      </c>
      <c r="H157" s="12">
        <f t="shared" si="3"/>
        <v>52</v>
      </c>
      <c r="I157" s="12">
        <v>25000</v>
      </c>
      <c r="J157" s="12">
        <v>12</v>
      </c>
      <c r="K157" s="12">
        <v>0</v>
      </c>
      <c r="L157" s="21">
        <v>1</v>
      </c>
      <c r="M157" s="21">
        <v>1</v>
      </c>
      <c r="N157" s="22">
        <v>0.1</v>
      </c>
      <c r="O157" s="21">
        <v>1</v>
      </c>
      <c r="P157" s="21">
        <v>1</v>
      </c>
      <c r="Q157" s="21">
        <v>1</v>
      </c>
      <c r="R157" s="21">
        <v>3</v>
      </c>
      <c r="S157" s="21">
        <f t="shared" si="4"/>
        <v>420</v>
      </c>
      <c r="T157" s="21">
        <v>500</v>
      </c>
      <c r="U157" s="22" t="s">
        <v>52</v>
      </c>
      <c r="V157" s="21">
        <v>1</v>
      </c>
      <c r="W157" s="21">
        <v>1</v>
      </c>
      <c r="X157" s="22">
        <v>0</v>
      </c>
      <c r="Y157" s="21">
        <v>0</v>
      </c>
      <c r="Z157" s="26" t="s">
        <v>295</v>
      </c>
    </row>
    <row r="158" spans="3:26" s="1" customFormat="1" ht="20.100000000000001" customHeight="1" x14ac:dyDescent="0.35">
      <c r="C158" s="12">
        <v>100509</v>
      </c>
      <c r="D158" s="12" t="s">
        <v>250</v>
      </c>
      <c r="E158" s="12">
        <v>2</v>
      </c>
      <c r="F158" s="20">
        <v>15503006</v>
      </c>
      <c r="G158" s="14">
        <v>0</v>
      </c>
      <c r="H158" s="12">
        <f t="shared" si="3"/>
        <v>52</v>
      </c>
      <c r="I158" s="12">
        <v>25000</v>
      </c>
      <c r="J158" s="12">
        <v>12</v>
      </c>
      <c r="K158" s="12">
        <v>0</v>
      </c>
      <c r="L158" s="21">
        <v>1</v>
      </c>
      <c r="M158" s="21">
        <v>1</v>
      </c>
      <c r="N158" s="22">
        <v>0.1</v>
      </c>
      <c r="O158" s="21">
        <v>1</v>
      </c>
      <c r="P158" s="21">
        <v>1</v>
      </c>
      <c r="Q158" s="21">
        <v>1</v>
      </c>
      <c r="R158" s="21">
        <v>3</v>
      </c>
      <c r="S158" s="21">
        <f t="shared" si="4"/>
        <v>420</v>
      </c>
      <c r="T158" s="21">
        <v>500</v>
      </c>
      <c r="U158" s="22" t="s">
        <v>52</v>
      </c>
      <c r="V158" s="21">
        <v>1</v>
      </c>
      <c r="W158" s="21">
        <v>1</v>
      </c>
      <c r="X158" s="22">
        <v>0</v>
      </c>
      <c r="Y158" s="21">
        <v>0</v>
      </c>
      <c r="Z158" s="26" t="s">
        <v>296</v>
      </c>
    </row>
    <row r="159" spans="3:26" s="1" customFormat="1" ht="20.100000000000001" customHeight="1" x14ac:dyDescent="0.35">
      <c r="C159" s="12">
        <v>100510</v>
      </c>
      <c r="D159" s="12" t="s">
        <v>251</v>
      </c>
      <c r="E159" s="12">
        <v>2</v>
      </c>
      <c r="F159" s="20">
        <v>15504002</v>
      </c>
      <c r="G159" s="14">
        <v>0</v>
      </c>
      <c r="H159" s="12">
        <f t="shared" si="3"/>
        <v>53</v>
      </c>
      <c r="I159" s="12">
        <v>25000</v>
      </c>
      <c r="J159" s="12">
        <v>12</v>
      </c>
      <c r="K159" s="12">
        <v>0</v>
      </c>
      <c r="L159" s="21">
        <v>1</v>
      </c>
      <c r="M159" s="21">
        <v>1</v>
      </c>
      <c r="N159" s="22">
        <v>0.1</v>
      </c>
      <c r="O159" s="21">
        <v>1</v>
      </c>
      <c r="P159" s="21">
        <v>1</v>
      </c>
      <c r="Q159" s="21">
        <v>1</v>
      </c>
      <c r="R159" s="21">
        <v>3</v>
      </c>
      <c r="S159" s="21">
        <f t="shared" si="4"/>
        <v>430</v>
      </c>
      <c r="T159" s="21">
        <v>500</v>
      </c>
      <c r="U159" s="22" t="s">
        <v>52</v>
      </c>
      <c r="V159" s="21">
        <v>1</v>
      </c>
      <c r="W159" s="21">
        <v>1</v>
      </c>
      <c r="X159" s="22">
        <v>0</v>
      </c>
      <c r="Y159" s="21">
        <v>0</v>
      </c>
      <c r="Z159" s="26" t="s">
        <v>297</v>
      </c>
    </row>
    <row r="160" spans="3:26" s="1" customFormat="1" ht="20.100000000000001" customHeight="1" x14ac:dyDescent="0.35">
      <c r="C160" s="12">
        <v>100511</v>
      </c>
      <c r="D160" s="12" t="s">
        <v>252</v>
      </c>
      <c r="E160" s="12">
        <v>2</v>
      </c>
      <c r="F160" s="20">
        <v>15504004</v>
      </c>
      <c r="G160" s="14">
        <v>0</v>
      </c>
      <c r="H160" s="12">
        <f t="shared" si="3"/>
        <v>53</v>
      </c>
      <c r="I160" s="12">
        <v>25000</v>
      </c>
      <c r="J160" s="12">
        <v>12</v>
      </c>
      <c r="K160" s="12">
        <v>0</v>
      </c>
      <c r="L160" s="21">
        <v>1</v>
      </c>
      <c r="M160" s="21">
        <v>1</v>
      </c>
      <c r="N160" s="22">
        <v>0.1</v>
      </c>
      <c r="O160" s="21">
        <v>1</v>
      </c>
      <c r="P160" s="21">
        <v>1</v>
      </c>
      <c r="Q160" s="21">
        <v>1</v>
      </c>
      <c r="R160" s="21">
        <v>3</v>
      </c>
      <c r="S160" s="21">
        <f t="shared" si="4"/>
        <v>430</v>
      </c>
      <c r="T160" s="21">
        <v>500</v>
      </c>
      <c r="U160" s="22" t="s">
        <v>52</v>
      </c>
      <c r="V160" s="21">
        <v>1</v>
      </c>
      <c r="W160" s="21">
        <v>1</v>
      </c>
      <c r="X160" s="22">
        <v>0</v>
      </c>
      <c r="Y160" s="21">
        <v>0</v>
      </c>
      <c r="Z160" s="26" t="s">
        <v>298</v>
      </c>
    </row>
    <row r="161" spans="3:26" s="1" customFormat="1" ht="20.100000000000001" customHeight="1" x14ac:dyDescent="0.35">
      <c r="C161" s="12">
        <v>100512</v>
      </c>
      <c r="D161" s="12" t="s">
        <v>253</v>
      </c>
      <c r="E161" s="12">
        <v>2</v>
      </c>
      <c r="F161" s="20">
        <v>15504006</v>
      </c>
      <c r="G161" s="14">
        <v>0</v>
      </c>
      <c r="H161" s="12">
        <f t="shared" si="3"/>
        <v>53</v>
      </c>
      <c r="I161" s="12">
        <v>25000</v>
      </c>
      <c r="J161" s="12">
        <v>12</v>
      </c>
      <c r="K161" s="12">
        <v>0</v>
      </c>
      <c r="L161" s="21">
        <v>1</v>
      </c>
      <c r="M161" s="21">
        <v>1</v>
      </c>
      <c r="N161" s="22">
        <v>0.1</v>
      </c>
      <c r="O161" s="21">
        <v>1</v>
      </c>
      <c r="P161" s="21">
        <v>1</v>
      </c>
      <c r="Q161" s="21">
        <v>1</v>
      </c>
      <c r="R161" s="21">
        <v>3</v>
      </c>
      <c r="S161" s="21">
        <f t="shared" si="4"/>
        <v>430</v>
      </c>
      <c r="T161" s="21">
        <v>500</v>
      </c>
      <c r="U161" s="22" t="s">
        <v>52</v>
      </c>
      <c r="V161" s="21">
        <v>1</v>
      </c>
      <c r="W161" s="21">
        <v>1</v>
      </c>
      <c r="X161" s="22">
        <v>0</v>
      </c>
      <c r="Y161" s="21">
        <v>0</v>
      </c>
      <c r="Z161" s="26" t="s">
        <v>299</v>
      </c>
    </row>
    <row r="162" spans="3:26" s="1" customFormat="1" ht="20.100000000000001" customHeight="1" x14ac:dyDescent="0.35">
      <c r="C162" s="12">
        <v>100513</v>
      </c>
      <c r="D162" s="12" t="s">
        <v>254</v>
      </c>
      <c r="E162" s="12">
        <v>2</v>
      </c>
      <c r="F162" s="20">
        <v>15505002</v>
      </c>
      <c r="G162" s="14">
        <v>0</v>
      </c>
      <c r="H162" s="12">
        <f t="shared" si="3"/>
        <v>54</v>
      </c>
      <c r="I162" s="12">
        <v>25000</v>
      </c>
      <c r="J162" s="12">
        <v>12</v>
      </c>
      <c r="K162" s="12">
        <v>0</v>
      </c>
      <c r="L162" s="21">
        <v>1</v>
      </c>
      <c r="M162" s="21">
        <v>1</v>
      </c>
      <c r="N162" s="22">
        <v>0.1</v>
      </c>
      <c r="O162" s="21">
        <v>1</v>
      </c>
      <c r="P162" s="21">
        <v>1</v>
      </c>
      <c r="Q162" s="21">
        <v>1</v>
      </c>
      <c r="R162" s="21">
        <v>3</v>
      </c>
      <c r="S162" s="21">
        <f t="shared" si="4"/>
        <v>440</v>
      </c>
      <c r="T162" s="21">
        <v>500</v>
      </c>
      <c r="U162" s="22" t="s">
        <v>52</v>
      </c>
      <c r="V162" s="21">
        <v>1</v>
      </c>
      <c r="W162" s="21">
        <v>1</v>
      </c>
      <c r="X162" s="22">
        <v>0</v>
      </c>
      <c r="Y162" s="21">
        <v>0</v>
      </c>
      <c r="Z162" s="26" t="s">
        <v>300</v>
      </c>
    </row>
    <row r="163" spans="3:26" s="1" customFormat="1" ht="20.100000000000001" customHeight="1" x14ac:dyDescent="0.35">
      <c r="C163" s="12">
        <v>100514</v>
      </c>
      <c r="D163" s="12" t="s">
        <v>255</v>
      </c>
      <c r="E163" s="12">
        <v>2</v>
      </c>
      <c r="F163" s="20">
        <v>15505004</v>
      </c>
      <c r="G163" s="14">
        <v>0</v>
      </c>
      <c r="H163" s="12">
        <f t="shared" si="3"/>
        <v>54</v>
      </c>
      <c r="I163" s="12">
        <v>25000</v>
      </c>
      <c r="J163" s="12">
        <v>12</v>
      </c>
      <c r="K163" s="12">
        <v>0</v>
      </c>
      <c r="L163" s="21">
        <v>1</v>
      </c>
      <c r="M163" s="21">
        <v>1</v>
      </c>
      <c r="N163" s="22">
        <v>0.1</v>
      </c>
      <c r="O163" s="21">
        <v>1</v>
      </c>
      <c r="P163" s="21">
        <v>1</v>
      </c>
      <c r="Q163" s="21">
        <v>1</v>
      </c>
      <c r="R163" s="21">
        <v>3</v>
      </c>
      <c r="S163" s="21">
        <f t="shared" si="4"/>
        <v>440</v>
      </c>
      <c r="T163" s="21">
        <v>500</v>
      </c>
      <c r="U163" s="22" t="s">
        <v>52</v>
      </c>
      <c r="V163" s="21">
        <v>1</v>
      </c>
      <c r="W163" s="21">
        <v>1</v>
      </c>
      <c r="X163" s="22">
        <v>0</v>
      </c>
      <c r="Y163" s="21">
        <v>0</v>
      </c>
      <c r="Z163" s="26" t="s">
        <v>301</v>
      </c>
    </row>
    <row r="164" spans="3:26" s="1" customFormat="1" ht="20.100000000000001" customHeight="1" x14ac:dyDescent="0.35">
      <c r="C164" s="12">
        <v>100515</v>
      </c>
      <c r="D164" s="12" t="s">
        <v>256</v>
      </c>
      <c r="E164" s="12">
        <v>2</v>
      </c>
      <c r="F164" s="20">
        <v>15505006</v>
      </c>
      <c r="G164" s="14">
        <v>0</v>
      </c>
      <c r="H164" s="12">
        <f t="shared" si="3"/>
        <v>54</v>
      </c>
      <c r="I164" s="12">
        <v>25000</v>
      </c>
      <c r="J164" s="12">
        <v>12</v>
      </c>
      <c r="K164" s="12">
        <v>0</v>
      </c>
      <c r="L164" s="21">
        <v>1</v>
      </c>
      <c r="M164" s="21">
        <v>1</v>
      </c>
      <c r="N164" s="22">
        <v>0.1</v>
      </c>
      <c r="O164" s="21">
        <v>1</v>
      </c>
      <c r="P164" s="21">
        <v>1</v>
      </c>
      <c r="Q164" s="21">
        <v>1</v>
      </c>
      <c r="R164" s="21">
        <v>3</v>
      </c>
      <c r="S164" s="21">
        <f t="shared" si="4"/>
        <v>440</v>
      </c>
      <c r="T164" s="21">
        <v>500</v>
      </c>
      <c r="U164" s="22" t="s">
        <v>52</v>
      </c>
      <c r="V164" s="21">
        <v>1</v>
      </c>
      <c r="W164" s="21">
        <v>1</v>
      </c>
      <c r="X164" s="22">
        <v>0</v>
      </c>
      <c r="Y164" s="21">
        <v>0</v>
      </c>
      <c r="Z164" s="26" t="s">
        <v>295</v>
      </c>
    </row>
    <row r="165" spans="3:26" s="1" customFormat="1" ht="20.100000000000001" customHeight="1" x14ac:dyDescent="0.35">
      <c r="C165" s="12">
        <v>100516</v>
      </c>
      <c r="D165" s="12" t="s">
        <v>257</v>
      </c>
      <c r="E165" s="12">
        <v>3</v>
      </c>
      <c r="F165" s="20">
        <v>15506002</v>
      </c>
      <c r="G165" s="14">
        <v>0</v>
      </c>
      <c r="H165" s="12">
        <f t="shared" si="3"/>
        <v>51</v>
      </c>
      <c r="I165" s="12">
        <v>25000</v>
      </c>
      <c r="J165" s="12">
        <v>12</v>
      </c>
      <c r="K165" s="12">
        <v>0</v>
      </c>
      <c r="L165" s="21">
        <v>1</v>
      </c>
      <c r="M165" s="21">
        <v>1</v>
      </c>
      <c r="N165" s="22">
        <v>0.1</v>
      </c>
      <c r="O165" s="21">
        <v>1</v>
      </c>
      <c r="P165" s="21">
        <v>1</v>
      </c>
      <c r="Q165" s="21">
        <v>1</v>
      </c>
      <c r="R165" s="21">
        <v>3</v>
      </c>
      <c r="S165" s="21">
        <f t="shared" si="4"/>
        <v>450</v>
      </c>
      <c r="T165" s="21">
        <v>500</v>
      </c>
      <c r="U165" s="22" t="s">
        <v>52</v>
      </c>
      <c r="V165" s="21">
        <v>1</v>
      </c>
      <c r="W165" s="21">
        <v>1</v>
      </c>
      <c r="X165" s="22">
        <v>0</v>
      </c>
      <c r="Y165" s="21">
        <v>0</v>
      </c>
      <c r="Z165" s="26" t="s">
        <v>302</v>
      </c>
    </row>
    <row r="166" spans="3:26" s="1" customFormat="1" ht="20.100000000000001" customHeight="1" x14ac:dyDescent="0.35">
      <c r="C166" s="12">
        <v>100517</v>
      </c>
      <c r="D166" s="12" t="s">
        <v>259</v>
      </c>
      <c r="E166" s="12">
        <v>3</v>
      </c>
      <c r="F166" s="20">
        <v>15507002</v>
      </c>
      <c r="G166" s="14">
        <v>0</v>
      </c>
      <c r="H166" s="12">
        <f t="shared" si="3"/>
        <v>53</v>
      </c>
      <c r="I166" s="12">
        <v>25000</v>
      </c>
      <c r="J166" s="12">
        <v>12</v>
      </c>
      <c r="K166" s="12">
        <v>0</v>
      </c>
      <c r="L166" s="21">
        <v>1</v>
      </c>
      <c r="M166" s="21">
        <v>1</v>
      </c>
      <c r="N166" s="22">
        <v>0.1</v>
      </c>
      <c r="O166" s="21">
        <v>1</v>
      </c>
      <c r="P166" s="21">
        <v>1</v>
      </c>
      <c r="Q166" s="21">
        <v>1</v>
      </c>
      <c r="R166" s="21">
        <v>3</v>
      </c>
      <c r="S166" s="21">
        <f t="shared" si="4"/>
        <v>450</v>
      </c>
      <c r="T166" s="21">
        <v>500</v>
      </c>
      <c r="U166" s="22" t="s">
        <v>52</v>
      </c>
      <c r="V166" s="21">
        <v>1</v>
      </c>
      <c r="W166" s="21">
        <v>1</v>
      </c>
      <c r="X166" s="22">
        <v>0</v>
      </c>
      <c r="Y166" s="21">
        <v>0</v>
      </c>
      <c r="Z166" s="26" t="s">
        <v>303</v>
      </c>
    </row>
    <row r="167" spans="3:26" s="1" customFormat="1" ht="20.100000000000001" customHeight="1" x14ac:dyDescent="0.35">
      <c r="C167" s="12">
        <v>100518</v>
      </c>
      <c r="D167" s="12" t="s">
        <v>261</v>
      </c>
      <c r="E167" s="12">
        <v>1</v>
      </c>
      <c r="F167" s="20">
        <v>15508002</v>
      </c>
      <c r="G167" s="14">
        <v>0</v>
      </c>
      <c r="H167" s="12">
        <f t="shared" si="3"/>
        <v>51</v>
      </c>
      <c r="I167" s="12">
        <v>25000</v>
      </c>
      <c r="J167" s="12">
        <v>12</v>
      </c>
      <c r="K167" s="12">
        <v>0</v>
      </c>
      <c r="L167" s="21">
        <v>1</v>
      </c>
      <c r="M167" s="21">
        <v>1</v>
      </c>
      <c r="N167" s="22">
        <v>0.1</v>
      </c>
      <c r="O167" s="21">
        <v>1</v>
      </c>
      <c r="P167" s="21">
        <v>1</v>
      </c>
      <c r="Q167" s="21">
        <v>1</v>
      </c>
      <c r="R167" s="21">
        <v>3</v>
      </c>
      <c r="S167" s="21">
        <f t="shared" si="4"/>
        <v>450</v>
      </c>
      <c r="T167" s="21">
        <v>500</v>
      </c>
      <c r="U167" s="22" t="s">
        <v>52</v>
      </c>
      <c r="V167" s="21">
        <v>1</v>
      </c>
      <c r="W167" s="21">
        <v>1</v>
      </c>
      <c r="X167" s="22">
        <v>0</v>
      </c>
      <c r="Y167" s="21">
        <v>0</v>
      </c>
      <c r="Z167" s="26" t="s">
        <v>304</v>
      </c>
    </row>
    <row r="168" spans="3:26" s="1" customFormat="1" ht="20.100000000000001" customHeight="1" x14ac:dyDescent="0.35">
      <c r="C168" s="12">
        <v>100519</v>
      </c>
      <c r="D168" s="12" t="s">
        <v>263</v>
      </c>
      <c r="E168" s="12">
        <v>1</v>
      </c>
      <c r="F168" s="20">
        <v>15509002</v>
      </c>
      <c r="G168" s="14">
        <v>0</v>
      </c>
      <c r="H168" s="12">
        <f t="shared" si="3"/>
        <v>50</v>
      </c>
      <c r="I168" s="12">
        <v>25000</v>
      </c>
      <c r="J168" s="12">
        <v>12</v>
      </c>
      <c r="K168" s="12">
        <v>0</v>
      </c>
      <c r="L168" s="21">
        <v>1</v>
      </c>
      <c r="M168" s="21">
        <v>1</v>
      </c>
      <c r="N168" s="22">
        <v>0.1</v>
      </c>
      <c r="O168" s="21">
        <v>1</v>
      </c>
      <c r="P168" s="21">
        <v>1</v>
      </c>
      <c r="Q168" s="21">
        <v>1</v>
      </c>
      <c r="R168" s="21">
        <v>3</v>
      </c>
      <c r="S168" s="21">
        <f t="shared" si="4"/>
        <v>420</v>
      </c>
      <c r="T168" s="21">
        <v>500</v>
      </c>
      <c r="U168" s="22" t="s">
        <v>52</v>
      </c>
      <c r="V168" s="21">
        <v>1</v>
      </c>
      <c r="W168" s="21">
        <v>1</v>
      </c>
      <c r="X168" s="22">
        <v>0</v>
      </c>
      <c r="Y168" s="21">
        <v>0</v>
      </c>
      <c r="Z168" s="26" t="s">
        <v>305</v>
      </c>
    </row>
    <row r="169" spans="3:26" s="1" customFormat="1" ht="20.100000000000001" customHeight="1" x14ac:dyDescent="0.35">
      <c r="C169" s="12">
        <v>100520</v>
      </c>
      <c r="D169" s="12" t="s">
        <v>265</v>
      </c>
      <c r="E169" s="12">
        <v>1</v>
      </c>
      <c r="F169" s="20">
        <v>15510002</v>
      </c>
      <c r="G169" s="14">
        <v>0</v>
      </c>
      <c r="H169" s="12">
        <f t="shared" si="3"/>
        <v>55</v>
      </c>
      <c r="I169" s="12">
        <v>25000</v>
      </c>
      <c r="J169" s="12">
        <v>12</v>
      </c>
      <c r="K169" s="12">
        <v>0</v>
      </c>
      <c r="L169" s="21">
        <v>1</v>
      </c>
      <c r="M169" s="21">
        <v>1</v>
      </c>
      <c r="N169" s="22">
        <v>0.1</v>
      </c>
      <c r="O169" s="21">
        <v>1</v>
      </c>
      <c r="P169" s="21">
        <v>1</v>
      </c>
      <c r="Q169" s="21">
        <v>1</v>
      </c>
      <c r="R169" s="21">
        <v>3</v>
      </c>
      <c r="S169" s="21">
        <f t="shared" si="4"/>
        <v>440</v>
      </c>
      <c r="T169" s="21">
        <v>500</v>
      </c>
      <c r="U169" s="22" t="s">
        <v>52</v>
      </c>
      <c r="V169" s="21">
        <v>1</v>
      </c>
      <c r="W169" s="21">
        <v>1</v>
      </c>
      <c r="X169" s="22">
        <v>0</v>
      </c>
      <c r="Y169" s="21">
        <v>0</v>
      </c>
      <c r="Z169" s="26" t="s">
        <v>306</v>
      </c>
    </row>
    <row r="170" spans="3:26" s="1" customFormat="1" ht="20.100000000000001" customHeight="1" x14ac:dyDescent="0.35">
      <c r="C170" s="12">
        <v>100521</v>
      </c>
      <c r="D170" s="20" t="s">
        <v>267</v>
      </c>
      <c r="E170" s="12">
        <v>1</v>
      </c>
      <c r="F170" s="20">
        <v>15510004</v>
      </c>
      <c r="G170" s="14">
        <v>0</v>
      </c>
      <c r="H170" s="12">
        <f t="shared" si="3"/>
        <v>55</v>
      </c>
      <c r="I170" s="12">
        <v>25000</v>
      </c>
      <c r="J170" s="12">
        <v>12</v>
      </c>
      <c r="K170" s="12">
        <v>0</v>
      </c>
      <c r="L170" s="21">
        <v>1</v>
      </c>
      <c r="M170" s="21">
        <v>1</v>
      </c>
      <c r="N170" s="22">
        <v>0.1</v>
      </c>
      <c r="O170" s="21">
        <v>1</v>
      </c>
      <c r="P170" s="21">
        <v>1</v>
      </c>
      <c r="Q170" s="21">
        <v>1</v>
      </c>
      <c r="R170" s="21">
        <v>3</v>
      </c>
      <c r="S170" s="21">
        <f t="shared" si="4"/>
        <v>460</v>
      </c>
      <c r="T170" s="21">
        <v>500</v>
      </c>
      <c r="U170" s="22" t="s">
        <v>52</v>
      </c>
      <c r="V170" s="21">
        <v>1</v>
      </c>
      <c r="W170" s="21">
        <v>1</v>
      </c>
      <c r="X170" s="22">
        <v>0</v>
      </c>
      <c r="Y170" s="21">
        <v>0</v>
      </c>
      <c r="Z170" s="26" t="s">
        <v>307</v>
      </c>
    </row>
    <row r="171" spans="3:26" s="1" customFormat="1" ht="20.100000000000001" customHeight="1" x14ac:dyDescent="0.35">
      <c r="C171" s="12">
        <v>100522</v>
      </c>
      <c r="D171" s="12" t="s">
        <v>269</v>
      </c>
      <c r="E171" s="12">
        <v>2</v>
      </c>
      <c r="F171" s="20">
        <v>15511002</v>
      </c>
      <c r="G171" s="14">
        <v>0</v>
      </c>
      <c r="H171" s="12">
        <f t="shared" si="3"/>
        <v>55</v>
      </c>
      <c r="I171" s="12">
        <v>25000</v>
      </c>
      <c r="J171" s="12">
        <v>12</v>
      </c>
      <c r="K171" s="12">
        <v>0</v>
      </c>
      <c r="L171" s="21">
        <v>1</v>
      </c>
      <c r="M171" s="21">
        <v>1</v>
      </c>
      <c r="N171" s="22">
        <v>0.1</v>
      </c>
      <c r="O171" s="21">
        <v>1</v>
      </c>
      <c r="P171" s="21">
        <v>1</v>
      </c>
      <c r="Q171" s="21">
        <v>1</v>
      </c>
      <c r="R171" s="21">
        <v>3</v>
      </c>
      <c r="S171" s="21">
        <f t="shared" si="4"/>
        <v>460</v>
      </c>
      <c r="T171" s="21">
        <v>500</v>
      </c>
      <c r="U171" s="22" t="s">
        <v>52</v>
      </c>
      <c r="V171" s="21">
        <v>1</v>
      </c>
      <c r="W171" s="21">
        <v>1</v>
      </c>
      <c r="X171" s="22">
        <v>0</v>
      </c>
      <c r="Y171" s="21">
        <v>0</v>
      </c>
      <c r="Z171" s="26" t="s">
        <v>308</v>
      </c>
    </row>
    <row r="172" spans="3:26" s="1" customFormat="1" ht="20.100000000000001" customHeight="1" x14ac:dyDescent="0.35">
      <c r="C172" s="12">
        <v>100523</v>
      </c>
      <c r="D172" s="12" t="s">
        <v>271</v>
      </c>
      <c r="E172" s="12">
        <v>2</v>
      </c>
      <c r="F172" s="20">
        <v>15511004</v>
      </c>
      <c r="G172" s="14">
        <v>0</v>
      </c>
      <c r="H172" s="12">
        <f t="shared" si="3"/>
        <v>55</v>
      </c>
      <c r="I172" s="12">
        <v>25000</v>
      </c>
      <c r="J172" s="12">
        <v>12</v>
      </c>
      <c r="K172" s="12">
        <v>0</v>
      </c>
      <c r="L172" s="21">
        <v>1</v>
      </c>
      <c r="M172" s="21">
        <v>1</v>
      </c>
      <c r="N172" s="22">
        <v>0.1</v>
      </c>
      <c r="O172" s="21">
        <v>1</v>
      </c>
      <c r="P172" s="21">
        <v>1</v>
      </c>
      <c r="Q172" s="21">
        <v>1</v>
      </c>
      <c r="R172" s="21">
        <v>3</v>
      </c>
      <c r="S172" s="21">
        <f t="shared" si="4"/>
        <v>460</v>
      </c>
      <c r="T172" s="21">
        <v>500</v>
      </c>
      <c r="U172" s="22" t="s">
        <v>52</v>
      </c>
      <c r="V172" s="21">
        <v>1</v>
      </c>
      <c r="W172" s="21">
        <v>1</v>
      </c>
      <c r="X172" s="22">
        <v>0</v>
      </c>
      <c r="Y172" s="21">
        <v>0</v>
      </c>
      <c r="Z172" s="26" t="s">
        <v>309</v>
      </c>
    </row>
    <row r="173" spans="3:26" s="1" customFormat="1" ht="20.100000000000001" customHeight="1" x14ac:dyDescent="0.35">
      <c r="C173" s="12">
        <v>100524</v>
      </c>
      <c r="D173" s="12" t="s">
        <v>273</v>
      </c>
      <c r="E173" s="12">
        <v>2</v>
      </c>
      <c r="F173" s="20">
        <v>15511006</v>
      </c>
      <c r="G173" s="14">
        <v>0</v>
      </c>
      <c r="H173" s="12">
        <f t="shared" si="3"/>
        <v>55</v>
      </c>
      <c r="I173" s="12">
        <v>25000</v>
      </c>
      <c r="J173" s="12">
        <v>12</v>
      </c>
      <c r="K173" s="12">
        <v>0</v>
      </c>
      <c r="L173" s="21">
        <v>1</v>
      </c>
      <c r="M173" s="21">
        <v>1</v>
      </c>
      <c r="N173" s="22">
        <v>0.1</v>
      </c>
      <c r="O173" s="21">
        <v>1</v>
      </c>
      <c r="P173" s="21">
        <v>1</v>
      </c>
      <c r="Q173" s="21">
        <v>1</v>
      </c>
      <c r="R173" s="21">
        <v>3</v>
      </c>
      <c r="S173" s="21">
        <f t="shared" si="4"/>
        <v>460</v>
      </c>
      <c r="T173" s="21">
        <v>500</v>
      </c>
      <c r="U173" s="22" t="s">
        <v>52</v>
      </c>
      <c r="V173" s="21">
        <v>1</v>
      </c>
      <c r="W173" s="21">
        <v>1</v>
      </c>
      <c r="X173" s="22">
        <v>0</v>
      </c>
      <c r="Y173" s="21">
        <v>0</v>
      </c>
      <c r="Z173" s="26" t="s">
        <v>310</v>
      </c>
    </row>
    <row r="174" spans="3:26" s="1" customFormat="1" ht="20.100000000000001" customHeight="1" x14ac:dyDescent="0.35">
      <c r="C174" s="12">
        <v>100525</v>
      </c>
      <c r="D174" s="15" t="s">
        <v>275</v>
      </c>
      <c r="E174" s="12">
        <v>1</v>
      </c>
      <c r="F174" s="15">
        <v>15510102</v>
      </c>
      <c r="G174" s="14">
        <v>0</v>
      </c>
      <c r="H174" s="12">
        <f t="shared" si="3"/>
        <v>55</v>
      </c>
      <c r="I174" s="12">
        <v>25000</v>
      </c>
      <c r="J174" s="12">
        <v>12</v>
      </c>
      <c r="K174" s="12">
        <v>0</v>
      </c>
      <c r="L174" s="21">
        <v>1</v>
      </c>
      <c r="M174" s="21">
        <v>1</v>
      </c>
      <c r="N174" s="22">
        <v>0.1</v>
      </c>
      <c r="O174" s="21">
        <v>1</v>
      </c>
      <c r="P174" s="21">
        <v>1</v>
      </c>
      <c r="Q174" s="21">
        <v>1</v>
      </c>
      <c r="R174" s="21">
        <v>3</v>
      </c>
      <c r="S174" s="21">
        <f t="shared" si="4"/>
        <v>440</v>
      </c>
      <c r="T174" s="21">
        <v>500</v>
      </c>
      <c r="U174" s="22" t="s">
        <v>52</v>
      </c>
      <c r="V174" s="21">
        <v>1</v>
      </c>
      <c r="W174" s="21">
        <v>1</v>
      </c>
      <c r="X174" s="22">
        <v>0</v>
      </c>
      <c r="Y174" s="21">
        <v>0</v>
      </c>
      <c r="Z174" s="26" t="s">
        <v>306</v>
      </c>
    </row>
    <row r="175" spans="3:26" s="1" customFormat="1" ht="20.100000000000001" customHeight="1" x14ac:dyDescent="0.35">
      <c r="C175" s="12">
        <v>100526</v>
      </c>
      <c r="D175" s="15" t="s">
        <v>275</v>
      </c>
      <c r="E175" s="12">
        <v>1</v>
      </c>
      <c r="F175" s="15">
        <v>15510104</v>
      </c>
      <c r="G175" s="14">
        <v>0</v>
      </c>
      <c r="H175" s="12">
        <f t="shared" si="3"/>
        <v>55</v>
      </c>
      <c r="I175" s="12">
        <v>25000</v>
      </c>
      <c r="J175" s="12">
        <v>12</v>
      </c>
      <c r="K175" s="12">
        <v>0</v>
      </c>
      <c r="L175" s="21">
        <v>1</v>
      </c>
      <c r="M175" s="21">
        <v>1</v>
      </c>
      <c r="N175" s="22">
        <v>0.1</v>
      </c>
      <c r="O175" s="21">
        <v>1</v>
      </c>
      <c r="P175" s="21">
        <v>1</v>
      </c>
      <c r="Q175" s="21">
        <v>1</v>
      </c>
      <c r="R175" s="21">
        <v>3</v>
      </c>
      <c r="S175" s="21">
        <f t="shared" si="4"/>
        <v>460</v>
      </c>
      <c r="T175" s="21">
        <v>500</v>
      </c>
      <c r="U175" s="22" t="s">
        <v>52</v>
      </c>
      <c r="V175" s="21">
        <v>1</v>
      </c>
      <c r="W175" s="21">
        <v>1</v>
      </c>
      <c r="X175" s="22">
        <v>0</v>
      </c>
      <c r="Y175" s="21">
        <v>0</v>
      </c>
      <c r="Z175" s="26" t="s">
        <v>307</v>
      </c>
    </row>
    <row r="176" spans="3:26" s="1" customFormat="1" ht="20.100000000000001" customHeight="1" x14ac:dyDescent="0.35">
      <c r="C176" s="12">
        <v>100527</v>
      </c>
      <c r="D176" s="20" t="s">
        <v>311</v>
      </c>
      <c r="E176" s="12">
        <v>1</v>
      </c>
      <c r="F176" s="20">
        <v>15510202</v>
      </c>
      <c r="G176" s="14">
        <v>0</v>
      </c>
      <c r="H176" s="12">
        <f t="shared" si="3"/>
        <v>55</v>
      </c>
      <c r="I176" s="12">
        <v>25000</v>
      </c>
      <c r="J176" s="12">
        <v>12</v>
      </c>
      <c r="K176" s="12">
        <v>0</v>
      </c>
      <c r="L176" s="21">
        <v>1</v>
      </c>
      <c r="M176" s="21">
        <v>1</v>
      </c>
      <c r="N176" s="22">
        <v>0.1</v>
      </c>
      <c r="O176" s="21">
        <v>1</v>
      </c>
      <c r="P176" s="21">
        <v>1</v>
      </c>
      <c r="Q176" s="21">
        <v>1</v>
      </c>
      <c r="R176" s="21">
        <v>3</v>
      </c>
      <c r="S176" s="21">
        <f t="shared" si="4"/>
        <v>440</v>
      </c>
      <c r="T176" s="21">
        <v>500</v>
      </c>
      <c r="U176" s="22" t="s">
        <v>52</v>
      </c>
      <c r="V176" s="21">
        <v>1</v>
      </c>
      <c r="W176" s="21">
        <v>1</v>
      </c>
      <c r="X176" s="22">
        <v>0</v>
      </c>
      <c r="Y176" s="21">
        <v>0</v>
      </c>
      <c r="Z176" s="26" t="s">
        <v>307</v>
      </c>
    </row>
    <row r="177" spans="3:26" s="2" customFormat="1" ht="20.100000000000001" customHeight="1" x14ac:dyDescent="0.35">
      <c r="C177" s="18">
        <v>100551</v>
      </c>
      <c r="D177" s="18" t="s">
        <v>312</v>
      </c>
      <c r="E177" s="19">
        <v>5</v>
      </c>
      <c r="F177" s="18">
        <v>15506003</v>
      </c>
      <c r="G177" s="14">
        <v>0</v>
      </c>
      <c r="H177" s="12">
        <f t="shared" si="3"/>
        <v>55</v>
      </c>
      <c r="I177" s="12">
        <v>100000</v>
      </c>
      <c r="J177" s="12">
        <v>20</v>
      </c>
      <c r="K177" s="12">
        <v>0</v>
      </c>
      <c r="L177" s="21">
        <v>1</v>
      </c>
      <c r="M177" s="21">
        <v>1</v>
      </c>
      <c r="N177" s="22">
        <v>0.1</v>
      </c>
      <c r="O177" s="21">
        <v>1</v>
      </c>
      <c r="P177" s="21">
        <v>1</v>
      </c>
      <c r="Q177" s="21">
        <v>1</v>
      </c>
      <c r="R177" s="21">
        <v>3</v>
      </c>
      <c r="S177" s="23">
        <v>0</v>
      </c>
      <c r="T177" s="21">
        <v>0</v>
      </c>
      <c r="U177" s="24">
        <v>0</v>
      </c>
      <c r="V177" s="21">
        <v>1</v>
      </c>
      <c r="W177" s="21">
        <v>1</v>
      </c>
      <c r="X177" s="22">
        <v>0</v>
      </c>
      <c r="Y177" s="21">
        <v>0</v>
      </c>
      <c r="Z177" s="26" t="s">
        <v>313</v>
      </c>
    </row>
    <row r="178" spans="3:26" s="2" customFormat="1" ht="20.100000000000001" customHeight="1" x14ac:dyDescent="0.35">
      <c r="C178" s="18">
        <v>100552</v>
      </c>
      <c r="D178" s="18" t="s">
        <v>314</v>
      </c>
      <c r="E178" s="19">
        <v>5</v>
      </c>
      <c r="F178" s="18">
        <v>15510011</v>
      </c>
      <c r="G178" s="14">
        <v>0</v>
      </c>
      <c r="H178" s="12">
        <f t="shared" si="3"/>
        <v>55</v>
      </c>
      <c r="I178" s="12">
        <v>100000</v>
      </c>
      <c r="J178" s="12">
        <v>20</v>
      </c>
      <c r="K178" s="12">
        <v>0</v>
      </c>
      <c r="L178" s="21">
        <v>1</v>
      </c>
      <c r="M178" s="21">
        <v>1</v>
      </c>
      <c r="N178" s="22">
        <v>0.1</v>
      </c>
      <c r="O178" s="21">
        <v>1</v>
      </c>
      <c r="P178" s="21">
        <v>1</v>
      </c>
      <c r="Q178" s="21">
        <v>1</v>
      </c>
      <c r="R178" s="21">
        <v>3</v>
      </c>
      <c r="S178" s="23">
        <v>0</v>
      </c>
      <c r="T178" s="21">
        <v>0</v>
      </c>
      <c r="U178" s="24">
        <v>0</v>
      </c>
      <c r="V178" s="21">
        <v>1</v>
      </c>
      <c r="W178" s="21">
        <v>1</v>
      </c>
      <c r="X178" s="22">
        <v>0</v>
      </c>
      <c r="Y178" s="21">
        <v>0</v>
      </c>
      <c r="Z178" s="26" t="s">
        <v>315</v>
      </c>
    </row>
    <row r="179" spans="3:26" s="2" customFormat="1" ht="20.100000000000001" customHeight="1" x14ac:dyDescent="0.35">
      <c r="C179" s="18">
        <v>100553</v>
      </c>
      <c r="D179" s="18" t="s">
        <v>316</v>
      </c>
      <c r="E179" s="19">
        <v>5</v>
      </c>
      <c r="F179" s="18">
        <v>15510012</v>
      </c>
      <c r="G179" s="14">
        <v>0</v>
      </c>
      <c r="H179" s="12">
        <f t="shared" si="3"/>
        <v>55</v>
      </c>
      <c r="I179" s="12">
        <v>100000</v>
      </c>
      <c r="J179" s="12">
        <v>20</v>
      </c>
      <c r="K179" s="12">
        <v>0</v>
      </c>
      <c r="L179" s="21">
        <v>1</v>
      </c>
      <c r="M179" s="21">
        <v>1</v>
      </c>
      <c r="N179" s="22">
        <v>0.1</v>
      </c>
      <c r="O179" s="21">
        <v>1</v>
      </c>
      <c r="P179" s="21">
        <v>1</v>
      </c>
      <c r="Q179" s="21">
        <v>1</v>
      </c>
      <c r="R179" s="21">
        <v>3</v>
      </c>
      <c r="S179" s="23">
        <v>0</v>
      </c>
      <c r="T179" s="21">
        <v>0</v>
      </c>
      <c r="U179" s="24">
        <v>0</v>
      </c>
      <c r="V179" s="21">
        <v>1</v>
      </c>
      <c r="W179" s="21">
        <v>1</v>
      </c>
      <c r="X179" s="22">
        <v>0</v>
      </c>
      <c r="Y179" s="21">
        <v>0</v>
      </c>
      <c r="Z179" s="27" t="s">
        <v>317</v>
      </c>
    </row>
    <row r="180" spans="3:26" s="2" customFormat="1" ht="20.100000000000001" customHeight="1" x14ac:dyDescent="0.35">
      <c r="C180" s="18">
        <v>100554</v>
      </c>
      <c r="D180" s="18" t="s">
        <v>318</v>
      </c>
      <c r="E180" s="19">
        <v>5</v>
      </c>
      <c r="F180" s="18">
        <v>15510121</v>
      </c>
      <c r="G180" s="14">
        <v>0</v>
      </c>
      <c r="H180" s="12">
        <f t="shared" si="3"/>
        <v>55</v>
      </c>
      <c r="I180" s="12">
        <v>100000</v>
      </c>
      <c r="J180" s="12">
        <v>20</v>
      </c>
      <c r="K180" s="12">
        <v>0</v>
      </c>
      <c r="L180" s="21">
        <v>1</v>
      </c>
      <c r="M180" s="21">
        <v>1</v>
      </c>
      <c r="N180" s="22">
        <v>0.1</v>
      </c>
      <c r="O180" s="21">
        <v>1</v>
      </c>
      <c r="P180" s="21">
        <v>1</v>
      </c>
      <c r="Q180" s="21">
        <v>1</v>
      </c>
      <c r="R180" s="21">
        <v>3</v>
      </c>
      <c r="S180" s="23">
        <v>0</v>
      </c>
      <c r="T180" s="21">
        <v>0</v>
      </c>
      <c r="U180" s="24">
        <v>0</v>
      </c>
      <c r="V180" s="21">
        <v>1</v>
      </c>
      <c r="W180" s="21">
        <v>1</v>
      </c>
      <c r="X180" s="22">
        <v>0</v>
      </c>
      <c r="Y180" s="21">
        <v>0</v>
      </c>
      <c r="Z180" s="27" t="s">
        <v>319</v>
      </c>
    </row>
    <row r="181" spans="3:26" s="2" customFormat="1" ht="20.100000000000001" customHeight="1" x14ac:dyDescent="0.35">
      <c r="C181" s="18">
        <v>100555</v>
      </c>
      <c r="D181" s="18" t="s">
        <v>320</v>
      </c>
      <c r="E181" s="19">
        <v>5</v>
      </c>
      <c r="F181" s="18">
        <v>15510122</v>
      </c>
      <c r="G181" s="14">
        <v>0</v>
      </c>
      <c r="H181" s="12">
        <f t="shared" si="3"/>
        <v>55</v>
      </c>
      <c r="I181" s="12">
        <v>100000</v>
      </c>
      <c r="J181" s="12">
        <v>20</v>
      </c>
      <c r="K181" s="12">
        <v>0</v>
      </c>
      <c r="L181" s="21">
        <v>1</v>
      </c>
      <c r="M181" s="21">
        <v>1</v>
      </c>
      <c r="N181" s="22">
        <v>0.1</v>
      </c>
      <c r="O181" s="21">
        <v>1</v>
      </c>
      <c r="P181" s="21">
        <v>1</v>
      </c>
      <c r="Q181" s="21">
        <v>1</v>
      </c>
      <c r="R181" s="21">
        <v>3</v>
      </c>
      <c r="S181" s="23">
        <v>0</v>
      </c>
      <c r="T181" s="21">
        <v>0</v>
      </c>
      <c r="U181" s="24">
        <v>0</v>
      </c>
      <c r="V181" s="21">
        <v>1</v>
      </c>
      <c r="W181" s="21">
        <v>1</v>
      </c>
      <c r="X181" s="22">
        <v>0</v>
      </c>
      <c r="Y181" s="21">
        <v>0</v>
      </c>
      <c r="Z181" s="27" t="s">
        <v>321</v>
      </c>
    </row>
    <row r="182" spans="3:26" s="2" customFormat="1" ht="20.100000000000001" customHeight="1" x14ac:dyDescent="0.35">
      <c r="C182" s="18">
        <v>100556</v>
      </c>
      <c r="D182" s="18" t="s">
        <v>322</v>
      </c>
      <c r="E182" s="19">
        <v>5</v>
      </c>
      <c r="F182" s="18">
        <v>15511011</v>
      </c>
      <c r="G182" s="14">
        <v>0</v>
      </c>
      <c r="H182" s="12">
        <f t="shared" si="3"/>
        <v>55</v>
      </c>
      <c r="I182" s="12">
        <v>100000</v>
      </c>
      <c r="J182" s="12">
        <v>20</v>
      </c>
      <c r="K182" s="12">
        <v>0</v>
      </c>
      <c r="L182" s="21">
        <v>1</v>
      </c>
      <c r="M182" s="21">
        <v>1</v>
      </c>
      <c r="N182" s="22">
        <v>0.1</v>
      </c>
      <c r="O182" s="21">
        <v>1</v>
      </c>
      <c r="P182" s="21">
        <v>1</v>
      </c>
      <c r="Q182" s="21">
        <v>1</v>
      </c>
      <c r="R182" s="21">
        <v>3</v>
      </c>
      <c r="S182" s="23">
        <v>0</v>
      </c>
      <c r="T182" s="21">
        <v>0</v>
      </c>
      <c r="U182" s="24">
        <v>0</v>
      </c>
      <c r="V182" s="21">
        <v>1</v>
      </c>
      <c r="W182" s="21">
        <v>1</v>
      </c>
      <c r="X182" s="22">
        <v>0</v>
      </c>
      <c r="Y182" s="21">
        <v>0</v>
      </c>
      <c r="Z182" s="27" t="s">
        <v>323</v>
      </c>
    </row>
    <row r="183" spans="3:26" s="2" customFormat="1" ht="20.100000000000001" customHeight="1" x14ac:dyDescent="0.35">
      <c r="C183" s="18">
        <v>100557</v>
      </c>
      <c r="D183" s="18" t="s">
        <v>324</v>
      </c>
      <c r="E183" s="19">
        <v>5</v>
      </c>
      <c r="F183" s="18">
        <v>15511012</v>
      </c>
      <c r="G183" s="14">
        <v>0</v>
      </c>
      <c r="H183" s="12">
        <f t="shared" si="3"/>
        <v>55</v>
      </c>
      <c r="I183" s="12">
        <v>100000</v>
      </c>
      <c r="J183" s="12">
        <v>20</v>
      </c>
      <c r="K183" s="12">
        <v>0</v>
      </c>
      <c r="L183" s="21">
        <v>1</v>
      </c>
      <c r="M183" s="21">
        <v>1</v>
      </c>
      <c r="N183" s="22">
        <v>0.1</v>
      </c>
      <c r="O183" s="21">
        <v>1</v>
      </c>
      <c r="P183" s="21">
        <v>1</v>
      </c>
      <c r="Q183" s="21">
        <v>1</v>
      </c>
      <c r="R183" s="21">
        <v>3</v>
      </c>
      <c r="S183" s="23">
        <v>0</v>
      </c>
      <c r="T183" s="21">
        <v>0</v>
      </c>
      <c r="U183" s="24">
        <v>0</v>
      </c>
      <c r="V183" s="21">
        <v>1</v>
      </c>
      <c r="W183" s="21">
        <v>1</v>
      </c>
      <c r="X183" s="22">
        <v>0</v>
      </c>
      <c r="Y183" s="21">
        <v>0</v>
      </c>
      <c r="Z183" s="27" t="s">
        <v>325</v>
      </c>
    </row>
    <row r="184" spans="3:26" s="2" customFormat="1" ht="20.100000000000001" customHeight="1" x14ac:dyDescent="0.35">
      <c r="C184" s="18">
        <v>100558</v>
      </c>
      <c r="D184" s="18" t="s">
        <v>326</v>
      </c>
      <c r="E184" s="19">
        <v>5</v>
      </c>
      <c r="F184" s="18">
        <v>15511013</v>
      </c>
      <c r="G184" s="14">
        <v>0</v>
      </c>
      <c r="H184" s="12">
        <f t="shared" si="3"/>
        <v>55</v>
      </c>
      <c r="I184" s="12">
        <v>100000</v>
      </c>
      <c r="J184" s="12">
        <v>20</v>
      </c>
      <c r="K184" s="12">
        <v>0</v>
      </c>
      <c r="L184" s="21">
        <v>1</v>
      </c>
      <c r="M184" s="21">
        <v>1</v>
      </c>
      <c r="N184" s="22">
        <v>0.1</v>
      </c>
      <c r="O184" s="21">
        <v>1</v>
      </c>
      <c r="P184" s="21">
        <v>1</v>
      </c>
      <c r="Q184" s="21">
        <v>1</v>
      </c>
      <c r="R184" s="21">
        <v>3</v>
      </c>
      <c r="S184" s="23">
        <v>0</v>
      </c>
      <c r="T184" s="21">
        <v>0</v>
      </c>
      <c r="U184" s="24">
        <v>0</v>
      </c>
      <c r="V184" s="21">
        <v>1</v>
      </c>
      <c r="W184" s="21">
        <v>1</v>
      </c>
      <c r="X184" s="22">
        <v>0</v>
      </c>
      <c r="Y184" s="21">
        <v>0</v>
      </c>
      <c r="Z184" s="27" t="s">
        <v>327</v>
      </c>
    </row>
    <row r="185" spans="3:26" s="2" customFormat="1" ht="20.100000000000001" customHeight="1" x14ac:dyDescent="0.35">
      <c r="C185" s="18">
        <v>100559</v>
      </c>
      <c r="D185" s="18" t="s">
        <v>328</v>
      </c>
      <c r="E185" s="19">
        <v>5</v>
      </c>
      <c r="F185" s="18">
        <v>15510211</v>
      </c>
      <c r="G185" s="14">
        <v>0</v>
      </c>
      <c r="H185" s="12">
        <f t="shared" si="3"/>
        <v>55</v>
      </c>
      <c r="I185" s="12">
        <v>100000</v>
      </c>
      <c r="J185" s="12">
        <v>20</v>
      </c>
      <c r="K185" s="12">
        <v>0</v>
      </c>
      <c r="L185" s="21">
        <v>1</v>
      </c>
      <c r="M185" s="21">
        <v>1</v>
      </c>
      <c r="N185" s="22">
        <v>0.1</v>
      </c>
      <c r="O185" s="21">
        <v>1</v>
      </c>
      <c r="P185" s="21">
        <v>1</v>
      </c>
      <c r="Q185" s="21">
        <v>1</v>
      </c>
      <c r="R185" s="21">
        <v>3</v>
      </c>
      <c r="S185" s="23">
        <v>0</v>
      </c>
      <c r="T185" s="21">
        <v>0</v>
      </c>
      <c r="U185" s="24">
        <v>0</v>
      </c>
      <c r="V185" s="21">
        <v>1</v>
      </c>
      <c r="W185" s="21">
        <v>1</v>
      </c>
      <c r="X185" s="22">
        <v>0</v>
      </c>
      <c r="Y185" s="21">
        <v>0</v>
      </c>
      <c r="Z185" s="27" t="s">
        <v>329</v>
      </c>
    </row>
    <row r="186" spans="3:26" s="1" customFormat="1" ht="20.100000000000001" customHeight="1" x14ac:dyDescent="0.35">
      <c r="C186" s="12">
        <v>200001</v>
      </c>
      <c r="D186" s="20" t="s">
        <v>330</v>
      </c>
      <c r="E186" s="12">
        <v>3</v>
      </c>
      <c r="F186" s="20">
        <v>13001001</v>
      </c>
      <c r="G186" s="14">
        <v>0</v>
      </c>
      <c r="H186" s="12">
        <v>3</v>
      </c>
      <c r="I186" s="12">
        <v>1000</v>
      </c>
      <c r="J186" s="12">
        <v>2</v>
      </c>
      <c r="K186" s="12">
        <v>0</v>
      </c>
      <c r="L186" s="21">
        <v>1</v>
      </c>
      <c r="M186" s="21">
        <v>1</v>
      </c>
      <c r="N186" s="22">
        <v>0.02</v>
      </c>
      <c r="O186" s="21">
        <v>0</v>
      </c>
      <c r="P186" s="21">
        <v>1</v>
      </c>
      <c r="Q186" s="21">
        <v>1</v>
      </c>
      <c r="R186" s="21">
        <v>3</v>
      </c>
      <c r="S186" s="21">
        <v>1</v>
      </c>
      <c r="T186" s="21">
        <v>75</v>
      </c>
      <c r="U186" s="22" t="s">
        <v>331</v>
      </c>
      <c r="V186" s="21">
        <v>1</v>
      </c>
      <c r="W186" s="21">
        <v>1</v>
      </c>
      <c r="X186" s="22">
        <v>0</v>
      </c>
      <c r="Y186" s="21">
        <v>0</v>
      </c>
      <c r="Z186" s="26" t="s">
        <v>332</v>
      </c>
    </row>
    <row r="187" spans="3:26" s="1" customFormat="1" ht="20.100000000000001" customHeight="1" x14ac:dyDescent="0.35">
      <c r="C187" s="12">
        <v>200002</v>
      </c>
      <c r="D187" s="20" t="s">
        <v>333</v>
      </c>
      <c r="E187" s="12">
        <v>3</v>
      </c>
      <c r="F187" s="20">
        <v>13001002</v>
      </c>
      <c r="G187" s="14">
        <v>0</v>
      </c>
      <c r="H187" s="12">
        <v>4</v>
      </c>
      <c r="I187" s="12">
        <v>5000</v>
      </c>
      <c r="J187" s="12">
        <v>4</v>
      </c>
      <c r="K187" s="12">
        <v>0</v>
      </c>
      <c r="L187" s="21">
        <v>1</v>
      </c>
      <c r="M187" s="21">
        <v>1</v>
      </c>
      <c r="N187" s="22">
        <v>0.02</v>
      </c>
      <c r="O187" s="21">
        <v>0</v>
      </c>
      <c r="P187" s="21">
        <v>1</v>
      </c>
      <c r="Q187" s="21">
        <v>1</v>
      </c>
      <c r="R187" s="21">
        <v>3</v>
      </c>
      <c r="S187" s="21">
        <v>1</v>
      </c>
      <c r="T187" s="21">
        <v>120</v>
      </c>
      <c r="U187" s="22" t="s">
        <v>334</v>
      </c>
      <c r="V187" s="21">
        <v>1</v>
      </c>
      <c r="W187" s="21">
        <v>1</v>
      </c>
      <c r="X187" s="22">
        <v>0</v>
      </c>
      <c r="Y187" s="21">
        <v>0</v>
      </c>
      <c r="Z187" s="26" t="s">
        <v>335</v>
      </c>
    </row>
    <row r="188" spans="3:26" s="1" customFormat="1" ht="20.100000000000001" customHeight="1" x14ac:dyDescent="0.35">
      <c r="C188" s="12">
        <v>200003</v>
      </c>
      <c r="D188" s="20" t="s">
        <v>336</v>
      </c>
      <c r="E188" s="12">
        <v>3</v>
      </c>
      <c r="F188" s="20">
        <v>13001003</v>
      </c>
      <c r="G188" s="14">
        <v>0</v>
      </c>
      <c r="H188" s="12">
        <v>6</v>
      </c>
      <c r="I188" s="12">
        <v>5000</v>
      </c>
      <c r="J188" s="12">
        <v>4</v>
      </c>
      <c r="K188" s="12">
        <v>0</v>
      </c>
      <c r="L188" s="21">
        <v>1</v>
      </c>
      <c r="M188" s="21">
        <v>1</v>
      </c>
      <c r="N188" s="22">
        <v>0.02</v>
      </c>
      <c r="O188" s="21">
        <v>0</v>
      </c>
      <c r="P188" s="21">
        <v>1</v>
      </c>
      <c r="Q188" s="21">
        <v>1</v>
      </c>
      <c r="R188" s="21">
        <v>3</v>
      </c>
      <c r="S188" s="21">
        <v>1</v>
      </c>
      <c r="T188" s="21">
        <v>120</v>
      </c>
      <c r="U188" s="22" t="s">
        <v>334</v>
      </c>
      <c r="V188" s="21">
        <v>1</v>
      </c>
      <c r="W188" s="21">
        <v>1</v>
      </c>
      <c r="X188" s="22">
        <v>0</v>
      </c>
      <c r="Y188" s="21">
        <v>0</v>
      </c>
      <c r="Z188" s="26" t="s">
        <v>337</v>
      </c>
    </row>
    <row r="189" spans="3:26" s="1" customFormat="1" ht="20.100000000000001" customHeight="1" x14ac:dyDescent="0.35">
      <c r="C189" s="12">
        <v>200004</v>
      </c>
      <c r="D189" s="20" t="s">
        <v>338</v>
      </c>
      <c r="E189" s="12">
        <v>3</v>
      </c>
      <c r="F189" s="20">
        <v>13001004</v>
      </c>
      <c r="G189" s="14">
        <v>0</v>
      </c>
      <c r="H189" s="12">
        <v>8</v>
      </c>
      <c r="I189" s="12">
        <v>5000</v>
      </c>
      <c r="J189" s="12">
        <v>4</v>
      </c>
      <c r="K189" s="12">
        <v>0</v>
      </c>
      <c r="L189" s="21">
        <v>1</v>
      </c>
      <c r="M189" s="21">
        <v>1</v>
      </c>
      <c r="N189" s="22">
        <v>0.02</v>
      </c>
      <c r="O189" s="21">
        <v>0</v>
      </c>
      <c r="P189" s="21">
        <v>1</v>
      </c>
      <c r="Q189" s="21">
        <v>1</v>
      </c>
      <c r="R189" s="21">
        <v>3</v>
      </c>
      <c r="S189" s="21">
        <v>30</v>
      </c>
      <c r="T189" s="21">
        <v>120</v>
      </c>
      <c r="U189" s="22" t="s">
        <v>339</v>
      </c>
      <c r="V189" s="21">
        <v>1</v>
      </c>
      <c r="W189" s="21">
        <v>1</v>
      </c>
      <c r="X189" s="22">
        <v>0</v>
      </c>
      <c r="Y189" s="21">
        <v>0</v>
      </c>
      <c r="Z189" s="26" t="s">
        <v>340</v>
      </c>
    </row>
    <row r="190" spans="3:26" s="1" customFormat="1" ht="20.100000000000001" customHeight="1" x14ac:dyDescent="0.35">
      <c r="C190" s="12">
        <v>200005</v>
      </c>
      <c r="D190" s="20" t="s">
        <v>341</v>
      </c>
      <c r="E190" s="12">
        <v>3</v>
      </c>
      <c r="F190" s="20">
        <v>13001005</v>
      </c>
      <c r="G190" s="14">
        <v>0</v>
      </c>
      <c r="H190" s="12">
        <v>10</v>
      </c>
      <c r="I190" s="12">
        <v>5000</v>
      </c>
      <c r="J190" s="12">
        <v>4</v>
      </c>
      <c r="K190" s="12">
        <v>0</v>
      </c>
      <c r="L190" s="21">
        <v>1</v>
      </c>
      <c r="M190" s="21">
        <v>1</v>
      </c>
      <c r="N190" s="22">
        <v>0.02</v>
      </c>
      <c r="O190" s="21">
        <v>0</v>
      </c>
      <c r="P190" s="21">
        <v>1</v>
      </c>
      <c r="Q190" s="21">
        <v>1</v>
      </c>
      <c r="R190" s="21">
        <v>3</v>
      </c>
      <c r="S190" s="21">
        <v>40</v>
      </c>
      <c r="T190" s="21">
        <v>120</v>
      </c>
      <c r="U190" s="22" t="s">
        <v>339</v>
      </c>
      <c r="V190" s="21">
        <v>1</v>
      </c>
      <c r="W190" s="21">
        <v>1</v>
      </c>
      <c r="X190" s="22">
        <v>0</v>
      </c>
      <c r="Y190" s="21">
        <v>0</v>
      </c>
      <c r="Z190" s="26" t="s">
        <v>342</v>
      </c>
    </row>
    <row r="191" spans="3:26" s="1" customFormat="1" ht="20.100000000000001" customHeight="1" x14ac:dyDescent="0.35">
      <c r="C191" s="12">
        <v>200006</v>
      </c>
      <c r="D191" s="20" t="s">
        <v>343</v>
      </c>
      <c r="E191" s="12">
        <v>3</v>
      </c>
      <c r="F191" s="20">
        <v>13001006</v>
      </c>
      <c r="G191" s="14">
        <v>0</v>
      </c>
      <c r="H191" s="12">
        <v>12</v>
      </c>
      <c r="I191" s="12">
        <v>5000</v>
      </c>
      <c r="J191" s="12">
        <v>4</v>
      </c>
      <c r="K191" s="12">
        <v>0</v>
      </c>
      <c r="L191" s="21">
        <v>1</v>
      </c>
      <c r="M191" s="21">
        <v>1</v>
      </c>
      <c r="N191" s="22">
        <v>0.02</v>
      </c>
      <c r="O191" s="21">
        <v>0</v>
      </c>
      <c r="P191" s="21">
        <v>1</v>
      </c>
      <c r="Q191" s="21">
        <v>1</v>
      </c>
      <c r="R191" s="21">
        <v>3</v>
      </c>
      <c r="S191" s="21">
        <v>50</v>
      </c>
      <c r="T191" s="21">
        <v>120</v>
      </c>
      <c r="U191" s="22" t="s">
        <v>339</v>
      </c>
      <c r="V191" s="21">
        <v>1</v>
      </c>
      <c r="W191" s="21">
        <v>1</v>
      </c>
      <c r="X191" s="22">
        <v>0</v>
      </c>
      <c r="Y191" s="21">
        <v>0</v>
      </c>
      <c r="Z191" s="26" t="s">
        <v>344</v>
      </c>
    </row>
    <row r="192" spans="3:26" s="1" customFormat="1" ht="20.100000000000001" customHeight="1" x14ac:dyDescent="0.35">
      <c r="C192" s="12">
        <v>200007</v>
      </c>
      <c r="D192" s="20" t="s">
        <v>345</v>
      </c>
      <c r="E192" s="12">
        <v>3</v>
      </c>
      <c r="F192" s="20">
        <v>13002001</v>
      </c>
      <c r="G192" s="14">
        <v>0</v>
      </c>
      <c r="H192" s="12">
        <v>20</v>
      </c>
      <c r="I192" s="12">
        <v>10000</v>
      </c>
      <c r="J192" s="12">
        <v>2</v>
      </c>
      <c r="K192" s="12">
        <v>0</v>
      </c>
      <c r="L192" s="21">
        <v>1</v>
      </c>
      <c r="M192" s="21">
        <v>1</v>
      </c>
      <c r="N192" s="22">
        <v>0.02</v>
      </c>
      <c r="O192" s="21">
        <v>0</v>
      </c>
      <c r="P192" s="21">
        <v>1</v>
      </c>
      <c r="Q192" s="21">
        <v>1</v>
      </c>
      <c r="R192" s="21">
        <v>3</v>
      </c>
      <c r="S192" s="21">
        <v>80</v>
      </c>
      <c r="T192" s="21">
        <v>200</v>
      </c>
      <c r="U192" s="22" t="s">
        <v>331</v>
      </c>
      <c r="V192" s="21">
        <v>1</v>
      </c>
      <c r="W192" s="21">
        <v>1</v>
      </c>
      <c r="X192" s="22">
        <v>0</v>
      </c>
      <c r="Y192" s="21">
        <v>0</v>
      </c>
      <c r="Z192" s="26" t="s">
        <v>332</v>
      </c>
    </row>
    <row r="193" spans="3:26" s="1" customFormat="1" ht="20.100000000000001" customHeight="1" x14ac:dyDescent="0.35">
      <c r="C193" s="12">
        <v>200008</v>
      </c>
      <c r="D193" s="20" t="s">
        <v>346</v>
      </c>
      <c r="E193" s="12">
        <v>3</v>
      </c>
      <c r="F193" s="20">
        <v>13002002</v>
      </c>
      <c r="G193" s="14">
        <v>0</v>
      </c>
      <c r="H193" s="12">
        <v>21</v>
      </c>
      <c r="I193" s="12">
        <v>10000</v>
      </c>
      <c r="J193" s="12">
        <v>4</v>
      </c>
      <c r="K193" s="12">
        <v>0</v>
      </c>
      <c r="L193" s="21">
        <v>1</v>
      </c>
      <c r="M193" s="21">
        <v>1</v>
      </c>
      <c r="N193" s="22">
        <v>0.02</v>
      </c>
      <c r="O193" s="21">
        <v>0</v>
      </c>
      <c r="P193" s="21">
        <v>1</v>
      </c>
      <c r="Q193" s="21">
        <v>1</v>
      </c>
      <c r="R193" s="21">
        <v>3</v>
      </c>
      <c r="S193" s="21">
        <v>100</v>
      </c>
      <c r="T193" s="21">
        <v>220</v>
      </c>
      <c r="U193" s="22" t="s">
        <v>334</v>
      </c>
      <c r="V193" s="21">
        <v>1</v>
      </c>
      <c r="W193" s="21">
        <v>1</v>
      </c>
      <c r="X193" s="22">
        <v>0</v>
      </c>
      <c r="Y193" s="21">
        <v>0</v>
      </c>
      <c r="Z193" s="26" t="s">
        <v>347</v>
      </c>
    </row>
    <row r="194" spans="3:26" s="1" customFormat="1" ht="20.100000000000001" customHeight="1" x14ac:dyDescent="0.35">
      <c r="C194" s="12">
        <v>200009</v>
      </c>
      <c r="D194" s="20" t="s">
        <v>348</v>
      </c>
      <c r="E194" s="12">
        <v>3</v>
      </c>
      <c r="F194" s="20">
        <v>13002003</v>
      </c>
      <c r="G194" s="14">
        <v>0</v>
      </c>
      <c r="H194" s="12">
        <v>22</v>
      </c>
      <c r="I194" s="12">
        <v>10000</v>
      </c>
      <c r="J194" s="12">
        <v>4</v>
      </c>
      <c r="K194" s="12">
        <v>0</v>
      </c>
      <c r="L194" s="21">
        <v>1</v>
      </c>
      <c r="M194" s="21">
        <v>1</v>
      </c>
      <c r="N194" s="22">
        <v>0.02</v>
      </c>
      <c r="O194" s="21">
        <v>0</v>
      </c>
      <c r="P194" s="21">
        <v>1</v>
      </c>
      <c r="Q194" s="21">
        <v>1</v>
      </c>
      <c r="R194" s="21">
        <v>3</v>
      </c>
      <c r="S194" s="21">
        <v>120</v>
      </c>
      <c r="T194" s="21">
        <v>220</v>
      </c>
      <c r="U194" s="22" t="s">
        <v>334</v>
      </c>
      <c r="V194" s="21">
        <v>1</v>
      </c>
      <c r="W194" s="21">
        <v>1</v>
      </c>
      <c r="X194" s="22">
        <v>0</v>
      </c>
      <c r="Y194" s="21">
        <v>0</v>
      </c>
      <c r="Z194" s="26" t="s">
        <v>349</v>
      </c>
    </row>
    <row r="195" spans="3:26" s="1" customFormat="1" ht="20.100000000000001" customHeight="1" x14ac:dyDescent="0.35">
      <c r="C195" s="12">
        <v>200010</v>
      </c>
      <c r="D195" s="20" t="s">
        <v>350</v>
      </c>
      <c r="E195" s="12">
        <v>3</v>
      </c>
      <c r="F195" s="20">
        <v>13002004</v>
      </c>
      <c r="G195" s="14">
        <v>0</v>
      </c>
      <c r="H195" s="12">
        <v>23</v>
      </c>
      <c r="I195" s="12">
        <v>10000</v>
      </c>
      <c r="J195" s="12">
        <v>4</v>
      </c>
      <c r="K195" s="12">
        <v>0</v>
      </c>
      <c r="L195" s="21">
        <v>1</v>
      </c>
      <c r="M195" s="21">
        <v>1</v>
      </c>
      <c r="N195" s="22">
        <v>0.02</v>
      </c>
      <c r="O195" s="21">
        <v>0</v>
      </c>
      <c r="P195" s="21">
        <v>1</v>
      </c>
      <c r="Q195" s="21">
        <v>1</v>
      </c>
      <c r="R195" s="21">
        <v>3</v>
      </c>
      <c r="S195" s="21">
        <v>140</v>
      </c>
      <c r="T195" s="21">
        <v>220</v>
      </c>
      <c r="U195" s="22" t="s">
        <v>339</v>
      </c>
      <c r="V195" s="21">
        <v>1</v>
      </c>
      <c r="W195" s="21">
        <v>1</v>
      </c>
      <c r="X195" s="22">
        <v>0</v>
      </c>
      <c r="Y195" s="21">
        <v>0</v>
      </c>
      <c r="Z195" s="26" t="s">
        <v>351</v>
      </c>
    </row>
    <row r="196" spans="3:26" s="1" customFormat="1" ht="20.100000000000001" customHeight="1" x14ac:dyDescent="0.35">
      <c r="C196" s="12">
        <v>200011</v>
      </c>
      <c r="D196" s="20" t="s">
        <v>352</v>
      </c>
      <c r="E196" s="12">
        <v>3</v>
      </c>
      <c r="F196" s="20">
        <v>13002005</v>
      </c>
      <c r="G196" s="14">
        <v>0</v>
      </c>
      <c r="H196" s="12">
        <v>24</v>
      </c>
      <c r="I196" s="12">
        <v>10000</v>
      </c>
      <c r="J196" s="12">
        <v>4</v>
      </c>
      <c r="K196" s="12">
        <v>0</v>
      </c>
      <c r="L196" s="21">
        <v>1</v>
      </c>
      <c r="M196" s="21">
        <v>1</v>
      </c>
      <c r="N196" s="22">
        <v>0.02</v>
      </c>
      <c r="O196" s="21">
        <v>0</v>
      </c>
      <c r="P196" s="21">
        <v>1</v>
      </c>
      <c r="Q196" s="21">
        <v>1</v>
      </c>
      <c r="R196" s="21">
        <v>3</v>
      </c>
      <c r="S196" s="21">
        <v>160</v>
      </c>
      <c r="T196" s="21">
        <v>220</v>
      </c>
      <c r="U196" s="22" t="s">
        <v>339</v>
      </c>
      <c r="V196" s="21">
        <v>1</v>
      </c>
      <c r="W196" s="21">
        <v>1</v>
      </c>
      <c r="X196" s="22">
        <v>0</v>
      </c>
      <c r="Y196" s="21">
        <v>0</v>
      </c>
      <c r="Z196" s="26" t="s">
        <v>353</v>
      </c>
    </row>
    <row r="197" spans="3:26" s="1" customFormat="1" ht="20.100000000000001" customHeight="1" x14ac:dyDescent="0.35">
      <c r="C197" s="12">
        <v>200012</v>
      </c>
      <c r="D197" s="20" t="s">
        <v>354</v>
      </c>
      <c r="E197" s="12">
        <v>3</v>
      </c>
      <c r="F197" s="20">
        <v>13002006</v>
      </c>
      <c r="G197" s="14">
        <v>0</v>
      </c>
      <c r="H197" s="12">
        <v>25</v>
      </c>
      <c r="I197" s="12">
        <v>10000</v>
      </c>
      <c r="J197" s="12">
        <v>4</v>
      </c>
      <c r="K197" s="12">
        <v>0</v>
      </c>
      <c r="L197" s="21">
        <v>1</v>
      </c>
      <c r="M197" s="21">
        <v>1</v>
      </c>
      <c r="N197" s="22">
        <v>0.02</v>
      </c>
      <c r="O197" s="21">
        <v>0</v>
      </c>
      <c r="P197" s="21">
        <v>1</v>
      </c>
      <c r="Q197" s="21">
        <v>1</v>
      </c>
      <c r="R197" s="21">
        <v>3</v>
      </c>
      <c r="S197" s="21">
        <v>180</v>
      </c>
      <c r="T197" s="21">
        <v>220</v>
      </c>
      <c r="U197" s="22" t="s">
        <v>339</v>
      </c>
      <c r="V197" s="21">
        <v>1</v>
      </c>
      <c r="W197" s="21">
        <v>1</v>
      </c>
      <c r="X197" s="22">
        <v>0</v>
      </c>
      <c r="Y197" s="21">
        <v>0</v>
      </c>
      <c r="Z197" s="26" t="s">
        <v>355</v>
      </c>
    </row>
    <row r="198" spans="3:26" s="1" customFormat="1" ht="20.100000000000001" customHeight="1" x14ac:dyDescent="0.35">
      <c r="C198" s="12">
        <v>200013</v>
      </c>
      <c r="D198" s="20" t="s">
        <v>356</v>
      </c>
      <c r="E198" s="12">
        <v>3</v>
      </c>
      <c r="F198" s="20">
        <v>13003001</v>
      </c>
      <c r="G198" s="14">
        <v>0</v>
      </c>
      <c r="H198" s="12">
        <v>30</v>
      </c>
      <c r="I198" s="12">
        <v>15000</v>
      </c>
      <c r="J198" s="12">
        <v>2</v>
      </c>
      <c r="K198" s="12">
        <v>0</v>
      </c>
      <c r="L198" s="21">
        <v>1</v>
      </c>
      <c r="M198" s="21">
        <v>1</v>
      </c>
      <c r="N198" s="22">
        <v>0.02</v>
      </c>
      <c r="O198" s="21">
        <v>0</v>
      </c>
      <c r="P198" s="21">
        <v>1</v>
      </c>
      <c r="Q198" s="21">
        <v>1</v>
      </c>
      <c r="R198" s="21">
        <v>3</v>
      </c>
      <c r="S198" s="21">
        <v>200</v>
      </c>
      <c r="T198" s="21">
        <v>275</v>
      </c>
      <c r="U198" s="22" t="s">
        <v>331</v>
      </c>
      <c r="V198" s="21">
        <v>1</v>
      </c>
      <c r="W198" s="21">
        <v>1</v>
      </c>
      <c r="X198" s="22">
        <v>0</v>
      </c>
      <c r="Y198" s="21">
        <v>0</v>
      </c>
      <c r="Z198" s="26" t="s">
        <v>357</v>
      </c>
    </row>
    <row r="199" spans="3:26" s="1" customFormat="1" ht="20.100000000000001" customHeight="1" x14ac:dyDescent="0.35">
      <c r="C199" s="12">
        <v>200014</v>
      </c>
      <c r="D199" s="20" t="s">
        <v>358</v>
      </c>
      <c r="E199" s="12">
        <v>3</v>
      </c>
      <c r="F199" s="20">
        <v>13003002</v>
      </c>
      <c r="G199" s="14">
        <v>0</v>
      </c>
      <c r="H199" s="12">
        <v>31</v>
      </c>
      <c r="I199" s="12">
        <v>15000</v>
      </c>
      <c r="J199" s="12">
        <v>4</v>
      </c>
      <c r="K199" s="12">
        <v>0</v>
      </c>
      <c r="L199" s="21">
        <v>1</v>
      </c>
      <c r="M199" s="21">
        <v>1</v>
      </c>
      <c r="N199" s="22">
        <v>0.02</v>
      </c>
      <c r="O199" s="21">
        <v>0</v>
      </c>
      <c r="P199" s="21">
        <v>1</v>
      </c>
      <c r="Q199" s="21">
        <v>1</v>
      </c>
      <c r="R199" s="21">
        <v>3</v>
      </c>
      <c r="S199" s="21">
        <f>S198+10</f>
        <v>210</v>
      </c>
      <c r="T199" s="21">
        <v>320</v>
      </c>
      <c r="U199" s="22" t="s">
        <v>334</v>
      </c>
      <c r="V199" s="21">
        <v>1</v>
      </c>
      <c r="W199" s="21">
        <v>1</v>
      </c>
      <c r="X199" s="22">
        <v>0</v>
      </c>
      <c r="Y199" s="21">
        <v>0</v>
      </c>
      <c r="Z199" s="26" t="s">
        <v>359</v>
      </c>
    </row>
    <row r="200" spans="3:26" s="1" customFormat="1" ht="20.100000000000001" customHeight="1" x14ac:dyDescent="0.35">
      <c r="C200" s="12">
        <v>200015</v>
      </c>
      <c r="D200" s="20" t="s">
        <v>360</v>
      </c>
      <c r="E200" s="12">
        <v>3</v>
      </c>
      <c r="F200" s="20">
        <v>13003003</v>
      </c>
      <c r="G200" s="14">
        <v>0</v>
      </c>
      <c r="H200" s="12">
        <v>32</v>
      </c>
      <c r="I200" s="12">
        <v>15000</v>
      </c>
      <c r="J200" s="12">
        <v>4</v>
      </c>
      <c r="K200" s="12">
        <v>0</v>
      </c>
      <c r="L200" s="21">
        <v>1</v>
      </c>
      <c r="M200" s="21">
        <v>1</v>
      </c>
      <c r="N200" s="22">
        <v>0.02</v>
      </c>
      <c r="O200" s="21">
        <v>0</v>
      </c>
      <c r="P200" s="21">
        <v>1</v>
      </c>
      <c r="Q200" s="21">
        <v>1</v>
      </c>
      <c r="R200" s="21">
        <v>3</v>
      </c>
      <c r="S200" s="21">
        <f>S199+10</f>
        <v>220</v>
      </c>
      <c r="T200" s="21">
        <v>320</v>
      </c>
      <c r="U200" s="22" t="s">
        <v>334</v>
      </c>
      <c r="V200" s="21">
        <v>1</v>
      </c>
      <c r="W200" s="21">
        <v>1</v>
      </c>
      <c r="X200" s="22">
        <v>0</v>
      </c>
      <c r="Y200" s="21">
        <v>0</v>
      </c>
      <c r="Z200" s="26" t="s">
        <v>361</v>
      </c>
    </row>
    <row r="201" spans="3:26" s="1" customFormat="1" ht="20.100000000000001" customHeight="1" x14ac:dyDescent="0.35">
      <c r="C201" s="12">
        <v>200016</v>
      </c>
      <c r="D201" s="20" t="s">
        <v>362</v>
      </c>
      <c r="E201" s="12">
        <v>3</v>
      </c>
      <c r="F201" s="20">
        <v>13003004</v>
      </c>
      <c r="G201" s="14">
        <v>0</v>
      </c>
      <c r="H201" s="12">
        <v>33</v>
      </c>
      <c r="I201" s="12">
        <v>15000</v>
      </c>
      <c r="J201" s="12">
        <v>4</v>
      </c>
      <c r="K201" s="12">
        <v>0</v>
      </c>
      <c r="L201" s="21">
        <v>1</v>
      </c>
      <c r="M201" s="21">
        <v>1</v>
      </c>
      <c r="N201" s="22">
        <v>0.02</v>
      </c>
      <c r="O201" s="21">
        <v>0</v>
      </c>
      <c r="P201" s="21">
        <v>1</v>
      </c>
      <c r="Q201" s="21">
        <v>1</v>
      </c>
      <c r="R201" s="21">
        <v>3</v>
      </c>
      <c r="S201" s="21">
        <f>S200+20</f>
        <v>240</v>
      </c>
      <c r="T201" s="21">
        <v>320</v>
      </c>
      <c r="U201" s="22" t="s">
        <v>339</v>
      </c>
      <c r="V201" s="21">
        <v>1</v>
      </c>
      <c r="W201" s="21">
        <v>1</v>
      </c>
      <c r="X201" s="22">
        <v>0</v>
      </c>
      <c r="Y201" s="21">
        <v>0</v>
      </c>
      <c r="Z201" s="26" t="s">
        <v>363</v>
      </c>
    </row>
    <row r="202" spans="3:26" s="1" customFormat="1" ht="20.100000000000001" customHeight="1" x14ac:dyDescent="0.35">
      <c r="C202" s="12">
        <v>200017</v>
      </c>
      <c r="D202" s="20" t="s">
        <v>364</v>
      </c>
      <c r="E202" s="12">
        <v>3</v>
      </c>
      <c r="F202" s="20">
        <v>13003005</v>
      </c>
      <c r="G202" s="14">
        <v>0</v>
      </c>
      <c r="H202" s="12">
        <v>34</v>
      </c>
      <c r="I202" s="12">
        <v>15000</v>
      </c>
      <c r="J202" s="12">
        <v>4</v>
      </c>
      <c r="K202" s="12">
        <v>0</v>
      </c>
      <c r="L202" s="21">
        <v>1</v>
      </c>
      <c r="M202" s="21">
        <v>1</v>
      </c>
      <c r="N202" s="22">
        <v>0.02</v>
      </c>
      <c r="O202" s="21">
        <v>0</v>
      </c>
      <c r="P202" s="21">
        <v>1</v>
      </c>
      <c r="Q202" s="21">
        <v>1</v>
      </c>
      <c r="R202" s="21">
        <v>3</v>
      </c>
      <c r="S202" s="21">
        <f t="shared" ref="S202:S210" si="5">S201+20</f>
        <v>260</v>
      </c>
      <c r="T202" s="21">
        <v>320</v>
      </c>
      <c r="U202" s="22" t="s">
        <v>339</v>
      </c>
      <c r="V202" s="21">
        <v>1</v>
      </c>
      <c r="W202" s="21">
        <v>1</v>
      </c>
      <c r="X202" s="22">
        <v>0</v>
      </c>
      <c r="Y202" s="21">
        <v>0</v>
      </c>
      <c r="Z202" s="26" t="s">
        <v>365</v>
      </c>
    </row>
    <row r="203" spans="3:26" s="1" customFormat="1" ht="20.100000000000001" customHeight="1" x14ac:dyDescent="0.35">
      <c r="C203" s="12">
        <v>200018</v>
      </c>
      <c r="D203" s="20" t="s">
        <v>366</v>
      </c>
      <c r="E203" s="12">
        <v>3</v>
      </c>
      <c r="F203" s="20">
        <v>13003006</v>
      </c>
      <c r="G203" s="14">
        <v>0</v>
      </c>
      <c r="H203" s="12">
        <v>35</v>
      </c>
      <c r="I203" s="12">
        <v>15000</v>
      </c>
      <c r="J203" s="12">
        <v>4</v>
      </c>
      <c r="K203" s="12">
        <v>0</v>
      </c>
      <c r="L203" s="21">
        <v>1</v>
      </c>
      <c r="M203" s="21">
        <v>1</v>
      </c>
      <c r="N203" s="22">
        <v>0.02</v>
      </c>
      <c r="O203" s="21">
        <v>0</v>
      </c>
      <c r="P203" s="21">
        <v>1</v>
      </c>
      <c r="Q203" s="21">
        <v>1</v>
      </c>
      <c r="R203" s="21">
        <v>3</v>
      </c>
      <c r="S203" s="21">
        <f t="shared" si="5"/>
        <v>280</v>
      </c>
      <c r="T203" s="21">
        <v>320</v>
      </c>
      <c r="U203" s="22" t="s">
        <v>339</v>
      </c>
      <c r="V203" s="21">
        <v>1</v>
      </c>
      <c r="W203" s="21">
        <v>1</v>
      </c>
      <c r="X203" s="22">
        <v>0</v>
      </c>
      <c r="Y203" s="21">
        <v>0</v>
      </c>
      <c r="Z203" s="26" t="s">
        <v>367</v>
      </c>
    </row>
    <row r="204" spans="3:26" s="1" customFormat="1" ht="20.100000000000001" customHeight="1" x14ac:dyDescent="0.35">
      <c r="C204" s="12">
        <v>200019</v>
      </c>
      <c r="D204" s="20" t="s">
        <v>368</v>
      </c>
      <c r="E204" s="12">
        <v>3</v>
      </c>
      <c r="F204" s="20">
        <v>13004001</v>
      </c>
      <c r="G204" s="14">
        <v>0</v>
      </c>
      <c r="H204" s="12">
        <v>40</v>
      </c>
      <c r="I204" s="12">
        <v>20000</v>
      </c>
      <c r="J204" s="12">
        <v>2</v>
      </c>
      <c r="K204" s="12">
        <v>0</v>
      </c>
      <c r="L204" s="21">
        <v>1</v>
      </c>
      <c r="M204" s="21">
        <v>1</v>
      </c>
      <c r="N204" s="22">
        <v>0.02</v>
      </c>
      <c r="O204" s="21">
        <v>0</v>
      </c>
      <c r="P204" s="21">
        <v>1</v>
      </c>
      <c r="Q204" s="21">
        <v>1</v>
      </c>
      <c r="R204" s="21">
        <v>3</v>
      </c>
      <c r="S204" s="21">
        <f t="shared" si="5"/>
        <v>300</v>
      </c>
      <c r="T204" s="21">
        <v>375</v>
      </c>
      <c r="U204" s="22" t="s">
        <v>331</v>
      </c>
      <c r="V204" s="21">
        <v>1</v>
      </c>
      <c r="W204" s="21">
        <v>1</v>
      </c>
      <c r="X204" s="22">
        <v>0</v>
      </c>
      <c r="Y204" s="21">
        <v>0</v>
      </c>
      <c r="Z204" s="26" t="s">
        <v>369</v>
      </c>
    </row>
    <row r="205" spans="3:26" s="1" customFormat="1" ht="20.100000000000001" customHeight="1" x14ac:dyDescent="0.35">
      <c r="C205" s="12">
        <v>200020</v>
      </c>
      <c r="D205" s="20" t="s">
        <v>370</v>
      </c>
      <c r="E205" s="12">
        <v>3</v>
      </c>
      <c r="F205" s="20">
        <v>13004002</v>
      </c>
      <c r="G205" s="14">
        <v>0</v>
      </c>
      <c r="H205" s="12">
        <v>41</v>
      </c>
      <c r="I205" s="12">
        <v>20000</v>
      </c>
      <c r="J205" s="12">
        <v>4</v>
      </c>
      <c r="K205" s="12">
        <v>0</v>
      </c>
      <c r="L205" s="21">
        <v>1</v>
      </c>
      <c r="M205" s="21">
        <v>1</v>
      </c>
      <c r="N205" s="22">
        <v>0.02</v>
      </c>
      <c r="O205" s="21">
        <v>0</v>
      </c>
      <c r="P205" s="21">
        <v>1</v>
      </c>
      <c r="Q205" s="21">
        <v>1</v>
      </c>
      <c r="R205" s="21">
        <v>3</v>
      </c>
      <c r="S205" s="21">
        <f>S204+10</f>
        <v>310</v>
      </c>
      <c r="T205" s="21">
        <v>420</v>
      </c>
      <c r="U205" s="22" t="s">
        <v>334</v>
      </c>
      <c r="V205" s="21">
        <v>1</v>
      </c>
      <c r="W205" s="21">
        <v>1</v>
      </c>
      <c r="X205" s="22">
        <v>0</v>
      </c>
      <c r="Y205" s="21">
        <v>0</v>
      </c>
      <c r="Z205" s="26" t="s">
        <v>371</v>
      </c>
    </row>
    <row r="206" spans="3:26" s="1" customFormat="1" ht="20.100000000000001" customHeight="1" x14ac:dyDescent="0.35">
      <c r="C206" s="12">
        <v>200021</v>
      </c>
      <c r="D206" s="20" t="s">
        <v>372</v>
      </c>
      <c r="E206" s="12">
        <v>3</v>
      </c>
      <c r="F206" s="20">
        <v>13004003</v>
      </c>
      <c r="G206" s="14">
        <v>0</v>
      </c>
      <c r="H206" s="12">
        <v>42</v>
      </c>
      <c r="I206" s="12">
        <v>20000</v>
      </c>
      <c r="J206" s="12">
        <v>4</v>
      </c>
      <c r="K206" s="12">
        <v>0</v>
      </c>
      <c r="L206" s="21">
        <v>1</v>
      </c>
      <c r="M206" s="21">
        <v>1</v>
      </c>
      <c r="N206" s="22">
        <v>0.02</v>
      </c>
      <c r="O206" s="21">
        <v>0</v>
      </c>
      <c r="P206" s="21">
        <v>1</v>
      </c>
      <c r="Q206" s="21">
        <v>1</v>
      </c>
      <c r="R206" s="21">
        <v>3</v>
      </c>
      <c r="S206" s="21">
        <f>S205+10</f>
        <v>320</v>
      </c>
      <c r="T206" s="21">
        <v>420</v>
      </c>
      <c r="U206" s="22" t="s">
        <v>334</v>
      </c>
      <c r="V206" s="21">
        <v>1</v>
      </c>
      <c r="W206" s="21">
        <v>1</v>
      </c>
      <c r="X206" s="22">
        <v>0</v>
      </c>
      <c r="Y206" s="21">
        <v>0</v>
      </c>
      <c r="Z206" s="26" t="s">
        <v>373</v>
      </c>
    </row>
    <row r="207" spans="3:26" s="1" customFormat="1" ht="20.100000000000001" customHeight="1" x14ac:dyDescent="0.35">
      <c r="C207" s="12">
        <v>200022</v>
      </c>
      <c r="D207" s="20" t="s">
        <v>374</v>
      </c>
      <c r="E207" s="12">
        <v>3</v>
      </c>
      <c r="F207" s="20">
        <v>13004004</v>
      </c>
      <c r="G207" s="14">
        <v>0</v>
      </c>
      <c r="H207" s="12">
        <v>43</v>
      </c>
      <c r="I207" s="12">
        <v>20000</v>
      </c>
      <c r="J207" s="12">
        <v>4</v>
      </c>
      <c r="K207" s="12">
        <v>0</v>
      </c>
      <c r="L207" s="21">
        <v>1</v>
      </c>
      <c r="M207" s="21">
        <v>1</v>
      </c>
      <c r="N207" s="22">
        <v>0.02</v>
      </c>
      <c r="O207" s="21">
        <v>0</v>
      </c>
      <c r="P207" s="21">
        <v>1</v>
      </c>
      <c r="Q207" s="21">
        <v>1</v>
      </c>
      <c r="R207" s="21">
        <v>3</v>
      </c>
      <c r="S207" s="21">
        <f t="shared" si="5"/>
        <v>340</v>
      </c>
      <c r="T207" s="21">
        <v>420</v>
      </c>
      <c r="U207" s="22" t="s">
        <v>339</v>
      </c>
      <c r="V207" s="21">
        <v>1</v>
      </c>
      <c r="W207" s="21">
        <v>1</v>
      </c>
      <c r="X207" s="22">
        <v>0</v>
      </c>
      <c r="Y207" s="21">
        <v>0</v>
      </c>
      <c r="Z207" s="26" t="s">
        <v>375</v>
      </c>
    </row>
    <row r="208" spans="3:26" s="1" customFormat="1" ht="20.100000000000001" customHeight="1" x14ac:dyDescent="0.35">
      <c r="C208" s="12">
        <v>200023</v>
      </c>
      <c r="D208" s="20" t="s">
        <v>376</v>
      </c>
      <c r="E208" s="12">
        <v>3</v>
      </c>
      <c r="F208" s="20">
        <v>13004005</v>
      </c>
      <c r="G208" s="14">
        <v>0</v>
      </c>
      <c r="H208" s="12">
        <v>44</v>
      </c>
      <c r="I208" s="12">
        <v>20000</v>
      </c>
      <c r="J208" s="12">
        <v>4</v>
      </c>
      <c r="K208" s="12">
        <v>0</v>
      </c>
      <c r="L208" s="21">
        <v>1</v>
      </c>
      <c r="M208" s="21">
        <v>1</v>
      </c>
      <c r="N208" s="22">
        <v>0.02</v>
      </c>
      <c r="O208" s="21">
        <v>0</v>
      </c>
      <c r="P208" s="21">
        <v>1</v>
      </c>
      <c r="Q208" s="21">
        <v>1</v>
      </c>
      <c r="R208" s="21">
        <v>3</v>
      </c>
      <c r="S208" s="21">
        <f t="shared" si="5"/>
        <v>360</v>
      </c>
      <c r="T208" s="21">
        <v>420</v>
      </c>
      <c r="U208" s="22" t="s">
        <v>339</v>
      </c>
      <c r="V208" s="21">
        <v>1</v>
      </c>
      <c r="W208" s="21">
        <v>1</v>
      </c>
      <c r="X208" s="22">
        <v>0</v>
      </c>
      <c r="Y208" s="21">
        <v>0</v>
      </c>
      <c r="Z208" s="26" t="s">
        <v>377</v>
      </c>
    </row>
    <row r="209" spans="3:26" s="1" customFormat="1" ht="20.100000000000001" customHeight="1" x14ac:dyDescent="0.35">
      <c r="C209" s="12">
        <v>200024</v>
      </c>
      <c r="D209" s="20" t="s">
        <v>378</v>
      </c>
      <c r="E209" s="12">
        <v>3</v>
      </c>
      <c r="F209" s="20">
        <v>13004006</v>
      </c>
      <c r="G209" s="14">
        <v>0</v>
      </c>
      <c r="H209" s="12">
        <v>45</v>
      </c>
      <c r="I209" s="12">
        <v>20000</v>
      </c>
      <c r="J209" s="12">
        <v>4</v>
      </c>
      <c r="K209" s="12">
        <v>0</v>
      </c>
      <c r="L209" s="21">
        <v>1</v>
      </c>
      <c r="M209" s="21">
        <v>1</v>
      </c>
      <c r="N209" s="22">
        <v>0.02</v>
      </c>
      <c r="O209" s="21">
        <v>0</v>
      </c>
      <c r="P209" s="21">
        <v>1</v>
      </c>
      <c r="Q209" s="21">
        <v>1</v>
      </c>
      <c r="R209" s="21">
        <v>3</v>
      </c>
      <c r="S209" s="21">
        <f t="shared" si="5"/>
        <v>380</v>
      </c>
      <c r="T209" s="21">
        <v>420</v>
      </c>
      <c r="U209" s="22" t="s">
        <v>339</v>
      </c>
      <c r="V209" s="21">
        <v>1</v>
      </c>
      <c r="W209" s="21">
        <v>1</v>
      </c>
      <c r="X209" s="22">
        <v>0</v>
      </c>
      <c r="Y209" s="21">
        <v>0</v>
      </c>
      <c r="Z209" s="26" t="s">
        <v>379</v>
      </c>
    </row>
    <row r="210" spans="3:26" s="1" customFormat="1" ht="20.100000000000001" customHeight="1" x14ac:dyDescent="0.35">
      <c r="C210" s="12">
        <v>200025</v>
      </c>
      <c r="D210" s="20" t="s">
        <v>380</v>
      </c>
      <c r="E210" s="12">
        <v>3</v>
      </c>
      <c r="F210" s="20">
        <v>13005001</v>
      </c>
      <c r="G210" s="14">
        <v>0</v>
      </c>
      <c r="H210" s="12">
        <v>50</v>
      </c>
      <c r="I210" s="12">
        <v>25000</v>
      </c>
      <c r="J210" s="12">
        <v>2</v>
      </c>
      <c r="K210" s="12">
        <v>0</v>
      </c>
      <c r="L210" s="21">
        <v>1</v>
      </c>
      <c r="M210" s="21">
        <v>1</v>
      </c>
      <c r="N210" s="22">
        <v>0.02</v>
      </c>
      <c r="O210" s="21">
        <v>0</v>
      </c>
      <c r="P210" s="21">
        <v>1</v>
      </c>
      <c r="Q210" s="21">
        <v>1</v>
      </c>
      <c r="R210" s="21">
        <v>3</v>
      </c>
      <c r="S210" s="21">
        <f t="shared" si="5"/>
        <v>400</v>
      </c>
      <c r="T210" s="21">
        <v>450</v>
      </c>
      <c r="U210" s="22" t="s">
        <v>331</v>
      </c>
      <c r="V210" s="21">
        <v>1</v>
      </c>
      <c r="W210" s="21">
        <v>1</v>
      </c>
      <c r="X210" s="22">
        <v>0</v>
      </c>
      <c r="Y210" s="21">
        <v>0</v>
      </c>
      <c r="Z210" s="26" t="s">
        <v>381</v>
      </c>
    </row>
    <row r="211" spans="3:26" s="1" customFormat="1" ht="20.100000000000001" customHeight="1" x14ac:dyDescent="0.35">
      <c r="C211" s="12">
        <v>200026</v>
      </c>
      <c r="D211" s="20" t="s">
        <v>382</v>
      </c>
      <c r="E211" s="12">
        <v>3</v>
      </c>
      <c r="F211" s="20">
        <v>13005002</v>
      </c>
      <c r="G211" s="14">
        <v>0</v>
      </c>
      <c r="H211" s="12">
        <v>51</v>
      </c>
      <c r="I211" s="12">
        <v>25000</v>
      </c>
      <c r="J211" s="12">
        <v>4</v>
      </c>
      <c r="K211" s="12">
        <v>0</v>
      </c>
      <c r="L211" s="21">
        <v>1</v>
      </c>
      <c r="M211" s="21">
        <v>1</v>
      </c>
      <c r="N211" s="22">
        <v>0.02</v>
      </c>
      <c r="O211" s="21">
        <v>0</v>
      </c>
      <c r="P211" s="21">
        <v>1</v>
      </c>
      <c r="Q211" s="21">
        <v>1</v>
      </c>
      <c r="R211" s="21">
        <v>3</v>
      </c>
      <c r="S211" s="21">
        <f>S210+10</f>
        <v>410</v>
      </c>
      <c r="T211" s="21">
        <v>500</v>
      </c>
      <c r="U211" s="22" t="s">
        <v>334</v>
      </c>
      <c r="V211" s="21">
        <v>1</v>
      </c>
      <c r="W211" s="21">
        <v>1</v>
      </c>
      <c r="X211" s="22">
        <v>0</v>
      </c>
      <c r="Y211" s="21">
        <v>0</v>
      </c>
      <c r="Z211" s="26" t="s">
        <v>383</v>
      </c>
    </row>
    <row r="212" spans="3:26" s="1" customFormat="1" ht="20.100000000000001" customHeight="1" x14ac:dyDescent="0.35">
      <c r="C212" s="12">
        <v>200027</v>
      </c>
      <c r="D212" s="20" t="s">
        <v>384</v>
      </c>
      <c r="E212" s="12">
        <v>3</v>
      </c>
      <c r="F212" s="20">
        <v>13005003</v>
      </c>
      <c r="G212" s="14">
        <v>0</v>
      </c>
      <c r="H212" s="12">
        <v>52</v>
      </c>
      <c r="I212" s="12">
        <v>25000</v>
      </c>
      <c r="J212" s="12">
        <v>4</v>
      </c>
      <c r="K212" s="12">
        <v>0</v>
      </c>
      <c r="L212" s="21">
        <v>1</v>
      </c>
      <c r="M212" s="21">
        <v>1</v>
      </c>
      <c r="N212" s="22">
        <v>0.02</v>
      </c>
      <c r="O212" s="21">
        <v>0</v>
      </c>
      <c r="P212" s="21">
        <v>1</v>
      </c>
      <c r="Q212" s="21">
        <v>1</v>
      </c>
      <c r="R212" s="21">
        <v>3</v>
      </c>
      <c r="S212" s="21">
        <f>S211+10</f>
        <v>420</v>
      </c>
      <c r="T212" s="21">
        <v>500</v>
      </c>
      <c r="U212" s="22" t="s">
        <v>334</v>
      </c>
      <c r="V212" s="21">
        <v>1</v>
      </c>
      <c r="W212" s="21">
        <v>1</v>
      </c>
      <c r="X212" s="22">
        <v>0</v>
      </c>
      <c r="Y212" s="21">
        <v>0</v>
      </c>
      <c r="Z212" s="26" t="s">
        <v>385</v>
      </c>
    </row>
    <row r="213" spans="3:26" s="1" customFormat="1" ht="20.100000000000001" customHeight="1" x14ac:dyDescent="0.35">
      <c r="C213" s="12">
        <v>200028</v>
      </c>
      <c r="D213" s="20" t="s">
        <v>386</v>
      </c>
      <c r="E213" s="12">
        <v>3</v>
      </c>
      <c r="F213" s="20">
        <v>13005004</v>
      </c>
      <c r="G213" s="14">
        <v>0</v>
      </c>
      <c r="H213" s="12">
        <v>53</v>
      </c>
      <c r="I213" s="12">
        <v>25000</v>
      </c>
      <c r="J213" s="12">
        <v>4</v>
      </c>
      <c r="K213" s="12">
        <v>0</v>
      </c>
      <c r="L213" s="21">
        <v>1</v>
      </c>
      <c r="M213" s="21">
        <v>1</v>
      </c>
      <c r="N213" s="22">
        <v>0.02</v>
      </c>
      <c r="O213" s="21">
        <v>0</v>
      </c>
      <c r="P213" s="21">
        <v>1</v>
      </c>
      <c r="Q213" s="21">
        <v>1</v>
      </c>
      <c r="R213" s="21">
        <v>3</v>
      </c>
      <c r="S213" s="21">
        <f t="shared" ref="S213:S216" si="6">S212+20</f>
        <v>440</v>
      </c>
      <c r="T213" s="21">
        <v>500</v>
      </c>
      <c r="U213" s="22" t="s">
        <v>339</v>
      </c>
      <c r="V213" s="21">
        <v>1</v>
      </c>
      <c r="W213" s="21">
        <v>1</v>
      </c>
      <c r="X213" s="22">
        <v>0</v>
      </c>
      <c r="Y213" s="21">
        <v>0</v>
      </c>
      <c r="Z213" s="26" t="s">
        <v>387</v>
      </c>
    </row>
    <row r="214" spans="3:26" s="1" customFormat="1" ht="20.100000000000001" customHeight="1" x14ac:dyDescent="0.35">
      <c r="C214" s="12">
        <v>200029</v>
      </c>
      <c r="D214" s="20" t="s">
        <v>388</v>
      </c>
      <c r="E214" s="12">
        <v>3</v>
      </c>
      <c r="F214" s="20">
        <v>13005005</v>
      </c>
      <c r="G214" s="14">
        <v>0</v>
      </c>
      <c r="H214" s="12">
        <v>54</v>
      </c>
      <c r="I214" s="12">
        <v>25000</v>
      </c>
      <c r="J214" s="12">
        <v>4</v>
      </c>
      <c r="K214" s="12">
        <v>0</v>
      </c>
      <c r="L214" s="21">
        <v>1</v>
      </c>
      <c r="M214" s="21">
        <v>1</v>
      </c>
      <c r="N214" s="22">
        <v>0.02</v>
      </c>
      <c r="O214" s="21">
        <v>0</v>
      </c>
      <c r="P214" s="21">
        <v>1</v>
      </c>
      <c r="Q214" s="21">
        <v>1</v>
      </c>
      <c r="R214" s="21">
        <v>3</v>
      </c>
      <c r="S214" s="21">
        <f t="shared" si="6"/>
        <v>460</v>
      </c>
      <c r="T214" s="21">
        <v>500</v>
      </c>
      <c r="U214" s="22" t="s">
        <v>339</v>
      </c>
      <c r="V214" s="21">
        <v>1</v>
      </c>
      <c r="W214" s="21">
        <v>1</v>
      </c>
      <c r="X214" s="22">
        <v>0</v>
      </c>
      <c r="Y214" s="21">
        <v>0</v>
      </c>
      <c r="Z214" s="26" t="s">
        <v>389</v>
      </c>
    </row>
    <row r="215" spans="3:26" s="1" customFormat="1" ht="20.100000000000001" customHeight="1" x14ac:dyDescent="0.35">
      <c r="C215" s="12">
        <v>200030</v>
      </c>
      <c r="D215" s="20" t="s">
        <v>390</v>
      </c>
      <c r="E215" s="12">
        <v>3</v>
      </c>
      <c r="F215" s="20">
        <v>13005006</v>
      </c>
      <c r="G215" s="14">
        <v>0</v>
      </c>
      <c r="H215" s="12">
        <v>55</v>
      </c>
      <c r="I215" s="12">
        <v>25000</v>
      </c>
      <c r="J215" s="12">
        <v>4</v>
      </c>
      <c r="K215" s="12">
        <v>0</v>
      </c>
      <c r="L215" s="21">
        <v>1</v>
      </c>
      <c r="M215" s="21">
        <v>1</v>
      </c>
      <c r="N215" s="22">
        <v>0.02</v>
      </c>
      <c r="O215" s="21">
        <v>0</v>
      </c>
      <c r="P215" s="21">
        <v>1</v>
      </c>
      <c r="Q215" s="21">
        <v>1</v>
      </c>
      <c r="R215" s="21">
        <v>3</v>
      </c>
      <c r="S215" s="21">
        <f t="shared" si="6"/>
        <v>480</v>
      </c>
      <c r="T215" s="21">
        <v>500</v>
      </c>
      <c r="U215" s="22" t="s">
        <v>339</v>
      </c>
      <c r="V215" s="21">
        <v>1</v>
      </c>
      <c r="W215" s="21">
        <v>1</v>
      </c>
      <c r="X215" s="22">
        <v>0</v>
      </c>
      <c r="Y215" s="21">
        <v>0</v>
      </c>
      <c r="Z215" s="26" t="s">
        <v>391</v>
      </c>
    </row>
    <row r="216" spans="3:26" s="1" customFormat="1" ht="20.100000000000001" customHeight="1" x14ac:dyDescent="0.35">
      <c r="C216" s="12">
        <v>200031</v>
      </c>
      <c r="D216" s="20" t="s">
        <v>392</v>
      </c>
      <c r="E216" s="12">
        <v>3</v>
      </c>
      <c r="F216" s="20">
        <v>13006001</v>
      </c>
      <c r="G216" s="14">
        <v>0</v>
      </c>
      <c r="H216" s="12">
        <v>60</v>
      </c>
      <c r="I216" s="12">
        <v>25000</v>
      </c>
      <c r="J216" s="12">
        <v>2</v>
      </c>
      <c r="K216" s="12">
        <v>0</v>
      </c>
      <c r="L216" s="21">
        <v>1</v>
      </c>
      <c r="M216" s="21">
        <v>1</v>
      </c>
      <c r="N216" s="22">
        <v>0.02</v>
      </c>
      <c r="O216" s="21">
        <v>0</v>
      </c>
      <c r="P216" s="21">
        <v>1</v>
      </c>
      <c r="Q216" s="21">
        <v>1</v>
      </c>
      <c r="R216" s="21">
        <v>3</v>
      </c>
      <c r="S216" s="21">
        <f t="shared" si="6"/>
        <v>500</v>
      </c>
      <c r="T216" s="21">
        <v>450</v>
      </c>
      <c r="U216" s="22" t="s">
        <v>331</v>
      </c>
      <c r="V216" s="21">
        <v>1</v>
      </c>
      <c r="W216" s="21">
        <v>1</v>
      </c>
      <c r="X216" s="22">
        <v>0</v>
      </c>
      <c r="Y216" s="21">
        <v>0</v>
      </c>
      <c r="Z216" s="26" t="s">
        <v>393</v>
      </c>
    </row>
    <row r="217" spans="3:26" s="1" customFormat="1" ht="20.100000000000001" customHeight="1" x14ac:dyDescent="0.35">
      <c r="C217" s="12">
        <v>200101</v>
      </c>
      <c r="D217" s="28" t="s">
        <v>394</v>
      </c>
      <c r="E217" s="12">
        <v>3</v>
      </c>
      <c r="F217" s="15">
        <v>13001101</v>
      </c>
      <c r="G217" s="14">
        <v>0</v>
      </c>
      <c r="H217" s="12">
        <v>7</v>
      </c>
      <c r="I217" s="12">
        <v>5000</v>
      </c>
      <c r="J217" s="12">
        <v>4</v>
      </c>
      <c r="K217" s="12">
        <v>0</v>
      </c>
      <c r="L217" s="21">
        <v>1</v>
      </c>
      <c r="M217" s="21">
        <v>1</v>
      </c>
      <c r="N217" s="22">
        <v>0.02</v>
      </c>
      <c r="O217" s="21">
        <v>0</v>
      </c>
      <c r="P217" s="21">
        <v>1</v>
      </c>
      <c r="Q217" s="21">
        <v>1</v>
      </c>
      <c r="R217" s="21">
        <v>3</v>
      </c>
      <c r="S217" s="21">
        <v>35</v>
      </c>
      <c r="T217" s="21">
        <v>120</v>
      </c>
      <c r="U217" s="22" t="s">
        <v>334</v>
      </c>
      <c r="V217" s="21">
        <v>1</v>
      </c>
      <c r="W217" s="21">
        <v>1</v>
      </c>
      <c r="X217" s="22">
        <v>0</v>
      </c>
      <c r="Y217" s="21">
        <v>0</v>
      </c>
      <c r="Z217" s="26" t="s">
        <v>395</v>
      </c>
    </row>
    <row r="218" spans="3:26" s="1" customFormat="1" ht="20.100000000000001" customHeight="1" x14ac:dyDescent="0.35">
      <c r="C218" s="12">
        <v>200102</v>
      </c>
      <c r="D218" s="28" t="s">
        <v>396</v>
      </c>
      <c r="E218" s="12">
        <v>3</v>
      </c>
      <c r="F218" s="15">
        <v>13001102</v>
      </c>
      <c r="G218" s="14">
        <v>0</v>
      </c>
      <c r="H218" s="12">
        <v>9</v>
      </c>
      <c r="I218" s="12">
        <v>5000</v>
      </c>
      <c r="J218" s="12">
        <v>4</v>
      </c>
      <c r="K218" s="12">
        <v>0</v>
      </c>
      <c r="L218" s="21">
        <v>1</v>
      </c>
      <c r="M218" s="21">
        <v>1</v>
      </c>
      <c r="N218" s="22">
        <v>0.02</v>
      </c>
      <c r="O218" s="21">
        <v>0</v>
      </c>
      <c r="P218" s="21">
        <v>1</v>
      </c>
      <c r="Q218" s="21">
        <v>1</v>
      </c>
      <c r="R218" s="21">
        <v>3</v>
      </c>
      <c r="S218" s="21">
        <v>45</v>
      </c>
      <c r="T218" s="21">
        <v>120</v>
      </c>
      <c r="U218" s="22" t="s">
        <v>334</v>
      </c>
      <c r="V218" s="21">
        <v>1</v>
      </c>
      <c r="W218" s="21">
        <v>1</v>
      </c>
      <c r="X218" s="22">
        <v>0</v>
      </c>
      <c r="Y218" s="21">
        <v>0</v>
      </c>
      <c r="Z218" s="26" t="s">
        <v>395</v>
      </c>
    </row>
    <row r="219" spans="3:26" s="1" customFormat="1" ht="20.100000000000001" customHeight="1" x14ac:dyDescent="0.35">
      <c r="C219" s="12">
        <v>200103</v>
      </c>
      <c r="D219" s="28" t="s">
        <v>397</v>
      </c>
      <c r="E219" s="12">
        <v>3</v>
      </c>
      <c r="F219" s="15">
        <v>13001103</v>
      </c>
      <c r="G219" s="14">
        <v>0</v>
      </c>
      <c r="H219" s="12">
        <v>11</v>
      </c>
      <c r="I219" s="12">
        <v>5000</v>
      </c>
      <c r="J219" s="12">
        <v>4</v>
      </c>
      <c r="K219" s="12">
        <v>0</v>
      </c>
      <c r="L219" s="21">
        <v>1</v>
      </c>
      <c r="M219" s="21">
        <v>1</v>
      </c>
      <c r="N219" s="22">
        <v>0.02</v>
      </c>
      <c r="O219" s="21">
        <v>0</v>
      </c>
      <c r="P219" s="21">
        <v>1</v>
      </c>
      <c r="Q219" s="21">
        <v>1</v>
      </c>
      <c r="R219" s="21">
        <v>3</v>
      </c>
      <c r="S219" s="21">
        <v>60</v>
      </c>
      <c r="T219" s="21">
        <v>120</v>
      </c>
      <c r="U219" s="22" t="s">
        <v>334</v>
      </c>
      <c r="V219" s="21">
        <v>1</v>
      </c>
      <c r="W219" s="21">
        <v>1</v>
      </c>
      <c r="X219" s="22">
        <v>0</v>
      </c>
      <c r="Y219" s="21">
        <v>0</v>
      </c>
      <c r="Z219" s="26" t="s">
        <v>395</v>
      </c>
    </row>
    <row r="220" spans="3:26" s="1" customFormat="1" ht="20.100000000000001" customHeight="1" x14ac:dyDescent="0.35">
      <c r="C220" s="12">
        <v>200104</v>
      </c>
      <c r="D220" s="28" t="s">
        <v>398</v>
      </c>
      <c r="E220" s="12">
        <v>3</v>
      </c>
      <c r="F220" s="15">
        <v>13001104</v>
      </c>
      <c r="G220" s="14">
        <v>0</v>
      </c>
      <c r="H220" s="12">
        <v>13</v>
      </c>
      <c r="I220" s="12">
        <v>5000</v>
      </c>
      <c r="J220" s="12">
        <v>4</v>
      </c>
      <c r="K220" s="12">
        <v>0</v>
      </c>
      <c r="L220" s="21">
        <v>1</v>
      </c>
      <c r="M220" s="21">
        <v>1</v>
      </c>
      <c r="N220" s="22">
        <v>0.02</v>
      </c>
      <c r="O220" s="21">
        <v>0</v>
      </c>
      <c r="P220" s="21">
        <v>1</v>
      </c>
      <c r="Q220" s="21">
        <v>1</v>
      </c>
      <c r="R220" s="21">
        <v>3</v>
      </c>
      <c r="S220" s="21">
        <v>75</v>
      </c>
      <c r="T220" s="21">
        <v>120</v>
      </c>
      <c r="U220" s="22" t="s">
        <v>334</v>
      </c>
      <c r="V220" s="21">
        <v>1</v>
      </c>
      <c r="W220" s="21">
        <v>1</v>
      </c>
      <c r="X220" s="22">
        <v>0</v>
      </c>
      <c r="Y220" s="21">
        <v>0</v>
      </c>
      <c r="Z220" s="26" t="s">
        <v>395</v>
      </c>
    </row>
    <row r="221" spans="3:26" s="1" customFormat="1" ht="20.100000000000001" customHeight="1" x14ac:dyDescent="0.35">
      <c r="C221" s="12">
        <v>200105</v>
      </c>
      <c r="D221" s="28" t="s">
        <v>399</v>
      </c>
      <c r="E221" s="12">
        <v>3</v>
      </c>
      <c r="F221" s="15">
        <v>13001105</v>
      </c>
      <c r="G221" s="14">
        <v>0</v>
      </c>
      <c r="H221" s="12">
        <v>15</v>
      </c>
      <c r="I221" s="12">
        <v>10000</v>
      </c>
      <c r="J221" s="12">
        <v>4</v>
      </c>
      <c r="K221" s="12">
        <v>0</v>
      </c>
      <c r="L221" s="21">
        <v>1</v>
      </c>
      <c r="M221" s="21">
        <v>1</v>
      </c>
      <c r="N221" s="22">
        <v>0.02</v>
      </c>
      <c r="O221" s="21">
        <v>0</v>
      </c>
      <c r="P221" s="21">
        <v>1</v>
      </c>
      <c r="Q221" s="21">
        <v>1</v>
      </c>
      <c r="R221" s="21">
        <v>3</v>
      </c>
      <c r="S221" s="21">
        <v>85</v>
      </c>
      <c r="T221" s="21">
        <v>120</v>
      </c>
      <c r="U221" s="22" t="s">
        <v>334</v>
      </c>
      <c r="V221" s="21">
        <v>1</v>
      </c>
      <c r="W221" s="21">
        <v>1</v>
      </c>
      <c r="X221" s="22">
        <v>0</v>
      </c>
      <c r="Y221" s="21">
        <v>0</v>
      </c>
      <c r="Z221" s="26" t="s">
        <v>400</v>
      </c>
    </row>
    <row r="222" spans="3:26" s="1" customFormat="1" ht="20.100000000000001" customHeight="1" x14ac:dyDescent="0.35">
      <c r="C222" s="12">
        <f>C217+100</f>
        <v>200201</v>
      </c>
      <c r="D222" s="15" t="s">
        <v>401</v>
      </c>
      <c r="E222" s="12">
        <v>3</v>
      </c>
      <c r="F222" s="15">
        <v>13002101</v>
      </c>
      <c r="G222" s="14">
        <v>0</v>
      </c>
      <c r="H222" s="12">
        <v>21</v>
      </c>
      <c r="I222" s="12">
        <v>10000</v>
      </c>
      <c r="J222" s="12">
        <v>4</v>
      </c>
      <c r="K222" s="12">
        <v>0</v>
      </c>
      <c r="L222" s="21">
        <v>1</v>
      </c>
      <c r="M222" s="21">
        <v>1</v>
      </c>
      <c r="N222" s="22">
        <v>0.02</v>
      </c>
      <c r="O222" s="21">
        <v>0</v>
      </c>
      <c r="P222" s="21">
        <v>1</v>
      </c>
      <c r="Q222" s="21">
        <v>1</v>
      </c>
      <c r="R222" s="21">
        <v>3</v>
      </c>
      <c r="S222" s="21">
        <v>110</v>
      </c>
      <c r="T222" s="21">
        <v>220</v>
      </c>
      <c r="U222" s="22" t="s">
        <v>334</v>
      </c>
      <c r="V222" s="21">
        <v>1</v>
      </c>
      <c r="W222" s="21">
        <v>1</v>
      </c>
      <c r="X222" s="22">
        <v>0</v>
      </c>
      <c r="Y222" s="21">
        <v>0</v>
      </c>
      <c r="Z222" s="26" t="s">
        <v>402</v>
      </c>
    </row>
    <row r="223" spans="3:26" s="1" customFormat="1" ht="20.100000000000001" customHeight="1" x14ac:dyDescent="0.35">
      <c r="C223" s="12">
        <f t="shared" ref="C223:C227" si="7">C218+100</f>
        <v>200202</v>
      </c>
      <c r="D223" s="15" t="s">
        <v>403</v>
      </c>
      <c r="E223" s="12">
        <v>3</v>
      </c>
      <c r="F223" s="15">
        <v>13002102</v>
      </c>
      <c r="G223" s="14">
        <v>0</v>
      </c>
      <c r="H223" s="12">
        <v>22</v>
      </c>
      <c r="I223" s="12">
        <v>10000</v>
      </c>
      <c r="J223" s="12">
        <v>4</v>
      </c>
      <c r="K223" s="12">
        <v>0</v>
      </c>
      <c r="L223" s="21">
        <v>1</v>
      </c>
      <c r="M223" s="21">
        <v>1</v>
      </c>
      <c r="N223" s="22">
        <v>0.02</v>
      </c>
      <c r="O223" s="21">
        <v>0</v>
      </c>
      <c r="P223" s="21">
        <v>1</v>
      </c>
      <c r="Q223" s="21">
        <v>1</v>
      </c>
      <c r="R223" s="21">
        <v>3</v>
      </c>
      <c r="S223" s="21">
        <v>130</v>
      </c>
      <c r="T223" s="21">
        <v>220</v>
      </c>
      <c r="U223" s="22" t="s">
        <v>334</v>
      </c>
      <c r="V223" s="21">
        <v>1</v>
      </c>
      <c r="W223" s="21">
        <v>1</v>
      </c>
      <c r="X223" s="22">
        <v>0</v>
      </c>
      <c r="Y223" s="21">
        <v>0</v>
      </c>
      <c r="Z223" s="26" t="s">
        <v>402</v>
      </c>
    </row>
    <row r="224" spans="3:26" s="1" customFormat="1" ht="20.100000000000001" customHeight="1" x14ac:dyDescent="0.35">
      <c r="C224" s="12">
        <f t="shared" si="7"/>
        <v>200203</v>
      </c>
      <c r="D224" s="15" t="s">
        <v>404</v>
      </c>
      <c r="E224" s="12">
        <v>3</v>
      </c>
      <c r="F224" s="15">
        <v>13002103</v>
      </c>
      <c r="G224" s="14">
        <v>0</v>
      </c>
      <c r="H224" s="12">
        <v>23</v>
      </c>
      <c r="I224" s="12">
        <v>10000</v>
      </c>
      <c r="J224" s="12">
        <v>4</v>
      </c>
      <c r="K224" s="12">
        <v>0</v>
      </c>
      <c r="L224" s="21">
        <v>1</v>
      </c>
      <c r="M224" s="21">
        <v>1</v>
      </c>
      <c r="N224" s="22">
        <v>0.02</v>
      </c>
      <c r="O224" s="21">
        <v>0</v>
      </c>
      <c r="P224" s="21">
        <v>1</v>
      </c>
      <c r="Q224" s="21">
        <v>1</v>
      </c>
      <c r="R224" s="21">
        <v>3</v>
      </c>
      <c r="S224" s="21">
        <v>150</v>
      </c>
      <c r="T224" s="21">
        <v>220</v>
      </c>
      <c r="U224" s="22" t="s">
        <v>334</v>
      </c>
      <c r="V224" s="21">
        <v>1</v>
      </c>
      <c r="W224" s="21">
        <v>1</v>
      </c>
      <c r="X224" s="22">
        <v>0</v>
      </c>
      <c r="Y224" s="21">
        <v>0</v>
      </c>
      <c r="Z224" s="26" t="s">
        <v>402</v>
      </c>
    </row>
    <row r="225" spans="3:26" s="1" customFormat="1" ht="20.100000000000001" customHeight="1" x14ac:dyDescent="0.35">
      <c r="C225" s="12">
        <f t="shared" si="7"/>
        <v>200204</v>
      </c>
      <c r="D225" s="15" t="s">
        <v>405</v>
      </c>
      <c r="E225" s="12">
        <v>3</v>
      </c>
      <c r="F225" s="15">
        <v>13002104</v>
      </c>
      <c r="G225" s="14">
        <v>0</v>
      </c>
      <c r="H225" s="12">
        <v>24</v>
      </c>
      <c r="I225" s="12">
        <v>10000</v>
      </c>
      <c r="J225" s="12">
        <v>4</v>
      </c>
      <c r="K225" s="12">
        <v>0</v>
      </c>
      <c r="L225" s="21">
        <v>1</v>
      </c>
      <c r="M225" s="21">
        <v>1</v>
      </c>
      <c r="N225" s="22">
        <v>0.02</v>
      </c>
      <c r="O225" s="21">
        <v>0</v>
      </c>
      <c r="P225" s="21">
        <v>1</v>
      </c>
      <c r="Q225" s="21">
        <v>1</v>
      </c>
      <c r="R225" s="21">
        <v>3</v>
      </c>
      <c r="S225" s="21">
        <v>170</v>
      </c>
      <c r="T225" s="21">
        <v>220</v>
      </c>
      <c r="U225" s="22" t="s">
        <v>334</v>
      </c>
      <c r="V225" s="21">
        <v>1</v>
      </c>
      <c r="W225" s="21">
        <v>1</v>
      </c>
      <c r="X225" s="22">
        <v>0</v>
      </c>
      <c r="Y225" s="21">
        <v>0</v>
      </c>
      <c r="Z225" s="26" t="s">
        <v>402</v>
      </c>
    </row>
    <row r="226" spans="3:26" s="1" customFormat="1" ht="20.100000000000001" customHeight="1" x14ac:dyDescent="0.35">
      <c r="C226" s="12">
        <f t="shared" si="7"/>
        <v>200205</v>
      </c>
      <c r="D226" s="15" t="s">
        <v>406</v>
      </c>
      <c r="E226" s="12">
        <v>3</v>
      </c>
      <c r="F226" s="15">
        <v>13002105</v>
      </c>
      <c r="G226" s="14">
        <v>0</v>
      </c>
      <c r="H226" s="12">
        <v>25</v>
      </c>
      <c r="I226" s="12">
        <v>15000</v>
      </c>
      <c r="J226" s="12">
        <v>4</v>
      </c>
      <c r="K226" s="12">
        <v>0</v>
      </c>
      <c r="L226" s="21">
        <v>1</v>
      </c>
      <c r="M226" s="21">
        <v>1</v>
      </c>
      <c r="N226" s="22">
        <v>0.02</v>
      </c>
      <c r="O226" s="21">
        <v>0</v>
      </c>
      <c r="P226" s="21">
        <v>1</v>
      </c>
      <c r="Q226" s="21">
        <v>1</v>
      </c>
      <c r="R226" s="21">
        <v>3</v>
      </c>
      <c r="S226" s="21">
        <v>190</v>
      </c>
      <c r="T226" s="21">
        <v>220</v>
      </c>
      <c r="U226" s="22" t="s">
        <v>334</v>
      </c>
      <c r="V226" s="21">
        <v>1</v>
      </c>
      <c r="W226" s="21">
        <v>1</v>
      </c>
      <c r="X226" s="22">
        <v>0</v>
      </c>
      <c r="Y226" s="21">
        <v>0</v>
      </c>
      <c r="Z226" s="26" t="s">
        <v>407</v>
      </c>
    </row>
    <row r="227" spans="3:26" s="1" customFormat="1" ht="20.100000000000001" customHeight="1" x14ac:dyDescent="0.35">
      <c r="C227" s="12">
        <f t="shared" si="7"/>
        <v>200301</v>
      </c>
      <c r="D227" s="28" t="s">
        <v>408</v>
      </c>
      <c r="E227" s="12">
        <v>3</v>
      </c>
      <c r="F227" s="15">
        <v>13003101</v>
      </c>
      <c r="G227" s="14">
        <v>0</v>
      </c>
      <c r="H227" s="12">
        <v>31</v>
      </c>
      <c r="I227" s="12">
        <v>15000</v>
      </c>
      <c r="J227" s="12">
        <v>4</v>
      </c>
      <c r="K227" s="12">
        <v>0</v>
      </c>
      <c r="L227" s="21">
        <v>1</v>
      </c>
      <c r="M227" s="21">
        <v>1</v>
      </c>
      <c r="N227" s="22">
        <v>0.02</v>
      </c>
      <c r="O227" s="21">
        <v>0</v>
      </c>
      <c r="P227" s="21">
        <v>1</v>
      </c>
      <c r="Q227" s="21">
        <v>1</v>
      </c>
      <c r="R227" s="21">
        <v>3</v>
      </c>
      <c r="S227" s="21">
        <v>210</v>
      </c>
      <c r="T227" s="21">
        <v>320</v>
      </c>
      <c r="U227" s="22" t="s">
        <v>334</v>
      </c>
      <c r="V227" s="21">
        <v>1</v>
      </c>
      <c r="W227" s="21">
        <v>1</v>
      </c>
      <c r="X227" s="22">
        <v>0</v>
      </c>
      <c r="Y227" s="21">
        <v>0</v>
      </c>
      <c r="Z227" s="26" t="s">
        <v>409</v>
      </c>
    </row>
    <row r="228" spans="3:26" s="1" customFormat="1" ht="20.100000000000001" customHeight="1" x14ac:dyDescent="0.35">
      <c r="C228" s="12">
        <f t="shared" ref="C228:C232" si="8">C223+100</f>
        <v>200302</v>
      </c>
      <c r="D228" s="28" t="s">
        <v>410</v>
      </c>
      <c r="E228" s="12">
        <v>3</v>
      </c>
      <c r="F228" s="15">
        <v>13003102</v>
      </c>
      <c r="G228" s="14">
        <v>0</v>
      </c>
      <c r="H228" s="12">
        <v>32</v>
      </c>
      <c r="I228" s="12">
        <v>15000</v>
      </c>
      <c r="J228" s="12">
        <v>4</v>
      </c>
      <c r="K228" s="12">
        <v>0</v>
      </c>
      <c r="L228" s="21">
        <v>1</v>
      </c>
      <c r="M228" s="21">
        <v>1</v>
      </c>
      <c r="N228" s="22">
        <v>0.02</v>
      </c>
      <c r="O228" s="21">
        <v>0</v>
      </c>
      <c r="P228" s="21">
        <v>1</v>
      </c>
      <c r="Q228" s="21">
        <v>1</v>
      </c>
      <c r="R228" s="21">
        <v>3</v>
      </c>
      <c r="S228" s="21">
        <v>230</v>
      </c>
      <c r="T228" s="21">
        <v>320</v>
      </c>
      <c r="U228" s="22" t="s">
        <v>334</v>
      </c>
      <c r="V228" s="21">
        <v>1</v>
      </c>
      <c r="W228" s="21">
        <v>1</v>
      </c>
      <c r="X228" s="22">
        <v>0</v>
      </c>
      <c r="Y228" s="21">
        <v>0</v>
      </c>
      <c r="Z228" s="26" t="s">
        <v>409</v>
      </c>
    </row>
    <row r="229" spans="3:26" s="1" customFormat="1" ht="20.100000000000001" customHeight="1" x14ac:dyDescent="0.35">
      <c r="C229" s="12">
        <f t="shared" si="8"/>
        <v>200303</v>
      </c>
      <c r="D229" s="28" t="s">
        <v>411</v>
      </c>
      <c r="E229" s="12">
        <v>3</v>
      </c>
      <c r="F229" s="15">
        <v>13003103</v>
      </c>
      <c r="G229" s="14">
        <v>0</v>
      </c>
      <c r="H229" s="12">
        <v>33</v>
      </c>
      <c r="I229" s="12">
        <v>15000</v>
      </c>
      <c r="J229" s="12">
        <v>4</v>
      </c>
      <c r="K229" s="12">
        <v>0</v>
      </c>
      <c r="L229" s="21">
        <v>1</v>
      </c>
      <c r="M229" s="21">
        <v>1</v>
      </c>
      <c r="N229" s="22">
        <v>0.02</v>
      </c>
      <c r="O229" s="21">
        <v>0</v>
      </c>
      <c r="P229" s="21">
        <v>1</v>
      </c>
      <c r="Q229" s="21">
        <v>1</v>
      </c>
      <c r="R229" s="21">
        <v>3</v>
      </c>
      <c r="S229" s="21">
        <v>250</v>
      </c>
      <c r="T229" s="21">
        <v>320</v>
      </c>
      <c r="U229" s="22" t="s">
        <v>334</v>
      </c>
      <c r="V229" s="21">
        <v>1</v>
      </c>
      <c r="W229" s="21">
        <v>1</v>
      </c>
      <c r="X229" s="22">
        <v>0</v>
      </c>
      <c r="Y229" s="21">
        <v>0</v>
      </c>
      <c r="Z229" s="26" t="s">
        <v>409</v>
      </c>
    </row>
    <row r="230" spans="3:26" s="1" customFormat="1" ht="20.100000000000001" customHeight="1" x14ac:dyDescent="0.35">
      <c r="C230" s="12">
        <f t="shared" si="8"/>
        <v>200304</v>
      </c>
      <c r="D230" s="28" t="s">
        <v>412</v>
      </c>
      <c r="E230" s="12">
        <v>3</v>
      </c>
      <c r="F230" s="15">
        <v>13003104</v>
      </c>
      <c r="G230" s="14">
        <v>0</v>
      </c>
      <c r="H230" s="12">
        <v>34</v>
      </c>
      <c r="I230" s="12">
        <v>15000</v>
      </c>
      <c r="J230" s="12">
        <v>4</v>
      </c>
      <c r="K230" s="12">
        <v>0</v>
      </c>
      <c r="L230" s="21">
        <v>1</v>
      </c>
      <c r="M230" s="21">
        <v>1</v>
      </c>
      <c r="N230" s="22">
        <v>0.02</v>
      </c>
      <c r="O230" s="21">
        <v>0</v>
      </c>
      <c r="P230" s="21">
        <v>1</v>
      </c>
      <c r="Q230" s="21">
        <v>1</v>
      </c>
      <c r="R230" s="21">
        <v>3</v>
      </c>
      <c r="S230" s="21">
        <v>270</v>
      </c>
      <c r="T230" s="21">
        <v>320</v>
      </c>
      <c r="U230" s="22" t="s">
        <v>334</v>
      </c>
      <c r="V230" s="21">
        <v>1</v>
      </c>
      <c r="W230" s="21">
        <v>1</v>
      </c>
      <c r="X230" s="22">
        <v>0</v>
      </c>
      <c r="Y230" s="21">
        <v>0</v>
      </c>
      <c r="Z230" s="26" t="s">
        <v>409</v>
      </c>
    </row>
    <row r="231" spans="3:26" s="1" customFormat="1" ht="20.100000000000001" customHeight="1" x14ac:dyDescent="0.35">
      <c r="C231" s="12">
        <f t="shared" si="8"/>
        <v>200305</v>
      </c>
      <c r="D231" s="28" t="s">
        <v>413</v>
      </c>
      <c r="E231" s="12">
        <v>3</v>
      </c>
      <c r="F231" s="15">
        <v>13003105</v>
      </c>
      <c r="G231" s="14">
        <v>0</v>
      </c>
      <c r="H231" s="12">
        <v>35</v>
      </c>
      <c r="I231" s="12">
        <v>20000</v>
      </c>
      <c r="J231" s="12">
        <v>4</v>
      </c>
      <c r="K231" s="12">
        <v>0</v>
      </c>
      <c r="L231" s="21">
        <v>1</v>
      </c>
      <c r="M231" s="21">
        <v>1</v>
      </c>
      <c r="N231" s="22">
        <v>0.02</v>
      </c>
      <c r="O231" s="21">
        <v>0</v>
      </c>
      <c r="P231" s="21">
        <v>1</v>
      </c>
      <c r="Q231" s="21">
        <v>1</v>
      </c>
      <c r="R231" s="21">
        <v>3</v>
      </c>
      <c r="S231" s="21">
        <v>290</v>
      </c>
      <c r="T231" s="21">
        <v>320</v>
      </c>
      <c r="U231" s="22" t="s">
        <v>334</v>
      </c>
      <c r="V231" s="21">
        <v>1</v>
      </c>
      <c r="W231" s="21">
        <v>1</v>
      </c>
      <c r="X231" s="22">
        <v>0</v>
      </c>
      <c r="Y231" s="21">
        <v>0</v>
      </c>
      <c r="Z231" s="26" t="s">
        <v>414</v>
      </c>
    </row>
    <row r="232" spans="3:26" s="1" customFormat="1" ht="20.100000000000001" customHeight="1" x14ac:dyDescent="0.35">
      <c r="C232" s="12">
        <f t="shared" si="8"/>
        <v>200401</v>
      </c>
      <c r="D232" s="28" t="s">
        <v>415</v>
      </c>
      <c r="E232" s="12">
        <v>3</v>
      </c>
      <c r="F232" s="15">
        <v>13004101</v>
      </c>
      <c r="G232" s="14">
        <v>0</v>
      </c>
      <c r="H232" s="12">
        <v>41</v>
      </c>
      <c r="I232" s="12">
        <v>20000</v>
      </c>
      <c r="J232" s="12">
        <v>4</v>
      </c>
      <c r="K232" s="12">
        <v>0</v>
      </c>
      <c r="L232" s="21">
        <v>1</v>
      </c>
      <c r="M232" s="21">
        <v>1</v>
      </c>
      <c r="N232" s="22">
        <v>0.02</v>
      </c>
      <c r="O232" s="21">
        <v>0</v>
      </c>
      <c r="P232" s="21">
        <v>1</v>
      </c>
      <c r="Q232" s="21">
        <v>1</v>
      </c>
      <c r="R232" s="21">
        <v>3</v>
      </c>
      <c r="S232" s="21">
        <v>310</v>
      </c>
      <c r="T232" s="21">
        <v>420</v>
      </c>
      <c r="U232" s="22" t="s">
        <v>334</v>
      </c>
      <c r="V232" s="21">
        <v>1</v>
      </c>
      <c r="W232" s="21">
        <v>1</v>
      </c>
      <c r="X232" s="22">
        <v>0</v>
      </c>
      <c r="Y232" s="21">
        <v>0</v>
      </c>
      <c r="Z232" s="26" t="s">
        <v>416</v>
      </c>
    </row>
    <row r="233" spans="3:26" s="1" customFormat="1" ht="20.100000000000001" customHeight="1" x14ac:dyDescent="0.35">
      <c r="C233" s="12">
        <f t="shared" ref="C233:C241" si="9">C228+100</f>
        <v>200402</v>
      </c>
      <c r="D233" s="28" t="s">
        <v>417</v>
      </c>
      <c r="E233" s="12">
        <v>3</v>
      </c>
      <c r="F233" s="15">
        <v>13004102</v>
      </c>
      <c r="G233" s="14">
        <v>0</v>
      </c>
      <c r="H233" s="12">
        <v>42</v>
      </c>
      <c r="I233" s="12">
        <v>20000</v>
      </c>
      <c r="J233" s="12">
        <v>4</v>
      </c>
      <c r="K233" s="12">
        <v>0</v>
      </c>
      <c r="L233" s="21">
        <v>1</v>
      </c>
      <c r="M233" s="21">
        <v>1</v>
      </c>
      <c r="N233" s="22">
        <v>0.02</v>
      </c>
      <c r="O233" s="21">
        <v>0</v>
      </c>
      <c r="P233" s="21">
        <v>1</v>
      </c>
      <c r="Q233" s="21">
        <v>1</v>
      </c>
      <c r="R233" s="21">
        <v>3</v>
      </c>
      <c r="S233" s="21">
        <v>330</v>
      </c>
      <c r="T233" s="21">
        <v>420</v>
      </c>
      <c r="U233" s="22" t="s">
        <v>334</v>
      </c>
      <c r="V233" s="21">
        <v>1</v>
      </c>
      <c r="W233" s="21">
        <v>1</v>
      </c>
      <c r="X233" s="22">
        <v>0</v>
      </c>
      <c r="Y233" s="21">
        <v>0</v>
      </c>
      <c r="Z233" s="26" t="s">
        <v>416</v>
      </c>
    </row>
    <row r="234" spans="3:26" s="1" customFormat="1" ht="20.100000000000001" customHeight="1" x14ac:dyDescent="0.35">
      <c r="C234" s="12">
        <f t="shared" si="9"/>
        <v>200403</v>
      </c>
      <c r="D234" s="28" t="s">
        <v>418</v>
      </c>
      <c r="E234" s="12">
        <v>3</v>
      </c>
      <c r="F234" s="15">
        <v>13004103</v>
      </c>
      <c r="G234" s="14">
        <v>0</v>
      </c>
      <c r="H234" s="12">
        <v>43</v>
      </c>
      <c r="I234" s="12">
        <v>20000</v>
      </c>
      <c r="J234" s="12">
        <v>4</v>
      </c>
      <c r="K234" s="12">
        <v>0</v>
      </c>
      <c r="L234" s="21">
        <v>1</v>
      </c>
      <c r="M234" s="21">
        <v>1</v>
      </c>
      <c r="N234" s="22">
        <v>0.02</v>
      </c>
      <c r="O234" s="21">
        <v>0</v>
      </c>
      <c r="P234" s="21">
        <v>1</v>
      </c>
      <c r="Q234" s="21">
        <v>1</v>
      </c>
      <c r="R234" s="21">
        <v>3</v>
      </c>
      <c r="S234" s="21">
        <v>350</v>
      </c>
      <c r="T234" s="21">
        <v>420</v>
      </c>
      <c r="U234" s="22" t="s">
        <v>334</v>
      </c>
      <c r="V234" s="21">
        <v>1</v>
      </c>
      <c r="W234" s="21">
        <v>1</v>
      </c>
      <c r="X234" s="22">
        <v>0</v>
      </c>
      <c r="Y234" s="21">
        <v>0</v>
      </c>
      <c r="Z234" s="26" t="s">
        <v>416</v>
      </c>
    </row>
    <row r="235" spans="3:26" s="1" customFormat="1" ht="20.100000000000001" customHeight="1" x14ac:dyDescent="0.35">
      <c r="C235" s="12">
        <f t="shared" si="9"/>
        <v>200404</v>
      </c>
      <c r="D235" s="28" t="s">
        <v>419</v>
      </c>
      <c r="E235" s="12">
        <v>3</v>
      </c>
      <c r="F235" s="15">
        <v>13004104</v>
      </c>
      <c r="G235" s="14">
        <v>0</v>
      </c>
      <c r="H235" s="12">
        <v>44</v>
      </c>
      <c r="I235" s="12">
        <v>20000</v>
      </c>
      <c r="J235" s="12">
        <v>4</v>
      </c>
      <c r="K235" s="12">
        <v>0</v>
      </c>
      <c r="L235" s="21">
        <v>1</v>
      </c>
      <c r="M235" s="21">
        <v>1</v>
      </c>
      <c r="N235" s="22">
        <v>0.02</v>
      </c>
      <c r="O235" s="21">
        <v>0</v>
      </c>
      <c r="P235" s="21">
        <v>1</v>
      </c>
      <c r="Q235" s="21">
        <v>1</v>
      </c>
      <c r="R235" s="21">
        <v>3</v>
      </c>
      <c r="S235" s="21">
        <v>370</v>
      </c>
      <c r="T235" s="21">
        <v>420</v>
      </c>
      <c r="U235" s="22" t="s">
        <v>334</v>
      </c>
      <c r="V235" s="21">
        <v>1</v>
      </c>
      <c r="W235" s="21">
        <v>1</v>
      </c>
      <c r="X235" s="22">
        <v>0</v>
      </c>
      <c r="Y235" s="21">
        <v>0</v>
      </c>
      <c r="Z235" s="26" t="s">
        <v>416</v>
      </c>
    </row>
    <row r="236" spans="3:26" s="1" customFormat="1" ht="20.100000000000001" customHeight="1" x14ac:dyDescent="0.35">
      <c r="C236" s="12">
        <f t="shared" si="9"/>
        <v>200405</v>
      </c>
      <c r="D236" s="28" t="s">
        <v>420</v>
      </c>
      <c r="E236" s="12">
        <v>3</v>
      </c>
      <c r="F236" s="15">
        <v>13004105</v>
      </c>
      <c r="G236" s="14">
        <v>0</v>
      </c>
      <c r="H236" s="12">
        <v>45</v>
      </c>
      <c r="I236" s="12">
        <v>25000</v>
      </c>
      <c r="J236" s="12">
        <v>4</v>
      </c>
      <c r="K236" s="12">
        <v>0</v>
      </c>
      <c r="L236" s="21">
        <v>1</v>
      </c>
      <c r="M236" s="21">
        <v>1</v>
      </c>
      <c r="N236" s="22">
        <v>0.02</v>
      </c>
      <c r="O236" s="21">
        <v>0</v>
      </c>
      <c r="P236" s="21">
        <v>1</v>
      </c>
      <c r="Q236" s="21">
        <v>1</v>
      </c>
      <c r="R236" s="21">
        <v>3</v>
      </c>
      <c r="S236" s="21">
        <v>390</v>
      </c>
      <c r="T236" s="21">
        <v>420</v>
      </c>
      <c r="U236" s="22" t="s">
        <v>334</v>
      </c>
      <c r="V236" s="21">
        <v>1</v>
      </c>
      <c r="W236" s="21">
        <v>1</v>
      </c>
      <c r="X236" s="22">
        <v>0</v>
      </c>
      <c r="Y236" s="21">
        <v>0</v>
      </c>
      <c r="Z236" s="26" t="s">
        <v>421</v>
      </c>
    </row>
    <row r="237" spans="3:26" s="1" customFormat="1" ht="20.100000000000001" customHeight="1" x14ac:dyDescent="0.35">
      <c r="C237" s="12">
        <f t="shared" si="9"/>
        <v>200501</v>
      </c>
      <c r="D237" s="28" t="s">
        <v>422</v>
      </c>
      <c r="E237" s="12">
        <v>3</v>
      </c>
      <c r="F237" s="15">
        <v>13005101</v>
      </c>
      <c r="G237" s="14">
        <v>0</v>
      </c>
      <c r="H237" s="12">
        <v>51</v>
      </c>
      <c r="I237" s="12">
        <v>25000</v>
      </c>
      <c r="J237" s="12">
        <v>4</v>
      </c>
      <c r="K237" s="12">
        <v>0</v>
      </c>
      <c r="L237" s="21">
        <v>1</v>
      </c>
      <c r="M237" s="21">
        <v>1</v>
      </c>
      <c r="N237" s="22">
        <v>0.02</v>
      </c>
      <c r="O237" s="21">
        <v>0</v>
      </c>
      <c r="P237" s="21">
        <v>1</v>
      </c>
      <c r="Q237" s="21">
        <v>1</v>
      </c>
      <c r="R237" s="21">
        <v>3</v>
      </c>
      <c r="S237" s="21">
        <v>410</v>
      </c>
      <c r="T237" s="21">
        <v>500</v>
      </c>
      <c r="U237" s="22" t="s">
        <v>334</v>
      </c>
      <c r="V237" s="21">
        <v>1</v>
      </c>
      <c r="W237" s="21">
        <v>1</v>
      </c>
      <c r="X237" s="22">
        <v>0</v>
      </c>
      <c r="Y237" s="21">
        <v>0</v>
      </c>
      <c r="Z237" s="26" t="s">
        <v>423</v>
      </c>
    </row>
    <row r="238" spans="3:26" s="1" customFormat="1" ht="20.100000000000001" customHeight="1" x14ac:dyDescent="0.35">
      <c r="C238" s="12">
        <f t="shared" si="9"/>
        <v>200502</v>
      </c>
      <c r="D238" s="28" t="s">
        <v>424</v>
      </c>
      <c r="E238" s="12">
        <v>3</v>
      </c>
      <c r="F238" s="15">
        <v>13005102</v>
      </c>
      <c r="G238" s="14">
        <v>0</v>
      </c>
      <c r="H238" s="12">
        <v>52</v>
      </c>
      <c r="I238" s="12">
        <v>25000</v>
      </c>
      <c r="J238" s="12">
        <v>4</v>
      </c>
      <c r="K238" s="12">
        <v>0</v>
      </c>
      <c r="L238" s="21">
        <v>1</v>
      </c>
      <c r="M238" s="21">
        <v>1</v>
      </c>
      <c r="N238" s="22">
        <v>0.02</v>
      </c>
      <c r="O238" s="21">
        <v>0</v>
      </c>
      <c r="P238" s="21">
        <v>1</v>
      </c>
      <c r="Q238" s="21">
        <v>1</v>
      </c>
      <c r="R238" s="21">
        <v>3</v>
      </c>
      <c r="S238" s="21">
        <v>430</v>
      </c>
      <c r="T238" s="21">
        <v>500</v>
      </c>
      <c r="U238" s="22" t="s">
        <v>334</v>
      </c>
      <c r="V238" s="21">
        <v>1</v>
      </c>
      <c r="W238" s="21">
        <v>1</v>
      </c>
      <c r="X238" s="22">
        <v>0</v>
      </c>
      <c r="Y238" s="21">
        <v>0</v>
      </c>
      <c r="Z238" s="26" t="s">
        <v>423</v>
      </c>
    </row>
    <row r="239" spans="3:26" s="1" customFormat="1" ht="20.100000000000001" customHeight="1" x14ac:dyDescent="0.35">
      <c r="C239" s="12">
        <f t="shared" si="9"/>
        <v>200503</v>
      </c>
      <c r="D239" s="28" t="s">
        <v>425</v>
      </c>
      <c r="E239" s="12">
        <v>3</v>
      </c>
      <c r="F239" s="15">
        <v>13005103</v>
      </c>
      <c r="G239" s="14">
        <v>0</v>
      </c>
      <c r="H239" s="12">
        <v>53</v>
      </c>
      <c r="I239" s="12">
        <v>25000</v>
      </c>
      <c r="J239" s="12">
        <v>4</v>
      </c>
      <c r="K239" s="12">
        <v>0</v>
      </c>
      <c r="L239" s="21">
        <v>1</v>
      </c>
      <c r="M239" s="21">
        <v>1</v>
      </c>
      <c r="N239" s="22">
        <v>0.02</v>
      </c>
      <c r="O239" s="21">
        <v>0</v>
      </c>
      <c r="P239" s="21">
        <v>1</v>
      </c>
      <c r="Q239" s="21">
        <v>1</v>
      </c>
      <c r="R239" s="21">
        <v>3</v>
      </c>
      <c r="S239" s="21">
        <v>450</v>
      </c>
      <c r="T239" s="21">
        <v>500</v>
      </c>
      <c r="U239" s="22" t="s">
        <v>334</v>
      </c>
      <c r="V239" s="21">
        <v>1</v>
      </c>
      <c r="W239" s="21">
        <v>1</v>
      </c>
      <c r="X239" s="22">
        <v>0</v>
      </c>
      <c r="Y239" s="21">
        <v>0</v>
      </c>
      <c r="Z239" s="26" t="s">
        <v>423</v>
      </c>
    </row>
    <row r="240" spans="3:26" s="1" customFormat="1" ht="20.100000000000001" customHeight="1" x14ac:dyDescent="0.35">
      <c r="C240" s="12">
        <f t="shared" si="9"/>
        <v>200504</v>
      </c>
      <c r="D240" s="28" t="s">
        <v>426</v>
      </c>
      <c r="E240" s="12">
        <v>3</v>
      </c>
      <c r="F240" s="15">
        <v>13005104</v>
      </c>
      <c r="G240" s="14">
        <v>0</v>
      </c>
      <c r="H240" s="12">
        <v>54</v>
      </c>
      <c r="I240" s="12">
        <v>25000</v>
      </c>
      <c r="J240" s="12">
        <v>4</v>
      </c>
      <c r="K240" s="12">
        <v>0</v>
      </c>
      <c r="L240" s="21">
        <v>1</v>
      </c>
      <c r="M240" s="21">
        <v>1</v>
      </c>
      <c r="N240" s="22">
        <v>0.02</v>
      </c>
      <c r="O240" s="21">
        <v>0</v>
      </c>
      <c r="P240" s="21">
        <v>1</v>
      </c>
      <c r="Q240" s="21">
        <v>1</v>
      </c>
      <c r="R240" s="21">
        <v>3</v>
      </c>
      <c r="S240" s="21">
        <v>470</v>
      </c>
      <c r="T240" s="21">
        <v>500</v>
      </c>
      <c r="U240" s="22" t="s">
        <v>334</v>
      </c>
      <c r="V240" s="21">
        <v>1</v>
      </c>
      <c r="W240" s="21">
        <v>1</v>
      </c>
      <c r="X240" s="22">
        <v>0</v>
      </c>
      <c r="Y240" s="21">
        <v>0</v>
      </c>
      <c r="Z240" s="26" t="s">
        <v>423</v>
      </c>
    </row>
    <row r="241" spans="3:26" s="1" customFormat="1" ht="20.100000000000001" customHeight="1" x14ac:dyDescent="0.35">
      <c r="C241" s="12">
        <f t="shared" si="9"/>
        <v>200505</v>
      </c>
      <c r="D241" s="28" t="s">
        <v>427</v>
      </c>
      <c r="E241" s="12">
        <v>3</v>
      </c>
      <c r="F241" s="15">
        <v>13005105</v>
      </c>
      <c r="G241" s="14">
        <v>0</v>
      </c>
      <c r="H241" s="12">
        <v>55</v>
      </c>
      <c r="I241" s="12">
        <v>30000</v>
      </c>
      <c r="J241" s="12">
        <v>4</v>
      </c>
      <c r="K241" s="12">
        <v>0</v>
      </c>
      <c r="L241" s="21">
        <v>1</v>
      </c>
      <c r="M241" s="21">
        <v>1</v>
      </c>
      <c r="N241" s="22">
        <v>0.02</v>
      </c>
      <c r="O241" s="21">
        <v>0</v>
      </c>
      <c r="P241" s="21">
        <v>1</v>
      </c>
      <c r="Q241" s="21">
        <v>1</v>
      </c>
      <c r="R241" s="21">
        <v>3</v>
      </c>
      <c r="S241" s="21">
        <v>490</v>
      </c>
      <c r="T241" s="21">
        <v>500</v>
      </c>
      <c r="U241" s="22" t="s">
        <v>334</v>
      </c>
      <c r="V241" s="21">
        <v>1</v>
      </c>
      <c r="W241" s="21">
        <v>1</v>
      </c>
      <c r="X241" s="22">
        <v>0</v>
      </c>
      <c r="Y241" s="21">
        <v>0</v>
      </c>
      <c r="Z241" s="26" t="s">
        <v>428</v>
      </c>
    </row>
    <row r="242" spans="3:26" s="1" customFormat="1" ht="20.100000000000001" customHeight="1" x14ac:dyDescent="0.35">
      <c r="C242" s="12">
        <v>200602</v>
      </c>
      <c r="D242" s="29" t="s">
        <v>429</v>
      </c>
      <c r="E242" s="12">
        <v>3</v>
      </c>
      <c r="F242" s="29">
        <v>13006002</v>
      </c>
      <c r="G242" s="14">
        <v>0</v>
      </c>
      <c r="H242" s="12">
        <v>0</v>
      </c>
      <c r="I242" s="12">
        <v>10000</v>
      </c>
      <c r="J242" s="12">
        <v>4</v>
      </c>
      <c r="K242" s="12">
        <v>0</v>
      </c>
      <c r="L242" s="21">
        <v>1</v>
      </c>
      <c r="M242" s="21">
        <v>1</v>
      </c>
      <c r="N242" s="22">
        <v>0.02</v>
      </c>
      <c r="O242" s="21">
        <v>0</v>
      </c>
      <c r="P242" s="21">
        <v>1</v>
      </c>
      <c r="Q242" s="21">
        <v>1</v>
      </c>
      <c r="R242" s="21">
        <v>3</v>
      </c>
      <c r="S242" s="21">
        <v>50</v>
      </c>
      <c r="T242" s="21">
        <v>150</v>
      </c>
      <c r="U242" s="22" t="s">
        <v>334</v>
      </c>
      <c r="V242" s="21">
        <v>1</v>
      </c>
      <c r="W242" s="21">
        <v>1</v>
      </c>
      <c r="X242" s="22">
        <v>0</v>
      </c>
      <c r="Y242" s="21">
        <v>0</v>
      </c>
      <c r="Z242" s="26" t="s">
        <v>430</v>
      </c>
    </row>
    <row r="243" spans="3:26" s="1" customFormat="1" ht="20.100000000000001" customHeight="1" x14ac:dyDescent="0.35">
      <c r="C243" s="12">
        <v>200603</v>
      </c>
      <c r="D243" s="30" t="s">
        <v>431</v>
      </c>
      <c r="E243" s="12">
        <v>3</v>
      </c>
      <c r="F243" s="29">
        <v>13006003</v>
      </c>
      <c r="G243" s="14">
        <v>0</v>
      </c>
      <c r="H243" s="12">
        <v>0</v>
      </c>
      <c r="I243" s="12">
        <v>10000</v>
      </c>
      <c r="J243" s="12">
        <v>4</v>
      </c>
      <c r="K243" s="12">
        <v>0</v>
      </c>
      <c r="L243" s="21">
        <v>1</v>
      </c>
      <c r="M243" s="21">
        <v>1</v>
      </c>
      <c r="N243" s="22">
        <v>0.02</v>
      </c>
      <c r="O243" s="21">
        <v>0</v>
      </c>
      <c r="P243" s="21">
        <v>1</v>
      </c>
      <c r="Q243" s="21">
        <v>1</v>
      </c>
      <c r="R243" s="21">
        <v>3</v>
      </c>
      <c r="S243" s="21">
        <v>60</v>
      </c>
      <c r="T243" s="21">
        <v>150</v>
      </c>
      <c r="U243" s="22" t="s">
        <v>334</v>
      </c>
      <c r="V243" s="21">
        <v>1</v>
      </c>
      <c r="W243" s="21">
        <v>1</v>
      </c>
      <c r="X243" s="22">
        <v>0</v>
      </c>
      <c r="Y243" s="21">
        <v>0</v>
      </c>
      <c r="Z243" s="26" t="s">
        <v>432</v>
      </c>
    </row>
    <row r="244" spans="3:26" s="1" customFormat="1" ht="20.100000000000001" customHeight="1" x14ac:dyDescent="0.35">
      <c r="C244" s="12">
        <v>200604</v>
      </c>
      <c r="D244" s="30" t="s">
        <v>431</v>
      </c>
      <c r="E244" s="12">
        <v>3</v>
      </c>
      <c r="F244" s="29">
        <v>13006004</v>
      </c>
      <c r="G244" s="14">
        <v>0</v>
      </c>
      <c r="H244" s="12">
        <v>0</v>
      </c>
      <c r="I244" s="12">
        <v>10000</v>
      </c>
      <c r="J244" s="12">
        <v>4</v>
      </c>
      <c r="K244" s="12">
        <v>0</v>
      </c>
      <c r="L244" s="21">
        <v>1</v>
      </c>
      <c r="M244" s="21">
        <v>1</v>
      </c>
      <c r="N244" s="22">
        <v>0.02</v>
      </c>
      <c r="O244" s="21">
        <v>0</v>
      </c>
      <c r="P244" s="21">
        <v>1</v>
      </c>
      <c r="Q244" s="21">
        <v>1</v>
      </c>
      <c r="R244" s="21">
        <v>3</v>
      </c>
      <c r="S244" s="21">
        <v>70</v>
      </c>
      <c r="T244" s="21">
        <v>150</v>
      </c>
      <c r="U244" s="22" t="s">
        <v>334</v>
      </c>
      <c r="V244" s="21">
        <v>1</v>
      </c>
      <c r="W244" s="21">
        <v>1</v>
      </c>
      <c r="X244" s="22">
        <v>0</v>
      </c>
      <c r="Y244" s="21">
        <v>0</v>
      </c>
      <c r="Z244" s="26" t="s">
        <v>432</v>
      </c>
    </row>
    <row r="245" spans="3:26" s="1" customFormat="1" ht="20.100000000000001" customHeight="1" x14ac:dyDescent="0.35">
      <c r="C245" s="12">
        <v>201001</v>
      </c>
      <c r="D245" s="28" t="s">
        <v>433</v>
      </c>
      <c r="E245" s="12">
        <v>3</v>
      </c>
      <c r="F245" s="15">
        <v>13009001</v>
      </c>
      <c r="G245" s="14">
        <v>0</v>
      </c>
      <c r="H245" s="12">
        <v>15</v>
      </c>
      <c r="I245" s="12">
        <v>10000</v>
      </c>
      <c r="J245" s="12">
        <v>4</v>
      </c>
      <c r="K245" s="12">
        <v>0</v>
      </c>
      <c r="L245" s="21">
        <v>1</v>
      </c>
      <c r="M245" s="21">
        <v>1</v>
      </c>
      <c r="N245" s="22">
        <v>0.02</v>
      </c>
      <c r="O245" s="21">
        <v>0</v>
      </c>
      <c r="P245" s="21">
        <v>1</v>
      </c>
      <c r="Q245" s="21">
        <v>1</v>
      </c>
      <c r="R245" s="21">
        <v>3</v>
      </c>
      <c r="S245" s="21">
        <v>75</v>
      </c>
      <c r="T245" s="21">
        <v>200</v>
      </c>
      <c r="U245" s="22" t="s">
        <v>334</v>
      </c>
      <c r="V245" s="21">
        <v>1</v>
      </c>
      <c r="W245" s="21">
        <v>1</v>
      </c>
      <c r="X245" s="22">
        <v>0</v>
      </c>
      <c r="Y245" s="21">
        <v>0</v>
      </c>
      <c r="Z245" s="26" t="s">
        <v>434</v>
      </c>
    </row>
    <row r="246" spans="3:26" s="1" customFormat="1" ht="20.100000000000001" customHeight="1" x14ac:dyDescent="0.35">
      <c r="C246" s="12">
        <v>201002</v>
      </c>
      <c r="D246" s="28" t="s">
        <v>435</v>
      </c>
      <c r="E246" s="12">
        <v>3</v>
      </c>
      <c r="F246" s="15">
        <v>13009002</v>
      </c>
      <c r="G246" s="14">
        <v>0</v>
      </c>
      <c r="H246" s="12">
        <v>18</v>
      </c>
      <c r="I246" s="12">
        <v>10000</v>
      </c>
      <c r="J246" s="12">
        <v>4</v>
      </c>
      <c r="K246" s="12">
        <v>0</v>
      </c>
      <c r="L246" s="21">
        <v>1</v>
      </c>
      <c r="M246" s="21">
        <v>1</v>
      </c>
      <c r="N246" s="22">
        <v>0.02</v>
      </c>
      <c r="O246" s="21">
        <v>0</v>
      </c>
      <c r="P246" s="21">
        <v>1</v>
      </c>
      <c r="Q246" s="21">
        <v>1</v>
      </c>
      <c r="R246" s="21">
        <v>3</v>
      </c>
      <c r="S246" s="21">
        <v>50</v>
      </c>
      <c r="T246" s="21">
        <v>200</v>
      </c>
      <c r="U246" s="22" t="s">
        <v>334</v>
      </c>
      <c r="V246" s="21">
        <v>1</v>
      </c>
      <c r="W246" s="21">
        <v>1</v>
      </c>
      <c r="X246" s="22">
        <v>0</v>
      </c>
      <c r="Y246" s="21">
        <v>0</v>
      </c>
      <c r="Z246" s="26" t="s">
        <v>436</v>
      </c>
    </row>
    <row r="247" spans="3:26" s="1" customFormat="1" ht="20.100000000000001" customHeight="1" x14ac:dyDescent="0.35">
      <c r="C247" s="12">
        <v>201101</v>
      </c>
      <c r="D247" s="31" t="s">
        <v>437</v>
      </c>
      <c r="E247" s="12">
        <v>3</v>
      </c>
      <c r="F247" s="31">
        <v>10000144</v>
      </c>
      <c r="G247" s="14">
        <v>0</v>
      </c>
      <c r="H247" s="12">
        <v>18</v>
      </c>
      <c r="I247" s="12">
        <v>10000</v>
      </c>
      <c r="J247" s="12">
        <v>4</v>
      </c>
      <c r="K247" s="12">
        <v>0</v>
      </c>
      <c r="L247" s="21">
        <v>4</v>
      </c>
      <c r="M247" s="21">
        <v>1</v>
      </c>
      <c r="N247" s="22">
        <v>0.02</v>
      </c>
      <c r="O247" s="21">
        <v>0</v>
      </c>
      <c r="P247" s="21">
        <v>1</v>
      </c>
      <c r="Q247" s="21">
        <v>1</v>
      </c>
      <c r="R247" s="21">
        <v>3</v>
      </c>
      <c r="S247" s="21">
        <v>100</v>
      </c>
      <c r="T247" s="21">
        <v>200</v>
      </c>
      <c r="U247" s="22" t="s">
        <v>334</v>
      </c>
      <c r="V247" s="21">
        <v>1</v>
      </c>
      <c r="W247" s="21">
        <v>1</v>
      </c>
      <c r="X247" s="22">
        <v>43200</v>
      </c>
      <c r="Y247" s="21">
        <v>0</v>
      </c>
      <c r="Z247" s="26" t="s">
        <v>438</v>
      </c>
    </row>
    <row r="248" spans="3:26" s="1" customFormat="1" ht="20.100000000000001" customHeight="1" x14ac:dyDescent="0.35">
      <c r="C248" s="12">
        <v>201102</v>
      </c>
      <c r="D248" s="31" t="s">
        <v>439</v>
      </c>
      <c r="E248" s="12">
        <v>3</v>
      </c>
      <c r="F248" s="31">
        <v>10000145</v>
      </c>
      <c r="G248" s="14">
        <v>0</v>
      </c>
      <c r="H248" s="12">
        <v>18</v>
      </c>
      <c r="I248" s="12">
        <v>10000</v>
      </c>
      <c r="J248" s="12">
        <v>4</v>
      </c>
      <c r="K248" s="12">
        <v>0</v>
      </c>
      <c r="L248" s="21">
        <v>4</v>
      </c>
      <c r="M248" s="21">
        <v>1</v>
      </c>
      <c r="N248" s="22">
        <v>0.02</v>
      </c>
      <c r="O248" s="21">
        <v>0</v>
      </c>
      <c r="P248" s="21">
        <v>1</v>
      </c>
      <c r="Q248" s="21">
        <v>1</v>
      </c>
      <c r="R248" s="21">
        <v>3</v>
      </c>
      <c r="S248" s="21">
        <v>125</v>
      </c>
      <c r="T248" s="21">
        <v>200</v>
      </c>
      <c r="U248" s="22" t="s">
        <v>334</v>
      </c>
      <c r="V248" s="21">
        <v>1</v>
      </c>
      <c r="W248" s="21">
        <v>1</v>
      </c>
      <c r="X248" s="22">
        <v>43200</v>
      </c>
      <c r="Y248" s="21">
        <v>0</v>
      </c>
      <c r="Z248" s="26" t="s">
        <v>438</v>
      </c>
    </row>
    <row r="249" spans="3:26" s="1" customFormat="1" ht="20.100000000000001" customHeight="1" x14ac:dyDescent="0.35">
      <c r="C249" s="12">
        <v>201103</v>
      </c>
      <c r="D249" s="31" t="s">
        <v>440</v>
      </c>
      <c r="E249" s="12">
        <v>3</v>
      </c>
      <c r="F249" s="31">
        <v>10000147</v>
      </c>
      <c r="G249" s="14">
        <v>0</v>
      </c>
      <c r="H249" s="12">
        <v>18</v>
      </c>
      <c r="I249" s="12">
        <v>10000</v>
      </c>
      <c r="J249" s="12">
        <v>4</v>
      </c>
      <c r="K249" s="12">
        <v>0</v>
      </c>
      <c r="L249" s="21">
        <v>4</v>
      </c>
      <c r="M249" s="21">
        <v>1</v>
      </c>
      <c r="N249" s="22">
        <v>0.02</v>
      </c>
      <c r="O249" s="21">
        <v>0</v>
      </c>
      <c r="P249" s="21">
        <v>1</v>
      </c>
      <c r="Q249" s="21">
        <v>1</v>
      </c>
      <c r="R249" s="21">
        <v>3</v>
      </c>
      <c r="S249" s="21">
        <v>150</v>
      </c>
      <c r="T249" s="21">
        <v>200</v>
      </c>
      <c r="U249" s="22" t="s">
        <v>334</v>
      </c>
      <c r="V249" s="21">
        <v>1</v>
      </c>
      <c r="W249" s="21">
        <v>1</v>
      </c>
      <c r="X249" s="22">
        <v>43200</v>
      </c>
      <c r="Y249" s="21">
        <v>0</v>
      </c>
      <c r="Z249" s="26" t="s">
        <v>438</v>
      </c>
    </row>
    <row r="250" spans="3:26" s="1" customFormat="1" ht="20.100000000000001" customHeight="1" x14ac:dyDescent="0.35">
      <c r="C250" s="12">
        <v>300001</v>
      </c>
      <c r="D250" s="20" t="s">
        <v>441</v>
      </c>
      <c r="E250" s="12">
        <v>1</v>
      </c>
      <c r="F250" s="13">
        <v>11200001</v>
      </c>
      <c r="G250" s="14">
        <v>0</v>
      </c>
      <c r="H250" s="12">
        <v>10</v>
      </c>
      <c r="I250" s="12">
        <v>5000</v>
      </c>
      <c r="J250" s="12">
        <v>5</v>
      </c>
      <c r="K250" s="12">
        <v>0</v>
      </c>
      <c r="L250" s="21">
        <v>1</v>
      </c>
      <c r="M250" s="21">
        <v>1</v>
      </c>
      <c r="N250" s="22">
        <v>0</v>
      </c>
      <c r="O250" s="21">
        <v>0</v>
      </c>
      <c r="P250" s="21">
        <v>1</v>
      </c>
      <c r="Q250" s="21">
        <v>1</v>
      </c>
      <c r="R250" s="21">
        <v>3</v>
      </c>
      <c r="S250" s="21">
        <v>0</v>
      </c>
      <c r="T250" s="21">
        <v>200</v>
      </c>
      <c r="U250" s="22" t="s">
        <v>339</v>
      </c>
      <c r="V250" s="21">
        <v>1</v>
      </c>
      <c r="W250" s="21">
        <v>1</v>
      </c>
      <c r="X250" s="22">
        <v>0</v>
      </c>
      <c r="Y250" s="21">
        <v>0</v>
      </c>
      <c r="Z250" s="26" t="s">
        <v>442</v>
      </c>
    </row>
    <row r="251" spans="3:26" s="1" customFormat="1" ht="20.100000000000001" customHeight="1" x14ac:dyDescent="0.35">
      <c r="C251" s="12">
        <v>300002</v>
      </c>
      <c r="D251" s="20" t="s">
        <v>443</v>
      </c>
      <c r="E251" s="12">
        <v>1</v>
      </c>
      <c r="F251" s="13">
        <v>11200002</v>
      </c>
      <c r="G251" s="14">
        <v>0</v>
      </c>
      <c r="H251" s="12">
        <v>10</v>
      </c>
      <c r="I251" s="12">
        <v>5000</v>
      </c>
      <c r="J251" s="12">
        <v>5</v>
      </c>
      <c r="K251" s="12">
        <v>0</v>
      </c>
      <c r="L251" s="21">
        <v>1</v>
      </c>
      <c r="M251" s="21">
        <v>1</v>
      </c>
      <c r="N251" s="22">
        <v>0</v>
      </c>
      <c r="O251" s="21">
        <v>0</v>
      </c>
      <c r="P251" s="21">
        <v>1</v>
      </c>
      <c r="Q251" s="21">
        <v>1</v>
      </c>
      <c r="R251" s="21">
        <v>3</v>
      </c>
      <c r="S251" s="21">
        <v>0</v>
      </c>
      <c r="T251" s="21">
        <v>200</v>
      </c>
      <c r="U251" s="22" t="s">
        <v>339</v>
      </c>
      <c r="V251" s="21">
        <v>1</v>
      </c>
      <c r="W251" s="21">
        <v>1</v>
      </c>
      <c r="X251" s="22">
        <v>0</v>
      </c>
      <c r="Y251" s="21">
        <v>0</v>
      </c>
      <c r="Z251" s="26" t="s">
        <v>442</v>
      </c>
    </row>
    <row r="252" spans="3:26" s="1" customFormat="1" ht="20.100000000000001" customHeight="1" x14ac:dyDescent="0.35">
      <c r="C252" s="12">
        <v>300003</v>
      </c>
      <c r="D252" s="20" t="s">
        <v>444</v>
      </c>
      <c r="E252" s="12">
        <v>1</v>
      </c>
      <c r="F252" s="13">
        <v>11200003</v>
      </c>
      <c r="G252" s="14">
        <v>0</v>
      </c>
      <c r="H252" s="12">
        <v>10</v>
      </c>
      <c r="I252" s="12">
        <v>5000</v>
      </c>
      <c r="J252" s="12">
        <v>5</v>
      </c>
      <c r="K252" s="12">
        <v>0</v>
      </c>
      <c r="L252" s="21">
        <v>1</v>
      </c>
      <c r="M252" s="21">
        <v>1</v>
      </c>
      <c r="N252" s="22">
        <v>0</v>
      </c>
      <c r="O252" s="21">
        <v>0</v>
      </c>
      <c r="P252" s="21">
        <v>1</v>
      </c>
      <c r="Q252" s="21">
        <v>1</v>
      </c>
      <c r="R252" s="21">
        <v>3</v>
      </c>
      <c r="S252" s="21">
        <v>0</v>
      </c>
      <c r="T252" s="21">
        <v>200</v>
      </c>
      <c r="U252" s="22" t="s">
        <v>339</v>
      </c>
      <c r="V252" s="21">
        <v>1</v>
      </c>
      <c r="W252" s="21">
        <v>1</v>
      </c>
      <c r="X252" s="22">
        <v>0</v>
      </c>
      <c r="Y252" s="21">
        <v>0</v>
      </c>
      <c r="Z252" s="26" t="s">
        <v>442</v>
      </c>
    </row>
    <row r="253" spans="3:26" s="1" customFormat="1" ht="20.100000000000001" customHeight="1" x14ac:dyDescent="0.35">
      <c r="C253" s="32">
        <v>4000101</v>
      </c>
      <c r="D253" s="32" t="s">
        <v>445</v>
      </c>
      <c r="E253" s="12">
        <v>4</v>
      </c>
      <c r="F253" s="32">
        <v>10045102</v>
      </c>
      <c r="G253" s="14">
        <v>0</v>
      </c>
      <c r="H253" s="12">
        <v>1</v>
      </c>
      <c r="I253" s="12">
        <v>0</v>
      </c>
      <c r="J253" s="12">
        <v>0</v>
      </c>
      <c r="K253" s="12">
        <v>0</v>
      </c>
      <c r="L253" s="12">
        <v>1</v>
      </c>
      <c r="M253" s="12">
        <v>1</v>
      </c>
      <c r="N253" s="12">
        <v>0</v>
      </c>
      <c r="O253" s="12">
        <v>0</v>
      </c>
      <c r="P253" s="12">
        <v>1</v>
      </c>
      <c r="Q253" s="12">
        <v>1</v>
      </c>
      <c r="R253" s="12">
        <v>1</v>
      </c>
      <c r="S253" s="12">
        <v>0</v>
      </c>
      <c r="T253" s="12">
        <v>0</v>
      </c>
      <c r="U253" s="12">
        <v>0</v>
      </c>
      <c r="V253" s="12">
        <v>0</v>
      </c>
      <c r="W253" s="12">
        <v>1</v>
      </c>
      <c r="X253" s="22">
        <v>0</v>
      </c>
      <c r="Y253" s="21">
        <v>2500</v>
      </c>
      <c r="Z253" s="1" t="s">
        <v>446</v>
      </c>
    </row>
    <row r="254" spans="3:26" s="1" customFormat="1" ht="20.100000000000001" customHeight="1" x14ac:dyDescent="0.35">
      <c r="C254" s="32">
        <v>4000102</v>
      </c>
      <c r="D254" s="32" t="s">
        <v>447</v>
      </c>
      <c r="E254" s="12">
        <v>4</v>
      </c>
      <c r="F254" s="32">
        <v>10045103</v>
      </c>
      <c r="G254" s="14">
        <v>0</v>
      </c>
      <c r="H254" s="12">
        <v>1</v>
      </c>
      <c r="I254" s="12">
        <v>0</v>
      </c>
      <c r="J254" s="12">
        <v>0</v>
      </c>
      <c r="K254" s="12">
        <v>0</v>
      </c>
      <c r="L254" s="12">
        <v>1</v>
      </c>
      <c r="M254" s="12">
        <v>1</v>
      </c>
      <c r="N254" s="12">
        <v>0</v>
      </c>
      <c r="O254" s="12">
        <v>0</v>
      </c>
      <c r="P254" s="12">
        <v>1</v>
      </c>
      <c r="Q254" s="12">
        <v>1</v>
      </c>
      <c r="R254" s="12">
        <v>1</v>
      </c>
      <c r="S254" s="12">
        <v>0</v>
      </c>
      <c r="T254" s="12">
        <v>0</v>
      </c>
      <c r="U254" s="12">
        <v>0</v>
      </c>
      <c r="V254" s="12">
        <v>0</v>
      </c>
      <c r="W254" s="12">
        <v>1</v>
      </c>
      <c r="X254" s="22">
        <v>0</v>
      </c>
      <c r="Y254" s="21">
        <v>3500</v>
      </c>
      <c r="Z254" s="1" t="s">
        <v>448</v>
      </c>
    </row>
    <row r="255" spans="3:26" s="1" customFormat="1" ht="20.100000000000001" customHeight="1" x14ac:dyDescent="0.35">
      <c r="C255" s="32">
        <v>4000103</v>
      </c>
      <c r="D255" s="32" t="s">
        <v>449</v>
      </c>
      <c r="E255" s="12">
        <v>4</v>
      </c>
      <c r="F255" s="32">
        <v>10045104</v>
      </c>
      <c r="G255" s="14">
        <v>0</v>
      </c>
      <c r="H255" s="12">
        <v>10</v>
      </c>
      <c r="I255" s="12">
        <v>0</v>
      </c>
      <c r="J255" s="12">
        <v>0</v>
      </c>
      <c r="K255" s="12">
        <v>0</v>
      </c>
      <c r="L255" s="12">
        <v>1</v>
      </c>
      <c r="M255" s="12">
        <v>1</v>
      </c>
      <c r="N255" s="12">
        <v>0</v>
      </c>
      <c r="O255" s="12">
        <v>0</v>
      </c>
      <c r="P255" s="12">
        <v>1</v>
      </c>
      <c r="Q255" s="12">
        <v>1</v>
      </c>
      <c r="R255" s="12">
        <v>1</v>
      </c>
      <c r="S255" s="12">
        <v>0</v>
      </c>
      <c r="T255" s="12">
        <v>0</v>
      </c>
      <c r="U255" s="12">
        <v>0</v>
      </c>
      <c r="V255" s="12">
        <v>0</v>
      </c>
      <c r="W255" s="12">
        <v>1</v>
      </c>
      <c r="X255" s="22">
        <v>0</v>
      </c>
      <c r="Y255" s="21">
        <v>5000</v>
      </c>
      <c r="Z255" s="1" t="s">
        <v>450</v>
      </c>
    </row>
    <row r="256" spans="3:26" s="1" customFormat="1" ht="20.100000000000001" customHeight="1" x14ac:dyDescent="0.35">
      <c r="C256" s="32">
        <v>4000104</v>
      </c>
      <c r="D256" s="32" t="s">
        <v>451</v>
      </c>
      <c r="E256" s="12">
        <v>4</v>
      </c>
      <c r="F256" s="32">
        <v>10045105</v>
      </c>
      <c r="G256" s="14">
        <v>0</v>
      </c>
      <c r="H256" s="12">
        <v>15</v>
      </c>
      <c r="I256" s="12">
        <v>0</v>
      </c>
      <c r="J256" s="12">
        <v>0</v>
      </c>
      <c r="K256" s="12">
        <v>0</v>
      </c>
      <c r="L256" s="12">
        <v>1</v>
      </c>
      <c r="M256" s="12">
        <v>1</v>
      </c>
      <c r="N256" s="12">
        <v>0</v>
      </c>
      <c r="O256" s="12">
        <v>0</v>
      </c>
      <c r="P256" s="12">
        <v>1</v>
      </c>
      <c r="Q256" s="12">
        <v>1</v>
      </c>
      <c r="R256" s="12">
        <v>1</v>
      </c>
      <c r="S256" s="12">
        <v>0</v>
      </c>
      <c r="T256" s="12">
        <v>0</v>
      </c>
      <c r="U256" s="12">
        <v>0</v>
      </c>
      <c r="V256" s="12">
        <v>0</v>
      </c>
      <c r="W256" s="12">
        <v>1</v>
      </c>
      <c r="X256" s="22">
        <v>0</v>
      </c>
      <c r="Y256" s="21">
        <v>7500</v>
      </c>
      <c r="Z256" s="1" t="s">
        <v>452</v>
      </c>
    </row>
    <row r="257" spans="3:26" s="1" customFormat="1" ht="20.100000000000001" customHeight="1" x14ac:dyDescent="0.35">
      <c r="C257" s="32">
        <v>4000105</v>
      </c>
      <c r="D257" s="32" t="s">
        <v>453</v>
      </c>
      <c r="E257" s="12">
        <v>4</v>
      </c>
      <c r="F257" s="32">
        <v>10045106</v>
      </c>
      <c r="G257" s="14">
        <v>0</v>
      </c>
      <c r="H257" s="12">
        <v>20</v>
      </c>
      <c r="I257" s="12">
        <v>0</v>
      </c>
      <c r="J257" s="12">
        <v>0</v>
      </c>
      <c r="K257" s="12">
        <v>0</v>
      </c>
      <c r="L257" s="12">
        <v>1</v>
      </c>
      <c r="M257" s="12">
        <v>1</v>
      </c>
      <c r="N257" s="12">
        <v>0</v>
      </c>
      <c r="O257" s="12">
        <v>0</v>
      </c>
      <c r="P257" s="12">
        <v>1</v>
      </c>
      <c r="Q257" s="12">
        <v>1</v>
      </c>
      <c r="R257" s="12">
        <v>1</v>
      </c>
      <c r="S257" s="12">
        <v>0</v>
      </c>
      <c r="T257" s="12">
        <v>0</v>
      </c>
      <c r="U257" s="12">
        <v>0</v>
      </c>
      <c r="V257" s="12">
        <v>0</v>
      </c>
      <c r="W257" s="12">
        <v>1</v>
      </c>
      <c r="X257" s="22">
        <v>0</v>
      </c>
      <c r="Y257" s="21">
        <v>10000</v>
      </c>
      <c r="Z257" s="1" t="s">
        <v>454</v>
      </c>
    </row>
    <row r="258" spans="3:26" s="1" customFormat="1" ht="20.100000000000001" customHeight="1" x14ac:dyDescent="0.35">
      <c r="C258" s="32">
        <v>4000106</v>
      </c>
      <c r="D258" s="32" t="s">
        <v>455</v>
      </c>
      <c r="E258" s="12">
        <v>4</v>
      </c>
      <c r="F258" s="32">
        <v>10045107</v>
      </c>
      <c r="G258" s="14">
        <v>0</v>
      </c>
      <c r="H258" s="12">
        <v>30</v>
      </c>
      <c r="I258" s="12">
        <v>0</v>
      </c>
      <c r="J258" s="12">
        <v>0</v>
      </c>
      <c r="K258" s="12">
        <v>0</v>
      </c>
      <c r="L258" s="12">
        <v>1</v>
      </c>
      <c r="M258" s="12">
        <v>1</v>
      </c>
      <c r="N258" s="12">
        <v>0</v>
      </c>
      <c r="O258" s="12">
        <v>0</v>
      </c>
      <c r="P258" s="12">
        <v>1</v>
      </c>
      <c r="Q258" s="12">
        <v>1</v>
      </c>
      <c r="R258" s="12">
        <v>1</v>
      </c>
      <c r="S258" s="12">
        <v>0</v>
      </c>
      <c r="T258" s="12">
        <v>0</v>
      </c>
      <c r="U258" s="12">
        <v>0</v>
      </c>
      <c r="V258" s="12">
        <v>0</v>
      </c>
      <c r="W258" s="12">
        <v>1</v>
      </c>
      <c r="X258" s="22">
        <v>0</v>
      </c>
      <c r="Y258" s="21">
        <v>20000</v>
      </c>
      <c r="Z258" s="1" t="s">
        <v>456</v>
      </c>
    </row>
    <row r="259" spans="3:26" s="1" customFormat="1" ht="20.100000000000001" customHeight="1" x14ac:dyDescent="0.35">
      <c r="C259" s="32">
        <v>4000107</v>
      </c>
      <c r="D259" s="32" t="s">
        <v>457</v>
      </c>
      <c r="E259" s="12">
        <v>4</v>
      </c>
      <c r="F259" s="32">
        <v>10045108</v>
      </c>
      <c r="G259" s="14">
        <v>0</v>
      </c>
      <c r="H259" s="12">
        <v>40</v>
      </c>
      <c r="I259" s="12">
        <v>0</v>
      </c>
      <c r="J259" s="12">
        <v>0</v>
      </c>
      <c r="K259" s="12">
        <v>0</v>
      </c>
      <c r="L259" s="12">
        <v>1</v>
      </c>
      <c r="M259" s="12">
        <v>1</v>
      </c>
      <c r="N259" s="12">
        <v>0</v>
      </c>
      <c r="O259" s="12">
        <v>0</v>
      </c>
      <c r="P259" s="12">
        <v>1</v>
      </c>
      <c r="Q259" s="12">
        <v>1</v>
      </c>
      <c r="R259" s="12">
        <v>1</v>
      </c>
      <c r="S259" s="12">
        <v>0</v>
      </c>
      <c r="T259" s="12">
        <v>0</v>
      </c>
      <c r="U259" s="12">
        <v>0</v>
      </c>
      <c r="V259" s="12">
        <v>0</v>
      </c>
      <c r="W259" s="12">
        <v>1</v>
      </c>
      <c r="X259" s="22">
        <v>0</v>
      </c>
      <c r="Y259" s="21">
        <v>30000</v>
      </c>
      <c r="Z259" s="1" t="s">
        <v>458</v>
      </c>
    </row>
    <row r="260" spans="3:26" s="1" customFormat="1" ht="20.100000000000001" customHeight="1" x14ac:dyDescent="0.35">
      <c r="C260" s="32">
        <v>4000108</v>
      </c>
      <c r="D260" s="32" t="s">
        <v>459</v>
      </c>
      <c r="E260" s="12">
        <v>4</v>
      </c>
      <c r="F260" s="32">
        <v>10045109</v>
      </c>
      <c r="G260" s="14">
        <v>0</v>
      </c>
      <c r="H260" s="12">
        <v>50</v>
      </c>
      <c r="I260" s="12">
        <v>0</v>
      </c>
      <c r="J260" s="12">
        <v>0</v>
      </c>
      <c r="K260" s="12">
        <v>0</v>
      </c>
      <c r="L260" s="12">
        <v>1</v>
      </c>
      <c r="M260" s="12">
        <v>1</v>
      </c>
      <c r="N260" s="12">
        <v>0</v>
      </c>
      <c r="O260" s="12">
        <v>0</v>
      </c>
      <c r="P260" s="12">
        <v>1</v>
      </c>
      <c r="Q260" s="12">
        <v>1</v>
      </c>
      <c r="R260" s="12">
        <v>1</v>
      </c>
      <c r="S260" s="12">
        <v>0</v>
      </c>
      <c r="T260" s="12">
        <v>0</v>
      </c>
      <c r="U260" s="12">
        <v>0</v>
      </c>
      <c r="V260" s="12">
        <v>0</v>
      </c>
      <c r="W260" s="12">
        <v>1</v>
      </c>
      <c r="X260" s="22">
        <v>0</v>
      </c>
      <c r="Y260" s="21">
        <v>40000</v>
      </c>
      <c r="Z260" s="1" t="s">
        <v>460</v>
      </c>
    </row>
    <row r="261" spans="3:26" s="1" customFormat="1" ht="20.100000000000001" customHeight="1" x14ac:dyDescent="0.35">
      <c r="C261" s="32">
        <v>4000109</v>
      </c>
      <c r="D261" s="32" t="s">
        <v>461</v>
      </c>
      <c r="E261" s="12">
        <v>4</v>
      </c>
      <c r="F261" s="32">
        <v>10045110</v>
      </c>
      <c r="G261" s="14">
        <v>0</v>
      </c>
      <c r="H261" s="12">
        <v>50</v>
      </c>
      <c r="I261" s="12">
        <v>0</v>
      </c>
      <c r="J261" s="12">
        <v>0</v>
      </c>
      <c r="K261" s="12">
        <v>0</v>
      </c>
      <c r="L261" s="12">
        <v>1</v>
      </c>
      <c r="M261" s="12">
        <v>1</v>
      </c>
      <c r="N261" s="12">
        <v>0</v>
      </c>
      <c r="O261" s="12">
        <v>0</v>
      </c>
      <c r="P261" s="12">
        <v>1</v>
      </c>
      <c r="Q261" s="12">
        <v>1</v>
      </c>
      <c r="R261" s="12">
        <v>1</v>
      </c>
      <c r="S261" s="12">
        <v>0</v>
      </c>
      <c r="T261" s="12">
        <v>0</v>
      </c>
      <c r="U261" s="12">
        <v>0</v>
      </c>
      <c r="V261" s="12">
        <v>0</v>
      </c>
      <c r="W261" s="12">
        <v>1</v>
      </c>
      <c r="X261" s="22">
        <v>0</v>
      </c>
      <c r="Y261" s="21">
        <v>50000</v>
      </c>
      <c r="Z261" s="1" t="s">
        <v>462</v>
      </c>
    </row>
    <row r="262" spans="3:26" s="3" customFormat="1" ht="20.100000000000001" customHeight="1" x14ac:dyDescent="0.35">
      <c r="C262" s="32">
        <v>4000110</v>
      </c>
      <c r="D262" s="33" t="s">
        <v>463</v>
      </c>
      <c r="E262" s="34">
        <v>4</v>
      </c>
      <c r="F262" s="32">
        <v>10045111</v>
      </c>
      <c r="G262" s="35">
        <v>0</v>
      </c>
      <c r="H262" s="34">
        <v>50</v>
      </c>
      <c r="I262" s="34">
        <v>0</v>
      </c>
      <c r="J262" s="34">
        <v>0</v>
      </c>
      <c r="K262" s="34">
        <v>0</v>
      </c>
      <c r="L262" s="34">
        <v>1</v>
      </c>
      <c r="M262" s="34">
        <v>1</v>
      </c>
      <c r="N262" s="34">
        <v>0</v>
      </c>
      <c r="O262" s="34">
        <v>0</v>
      </c>
      <c r="P262" s="34">
        <v>1</v>
      </c>
      <c r="Q262" s="34">
        <v>1</v>
      </c>
      <c r="R262" s="34">
        <v>1</v>
      </c>
      <c r="S262" s="34">
        <v>0</v>
      </c>
      <c r="T262" s="34">
        <v>0</v>
      </c>
      <c r="U262" s="34">
        <v>0</v>
      </c>
      <c r="V262" s="34">
        <v>0</v>
      </c>
      <c r="W262" s="34">
        <v>1</v>
      </c>
      <c r="X262" s="37">
        <v>0</v>
      </c>
      <c r="Y262" s="38">
        <v>100000</v>
      </c>
      <c r="Z262" s="3" t="s">
        <v>464</v>
      </c>
    </row>
    <row r="263" spans="3:26" s="3" customFormat="1" ht="20.100000000000001" customHeight="1" x14ac:dyDescent="0.35">
      <c r="C263" s="32">
        <v>4000111</v>
      </c>
      <c r="D263" s="33" t="s">
        <v>465</v>
      </c>
      <c r="E263" s="34">
        <v>4</v>
      </c>
      <c r="F263" s="32">
        <v>10045112</v>
      </c>
      <c r="G263" s="35">
        <v>0</v>
      </c>
      <c r="H263" s="34">
        <v>50</v>
      </c>
      <c r="I263" s="34">
        <v>0</v>
      </c>
      <c r="J263" s="34">
        <v>0</v>
      </c>
      <c r="K263" s="34">
        <v>0</v>
      </c>
      <c r="L263" s="34">
        <v>1</v>
      </c>
      <c r="M263" s="34">
        <v>1</v>
      </c>
      <c r="N263" s="34">
        <v>0</v>
      </c>
      <c r="O263" s="34">
        <v>0</v>
      </c>
      <c r="P263" s="34">
        <v>1</v>
      </c>
      <c r="Q263" s="34">
        <v>1</v>
      </c>
      <c r="R263" s="34">
        <v>1</v>
      </c>
      <c r="S263" s="34">
        <v>0</v>
      </c>
      <c r="T263" s="34">
        <v>0</v>
      </c>
      <c r="U263" s="34">
        <v>0</v>
      </c>
      <c r="V263" s="34">
        <v>0</v>
      </c>
      <c r="W263" s="34">
        <v>1</v>
      </c>
      <c r="X263" s="37">
        <v>0</v>
      </c>
      <c r="Y263" s="38">
        <v>200000</v>
      </c>
      <c r="Z263" s="3" t="s">
        <v>466</v>
      </c>
    </row>
    <row r="264" spans="3:26" s="3" customFormat="1" ht="20.100000000000001" customHeight="1" x14ac:dyDescent="0.35">
      <c r="C264" s="32">
        <v>4000112</v>
      </c>
      <c r="D264" s="33" t="s">
        <v>467</v>
      </c>
      <c r="E264" s="34">
        <v>4</v>
      </c>
      <c r="F264" s="32">
        <v>10045113</v>
      </c>
      <c r="G264" s="35">
        <v>0</v>
      </c>
      <c r="H264" s="34">
        <v>50</v>
      </c>
      <c r="I264" s="34">
        <v>0</v>
      </c>
      <c r="J264" s="34">
        <v>0</v>
      </c>
      <c r="K264" s="34">
        <v>0</v>
      </c>
      <c r="L264" s="34">
        <v>1</v>
      </c>
      <c r="M264" s="34">
        <v>1</v>
      </c>
      <c r="N264" s="34">
        <v>0</v>
      </c>
      <c r="O264" s="34">
        <v>0</v>
      </c>
      <c r="P264" s="34">
        <v>1</v>
      </c>
      <c r="Q264" s="34">
        <v>1</v>
      </c>
      <c r="R264" s="34">
        <v>1</v>
      </c>
      <c r="S264" s="34">
        <v>0</v>
      </c>
      <c r="T264" s="34">
        <v>0</v>
      </c>
      <c r="U264" s="34">
        <v>0</v>
      </c>
      <c r="V264" s="34">
        <v>0</v>
      </c>
      <c r="W264" s="34">
        <v>1</v>
      </c>
      <c r="X264" s="37">
        <v>0</v>
      </c>
      <c r="Y264" s="38">
        <v>300000</v>
      </c>
      <c r="Z264" s="3" t="s">
        <v>468</v>
      </c>
    </row>
    <row r="265" spans="3:26" s="3" customFormat="1" ht="20.100000000000001" customHeight="1" x14ac:dyDescent="0.35">
      <c r="C265" s="32">
        <v>4000113</v>
      </c>
      <c r="D265" s="33" t="s">
        <v>904</v>
      </c>
      <c r="E265" s="34">
        <v>4</v>
      </c>
      <c r="F265" s="32">
        <v>10045114</v>
      </c>
      <c r="G265" s="35">
        <v>0</v>
      </c>
      <c r="H265" s="34">
        <v>60</v>
      </c>
      <c r="I265" s="34">
        <v>0</v>
      </c>
      <c r="J265" s="34">
        <v>0</v>
      </c>
      <c r="K265" s="34">
        <v>0</v>
      </c>
      <c r="L265" s="34">
        <v>1</v>
      </c>
      <c r="M265" s="34">
        <v>1</v>
      </c>
      <c r="N265" s="34">
        <v>0</v>
      </c>
      <c r="O265" s="34">
        <v>0</v>
      </c>
      <c r="P265" s="34">
        <v>1</v>
      </c>
      <c r="Q265" s="34">
        <v>1</v>
      </c>
      <c r="R265" s="34">
        <v>1</v>
      </c>
      <c r="S265" s="34">
        <v>0</v>
      </c>
      <c r="T265" s="34">
        <v>0</v>
      </c>
      <c r="U265" s="34">
        <v>0</v>
      </c>
      <c r="V265" s="34">
        <v>0</v>
      </c>
      <c r="W265" s="34">
        <v>1</v>
      </c>
      <c r="X265" s="37">
        <v>0</v>
      </c>
      <c r="Y265" s="38">
        <v>400000</v>
      </c>
      <c r="Z265" s="3" t="s">
        <v>906</v>
      </c>
    </row>
    <row r="266" spans="3:26" s="3" customFormat="1" ht="20.100000000000001" customHeight="1" x14ac:dyDescent="0.35">
      <c r="C266" s="32">
        <v>4000114</v>
      </c>
      <c r="D266" s="33" t="s">
        <v>905</v>
      </c>
      <c r="E266" s="34">
        <v>4</v>
      </c>
      <c r="F266" s="32">
        <v>10045115</v>
      </c>
      <c r="G266" s="35">
        <v>0</v>
      </c>
      <c r="H266" s="34">
        <v>60</v>
      </c>
      <c r="I266" s="34">
        <v>0</v>
      </c>
      <c r="J266" s="34">
        <v>0</v>
      </c>
      <c r="K266" s="34">
        <v>0</v>
      </c>
      <c r="L266" s="34">
        <v>1</v>
      </c>
      <c r="M266" s="34">
        <v>1</v>
      </c>
      <c r="N266" s="34">
        <v>0</v>
      </c>
      <c r="O266" s="34">
        <v>0</v>
      </c>
      <c r="P266" s="34">
        <v>1</v>
      </c>
      <c r="Q266" s="34">
        <v>1</v>
      </c>
      <c r="R266" s="34">
        <v>1</v>
      </c>
      <c r="S266" s="34">
        <v>0</v>
      </c>
      <c r="T266" s="34">
        <v>0</v>
      </c>
      <c r="U266" s="34">
        <v>0</v>
      </c>
      <c r="V266" s="34">
        <v>0</v>
      </c>
      <c r="W266" s="34">
        <v>1</v>
      </c>
      <c r="X266" s="37">
        <v>0</v>
      </c>
      <c r="Y266" s="38">
        <v>500000</v>
      </c>
      <c r="Z266" s="3" t="s">
        <v>907</v>
      </c>
    </row>
    <row r="267" spans="3:26" s="1" customFormat="1" ht="20.100000000000001" customHeight="1" x14ac:dyDescent="0.35">
      <c r="C267" s="32">
        <v>4000201</v>
      </c>
      <c r="D267" s="32" t="s">
        <v>469</v>
      </c>
      <c r="E267" s="12">
        <v>4</v>
      </c>
      <c r="F267" s="32">
        <v>10045202</v>
      </c>
      <c r="G267" s="14">
        <v>0</v>
      </c>
      <c r="H267" s="12">
        <v>1</v>
      </c>
      <c r="I267" s="12">
        <v>0</v>
      </c>
      <c r="J267" s="12">
        <v>0</v>
      </c>
      <c r="K267" s="12">
        <v>0</v>
      </c>
      <c r="L267" s="12">
        <v>1</v>
      </c>
      <c r="M267" s="12">
        <v>1</v>
      </c>
      <c r="N267" s="12">
        <v>0</v>
      </c>
      <c r="O267" s="12">
        <v>0</v>
      </c>
      <c r="P267" s="12">
        <v>1</v>
      </c>
      <c r="Q267" s="12">
        <v>1</v>
      </c>
      <c r="R267" s="12">
        <v>1</v>
      </c>
      <c r="S267" s="12">
        <v>0</v>
      </c>
      <c r="T267" s="12">
        <v>0</v>
      </c>
      <c r="U267" s="12">
        <v>0</v>
      </c>
      <c r="V267" s="12">
        <v>0</v>
      </c>
      <c r="W267" s="12">
        <v>1</v>
      </c>
      <c r="X267" s="22">
        <v>0</v>
      </c>
      <c r="Y267" s="21">
        <v>2500</v>
      </c>
      <c r="Z267" s="1" t="s">
        <v>470</v>
      </c>
    </row>
    <row r="268" spans="3:26" s="1" customFormat="1" ht="20.100000000000001" customHeight="1" x14ac:dyDescent="0.35">
      <c r="C268" s="32">
        <v>4000202</v>
      </c>
      <c r="D268" s="32" t="s">
        <v>471</v>
      </c>
      <c r="E268" s="12">
        <v>4</v>
      </c>
      <c r="F268" s="32">
        <v>10045203</v>
      </c>
      <c r="G268" s="14">
        <v>0</v>
      </c>
      <c r="H268" s="12">
        <v>1</v>
      </c>
      <c r="I268" s="12">
        <v>0</v>
      </c>
      <c r="J268" s="12">
        <v>0</v>
      </c>
      <c r="K268" s="12">
        <v>0</v>
      </c>
      <c r="L268" s="12">
        <v>1</v>
      </c>
      <c r="M268" s="12">
        <v>1</v>
      </c>
      <c r="N268" s="12">
        <v>0</v>
      </c>
      <c r="O268" s="12">
        <v>0</v>
      </c>
      <c r="P268" s="12">
        <v>1</v>
      </c>
      <c r="Q268" s="12">
        <v>1</v>
      </c>
      <c r="R268" s="12">
        <v>1</v>
      </c>
      <c r="S268" s="12">
        <v>0</v>
      </c>
      <c r="T268" s="12">
        <v>0</v>
      </c>
      <c r="U268" s="12">
        <v>0</v>
      </c>
      <c r="V268" s="12">
        <v>0</v>
      </c>
      <c r="W268" s="12">
        <v>1</v>
      </c>
      <c r="X268" s="22">
        <v>0</v>
      </c>
      <c r="Y268" s="21">
        <v>3500</v>
      </c>
      <c r="Z268" s="1" t="s">
        <v>472</v>
      </c>
    </row>
    <row r="269" spans="3:26" s="1" customFormat="1" ht="20.100000000000001" customHeight="1" x14ac:dyDescent="0.35">
      <c r="C269" s="32">
        <v>4000203</v>
      </c>
      <c r="D269" s="32" t="s">
        <v>473</v>
      </c>
      <c r="E269" s="12">
        <v>4</v>
      </c>
      <c r="F269" s="32">
        <v>10045204</v>
      </c>
      <c r="G269" s="14">
        <v>0</v>
      </c>
      <c r="H269" s="12">
        <v>10</v>
      </c>
      <c r="I269" s="12">
        <v>0</v>
      </c>
      <c r="J269" s="12">
        <v>0</v>
      </c>
      <c r="K269" s="12">
        <v>0</v>
      </c>
      <c r="L269" s="12">
        <v>1</v>
      </c>
      <c r="M269" s="12">
        <v>1</v>
      </c>
      <c r="N269" s="12">
        <v>0</v>
      </c>
      <c r="O269" s="12">
        <v>0</v>
      </c>
      <c r="P269" s="12">
        <v>1</v>
      </c>
      <c r="Q269" s="12">
        <v>1</v>
      </c>
      <c r="R269" s="12">
        <v>1</v>
      </c>
      <c r="S269" s="12">
        <v>0</v>
      </c>
      <c r="T269" s="12">
        <v>0</v>
      </c>
      <c r="U269" s="12">
        <v>0</v>
      </c>
      <c r="V269" s="12">
        <v>0</v>
      </c>
      <c r="W269" s="12">
        <v>1</v>
      </c>
      <c r="X269" s="22">
        <v>0</v>
      </c>
      <c r="Y269" s="21">
        <v>5000</v>
      </c>
      <c r="Z269" s="1" t="s">
        <v>474</v>
      </c>
    </row>
    <row r="270" spans="3:26" s="1" customFormat="1" ht="20.100000000000001" customHeight="1" x14ac:dyDescent="0.35">
      <c r="C270" s="32">
        <v>4000204</v>
      </c>
      <c r="D270" s="32" t="s">
        <v>475</v>
      </c>
      <c r="E270" s="12">
        <v>4</v>
      </c>
      <c r="F270" s="32">
        <v>10045205</v>
      </c>
      <c r="G270" s="14">
        <v>0</v>
      </c>
      <c r="H270" s="12">
        <v>15</v>
      </c>
      <c r="I270" s="12">
        <v>0</v>
      </c>
      <c r="J270" s="12">
        <v>0</v>
      </c>
      <c r="K270" s="12">
        <v>0</v>
      </c>
      <c r="L270" s="12">
        <v>1</v>
      </c>
      <c r="M270" s="12">
        <v>1</v>
      </c>
      <c r="N270" s="12">
        <v>0</v>
      </c>
      <c r="O270" s="12">
        <v>0</v>
      </c>
      <c r="P270" s="12">
        <v>1</v>
      </c>
      <c r="Q270" s="12">
        <v>1</v>
      </c>
      <c r="R270" s="12">
        <v>1</v>
      </c>
      <c r="S270" s="12">
        <v>0</v>
      </c>
      <c r="T270" s="12">
        <v>0</v>
      </c>
      <c r="U270" s="12">
        <v>0</v>
      </c>
      <c r="V270" s="12">
        <v>0</v>
      </c>
      <c r="W270" s="12">
        <v>1</v>
      </c>
      <c r="X270" s="22">
        <v>0</v>
      </c>
      <c r="Y270" s="21">
        <v>7500</v>
      </c>
      <c r="Z270" s="1" t="s">
        <v>476</v>
      </c>
    </row>
    <row r="271" spans="3:26" s="1" customFormat="1" ht="20.100000000000001" customHeight="1" x14ac:dyDescent="0.35">
      <c r="C271" s="32">
        <v>4000205</v>
      </c>
      <c r="D271" s="32" t="s">
        <v>477</v>
      </c>
      <c r="E271" s="12">
        <v>4</v>
      </c>
      <c r="F271" s="32">
        <v>10045206</v>
      </c>
      <c r="G271" s="14">
        <v>0</v>
      </c>
      <c r="H271" s="12">
        <v>20</v>
      </c>
      <c r="I271" s="12">
        <v>0</v>
      </c>
      <c r="J271" s="12">
        <v>0</v>
      </c>
      <c r="K271" s="12">
        <v>0</v>
      </c>
      <c r="L271" s="12">
        <v>1</v>
      </c>
      <c r="M271" s="12">
        <v>1</v>
      </c>
      <c r="N271" s="12">
        <v>0</v>
      </c>
      <c r="O271" s="12">
        <v>0</v>
      </c>
      <c r="P271" s="12">
        <v>1</v>
      </c>
      <c r="Q271" s="12">
        <v>1</v>
      </c>
      <c r="R271" s="12">
        <v>1</v>
      </c>
      <c r="S271" s="12">
        <v>0</v>
      </c>
      <c r="T271" s="12">
        <v>0</v>
      </c>
      <c r="U271" s="12">
        <v>0</v>
      </c>
      <c r="V271" s="12">
        <v>0</v>
      </c>
      <c r="W271" s="12">
        <v>1</v>
      </c>
      <c r="X271" s="22">
        <v>0</v>
      </c>
      <c r="Y271" s="21">
        <v>10000</v>
      </c>
      <c r="Z271" s="1" t="s">
        <v>478</v>
      </c>
    </row>
    <row r="272" spans="3:26" s="1" customFormat="1" ht="20.100000000000001" customHeight="1" x14ac:dyDescent="0.35">
      <c r="C272" s="32">
        <v>4000206</v>
      </c>
      <c r="D272" s="32" t="s">
        <v>479</v>
      </c>
      <c r="E272" s="12">
        <v>4</v>
      </c>
      <c r="F272" s="32">
        <v>10045207</v>
      </c>
      <c r="G272" s="14">
        <v>0</v>
      </c>
      <c r="H272" s="12">
        <v>30</v>
      </c>
      <c r="I272" s="12">
        <v>0</v>
      </c>
      <c r="J272" s="12">
        <v>0</v>
      </c>
      <c r="K272" s="12">
        <v>0</v>
      </c>
      <c r="L272" s="12">
        <v>1</v>
      </c>
      <c r="M272" s="12">
        <v>1</v>
      </c>
      <c r="N272" s="12">
        <v>0</v>
      </c>
      <c r="O272" s="12">
        <v>0</v>
      </c>
      <c r="P272" s="12">
        <v>1</v>
      </c>
      <c r="Q272" s="12">
        <v>1</v>
      </c>
      <c r="R272" s="12">
        <v>1</v>
      </c>
      <c r="S272" s="12">
        <v>0</v>
      </c>
      <c r="T272" s="12">
        <v>0</v>
      </c>
      <c r="U272" s="12">
        <v>0</v>
      </c>
      <c r="V272" s="12">
        <v>0</v>
      </c>
      <c r="W272" s="12">
        <v>1</v>
      </c>
      <c r="X272" s="22">
        <v>0</v>
      </c>
      <c r="Y272" s="21">
        <v>20000</v>
      </c>
      <c r="Z272" s="1" t="s">
        <v>480</v>
      </c>
    </row>
    <row r="273" spans="3:26" ht="20.100000000000001" customHeight="1" x14ac:dyDescent="0.35">
      <c r="C273" s="32">
        <v>4000207</v>
      </c>
      <c r="D273" s="32" t="s">
        <v>481</v>
      </c>
      <c r="E273" s="12">
        <v>4</v>
      </c>
      <c r="F273" s="32">
        <v>10045208</v>
      </c>
      <c r="G273" s="14">
        <v>0</v>
      </c>
      <c r="H273" s="12">
        <v>40</v>
      </c>
      <c r="I273" s="12">
        <v>0</v>
      </c>
      <c r="J273" s="12">
        <v>0</v>
      </c>
      <c r="K273" s="12">
        <v>0</v>
      </c>
      <c r="L273" s="12">
        <v>1</v>
      </c>
      <c r="M273" s="12">
        <v>1</v>
      </c>
      <c r="N273" s="12">
        <v>0</v>
      </c>
      <c r="O273" s="12">
        <v>0</v>
      </c>
      <c r="P273" s="12">
        <v>1</v>
      </c>
      <c r="Q273" s="12">
        <v>1</v>
      </c>
      <c r="R273" s="12">
        <v>1</v>
      </c>
      <c r="S273" s="12">
        <v>0</v>
      </c>
      <c r="T273" s="12">
        <v>0</v>
      </c>
      <c r="U273" s="12">
        <v>0</v>
      </c>
      <c r="V273" s="12">
        <v>0</v>
      </c>
      <c r="W273" s="12">
        <v>1</v>
      </c>
      <c r="X273" s="22">
        <v>0</v>
      </c>
      <c r="Y273" s="21">
        <v>30000</v>
      </c>
      <c r="Z273" s="7" t="s">
        <v>482</v>
      </c>
    </row>
    <row r="274" spans="3:26" ht="20.100000000000001" customHeight="1" x14ac:dyDescent="0.35">
      <c r="C274" s="32">
        <v>4000208</v>
      </c>
      <c r="D274" s="32" t="s">
        <v>483</v>
      </c>
      <c r="E274" s="12">
        <v>4</v>
      </c>
      <c r="F274" s="32">
        <v>10045209</v>
      </c>
      <c r="G274" s="14">
        <v>0</v>
      </c>
      <c r="H274" s="12">
        <v>50</v>
      </c>
      <c r="I274" s="12">
        <v>0</v>
      </c>
      <c r="J274" s="12">
        <v>0</v>
      </c>
      <c r="K274" s="12">
        <v>0</v>
      </c>
      <c r="L274" s="12">
        <v>1</v>
      </c>
      <c r="M274" s="12">
        <v>1</v>
      </c>
      <c r="N274" s="12">
        <v>0</v>
      </c>
      <c r="O274" s="12">
        <v>0</v>
      </c>
      <c r="P274" s="12">
        <v>1</v>
      </c>
      <c r="Q274" s="12">
        <v>1</v>
      </c>
      <c r="R274" s="12">
        <v>1</v>
      </c>
      <c r="S274" s="12">
        <v>0</v>
      </c>
      <c r="T274" s="12">
        <v>0</v>
      </c>
      <c r="U274" s="12">
        <v>0</v>
      </c>
      <c r="V274" s="12">
        <v>0</v>
      </c>
      <c r="W274" s="12">
        <v>1</v>
      </c>
      <c r="X274" s="22">
        <v>0</v>
      </c>
      <c r="Y274" s="21">
        <v>40000</v>
      </c>
      <c r="Z274" s="7" t="s">
        <v>484</v>
      </c>
    </row>
    <row r="275" spans="3:26" ht="20.100000000000001" customHeight="1" x14ac:dyDescent="0.35">
      <c r="C275" s="32">
        <v>4000209</v>
      </c>
      <c r="D275" s="32" t="s">
        <v>485</v>
      </c>
      <c r="E275" s="12">
        <v>4</v>
      </c>
      <c r="F275" s="32">
        <v>10045210</v>
      </c>
      <c r="G275" s="14">
        <v>0</v>
      </c>
      <c r="H275" s="12">
        <v>50</v>
      </c>
      <c r="I275" s="12">
        <v>0</v>
      </c>
      <c r="J275" s="12">
        <v>0</v>
      </c>
      <c r="K275" s="12">
        <v>0</v>
      </c>
      <c r="L275" s="12">
        <v>1</v>
      </c>
      <c r="M275" s="12">
        <v>1</v>
      </c>
      <c r="N275" s="12">
        <v>0</v>
      </c>
      <c r="O275" s="12">
        <v>0</v>
      </c>
      <c r="P275" s="12">
        <v>1</v>
      </c>
      <c r="Q275" s="12">
        <v>1</v>
      </c>
      <c r="R275" s="12">
        <v>1</v>
      </c>
      <c r="S275" s="12">
        <v>0</v>
      </c>
      <c r="T275" s="12">
        <v>0</v>
      </c>
      <c r="U275" s="12">
        <v>0</v>
      </c>
      <c r="V275" s="12">
        <v>0</v>
      </c>
      <c r="W275" s="12">
        <v>1</v>
      </c>
      <c r="X275" s="22">
        <v>0</v>
      </c>
      <c r="Y275" s="21">
        <v>50000</v>
      </c>
      <c r="Z275" s="7" t="s">
        <v>486</v>
      </c>
    </row>
    <row r="276" spans="3:26" s="4" customFormat="1" ht="20.100000000000001" customHeight="1" x14ac:dyDescent="0.35">
      <c r="C276" s="32">
        <v>4000210</v>
      </c>
      <c r="D276" s="33" t="s">
        <v>487</v>
      </c>
      <c r="E276" s="34">
        <v>4</v>
      </c>
      <c r="F276" s="32">
        <v>10045211</v>
      </c>
      <c r="G276" s="35">
        <v>0</v>
      </c>
      <c r="H276" s="34">
        <v>50</v>
      </c>
      <c r="I276" s="34">
        <v>0</v>
      </c>
      <c r="J276" s="34">
        <v>0</v>
      </c>
      <c r="K276" s="34">
        <v>0</v>
      </c>
      <c r="L276" s="34">
        <v>1</v>
      </c>
      <c r="M276" s="34">
        <v>1</v>
      </c>
      <c r="N276" s="34">
        <v>0</v>
      </c>
      <c r="O276" s="34">
        <v>0</v>
      </c>
      <c r="P276" s="34">
        <v>1</v>
      </c>
      <c r="Q276" s="34">
        <v>1</v>
      </c>
      <c r="R276" s="34">
        <v>1</v>
      </c>
      <c r="S276" s="34">
        <v>0</v>
      </c>
      <c r="T276" s="34">
        <v>0</v>
      </c>
      <c r="U276" s="34">
        <v>0</v>
      </c>
      <c r="V276" s="34">
        <v>0</v>
      </c>
      <c r="W276" s="34">
        <v>1</v>
      </c>
      <c r="X276" s="37">
        <v>0</v>
      </c>
      <c r="Y276" s="38">
        <v>100000</v>
      </c>
      <c r="Z276" s="4" t="s">
        <v>488</v>
      </c>
    </row>
    <row r="277" spans="3:26" s="4" customFormat="1" ht="20.100000000000001" customHeight="1" x14ac:dyDescent="0.35">
      <c r="C277" s="32">
        <v>4000211</v>
      </c>
      <c r="D277" s="33" t="s">
        <v>489</v>
      </c>
      <c r="E277" s="34">
        <v>4</v>
      </c>
      <c r="F277" s="32">
        <v>10045212</v>
      </c>
      <c r="G277" s="35">
        <v>0</v>
      </c>
      <c r="H277" s="34">
        <v>50</v>
      </c>
      <c r="I277" s="34">
        <v>0</v>
      </c>
      <c r="J277" s="34">
        <v>0</v>
      </c>
      <c r="K277" s="34">
        <v>0</v>
      </c>
      <c r="L277" s="34">
        <v>1</v>
      </c>
      <c r="M277" s="34">
        <v>1</v>
      </c>
      <c r="N277" s="34">
        <v>0</v>
      </c>
      <c r="O277" s="34">
        <v>0</v>
      </c>
      <c r="P277" s="34">
        <v>1</v>
      </c>
      <c r="Q277" s="34">
        <v>1</v>
      </c>
      <c r="R277" s="34">
        <v>1</v>
      </c>
      <c r="S277" s="34">
        <v>0</v>
      </c>
      <c r="T277" s="34">
        <v>0</v>
      </c>
      <c r="U277" s="34">
        <v>0</v>
      </c>
      <c r="V277" s="34">
        <v>0</v>
      </c>
      <c r="W277" s="34">
        <v>1</v>
      </c>
      <c r="X277" s="37">
        <v>0</v>
      </c>
      <c r="Y277" s="38">
        <v>200000</v>
      </c>
      <c r="Z277" s="4" t="s">
        <v>490</v>
      </c>
    </row>
    <row r="278" spans="3:26" s="4" customFormat="1" ht="20.100000000000001" customHeight="1" x14ac:dyDescent="0.35">
      <c r="C278" s="32">
        <v>4000212</v>
      </c>
      <c r="D278" s="33" t="s">
        <v>491</v>
      </c>
      <c r="E278" s="34">
        <v>4</v>
      </c>
      <c r="F278" s="32">
        <v>10045213</v>
      </c>
      <c r="G278" s="35">
        <v>0</v>
      </c>
      <c r="H278" s="34">
        <v>50</v>
      </c>
      <c r="I278" s="34">
        <v>0</v>
      </c>
      <c r="J278" s="34">
        <v>0</v>
      </c>
      <c r="K278" s="34">
        <v>0</v>
      </c>
      <c r="L278" s="34">
        <v>1</v>
      </c>
      <c r="M278" s="34">
        <v>1</v>
      </c>
      <c r="N278" s="34">
        <v>0</v>
      </c>
      <c r="O278" s="34">
        <v>0</v>
      </c>
      <c r="P278" s="34">
        <v>1</v>
      </c>
      <c r="Q278" s="34">
        <v>1</v>
      </c>
      <c r="R278" s="34">
        <v>1</v>
      </c>
      <c r="S278" s="34">
        <v>0</v>
      </c>
      <c r="T278" s="34">
        <v>0</v>
      </c>
      <c r="U278" s="34">
        <v>0</v>
      </c>
      <c r="V278" s="34">
        <v>0</v>
      </c>
      <c r="W278" s="34">
        <v>1</v>
      </c>
      <c r="X278" s="37">
        <v>0</v>
      </c>
      <c r="Y278" s="38">
        <v>300000</v>
      </c>
      <c r="Z278" s="4" t="s">
        <v>492</v>
      </c>
    </row>
    <row r="279" spans="3:26" s="4" customFormat="1" ht="20.100000000000001" customHeight="1" x14ac:dyDescent="0.35">
      <c r="C279" s="32">
        <v>4000213</v>
      </c>
      <c r="D279" s="33" t="s">
        <v>908</v>
      </c>
      <c r="E279" s="34">
        <v>4</v>
      </c>
      <c r="F279" s="32">
        <v>10045214</v>
      </c>
      <c r="G279" s="35">
        <v>0</v>
      </c>
      <c r="H279" s="34">
        <v>60</v>
      </c>
      <c r="I279" s="34">
        <v>0</v>
      </c>
      <c r="J279" s="34">
        <v>0</v>
      </c>
      <c r="K279" s="34">
        <v>0</v>
      </c>
      <c r="L279" s="34">
        <v>1</v>
      </c>
      <c r="M279" s="34">
        <v>1</v>
      </c>
      <c r="N279" s="34">
        <v>0</v>
      </c>
      <c r="O279" s="34">
        <v>0</v>
      </c>
      <c r="P279" s="34">
        <v>1</v>
      </c>
      <c r="Q279" s="34">
        <v>1</v>
      </c>
      <c r="R279" s="34">
        <v>1</v>
      </c>
      <c r="S279" s="34">
        <v>0</v>
      </c>
      <c r="T279" s="34">
        <v>0</v>
      </c>
      <c r="U279" s="34">
        <v>0</v>
      </c>
      <c r="V279" s="34">
        <v>0</v>
      </c>
      <c r="W279" s="34">
        <v>1</v>
      </c>
      <c r="X279" s="37">
        <v>0</v>
      </c>
      <c r="Y279" s="38">
        <v>400000</v>
      </c>
      <c r="Z279" s="4" t="s">
        <v>910</v>
      </c>
    </row>
    <row r="280" spans="3:26" s="4" customFormat="1" ht="20.100000000000001" customHeight="1" x14ac:dyDescent="0.35">
      <c r="C280" s="32">
        <v>4000214</v>
      </c>
      <c r="D280" s="33" t="s">
        <v>909</v>
      </c>
      <c r="E280" s="34">
        <v>4</v>
      </c>
      <c r="F280" s="32">
        <v>10045215</v>
      </c>
      <c r="G280" s="35">
        <v>0</v>
      </c>
      <c r="H280" s="34">
        <v>60</v>
      </c>
      <c r="I280" s="34">
        <v>0</v>
      </c>
      <c r="J280" s="34">
        <v>0</v>
      </c>
      <c r="K280" s="34">
        <v>0</v>
      </c>
      <c r="L280" s="34">
        <v>1</v>
      </c>
      <c r="M280" s="34">
        <v>1</v>
      </c>
      <c r="N280" s="34">
        <v>0</v>
      </c>
      <c r="O280" s="34">
        <v>0</v>
      </c>
      <c r="P280" s="34">
        <v>1</v>
      </c>
      <c r="Q280" s="34">
        <v>1</v>
      </c>
      <c r="R280" s="34">
        <v>1</v>
      </c>
      <c r="S280" s="34">
        <v>0</v>
      </c>
      <c r="T280" s="34">
        <v>0</v>
      </c>
      <c r="U280" s="34">
        <v>0</v>
      </c>
      <c r="V280" s="34">
        <v>0</v>
      </c>
      <c r="W280" s="34">
        <v>1</v>
      </c>
      <c r="X280" s="37">
        <v>0</v>
      </c>
      <c r="Y280" s="38">
        <v>500000</v>
      </c>
      <c r="Z280" s="4" t="s">
        <v>911</v>
      </c>
    </row>
    <row r="281" spans="3:26" ht="20.100000000000001" customHeight="1" x14ac:dyDescent="0.35">
      <c r="C281" s="32">
        <v>4000301</v>
      </c>
      <c r="D281" s="32" t="s">
        <v>493</v>
      </c>
      <c r="E281" s="12">
        <v>4</v>
      </c>
      <c r="F281" s="32">
        <v>10045302</v>
      </c>
      <c r="G281" s="14">
        <v>0</v>
      </c>
      <c r="H281" s="12">
        <v>1</v>
      </c>
      <c r="I281" s="12">
        <v>0</v>
      </c>
      <c r="J281" s="12">
        <v>0</v>
      </c>
      <c r="K281" s="12">
        <v>0</v>
      </c>
      <c r="L281" s="12">
        <v>1</v>
      </c>
      <c r="M281" s="12">
        <v>1</v>
      </c>
      <c r="N281" s="12">
        <v>0</v>
      </c>
      <c r="O281" s="12">
        <v>0</v>
      </c>
      <c r="P281" s="12">
        <v>1</v>
      </c>
      <c r="Q281" s="12">
        <v>1</v>
      </c>
      <c r="R281" s="12">
        <v>1</v>
      </c>
      <c r="S281" s="12">
        <v>0</v>
      </c>
      <c r="T281" s="12">
        <v>0</v>
      </c>
      <c r="U281" s="12">
        <v>0</v>
      </c>
      <c r="V281" s="12">
        <v>0</v>
      </c>
      <c r="W281" s="12">
        <v>1</v>
      </c>
      <c r="X281" s="22">
        <v>0</v>
      </c>
      <c r="Y281" s="21">
        <v>2500</v>
      </c>
      <c r="Z281" s="7" t="s">
        <v>494</v>
      </c>
    </row>
    <row r="282" spans="3:26" ht="20.100000000000001" customHeight="1" x14ac:dyDescent="0.35">
      <c r="C282" s="32">
        <v>4000302</v>
      </c>
      <c r="D282" s="32" t="s">
        <v>495</v>
      </c>
      <c r="E282" s="12">
        <v>4</v>
      </c>
      <c r="F282" s="32">
        <v>10045303</v>
      </c>
      <c r="G282" s="14">
        <v>0</v>
      </c>
      <c r="H282" s="12">
        <v>1</v>
      </c>
      <c r="I282" s="12">
        <v>0</v>
      </c>
      <c r="J282" s="12">
        <v>0</v>
      </c>
      <c r="K282" s="12">
        <v>0</v>
      </c>
      <c r="L282" s="12">
        <v>1</v>
      </c>
      <c r="M282" s="12">
        <v>1</v>
      </c>
      <c r="N282" s="12">
        <v>0</v>
      </c>
      <c r="O282" s="12">
        <v>0</v>
      </c>
      <c r="P282" s="12">
        <v>1</v>
      </c>
      <c r="Q282" s="12">
        <v>1</v>
      </c>
      <c r="R282" s="12">
        <v>1</v>
      </c>
      <c r="S282" s="12">
        <v>0</v>
      </c>
      <c r="T282" s="12">
        <v>0</v>
      </c>
      <c r="U282" s="12">
        <v>0</v>
      </c>
      <c r="V282" s="12">
        <v>0</v>
      </c>
      <c r="W282" s="12">
        <v>1</v>
      </c>
      <c r="X282" s="22">
        <v>0</v>
      </c>
      <c r="Y282" s="21">
        <v>3500</v>
      </c>
      <c r="Z282" s="7" t="s">
        <v>496</v>
      </c>
    </row>
    <row r="283" spans="3:26" ht="20.100000000000001" customHeight="1" x14ac:dyDescent="0.35">
      <c r="C283" s="32">
        <v>4000303</v>
      </c>
      <c r="D283" s="32" t="s">
        <v>497</v>
      </c>
      <c r="E283" s="12">
        <v>4</v>
      </c>
      <c r="F283" s="32">
        <v>10045304</v>
      </c>
      <c r="G283" s="14">
        <v>0</v>
      </c>
      <c r="H283" s="12">
        <v>10</v>
      </c>
      <c r="I283" s="12">
        <v>0</v>
      </c>
      <c r="J283" s="12">
        <v>0</v>
      </c>
      <c r="K283" s="12">
        <v>0</v>
      </c>
      <c r="L283" s="12">
        <v>1</v>
      </c>
      <c r="M283" s="12">
        <v>1</v>
      </c>
      <c r="N283" s="12">
        <v>0</v>
      </c>
      <c r="O283" s="12">
        <v>0</v>
      </c>
      <c r="P283" s="12">
        <v>1</v>
      </c>
      <c r="Q283" s="12">
        <v>1</v>
      </c>
      <c r="R283" s="12">
        <v>1</v>
      </c>
      <c r="S283" s="12">
        <v>0</v>
      </c>
      <c r="T283" s="12">
        <v>0</v>
      </c>
      <c r="U283" s="12">
        <v>0</v>
      </c>
      <c r="V283" s="12">
        <v>0</v>
      </c>
      <c r="W283" s="12">
        <v>1</v>
      </c>
      <c r="X283" s="22">
        <v>0</v>
      </c>
      <c r="Y283" s="21">
        <v>5000</v>
      </c>
      <c r="Z283" s="7" t="s">
        <v>498</v>
      </c>
    </row>
    <row r="284" spans="3:26" ht="20.100000000000001" customHeight="1" x14ac:dyDescent="0.35">
      <c r="C284" s="32">
        <v>4000304</v>
      </c>
      <c r="D284" s="32" t="s">
        <v>499</v>
      </c>
      <c r="E284" s="12">
        <v>4</v>
      </c>
      <c r="F284" s="32">
        <v>10045305</v>
      </c>
      <c r="G284" s="14">
        <v>0</v>
      </c>
      <c r="H284" s="12">
        <v>15</v>
      </c>
      <c r="I284" s="12">
        <v>0</v>
      </c>
      <c r="J284" s="12">
        <v>0</v>
      </c>
      <c r="K284" s="12">
        <v>0</v>
      </c>
      <c r="L284" s="12">
        <v>1</v>
      </c>
      <c r="M284" s="12">
        <v>1</v>
      </c>
      <c r="N284" s="12">
        <v>0</v>
      </c>
      <c r="O284" s="12">
        <v>0</v>
      </c>
      <c r="P284" s="12">
        <v>1</v>
      </c>
      <c r="Q284" s="12">
        <v>1</v>
      </c>
      <c r="R284" s="12">
        <v>1</v>
      </c>
      <c r="S284" s="12">
        <v>0</v>
      </c>
      <c r="T284" s="12">
        <v>0</v>
      </c>
      <c r="U284" s="12">
        <v>0</v>
      </c>
      <c r="V284" s="12">
        <v>0</v>
      </c>
      <c r="W284" s="12">
        <v>1</v>
      </c>
      <c r="X284" s="22">
        <v>0</v>
      </c>
      <c r="Y284" s="21">
        <v>7500</v>
      </c>
      <c r="Z284" s="7" t="s">
        <v>500</v>
      </c>
    </row>
    <row r="285" spans="3:26" ht="20.100000000000001" customHeight="1" x14ac:dyDescent="0.35">
      <c r="C285" s="32">
        <v>4000305</v>
      </c>
      <c r="D285" s="32" t="s">
        <v>501</v>
      </c>
      <c r="E285" s="12">
        <v>4</v>
      </c>
      <c r="F285" s="32">
        <v>10045306</v>
      </c>
      <c r="G285" s="14">
        <v>0</v>
      </c>
      <c r="H285" s="12">
        <v>20</v>
      </c>
      <c r="I285" s="12">
        <v>0</v>
      </c>
      <c r="J285" s="12">
        <v>0</v>
      </c>
      <c r="K285" s="12">
        <v>0</v>
      </c>
      <c r="L285" s="12">
        <v>1</v>
      </c>
      <c r="M285" s="12">
        <v>1</v>
      </c>
      <c r="N285" s="12">
        <v>0</v>
      </c>
      <c r="O285" s="12">
        <v>0</v>
      </c>
      <c r="P285" s="12">
        <v>1</v>
      </c>
      <c r="Q285" s="12">
        <v>1</v>
      </c>
      <c r="R285" s="12">
        <v>1</v>
      </c>
      <c r="S285" s="12">
        <v>0</v>
      </c>
      <c r="T285" s="12">
        <v>0</v>
      </c>
      <c r="U285" s="12">
        <v>0</v>
      </c>
      <c r="V285" s="12">
        <v>0</v>
      </c>
      <c r="W285" s="12">
        <v>1</v>
      </c>
      <c r="X285" s="22">
        <v>0</v>
      </c>
      <c r="Y285" s="21">
        <v>10000</v>
      </c>
      <c r="Z285" s="7" t="s">
        <v>502</v>
      </c>
    </row>
    <row r="286" spans="3:26" ht="20.100000000000001" customHeight="1" x14ac:dyDescent="0.35">
      <c r="C286" s="32">
        <v>4000306</v>
      </c>
      <c r="D286" s="32" t="s">
        <v>503</v>
      </c>
      <c r="E286" s="12">
        <v>4</v>
      </c>
      <c r="F286" s="32">
        <v>10045307</v>
      </c>
      <c r="G286" s="14">
        <v>0</v>
      </c>
      <c r="H286" s="12">
        <v>30</v>
      </c>
      <c r="I286" s="12">
        <v>0</v>
      </c>
      <c r="J286" s="12">
        <v>0</v>
      </c>
      <c r="K286" s="12">
        <v>0</v>
      </c>
      <c r="L286" s="12">
        <v>1</v>
      </c>
      <c r="M286" s="12">
        <v>1</v>
      </c>
      <c r="N286" s="12">
        <v>0</v>
      </c>
      <c r="O286" s="12">
        <v>0</v>
      </c>
      <c r="P286" s="12">
        <v>1</v>
      </c>
      <c r="Q286" s="12">
        <v>1</v>
      </c>
      <c r="R286" s="12">
        <v>1</v>
      </c>
      <c r="S286" s="12">
        <v>0</v>
      </c>
      <c r="T286" s="12">
        <v>0</v>
      </c>
      <c r="U286" s="12">
        <v>0</v>
      </c>
      <c r="V286" s="12">
        <v>0</v>
      </c>
      <c r="W286" s="12">
        <v>1</v>
      </c>
      <c r="X286" s="22">
        <v>0</v>
      </c>
      <c r="Y286" s="21">
        <v>20000</v>
      </c>
      <c r="Z286" s="7" t="s">
        <v>504</v>
      </c>
    </row>
    <row r="287" spans="3:26" ht="20.100000000000001" customHeight="1" x14ac:dyDescent="0.35">
      <c r="C287" s="32">
        <v>4000307</v>
      </c>
      <c r="D287" s="32" t="s">
        <v>505</v>
      </c>
      <c r="E287" s="12">
        <v>4</v>
      </c>
      <c r="F287" s="32">
        <v>10045308</v>
      </c>
      <c r="G287" s="14">
        <v>0</v>
      </c>
      <c r="H287" s="12">
        <v>40</v>
      </c>
      <c r="I287" s="12">
        <v>0</v>
      </c>
      <c r="J287" s="12">
        <v>0</v>
      </c>
      <c r="K287" s="12">
        <v>0</v>
      </c>
      <c r="L287" s="12">
        <v>1</v>
      </c>
      <c r="M287" s="12">
        <v>1</v>
      </c>
      <c r="N287" s="12">
        <v>0</v>
      </c>
      <c r="O287" s="12">
        <v>0</v>
      </c>
      <c r="P287" s="12">
        <v>1</v>
      </c>
      <c r="Q287" s="12">
        <v>1</v>
      </c>
      <c r="R287" s="12">
        <v>1</v>
      </c>
      <c r="S287" s="12">
        <v>0</v>
      </c>
      <c r="T287" s="12">
        <v>0</v>
      </c>
      <c r="U287" s="12">
        <v>0</v>
      </c>
      <c r="V287" s="12">
        <v>0</v>
      </c>
      <c r="W287" s="12">
        <v>1</v>
      </c>
      <c r="X287" s="22">
        <v>0</v>
      </c>
      <c r="Y287" s="21">
        <v>30000</v>
      </c>
      <c r="Z287" s="7" t="s">
        <v>506</v>
      </c>
    </row>
    <row r="288" spans="3:26" ht="20.100000000000001" customHeight="1" x14ac:dyDescent="0.35">
      <c r="C288" s="32">
        <v>4000308</v>
      </c>
      <c r="D288" s="32" t="s">
        <v>507</v>
      </c>
      <c r="E288" s="12">
        <v>4</v>
      </c>
      <c r="F288" s="32">
        <v>10045309</v>
      </c>
      <c r="G288" s="14">
        <v>0</v>
      </c>
      <c r="H288" s="12">
        <v>50</v>
      </c>
      <c r="I288" s="12">
        <v>0</v>
      </c>
      <c r="J288" s="12">
        <v>0</v>
      </c>
      <c r="K288" s="12">
        <v>0</v>
      </c>
      <c r="L288" s="12">
        <v>1</v>
      </c>
      <c r="M288" s="12">
        <v>1</v>
      </c>
      <c r="N288" s="12">
        <v>0</v>
      </c>
      <c r="O288" s="12">
        <v>0</v>
      </c>
      <c r="P288" s="12">
        <v>1</v>
      </c>
      <c r="Q288" s="12">
        <v>1</v>
      </c>
      <c r="R288" s="12">
        <v>1</v>
      </c>
      <c r="S288" s="12">
        <v>0</v>
      </c>
      <c r="T288" s="12">
        <v>0</v>
      </c>
      <c r="U288" s="12">
        <v>0</v>
      </c>
      <c r="V288" s="12">
        <v>0</v>
      </c>
      <c r="W288" s="12">
        <v>1</v>
      </c>
      <c r="X288" s="22">
        <v>0</v>
      </c>
      <c r="Y288" s="21">
        <v>40000</v>
      </c>
      <c r="Z288" s="7" t="s">
        <v>508</v>
      </c>
    </row>
    <row r="289" spans="3:26" ht="20.100000000000001" customHeight="1" x14ac:dyDescent="0.35">
      <c r="C289" s="32">
        <v>4000309</v>
      </c>
      <c r="D289" s="32" t="s">
        <v>509</v>
      </c>
      <c r="E289" s="12">
        <v>4</v>
      </c>
      <c r="F289" s="32">
        <v>10045310</v>
      </c>
      <c r="G289" s="14">
        <v>0</v>
      </c>
      <c r="H289" s="12">
        <v>50</v>
      </c>
      <c r="I289" s="12">
        <v>0</v>
      </c>
      <c r="J289" s="12">
        <v>0</v>
      </c>
      <c r="K289" s="12">
        <v>0</v>
      </c>
      <c r="L289" s="12">
        <v>1</v>
      </c>
      <c r="M289" s="12">
        <v>1</v>
      </c>
      <c r="N289" s="12">
        <v>0</v>
      </c>
      <c r="O289" s="12">
        <v>0</v>
      </c>
      <c r="P289" s="12">
        <v>1</v>
      </c>
      <c r="Q289" s="12">
        <v>1</v>
      </c>
      <c r="R289" s="12">
        <v>1</v>
      </c>
      <c r="S289" s="12">
        <v>0</v>
      </c>
      <c r="T289" s="12">
        <v>0</v>
      </c>
      <c r="U289" s="12">
        <v>0</v>
      </c>
      <c r="V289" s="12">
        <v>0</v>
      </c>
      <c r="W289" s="12">
        <v>1</v>
      </c>
      <c r="X289" s="22">
        <v>0</v>
      </c>
      <c r="Y289" s="21">
        <v>50000</v>
      </c>
      <c r="Z289" s="7" t="s">
        <v>510</v>
      </c>
    </row>
    <row r="290" spans="3:26" s="4" customFormat="1" ht="20.100000000000001" customHeight="1" x14ac:dyDescent="0.35">
      <c r="C290" s="32">
        <v>4000310</v>
      </c>
      <c r="D290" s="32" t="s">
        <v>511</v>
      </c>
      <c r="E290" s="34">
        <v>4</v>
      </c>
      <c r="F290" s="32">
        <v>10045311</v>
      </c>
      <c r="G290" s="35">
        <v>0</v>
      </c>
      <c r="H290" s="34">
        <v>50</v>
      </c>
      <c r="I290" s="34">
        <v>0</v>
      </c>
      <c r="J290" s="34">
        <v>0</v>
      </c>
      <c r="K290" s="34">
        <v>0</v>
      </c>
      <c r="L290" s="34">
        <v>1</v>
      </c>
      <c r="M290" s="34">
        <v>1</v>
      </c>
      <c r="N290" s="34">
        <v>0</v>
      </c>
      <c r="O290" s="34">
        <v>0</v>
      </c>
      <c r="P290" s="34">
        <v>1</v>
      </c>
      <c r="Q290" s="34">
        <v>1</v>
      </c>
      <c r="R290" s="34">
        <v>1</v>
      </c>
      <c r="S290" s="34">
        <v>0</v>
      </c>
      <c r="T290" s="34">
        <v>0</v>
      </c>
      <c r="U290" s="34">
        <v>0</v>
      </c>
      <c r="V290" s="34">
        <v>0</v>
      </c>
      <c r="W290" s="34">
        <v>1</v>
      </c>
      <c r="X290" s="37">
        <v>0</v>
      </c>
      <c r="Y290" s="38">
        <v>100000</v>
      </c>
      <c r="Z290" s="7" t="s">
        <v>512</v>
      </c>
    </row>
    <row r="291" spans="3:26" s="4" customFormat="1" ht="20.100000000000001" customHeight="1" x14ac:dyDescent="0.35">
      <c r="C291" s="32">
        <v>4000311</v>
      </c>
      <c r="D291" s="32" t="s">
        <v>513</v>
      </c>
      <c r="E291" s="34">
        <v>4</v>
      </c>
      <c r="F291" s="32">
        <v>10045312</v>
      </c>
      <c r="G291" s="35">
        <v>0</v>
      </c>
      <c r="H291" s="34">
        <v>50</v>
      </c>
      <c r="I291" s="34">
        <v>0</v>
      </c>
      <c r="J291" s="34">
        <v>0</v>
      </c>
      <c r="K291" s="34">
        <v>0</v>
      </c>
      <c r="L291" s="34">
        <v>1</v>
      </c>
      <c r="M291" s="34">
        <v>1</v>
      </c>
      <c r="N291" s="34">
        <v>0</v>
      </c>
      <c r="O291" s="34">
        <v>0</v>
      </c>
      <c r="P291" s="34">
        <v>1</v>
      </c>
      <c r="Q291" s="34">
        <v>1</v>
      </c>
      <c r="R291" s="34">
        <v>1</v>
      </c>
      <c r="S291" s="34">
        <v>0</v>
      </c>
      <c r="T291" s="34">
        <v>0</v>
      </c>
      <c r="U291" s="34">
        <v>0</v>
      </c>
      <c r="V291" s="34">
        <v>0</v>
      </c>
      <c r="W291" s="34">
        <v>1</v>
      </c>
      <c r="X291" s="37">
        <v>0</v>
      </c>
      <c r="Y291" s="38">
        <v>200000</v>
      </c>
      <c r="Z291" s="7" t="s">
        <v>514</v>
      </c>
    </row>
    <row r="292" spans="3:26" s="4" customFormat="1" ht="20.100000000000001" customHeight="1" x14ac:dyDescent="0.35">
      <c r="C292" s="32">
        <v>4000312</v>
      </c>
      <c r="D292" s="32" t="s">
        <v>515</v>
      </c>
      <c r="E292" s="34">
        <v>4</v>
      </c>
      <c r="F292" s="32">
        <v>10045313</v>
      </c>
      <c r="G292" s="35">
        <v>0</v>
      </c>
      <c r="H292" s="34">
        <v>50</v>
      </c>
      <c r="I292" s="34">
        <v>0</v>
      </c>
      <c r="J292" s="34">
        <v>0</v>
      </c>
      <c r="K292" s="34">
        <v>0</v>
      </c>
      <c r="L292" s="34">
        <v>1</v>
      </c>
      <c r="M292" s="34">
        <v>1</v>
      </c>
      <c r="N292" s="34">
        <v>0</v>
      </c>
      <c r="O292" s="34">
        <v>0</v>
      </c>
      <c r="P292" s="34">
        <v>1</v>
      </c>
      <c r="Q292" s="34">
        <v>1</v>
      </c>
      <c r="R292" s="34">
        <v>1</v>
      </c>
      <c r="S292" s="34">
        <v>0</v>
      </c>
      <c r="T292" s="34">
        <v>0</v>
      </c>
      <c r="U292" s="34">
        <v>0</v>
      </c>
      <c r="V292" s="34">
        <v>0</v>
      </c>
      <c r="W292" s="34">
        <v>1</v>
      </c>
      <c r="X292" s="37">
        <v>0</v>
      </c>
      <c r="Y292" s="38">
        <v>300000</v>
      </c>
      <c r="Z292" s="7" t="s">
        <v>516</v>
      </c>
    </row>
    <row r="293" spans="3:26" s="4" customFormat="1" ht="20.100000000000001" customHeight="1" x14ac:dyDescent="0.35">
      <c r="C293" s="32">
        <v>4000313</v>
      </c>
      <c r="D293" s="32" t="s">
        <v>912</v>
      </c>
      <c r="E293" s="34">
        <v>4</v>
      </c>
      <c r="F293" s="32">
        <v>10045314</v>
      </c>
      <c r="G293" s="35">
        <v>0</v>
      </c>
      <c r="H293" s="34">
        <v>60</v>
      </c>
      <c r="I293" s="34">
        <v>0</v>
      </c>
      <c r="J293" s="34">
        <v>0</v>
      </c>
      <c r="K293" s="34">
        <v>0</v>
      </c>
      <c r="L293" s="34">
        <v>1</v>
      </c>
      <c r="M293" s="34">
        <v>1</v>
      </c>
      <c r="N293" s="34">
        <v>0</v>
      </c>
      <c r="O293" s="34">
        <v>0</v>
      </c>
      <c r="P293" s="34">
        <v>1</v>
      </c>
      <c r="Q293" s="34">
        <v>1</v>
      </c>
      <c r="R293" s="34">
        <v>1</v>
      </c>
      <c r="S293" s="34">
        <v>0</v>
      </c>
      <c r="T293" s="34">
        <v>0</v>
      </c>
      <c r="U293" s="34">
        <v>0</v>
      </c>
      <c r="V293" s="34">
        <v>0</v>
      </c>
      <c r="W293" s="34">
        <v>1</v>
      </c>
      <c r="X293" s="37">
        <v>0</v>
      </c>
      <c r="Y293" s="38">
        <v>400000</v>
      </c>
      <c r="Z293" s="7" t="s">
        <v>915</v>
      </c>
    </row>
    <row r="294" spans="3:26" s="4" customFormat="1" ht="20.100000000000001" customHeight="1" x14ac:dyDescent="0.35">
      <c r="C294" s="32">
        <v>4000314</v>
      </c>
      <c r="D294" s="32" t="s">
        <v>913</v>
      </c>
      <c r="E294" s="34">
        <v>4</v>
      </c>
      <c r="F294" s="32">
        <v>10045315</v>
      </c>
      <c r="G294" s="35">
        <v>0</v>
      </c>
      <c r="H294" s="34">
        <v>60</v>
      </c>
      <c r="I294" s="34">
        <v>0</v>
      </c>
      <c r="J294" s="34">
        <v>0</v>
      </c>
      <c r="K294" s="34">
        <v>0</v>
      </c>
      <c r="L294" s="34">
        <v>1</v>
      </c>
      <c r="M294" s="34">
        <v>1</v>
      </c>
      <c r="N294" s="34">
        <v>0</v>
      </c>
      <c r="O294" s="34">
        <v>0</v>
      </c>
      <c r="P294" s="34">
        <v>1</v>
      </c>
      <c r="Q294" s="34">
        <v>1</v>
      </c>
      <c r="R294" s="34">
        <v>1</v>
      </c>
      <c r="S294" s="34">
        <v>0</v>
      </c>
      <c r="T294" s="34">
        <v>0</v>
      </c>
      <c r="U294" s="34">
        <v>0</v>
      </c>
      <c r="V294" s="34">
        <v>0</v>
      </c>
      <c r="W294" s="34">
        <v>1</v>
      </c>
      <c r="X294" s="37">
        <v>0</v>
      </c>
      <c r="Y294" s="38">
        <v>500000</v>
      </c>
      <c r="Z294" s="7" t="s">
        <v>914</v>
      </c>
    </row>
    <row r="295" spans="3:26" ht="20.100000000000001" customHeight="1" x14ac:dyDescent="0.35">
      <c r="C295" s="32">
        <v>4000401</v>
      </c>
      <c r="D295" s="32" t="s">
        <v>517</v>
      </c>
      <c r="E295" s="12">
        <v>4</v>
      </c>
      <c r="F295" s="32">
        <v>10045402</v>
      </c>
      <c r="G295" s="14">
        <v>0</v>
      </c>
      <c r="H295" s="12">
        <v>1</v>
      </c>
      <c r="I295" s="12">
        <v>0</v>
      </c>
      <c r="J295" s="12">
        <v>0</v>
      </c>
      <c r="K295" s="12">
        <v>0</v>
      </c>
      <c r="L295" s="12">
        <v>1</v>
      </c>
      <c r="M295" s="12">
        <v>1</v>
      </c>
      <c r="N295" s="12">
        <v>0</v>
      </c>
      <c r="O295" s="12">
        <v>0</v>
      </c>
      <c r="P295" s="12">
        <v>1</v>
      </c>
      <c r="Q295" s="12">
        <v>1</v>
      </c>
      <c r="R295" s="12">
        <v>1</v>
      </c>
      <c r="S295" s="12">
        <v>0</v>
      </c>
      <c r="T295" s="12">
        <v>0</v>
      </c>
      <c r="U295" s="12">
        <v>0</v>
      </c>
      <c r="V295" s="12">
        <v>0</v>
      </c>
      <c r="W295" s="12">
        <v>1</v>
      </c>
      <c r="X295" s="22">
        <v>0</v>
      </c>
      <c r="Y295" s="21">
        <v>2500</v>
      </c>
      <c r="Z295" s="7" t="s">
        <v>518</v>
      </c>
    </row>
    <row r="296" spans="3:26" ht="20.100000000000001" customHeight="1" x14ac:dyDescent="0.35">
      <c r="C296" s="32">
        <v>4000402</v>
      </c>
      <c r="D296" s="32" t="s">
        <v>519</v>
      </c>
      <c r="E296" s="12">
        <v>4</v>
      </c>
      <c r="F296" s="32">
        <v>10045403</v>
      </c>
      <c r="G296" s="14">
        <v>0</v>
      </c>
      <c r="H296" s="12">
        <v>1</v>
      </c>
      <c r="I296" s="12">
        <v>0</v>
      </c>
      <c r="J296" s="12">
        <v>0</v>
      </c>
      <c r="K296" s="12">
        <v>0</v>
      </c>
      <c r="L296" s="12">
        <v>1</v>
      </c>
      <c r="M296" s="12">
        <v>1</v>
      </c>
      <c r="N296" s="12">
        <v>0</v>
      </c>
      <c r="O296" s="12">
        <v>0</v>
      </c>
      <c r="P296" s="12">
        <v>1</v>
      </c>
      <c r="Q296" s="12">
        <v>1</v>
      </c>
      <c r="R296" s="12">
        <v>1</v>
      </c>
      <c r="S296" s="12">
        <v>0</v>
      </c>
      <c r="T296" s="12">
        <v>0</v>
      </c>
      <c r="U296" s="12">
        <v>0</v>
      </c>
      <c r="V296" s="12">
        <v>0</v>
      </c>
      <c r="W296" s="12">
        <v>1</v>
      </c>
      <c r="X296" s="22">
        <v>0</v>
      </c>
      <c r="Y296" s="21">
        <v>3500</v>
      </c>
      <c r="Z296" s="7" t="s">
        <v>520</v>
      </c>
    </row>
    <row r="297" spans="3:26" ht="20.100000000000001" customHeight="1" x14ac:dyDescent="0.35">
      <c r="C297" s="32">
        <v>4000403</v>
      </c>
      <c r="D297" s="32" t="s">
        <v>521</v>
      </c>
      <c r="E297" s="12">
        <v>4</v>
      </c>
      <c r="F297" s="32">
        <v>10045404</v>
      </c>
      <c r="G297" s="14">
        <v>0</v>
      </c>
      <c r="H297" s="12">
        <v>10</v>
      </c>
      <c r="I297" s="12">
        <v>0</v>
      </c>
      <c r="J297" s="12">
        <v>0</v>
      </c>
      <c r="K297" s="12">
        <v>0</v>
      </c>
      <c r="L297" s="12">
        <v>1</v>
      </c>
      <c r="M297" s="12">
        <v>1</v>
      </c>
      <c r="N297" s="12">
        <v>0</v>
      </c>
      <c r="O297" s="12">
        <v>0</v>
      </c>
      <c r="P297" s="12">
        <v>1</v>
      </c>
      <c r="Q297" s="12">
        <v>1</v>
      </c>
      <c r="R297" s="12">
        <v>1</v>
      </c>
      <c r="S297" s="12">
        <v>0</v>
      </c>
      <c r="T297" s="12">
        <v>0</v>
      </c>
      <c r="U297" s="12">
        <v>0</v>
      </c>
      <c r="V297" s="12">
        <v>0</v>
      </c>
      <c r="W297" s="12">
        <v>1</v>
      </c>
      <c r="X297" s="22">
        <v>0</v>
      </c>
      <c r="Y297" s="21">
        <v>5000</v>
      </c>
      <c r="Z297" s="7" t="s">
        <v>522</v>
      </c>
    </row>
    <row r="298" spans="3:26" ht="20.100000000000001" customHeight="1" x14ac:dyDescent="0.35">
      <c r="C298" s="32">
        <v>4000404</v>
      </c>
      <c r="D298" s="32" t="s">
        <v>523</v>
      </c>
      <c r="E298" s="12">
        <v>4</v>
      </c>
      <c r="F298" s="32">
        <v>10045405</v>
      </c>
      <c r="G298" s="14">
        <v>0</v>
      </c>
      <c r="H298" s="12">
        <v>15</v>
      </c>
      <c r="I298" s="12">
        <v>0</v>
      </c>
      <c r="J298" s="12">
        <v>0</v>
      </c>
      <c r="K298" s="12">
        <v>0</v>
      </c>
      <c r="L298" s="12">
        <v>1</v>
      </c>
      <c r="M298" s="12">
        <v>1</v>
      </c>
      <c r="N298" s="12">
        <v>0</v>
      </c>
      <c r="O298" s="12">
        <v>0</v>
      </c>
      <c r="P298" s="12">
        <v>1</v>
      </c>
      <c r="Q298" s="12">
        <v>1</v>
      </c>
      <c r="R298" s="12">
        <v>1</v>
      </c>
      <c r="S298" s="12">
        <v>0</v>
      </c>
      <c r="T298" s="12">
        <v>0</v>
      </c>
      <c r="U298" s="12">
        <v>0</v>
      </c>
      <c r="V298" s="12">
        <v>0</v>
      </c>
      <c r="W298" s="12">
        <v>1</v>
      </c>
      <c r="X298" s="22">
        <v>0</v>
      </c>
      <c r="Y298" s="21">
        <v>7500</v>
      </c>
      <c r="Z298" s="7" t="s">
        <v>524</v>
      </c>
    </row>
    <row r="299" spans="3:26" ht="20.100000000000001" customHeight="1" x14ac:dyDescent="0.35">
      <c r="C299" s="32">
        <v>4000405</v>
      </c>
      <c r="D299" s="32" t="s">
        <v>525</v>
      </c>
      <c r="E299" s="12">
        <v>4</v>
      </c>
      <c r="F299" s="32">
        <v>10045406</v>
      </c>
      <c r="G299" s="14">
        <v>0</v>
      </c>
      <c r="H299" s="12">
        <v>20</v>
      </c>
      <c r="I299" s="12">
        <v>0</v>
      </c>
      <c r="J299" s="12">
        <v>0</v>
      </c>
      <c r="K299" s="12">
        <v>0</v>
      </c>
      <c r="L299" s="12">
        <v>1</v>
      </c>
      <c r="M299" s="12">
        <v>1</v>
      </c>
      <c r="N299" s="12">
        <v>0</v>
      </c>
      <c r="O299" s="12">
        <v>0</v>
      </c>
      <c r="P299" s="12">
        <v>1</v>
      </c>
      <c r="Q299" s="12">
        <v>1</v>
      </c>
      <c r="R299" s="12">
        <v>1</v>
      </c>
      <c r="S299" s="12">
        <v>0</v>
      </c>
      <c r="T299" s="12">
        <v>0</v>
      </c>
      <c r="U299" s="12">
        <v>0</v>
      </c>
      <c r="V299" s="12">
        <v>0</v>
      </c>
      <c r="W299" s="12">
        <v>1</v>
      </c>
      <c r="X299" s="22">
        <v>0</v>
      </c>
      <c r="Y299" s="21">
        <v>10000</v>
      </c>
      <c r="Z299" s="7" t="s">
        <v>526</v>
      </c>
    </row>
    <row r="300" spans="3:26" ht="20.100000000000001" customHeight="1" x14ac:dyDescent="0.35">
      <c r="C300" s="32">
        <v>4000406</v>
      </c>
      <c r="D300" s="32" t="s">
        <v>527</v>
      </c>
      <c r="E300" s="12">
        <v>4</v>
      </c>
      <c r="F300" s="32">
        <v>10045407</v>
      </c>
      <c r="G300" s="14">
        <v>0</v>
      </c>
      <c r="H300" s="12">
        <v>30</v>
      </c>
      <c r="I300" s="12">
        <v>0</v>
      </c>
      <c r="J300" s="12">
        <v>0</v>
      </c>
      <c r="K300" s="12">
        <v>0</v>
      </c>
      <c r="L300" s="12">
        <v>1</v>
      </c>
      <c r="M300" s="12">
        <v>1</v>
      </c>
      <c r="N300" s="12">
        <v>0</v>
      </c>
      <c r="O300" s="12">
        <v>0</v>
      </c>
      <c r="P300" s="12">
        <v>1</v>
      </c>
      <c r="Q300" s="12">
        <v>1</v>
      </c>
      <c r="R300" s="12">
        <v>1</v>
      </c>
      <c r="S300" s="12">
        <v>0</v>
      </c>
      <c r="T300" s="12">
        <v>0</v>
      </c>
      <c r="U300" s="12">
        <v>0</v>
      </c>
      <c r="V300" s="12">
        <v>0</v>
      </c>
      <c r="W300" s="12">
        <v>1</v>
      </c>
      <c r="X300" s="22">
        <v>0</v>
      </c>
      <c r="Y300" s="21">
        <v>20000</v>
      </c>
      <c r="Z300" s="7" t="s">
        <v>528</v>
      </c>
    </row>
    <row r="301" spans="3:26" ht="20.100000000000001" customHeight="1" x14ac:dyDescent="0.35">
      <c r="C301" s="32">
        <v>4000407</v>
      </c>
      <c r="D301" s="32" t="s">
        <v>529</v>
      </c>
      <c r="E301" s="12">
        <v>4</v>
      </c>
      <c r="F301" s="32">
        <v>10045408</v>
      </c>
      <c r="G301" s="14">
        <v>0</v>
      </c>
      <c r="H301" s="12">
        <v>40</v>
      </c>
      <c r="I301" s="12">
        <v>0</v>
      </c>
      <c r="J301" s="12">
        <v>0</v>
      </c>
      <c r="K301" s="12">
        <v>0</v>
      </c>
      <c r="L301" s="12">
        <v>1</v>
      </c>
      <c r="M301" s="12">
        <v>1</v>
      </c>
      <c r="N301" s="12">
        <v>0</v>
      </c>
      <c r="O301" s="12">
        <v>0</v>
      </c>
      <c r="P301" s="12">
        <v>1</v>
      </c>
      <c r="Q301" s="12">
        <v>1</v>
      </c>
      <c r="R301" s="12">
        <v>1</v>
      </c>
      <c r="S301" s="12">
        <v>0</v>
      </c>
      <c r="T301" s="12">
        <v>0</v>
      </c>
      <c r="U301" s="12">
        <v>0</v>
      </c>
      <c r="V301" s="12">
        <v>0</v>
      </c>
      <c r="W301" s="12">
        <v>1</v>
      </c>
      <c r="X301" s="22">
        <v>0</v>
      </c>
      <c r="Y301" s="21">
        <v>30000</v>
      </c>
      <c r="Z301" s="7" t="s">
        <v>530</v>
      </c>
    </row>
    <row r="302" spans="3:26" ht="20.100000000000001" customHeight="1" x14ac:dyDescent="0.35">
      <c r="C302" s="32">
        <v>4000408</v>
      </c>
      <c r="D302" s="32" t="s">
        <v>531</v>
      </c>
      <c r="E302" s="12">
        <v>4</v>
      </c>
      <c r="F302" s="32">
        <v>10045409</v>
      </c>
      <c r="G302" s="14">
        <v>0</v>
      </c>
      <c r="H302" s="12">
        <v>50</v>
      </c>
      <c r="I302" s="12">
        <v>0</v>
      </c>
      <c r="J302" s="12">
        <v>0</v>
      </c>
      <c r="K302" s="12">
        <v>0</v>
      </c>
      <c r="L302" s="12">
        <v>1</v>
      </c>
      <c r="M302" s="12">
        <v>1</v>
      </c>
      <c r="N302" s="12">
        <v>0</v>
      </c>
      <c r="O302" s="12">
        <v>0</v>
      </c>
      <c r="P302" s="12">
        <v>1</v>
      </c>
      <c r="Q302" s="12">
        <v>1</v>
      </c>
      <c r="R302" s="12">
        <v>1</v>
      </c>
      <c r="S302" s="12">
        <v>0</v>
      </c>
      <c r="T302" s="12">
        <v>0</v>
      </c>
      <c r="U302" s="12">
        <v>0</v>
      </c>
      <c r="V302" s="12">
        <v>0</v>
      </c>
      <c r="W302" s="12">
        <v>1</v>
      </c>
      <c r="X302" s="22">
        <v>0</v>
      </c>
      <c r="Y302" s="21">
        <v>40000</v>
      </c>
      <c r="Z302" s="7" t="s">
        <v>532</v>
      </c>
    </row>
    <row r="303" spans="3:26" ht="20.100000000000001" customHeight="1" x14ac:dyDescent="0.35">
      <c r="C303" s="32">
        <v>4000409</v>
      </c>
      <c r="D303" s="32" t="s">
        <v>533</v>
      </c>
      <c r="E303" s="12">
        <v>4</v>
      </c>
      <c r="F303" s="32">
        <v>10045410</v>
      </c>
      <c r="G303" s="14">
        <v>0</v>
      </c>
      <c r="H303" s="12">
        <v>50</v>
      </c>
      <c r="I303" s="12">
        <v>0</v>
      </c>
      <c r="J303" s="12">
        <v>0</v>
      </c>
      <c r="K303" s="12">
        <v>0</v>
      </c>
      <c r="L303" s="12">
        <v>1</v>
      </c>
      <c r="M303" s="12">
        <v>1</v>
      </c>
      <c r="N303" s="12">
        <v>0</v>
      </c>
      <c r="O303" s="12">
        <v>0</v>
      </c>
      <c r="P303" s="12">
        <v>1</v>
      </c>
      <c r="Q303" s="12">
        <v>1</v>
      </c>
      <c r="R303" s="12">
        <v>1</v>
      </c>
      <c r="S303" s="12">
        <v>0</v>
      </c>
      <c r="T303" s="12">
        <v>0</v>
      </c>
      <c r="U303" s="12">
        <v>0</v>
      </c>
      <c r="V303" s="12">
        <v>0</v>
      </c>
      <c r="W303" s="12">
        <v>1</v>
      </c>
      <c r="X303" s="22">
        <v>0</v>
      </c>
      <c r="Y303" s="21">
        <v>50000</v>
      </c>
      <c r="Z303" s="7" t="s">
        <v>534</v>
      </c>
    </row>
    <row r="304" spans="3:26" s="4" customFormat="1" ht="20.100000000000001" customHeight="1" x14ac:dyDescent="0.35">
      <c r="C304" s="32">
        <v>4000410</v>
      </c>
      <c r="D304" s="32" t="s">
        <v>535</v>
      </c>
      <c r="E304" s="34">
        <v>4</v>
      </c>
      <c r="F304" s="32">
        <v>10045411</v>
      </c>
      <c r="G304" s="35">
        <v>0</v>
      </c>
      <c r="H304" s="34">
        <v>50</v>
      </c>
      <c r="I304" s="34">
        <v>0</v>
      </c>
      <c r="J304" s="34">
        <v>0</v>
      </c>
      <c r="K304" s="34">
        <v>0</v>
      </c>
      <c r="L304" s="34">
        <v>1</v>
      </c>
      <c r="M304" s="34">
        <v>1</v>
      </c>
      <c r="N304" s="34">
        <v>0</v>
      </c>
      <c r="O304" s="34">
        <v>0</v>
      </c>
      <c r="P304" s="34">
        <v>1</v>
      </c>
      <c r="Q304" s="34">
        <v>1</v>
      </c>
      <c r="R304" s="34">
        <v>1</v>
      </c>
      <c r="S304" s="34">
        <v>0</v>
      </c>
      <c r="T304" s="34">
        <v>0</v>
      </c>
      <c r="U304" s="34">
        <v>0</v>
      </c>
      <c r="V304" s="34">
        <v>0</v>
      </c>
      <c r="W304" s="34">
        <v>1</v>
      </c>
      <c r="X304" s="37">
        <v>0</v>
      </c>
      <c r="Y304" s="38">
        <v>100000</v>
      </c>
      <c r="Z304" s="7" t="s">
        <v>536</v>
      </c>
    </row>
    <row r="305" spans="3:26" s="4" customFormat="1" ht="20.100000000000001" customHeight="1" x14ac:dyDescent="0.35">
      <c r="C305" s="32">
        <v>4000411</v>
      </c>
      <c r="D305" s="32" t="s">
        <v>537</v>
      </c>
      <c r="E305" s="34">
        <v>4</v>
      </c>
      <c r="F305" s="32">
        <v>10045412</v>
      </c>
      <c r="G305" s="35">
        <v>0</v>
      </c>
      <c r="H305" s="34">
        <v>50</v>
      </c>
      <c r="I305" s="34">
        <v>0</v>
      </c>
      <c r="J305" s="34">
        <v>0</v>
      </c>
      <c r="K305" s="34">
        <v>0</v>
      </c>
      <c r="L305" s="34">
        <v>1</v>
      </c>
      <c r="M305" s="34">
        <v>1</v>
      </c>
      <c r="N305" s="34">
        <v>0</v>
      </c>
      <c r="O305" s="34">
        <v>0</v>
      </c>
      <c r="P305" s="34">
        <v>1</v>
      </c>
      <c r="Q305" s="34">
        <v>1</v>
      </c>
      <c r="R305" s="34">
        <v>1</v>
      </c>
      <c r="S305" s="34">
        <v>0</v>
      </c>
      <c r="T305" s="34">
        <v>0</v>
      </c>
      <c r="U305" s="34">
        <v>0</v>
      </c>
      <c r="V305" s="34">
        <v>0</v>
      </c>
      <c r="W305" s="34">
        <v>1</v>
      </c>
      <c r="X305" s="37">
        <v>0</v>
      </c>
      <c r="Y305" s="38">
        <v>200000</v>
      </c>
      <c r="Z305" s="7" t="s">
        <v>538</v>
      </c>
    </row>
    <row r="306" spans="3:26" s="4" customFormat="1" ht="20.100000000000001" customHeight="1" x14ac:dyDescent="0.35">
      <c r="C306" s="32">
        <v>4000412</v>
      </c>
      <c r="D306" s="32" t="s">
        <v>539</v>
      </c>
      <c r="E306" s="34">
        <v>4</v>
      </c>
      <c r="F306" s="32">
        <v>10045413</v>
      </c>
      <c r="G306" s="35">
        <v>0</v>
      </c>
      <c r="H306" s="34">
        <v>50</v>
      </c>
      <c r="I306" s="34">
        <v>0</v>
      </c>
      <c r="J306" s="34">
        <v>0</v>
      </c>
      <c r="K306" s="34">
        <v>0</v>
      </c>
      <c r="L306" s="34">
        <v>1</v>
      </c>
      <c r="M306" s="34">
        <v>1</v>
      </c>
      <c r="N306" s="34">
        <v>0</v>
      </c>
      <c r="O306" s="34">
        <v>0</v>
      </c>
      <c r="P306" s="34">
        <v>1</v>
      </c>
      <c r="Q306" s="34">
        <v>1</v>
      </c>
      <c r="R306" s="34">
        <v>1</v>
      </c>
      <c r="S306" s="34">
        <v>0</v>
      </c>
      <c r="T306" s="34">
        <v>0</v>
      </c>
      <c r="U306" s="34">
        <v>0</v>
      </c>
      <c r="V306" s="34">
        <v>0</v>
      </c>
      <c r="W306" s="34">
        <v>1</v>
      </c>
      <c r="X306" s="37">
        <v>0</v>
      </c>
      <c r="Y306" s="38">
        <v>300000</v>
      </c>
      <c r="Z306" s="7" t="s">
        <v>540</v>
      </c>
    </row>
    <row r="307" spans="3:26" s="4" customFormat="1" ht="20.100000000000001" customHeight="1" x14ac:dyDescent="0.35">
      <c r="C307" s="32">
        <v>4000413</v>
      </c>
      <c r="D307" s="32" t="s">
        <v>918</v>
      </c>
      <c r="E307" s="34">
        <v>4</v>
      </c>
      <c r="F307" s="32">
        <v>10045414</v>
      </c>
      <c r="G307" s="35">
        <v>0</v>
      </c>
      <c r="H307" s="34">
        <v>60</v>
      </c>
      <c r="I307" s="34">
        <v>0</v>
      </c>
      <c r="J307" s="34">
        <v>0</v>
      </c>
      <c r="K307" s="34">
        <v>0</v>
      </c>
      <c r="L307" s="34">
        <v>1</v>
      </c>
      <c r="M307" s="34">
        <v>1</v>
      </c>
      <c r="N307" s="34">
        <v>0</v>
      </c>
      <c r="O307" s="34">
        <v>0</v>
      </c>
      <c r="P307" s="34">
        <v>1</v>
      </c>
      <c r="Q307" s="34">
        <v>1</v>
      </c>
      <c r="R307" s="34">
        <v>1</v>
      </c>
      <c r="S307" s="34">
        <v>0</v>
      </c>
      <c r="T307" s="34">
        <v>0</v>
      </c>
      <c r="U307" s="34">
        <v>0</v>
      </c>
      <c r="V307" s="34">
        <v>0</v>
      </c>
      <c r="W307" s="34">
        <v>1</v>
      </c>
      <c r="X307" s="37">
        <v>0</v>
      </c>
      <c r="Y307" s="38">
        <v>400000</v>
      </c>
      <c r="Z307" s="7" t="s">
        <v>916</v>
      </c>
    </row>
    <row r="308" spans="3:26" s="4" customFormat="1" ht="20.100000000000001" customHeight="1" x14ac:dyDescent="0.35">
      <c r="C308" s="32">
        <v>4000414</v>
      </c>
      <c r="D308" s="32" t="s">
        <v>919</v>
      </c>
      <c r="E308" s="34">
        <v>4</v>
      </c>
      <c r="F308" s="32">
        <v>10045415</v>
      </c>
      <c r="G308" s="35">
        <v>0</v>
      </c>
      <c r="H308" s="34">
        <v>60</v>
      </c>
      <c r="I308" s="34">
        <v>0</v>
      </c>
      <c r="J308" s="34">
        <v>0</v>
      </c>
      <c r="K308" s="34">
        <v>0</v>
      </c>
      <c r="L308" s="34">
        <v>1</v>
      </c>
      <c r="M308" s="34">
        <v>1</v>
      </c>
      <c r="N308" s="34">
        <v>0</v>
      </c>
      <c r="O308" s="34">
        <v>0</v>
      </c>
      <c r="P308" s="34">
        <v>1</v>
      </c>
      <c r="Q308" s="34">
        <v>1</v>
      </c>
      <c r="R308" s="34">
        <v>1</v>
      </c>
      <c r="S308" s="34">
        <v>0</v>
      </c>
      <c r="T308" s="34">
        <v>0</v>
      </c>
      <c r="U308" s="34">
        <v>0</v>
      </c>
      <c r="V308" s="34">
        <v>0</v>
      </c>
      <c r="W308" s="34">
        <v>1</v>
      </c>
      <c r="X308" s="37">
        <v>0</v>
      </c>
      <c r="Y308" s="38">
        <v>500000</v>
      </c>
      <c r="Z308" s="7" t="s">
        <v>917</v>
      </c>
    </row>
    <row r="309" spans="3:26" s="5" customFormat="1" ht="20.100000000000001" customHeight="1" x14ac:dyDescent="0.3">
      <c r="C309" s="5">
        <v>5000001</v>
      </c>
      <c r="D309" s="36" t="s">
        <v>541</v>
      </c>
      <c r="E309" s="5">
        <v>5</v>
      </c>
      <c r="F309" s="36">
        <v>15601001</v>
      </c>
      <c r="G309" s="14">
        <v>0</v>
      </c>
      <c r="H309" s="36">
        <v>58</v>
      </c>
      <c r="I309" s="5">
        <v>0</v>
      </c>
      <c r="J309" s="5">
        <v>0</v>
      </c>
      <c r="K309" s="5">
        <v>0</v>
      </c>
      <c r="L309" s="5">
        <v>1</v>
      </c>
      <c r="M309" s="5">
        <v>1</v>
      </c>
      <c r="N309" s="5">
        <v>0</v>
      </c>
      <c r="O309" s="5">
        <v>1</v>
      </c>
      <c r="P309" s="5">
        <v>1</v>
      </c>
      <c r="Q309" s="5">
        <v>1</v>
      </c>
      <c r="R309" s="5">
        <v>1</v>
      </c>
      <c r="S309" s="5">
        <v>0</v>
      </c>
      <c r="T309" s="5">
        <v>0</v>
      </c>
      <c r="U309" s="5">
        <v>0</v>
      </c>
      <c r="V309" s="5">
        <v>0</v>
      </c>
      <c r="W309" s="5">
        <v>1</v>
      </c>
      <c r="X309" s="22">
        <v>0</v>
      </c>
      <c r="Y309" s="5">
        <v>1000000</v>
      </c>
      <c r="Z309" s="5" t="s">
        <v>542</v>
      </c>
    </row>
    <row r="310" spans="3:26" s="5" customFormat="1" ht="20.100000000000001" customHeight="1" x14ac:dyDescent="0.3">
      <c r="C310" s="5">
        <v>5000002</v>
      </c>
      <c r="D310" s="36" t="s">
        <v>543</v>
      </c>
      <c r="E310" s="5">
        <v>5</v>
      </c>
      <c r="F310" s="36">
        <v>15601002</v>
      </c>
      <c r="G310" s="14">
        <v>0</v>
      </c>
      <c r="H310" s="36">
        <v>58</v>
      </c>
      <c r="I310" s="5">
        <v>0</v>
      </c>
      <c r="J310" s="5">
        <v>0</v>
      </c>
      <c r="K310" s="5">
        <v>0</v>
      </c>
      <c r="L310" s="5">
        <v>1</v>
      </c>
      <c r="M310" s="5">
        <v>1</v>
      </c>
      <c r="N310" s="5">
        <v>0</v>
      </c>
      <c r="O310" s="5">
        <v>1</v>
      </c>
      <c r="P310" s="5">
        <v>1</v>
      </c>
      <c r="Q310" s="5">
        <v>1</v>
      </c>
      <c r="R310" s="5">
        <v>1</v>
      </c>
      <c r="S310" s="5">
        <v>0</v>
      </c>
      <c r="T310" s="5">
        <v>0</v>
      </c>
      <c r="U310" s="5">
        <v>0</v>
      </c>
      <c r="V310" s="5">
        <v>0</v>
      </c>
      <c r="W310" s="5">
        <v>1</v>
      </c>
      <c r="X310" s="22">
        <v>0</v>
      </c>
      <c r="Y310" s="5">
        <v>1000000</v>
      </c>
      <c r="Z310" s="5" t="s">
        <v>542</v>
      </c>
    </row>
    <row r="311" spans="3:26" s="5" customFormat="1" ht="20.100000000000001" customHeight="1" x14ac:dyDescent="0.3">
      <c r="C311" s="5">
        <v>5000003</v>
      </c>
      <c r="D311" s="36" t="s">
        <v>544</v>
      </c>
      <c r="E311" s="5">
        <v>5</v>
      </c>
      <c r="F311" s="36">
        <v>15601003</v>
      </c>
      <c r="G311" s="14">
        <v>0</v>
      </c>
      <c r="H311" s="36">
        <v>58</v>
      </c>
      <c r="I311" s="5">
        <v>0</v>
      </c>
      <c r="J311" s="5">
        <v>0</v>
      </c>
      <c r="K311" s="5">
        <v>0</v>
      </c>
      <c r="L311" s="5">
        <v>1</v>
      </c>
      <c r="M311" s="5">
        <v>1</v>
      </c>
      <c r="N311" s="5">
        <v>0</v>
      </c>
      <c r="O311" s="5">
        <v>1</v>
      </c>
      <c r="P311" s="5">
        <v>1</v>
      </c>
      <c r="Q311" s="5">
        <v>1</v>
      </c>
      <c r="R311" s="5">
        <v>1</v>
      </c>
      <c r="S311" s="5">
        <v>0</v>
      </c>
      <c r="T311" s="5">
        <v>0</v>
      </c>
      <c r="U311" s="5">
        <v>0</v>
      </c>
      <c r="V311" s="5">
        <v>0</v>
      </c>
      <c r="W311" s="5">
        <v>1</v>
      </c>
      <c r="X311" s="22">
        <v>0</v>
      </c>
      <c r="Y311" s="5">
        <v>1000000</v>
      </c>
      <c r="Z311" s="5" t="s">
        <v>542</v>
      </c>
    </row>
    <row r="312" spans="3:26" s="5" customFormat="1" ht="20.100000000000001" customHeight="1" x14ac:dyDescent="0.3">
      <c r="C312" s="5">
        <v>5000011</v>
      </c>
      <c r="D312" s="36" t="s">
        <v>545</v>
      </c>
      <c r="E312" s="5">
        <v>5</v>
      </c>
      <c r="F312" s="36">
        <v>15602001</v>
      </c>
      <c r="G312" s="14">
        <v>0</v>
      </c>
      <c r="H312" s="36">
        <v>58</v>
      </c>
      <c r="I312" s="5">
        <v>0</v>
      </c>
      <c r="J312" s="5">
        <v>0</v>
      </c>
      <c r="K312" s="5">
        <v>0</v>
      </c>
      <c r="L312" s="5">
        <v>1</v>
      </c>
      <c r="M312" s="5">
        <v>1</v>
      </c>
      <c r="N312" s="5">
        <v>0</v>
      </c>
      <c r="O312" s="5">
        <v>1</v>
      </c>
      <c r="P312" s="5">
        <v>1</v>
      </c>
      <c r="Q312" s="5">
        <v>1</v>
      </c>
      <c r="R312" s="5">
        <v>1</v>
      </c>
      <c r="S312" s="5">
        <v>0</v>
      </c>
      <c r="T312" s="5">
        <v>0</v>
      </c>
      <c r="U312" s="5">
        <v>0</v>
      </c>
      <c r="V312" s="5">
        <v>0</v>
      </c>
      <c r="W312" s="5">
        <v>1</v>
      </c>
      <c r="X312" s="22">
        <v>0</v>
      </c>
      <c r="Y312" s="5">
        <v>1000000</v>
      </c>
      <c r="Z312" s="5" t="s">
        <v>542</v>
      </c>
    </row>
    <row r="313" spans="3:26" s="5" customFormat="1" ht="20.100000000000001" customHeight="1" x14ac:dyDescent="0.3">
      <c r="C313" s="5">
        <v>5000012</v>
      </c>
      <c r="D313" s="36" t="s">
        <v>546</v>
      </c>
      <c r="E313" s="5">
        <v>5</v>
      </c>
      <c r="F313" s="36">
        <v>15602002</v>
      </c>
      <c r="G313" s="14">
        <v>0</v>
      </c>
      <c r="H313" s="36">
        <v>58</v>
      </c>
      <c r="I313" s="5">
        <v>0</v>
      </c>
      <c r="J313" s="5">
        <v>0</v>
      </c>
      <c r="K313" s="5">
        <v>0</v>
      </c>
      <c r="L313" s="5">
        <v>1</v>
      </c>
      <c r="M313" s="5">
        <v>1</v>
      </c>
      <c r="N313" s="5">
        <v>0</v>
      </c>
      <c r="O313" s="5">
        <v>1</v>
      </c>
      <c r="P313" s="5">
        <v>1</v>
      </c>
      <c r="Q313" s="5">
        <v>1</v>
      </c>
      <c r="R313" s="5">
        <v>1</v>
      </c>
      <c r="S313" s="5">
        <v>0</v>
      </c>
      <c r="T313" s="5">
        <v>0</v>
      </c>
      <c r="U313" s="5">
        <v>0</v>
      </c>
      <c r="V313" s="5">
        <v>0</v>
      </c>
      <c r="W313" s="5">
        <v>1</v>
      </c>
      <c r="X313" s="22">
        <v>0</v>
      </c>
      <c r="Y313" s="5">
        <v>1000000</v>
      </c>
      <c r="Z313" s="5" t="s">
        <v>542</v>
      </c>
    </row>
    <row r="314" spans="3:26" s="5" customFormat="1" ht="20.100000000000001" customHeight="1" x14ac:dyDescent="0.3">
      <c r="C314" s="5">
        <v>5000013</v>
      </c>
      <c r="D314" s="36" t="s">
        <v>547</v>
      </c>
      <c r="E314" s="5">
        <v>5</v>
      </c>
      <c r="F314" s="36">
        <v>15602003</v>
      </c>
      <c r="G314" s="14">
        <v>0</v>
      </c>
      <c r="H314" s="36">
        <v>58</v>
      </c>
      <c r="I314" s="5">
        <v>0</v>
      </c>
      <c r="J314" s="5">
        <v>0</v>
      </c>
      <c r="K314" s="5">
        <v>0</v>
      </c>
      <c r="L314" s="5">
        <v>1</v>
      </c>
      <c r="M314" s="5">
        <v>1</v>
      </c>
      <c r="N314" s="5">
        <v>0</v>
      </c>
      <c r="O314" s="5">
        <v>1</v>
      </c>
      <c r="P314" s="5">
        <v>1</v>
      </c>
      <c r="Q314" s="5">
        <v>1</v>
      </c>
      <c r="R314" s="5">
        <v>1</v>
      </c>
      <c r="S314" s="5">
        <v>0</v>
      </c>
      <c r="T314" s="5">
        <v>0</v>
      </c>
      <c r="U314" s="5">
        <v>0</v>
      </c>
      <c r="V314" s="5">
        <v>0</v>
      </c>
      <c r="W314" s="5">
        <v>1</v>
      </c>
      <c r="X314" s="22">
        <v>0</v>
      </c>
      <c r="Y314" s="5">
        <v>1000000</v>
      </c>
      <c r="Z314" s="5" t="s">
        <v>542</v>
      </c>
    </row>
    <row r="315" spans="3:26" s="5" customFormat="1" ht="20.100000000000001" customHeight="1" x14ac:dyDescent="0.3">
      <c r="C315" s="5">
        <v>5000021</v>
      </c>
      <c r="D315" s="36" t="s">
        <v>548</v>
      </c>
      <c r="E315" s="5">
        <v>5</v>
      </c>
      <c r="F315" s="36">
        <v>15603001</v>
      </c>
      <c r="G315" s="14">
        <v>0</v>
      </c>
      <c r="H315" s="36">
        <v>58</v>
      </c>
      <c r="I315" s="5">
        <v>0</v>
      </c>
      <c r="J315" s="5">
        <v>0</v>
      </c>
      <c r="K315" s="5">
        <v>0</v>
      </c>
      <c r="L315" s="5">
        <v>1</v>
      </c>
      <c r="M315" s="5">
        <v>1</v>
      </c>
      <c r="N315" s="5">
        <v>0</v>
      </c>
      <c r="O315" s="5">
        <v>1</v>
      </c>
      <c r="P315" s="5">
        <v>1</v>
      </c>
      <c r="Q315" s="5">
        <v>1</v>
      </c>
      <c r="R315" s="5">
        <v>1</v>
      </c>
      <c r="S315" s="5">
        <v>0</v>
      </c>
      <c r="T315" s="5">
        <v>0</v>
      </c>
      <c r="U315" s="5">
        <v>0</v>
      </c>
      <c r="V315" s="5">
        <v>0</v>
      </c>
      <c r="W315" s="5">
        <v>1</v>
      </c>
      <c r="X315" s="22">
        <v>0</v>
      </c>
      <c r="Y315" s="5">
        <v>1000000</v>
      </c>
      <c r="Z315" s="5" t="s">
        <v>542</v>
      </c>
    </row>
    <row r="316" spans="3:26" s="5" customFormat="1" ht="20.100000000000001" customHeight="1" x14ac:dyDescent="0.3">
      <c r="C316" s="5">
        <v>5000022</v>
      </c>
      <c r="D316" s="36" t="s">
        <v>549</v>
      </c>
      <c r="E316" s="5">
        <v>5</v>
      </c>
      <c r="F316" s="36">
        <v>15603002</v>
      </c>
      <c r="G316" s="14">
        <v>0</v>
      </c>
      <c r="H316" s="36">
        <v>58</v>
      </c>
      <c r="I316" s="5">
        <v>0</v>
      </c>
      <c r="J316" s="5">
        <v>0</v>
      </c>
      <c r="K316" s="5">
        <v>0</v>
      </c>
      <c r="L316" s="5">
        <v>1</v>
      </c>
      <c r="M316" s="5">
        <v>1</v>
      </c>
      <c r="N316" s="5">
        <v>0</v>
      </c>
      <c r="O316" s="5">
        <v>1</v>
      </c>
      <c r="P316" s="5">
        <v>1</v>
      </c>
      <c r="Q316" s="5">
        <v>1</v>
      </c>
      <c r="R316" s="5">
        <v>1</v>
      </c>
      <c r="S316" s="5">
        <v>0</v>
      </c>
      <c r="T316" s="5">
        <v>0</v>
      </c>
      <c r="U316" s="5">
        <v>0</v>
      </c>
      <c r="V316" s="5">
        <v>0</v>
      </c>
      <c r="W316" s="5">
        <v>1</v>
      </c>
      <c r="X316" s="22">
        <v>0</v>
      </c>
      <c r="Y316" s="5">
        <v>1000000</v>
      </c>
      <c r="Z316" s="5" t="s">
        <v>542</v>
      </c>
    </row>
    <row r="317" spans="3:26" s="5" customFormat="1" ht="20.100000000000001" customHeight="1" x14ac:dyDescent="0.3">
      <c r="C317" s="5">
        <v>5000023</v>
      </c>
      <c r="D317" s="36" t="s">
        <v>550</v>
      </c>
      <c r="E317" s="5">
        <v>5</v>
      </c>
      <c r="F317" s="36">
        <v>15603003</v>
      </c>
      <c r="G317" s="14">
        <v>0</v>
      </c>
      <c r="H317" s="36">
        <v>58</v>
      </c>
      <c r="I317" s="5">
        <v>0</v>
      </c>
      <c r="J317" s="5">
        <v>0</v>
      </c>
      <c r="K317" s="5">
        <v>0</v>
      </c>
      <c r="L317" s="5">
        <v>1</v>
      </c>
      <c r="M317" s="5">
        <v>1</v>
      </c>
      <c r="N317" s="5">
        <v>0</v>
      </c>
      <c r="O317" s="5">
        <v>1</v>
      </c>
      <c r="P317" s="5">
        <v>1</v>
      </c>
      <c r="Q317" s="5">
        <v>1</v>
      </c>
      <c r="R317" s="5">
        <v>1</v>
      </c>
      <c r="S317" s="5">
        <v>0</v>
      </c>
      <c r="T317" s="5">
        <v>0</v>
      </c>
      <c r="U317" s="5">
        <v>0</v>
      </c>
      <c r="V317" s="5">
        <v>0</v>
      </c>
      <c r="W317" s="5">
        <v>1</v>
      </c>
      <c r="X317" s="22">
        <v>0</v>
      </c>
      <c r="Y317" s="5">
        <v>1000000</v>
      </c>
      <c r="Z317" s="5" t="s">
        <v>542</v>
      </c>
    </row>
    <row r="318" spans="3:26" s="5" customFormat="1" ht="20.100000000000001" customHeight="1" x14ac:dyDescent="0.3">
      <c r="C318" s="5">
        <v>5000031</v>
      </c>
      <c r="D318" s="36" t="s">
        <v>551</v>
      </c>
      <c r="E318" s="5">
        <v>5</v>
      </c>
      <c r="F318" s="36">
        <v>15604001</v>
      </c>
      <c r="G318" s="14">
        <v>0</v>
      </c>
      <c r="H318" s="36">
        <v>58</v>
      </c>
      <c r="I318" s="5">
        <v>0</v>
      </c>
      <c r="J318" s="5">
        <v>0</v>
      </c>
      <c r="K318" s="5">
        <v>0</v>
      </c>
      <c r="L318" s="5">
        <v>1</v>
      </c>
      <c r="M318" s="5">
        <v>1</v>
      </c>
      <c r="N318" s="5">
        <v>0</v>
      </c>
      <c r="O318" s="5">
        <v>1</v>
      </c>
      <c r="P318" s="5">
        <v>1</v>
      </c>
      <c r="Q318" s="5">
        <v>1</v>
      </c>
      <c r="R318" s="5">
        <v>1</v>
      </c>
      <c r="S318" s="5">
        <v>0</v>
      </c>
      <c r="T318" s="5">
        <v>0</v>
      </c>
      <c r="U318" s="5">
        <v>0</v>
      </c>
      <c r="V318" s="5">
        <v>0</v>
      </c>
      <c r="W318" s="5">
        <v>1</v>
      </c>
      <c r="X318" s="22">
        <v>0</v>
      </c>
      <c r="Y318" s="5">
        <v>1000000</v>
      </c>
      <c r="Z318" s="5" t="s">
        <v>542</v>
      </c>
    </row>
    <row r="319" spans="3:26" s="5" customFormat="1" ht="20.100000000000001" customHeight="1" x14ac:dyDescent="0.3">
      <c r="C319" s="5">
        <v>5000032</v>
      </c>
      <c r="D319" s="36" t="s">
        <v>552</v>
      </c>
      <c r="E319" s="5">
        <v>5</v>
      </c>
      <c r="F319" s="36">
        <v>15604002</v>
      </c>
      <c r="G319" s="14">
        <v>0</v>
      </c>
      <c r="H319" s="36">
        <v>58</v>
      </c>
      <c r="I319" s="5">
        <v>0</v>
      </c>
      <c r="J319" s="5">
        <v>0</v>
      </c>
      <c r="K319" s="5">
        <v>0</v>
      </c>
      <c r="L319" s="5">
        <v>1</v>
      </c>
      <c r="M319" s="5">
        <v>1</v>
      </c>
      <c r="N319" s="5">
        <v>0</v>
      </c>
      <c r="O319" s="5">
        <v>1</v>
      </c>
      <c r="P319" s="5">
        <v>1</v>
      </c>
      <c r="Q319" s="5">
        <v>1</v>
      </c>
      <c r="R319" s="5">
        <v>1</v>
      </c>
      <c r="S319" s="5">
        <v>0</v>
      </c>
      <c r="T319" s="5">
        <v>0</v>
      </c>
      <c r="U319" s="5">
        <v>0</v>
      </c>
      <c r="V319" s="5">
        <v>0</v>
      </c>
      <c r="W319" s="5">
        <v>1</v>
      </c>
      <c r="X319" s="22">
        <v>0</v>
      </c>
      <c r="Y319" s="5">
        <v>1000000</v>
      </c>
      <c r="Z319" s="5" t="s">
        <v>542</v>
      </c>
    </row>
    <row r="320" spans="3:26" s="5" customFormat="1" ht="20.100000000000001" customHeight="1" x14ac:dyDescent="0.3">
      <c r="C320" s="5">
        <v>5000033</v>
      </c>
      <c r="D320" s="36" t="s">
        <v>553</v>
      </c>
      <c r="E320" s="5">
        <v>5</v>
      </c>
      <c r="F320" s="36">
        <v>15604003</v>
      </c>
      <c r="G320" s="14">
        <v>0</v>
      </c>
      <c r="H320" s="36">
        <v>58</v>
      </c>
      <c r="I320" s="5">
        <v>0</v>
      </c>
      <c r="J320" s="5">
        <v>0</v>
      </c>
      <c r="K320" s="5">
        <v>0</v>
      </c>
      <c r="L320" s="5">
        <v>1</v>
      </c>
      <c r="M320" s="5">
        <v>1</v>
      </c>
      <c r="N320" s="5">
        <v>0</v>
      </c>
      <c r="O320" s="5">
        <v>1</v>
      </c>
      <c r="P320" s="5">
        <v>1</v>
      </c>
      <c r="Q320" s="5">
        <v>1</v>
      </c>
      <c r="R320" s="5">
        <v>1</v>
      </c>
      <c r="S320" s="5">
        <v>0</v>
      </c>
      <c r="T320" s="5">
        <v>0</v>
      </c>
      <c r="U320" s="5">
        <v>0</v>
      </c>
      <c r="V320" s="5">
        <v>0</v>
      </c>
      <c r="W320" s="5">
        <v>1</v>
      </c>
      <c r="X320" s="22">
        <v>0</v>
      </c>
      <c r="Y320" s="5">
        <v>1000000</v>
      </c>
      <c r="Z320" s="5" t="s">
        <v>542</v>
      </c>
    </row>
    <row r="321" spans="3:26" s="5" customFormat="1" ht="20.100000000000001" customHeight="1" x14ac:dyDescent="0.3">
      <c r="C321" s="5">
        <v>5000041</v>
      </c>
      <c r="D321" s="36" t="s">
        <v>554</v>
      </c>
      <c r="E321" s="5">
        <v>5</v>
      </c>
      <c r="F321" s="36">
        <v>15605001</v>
      </c>
      <c r="G321" s="14">
        <v>0</v>
      </c>
      <c r="H321" s="36">
        <v>58</v>
      </c>
      <c r="I321" s="5">
        <v>0</v>
      </c>
      <c r="J321" s="5">
        <v>0</v>
      </c>
      <c r="K321" s="5">
        <v>0</v>
      </c>
      <c r="L321" s="5">
        <v>1</v>
      </c>
      <c r="M321" s="5">
        <v>1</v>
      </c>
      <c r="N321" s="5">
        <v>0</v>
      </c>
      <c r="O321" s="5">
        <v>1</v>
      </c>
      <c r="P321" s="5">
        <v>1</v>
      </c>
      <c r="Q321" s="5">
        <v>1</v>
      </c>
      <c r="R321" s="5">
        <v>1</v>
      </c>
      <c r="S321" s="5">
        <v>0</v>
      </c>
      <c r="T321" s="5">
        <v>0</v>
      </c>
      <c r="U321" s="5">
        <v>0</v>
      </c>
      <c r="V321" s="5">
        <v>0</v>
      </c>
      <c r="W321" s="5">
        <v>1</v>
      </c>
      <c r="X321" s="22">
        <v>0</v>
      </c>
      <c r="Y321" s="5">
        <v>1000000</v>
      </c>
      <c r="Z321" s="5" t="s">
        <v>542</v>
      </c>
    </row>
    <row r="322" spans="3:26" s="5" customFormat="1" ht="20.100000000000001" customHeight="1" x14ac:dyDescent="0.3">
      <c r="C322" s="5">
        <v>5000042</v>
      </c>
      <c r="D322" s="36" t="s">
        <v>555</v>
      </c>
      <c r="E322" s="5">
        <v>5</v>
      </c>
      <c r="F322" s="36">
        <v>15605002</v>
      </c>
      <c r="G322" s="14">
        <v>0</v>
      </c>
      <c r="H322" s="36">
        <v>58</v>
      </c>
      <c r="I322" s="5">
        <v>0</v>
      </c>
      <c r="J322" s="5">
        <v>0</v>
      </c>
      <c r="K322" s="5">
        <v>0</v>
      </c>
      <c r="L322" s="5">
        <v>1</v>
      </c>
      <c r="M322" s="5">
        <v>1</v>
      </c>
      <c r="N322" s="5">
        <v>0</v>
      </c>
      <c r="O322" s="5">
        <v>1</v>
      </c>
      <c r="P322" s="5">
        <v>1</v>
      </c>
      <c r="Q322" s="5">
        <v>1</v>
      </c>
      <c r="R322" s="5">
        <v>1</v>
      </c>
      <c r="S322" s="5">
        <v>0</v>
      </c>
      <c r="T322" s="5">
        <v>0</v>
      </c>
      <c r="U322" s="5">
        <v>0</v>
      </c>
      <c r="V322" s="5">
        <v>0</v>
      </c>
      <c r="W322" s="5">
        <v>1</v>
      </c>
      <c r="X322" s="22">
        <v>0</v>
      </c>
      <c r="Y322" s="5">
        <v>1000000</v>
      </c>
      <c r="Z322" s="5" t="s">
        <v>542</v>
      </c>
    </row>
    <row r="323" spans="3:26" s="5" customFormat="1" ht="20.100000000000001" customHeight="1" x14ac:dyDescent="0.3">
      <c r="C323" s="5">
        <v>5000043</v>
      </c>
      <c r="D323" s="36" t="s">
        <v>556</v>
      </c>
      <c r="E323" s="5">
        <v>5</v>
      </c>
      <c r="F323" s="36">
        <v>15605003</v>
      </c>
      <c r="G323" s="14">
        <v>0</v>
      </c>
      <c r="H323" s="36">
        <v>58</v>
      </c>
      <c r="I323" s="5">
        <v>0</v>
      </c>
      <c r="J323" s="5">
        <v>0</v>
      </c>
      <c r="K323" s="5">
        <v>0</v>
      </c>
      <c r="L323" s="5">
        <v>1</v>
      </c>
      <c r="M323" s="5">
        <v>1</v>
      </c>
      <c r="N323" s="5">
        <v>0</v>
      </c>
      <c r="O323" s="5">
        <v>1</v>
      </c>
      <c r="P323" s="5">
        <v>1</v>
      </c>
      <c r="Q323" s="5">
        <v>1</v>
      </c>
      <c r="R323" s="5">
        <v>1</v>
      </c>
      <c r="S323" s="5">
        <v>0</v>
      </c>
      <c r="T323" s="5">
        <v>0</v>
      </c>
      <c r="U323" s="5">
        <v>0</v>
      </c>
      <c r="V323" s="5">
        <v>0</v>
      </c>
      <c r="W323" s="5">
        <v>1</v>
      </c>
      <c r="X323" s="22">
        <v>0</v>
      </c>
      <c r="Y323" s="5">
        <v>1000000</v>
      </c>
      <c r="Z323" s="5" t="s">
        <v>542</v>
      </c>
    </row>
    <row r="324" spans="3:26" s="5" customFormat="1" ht="20.100000000000001" customHeight="1" x14ac:dyDescent="0.3">
      <c r="C324" s="5">
        <v>5000051</v>
      </c>
      <c r="D324" s="36" t="s">
        <v>557</v>
      </c>
      <c r="E324" s="5">
        <v>5</v>
      </c>
      <c r="F324" s="36">
        <v>15606001</v>
      </c>
      <c r="G324" s="14">
        <v>0</v>
      </c>
      <c r="H324" s="36">
        <v>58</v>
      </c>
      <c r="I324" s="5">
        <v>0</v>
      </c>
      <c r="J324" s="5">
        <v>0</v>
      </c>
      <c r="K324" s="5">
        <v>0</v>
      </c>
      <c r="L324" s="5">
        <v>1</v>
      </c>
      <c r="M324" s="5">
        <v>1</v>
      </c>
      <c r="N324" s="5">
        <v>0</v>
      </c>
      <c r="O324" s="5">
        <v>1</v>
      </c>
      <c r="P324" s="5">
        <v>1</v>
      </c>
      <c r="Q324" s="5">
        <v>1</v>
      </c>
      <c r="R324" s="5">
        <v>1</v>
      </c>
      <c r="S324" s="5">
        <v>0</v>
      </c>
      <c r="T324" s="5">
        <v>0</v>
      </c>
      <c r="U324" s="5">
        <v>0</v>
      </c>
      <c r="V324" s="5">
        <v>0</v>
      </c>
      <c r="W324" s="5">
        <v>1</v>
      </c>
      <c r="X324" s="22">
        <v>0</v>
      </c>
      <c r="Y324" s="5">
        <v>1000000</v>
      </c>
      <c r="Z324" s="5" t="s">
        <v>558</v>
      </c>
    </row>
    <row r="325" spans="3:26" s="5" customFormat="1" ht="20.100000000000001" customHeight="1" x14ac:dyDescent="0.3">
      <c r="C325" s="5">
        <v>5000052</v>
      </c>
      <c r="D325" s="36" t="s">
        <v>559</v>
      </c>
      <c r="E325" s="5">
        <v>5</v>
      </c>
      <c r="F325" s="36">
        <v>15607001</v>
      </c>
      <c r="G325" s="14">
        <v>0</v>
      </c>
      <c r="H325" s="36">
        <v>58</v>
      </c>
      <c r="I325" s="5">
        <v>0</v>
      </c>
      <c r="J325" s="5">
        <v>0</v>
      </c>
      <c r="K325" s="5">
        <v>0</v>
      </c>
      <c r="L325" s="5">
        <v>1</v>
      </c>
      <c r="M325" s="5">
        <v>1</v>
      </c>
      <c r="N325" s="5">
        <v>0</v>
      </c>
      <c r="O325" s="5">
        <v>1</v>
      </c>
      <c r="P325" s="5">
        <v>1</v>
      </c>
      <c r="Q325" s="5">
        <v>1</v>
      </c>
      <c r="R325" s="5">
        <v>1</v>
      </c>
      <c r="S325" s="5">
        <v>0</v>
      </c>
      <c r="T325" s="5">
        <v>0</v>
      </c>
      <c r="U325" s="5">
        <v>0</v>
      </c>
      <c r="V325" s="5">
        <v>0</v>
      </c>
      <c r="W325" s="5">
        <v>1</v>
      </c>
      <c r="X325" s="22">
        <v>0</v>
      </c>
      <c r="Y325" s="5">
        <v>1000000</v>
      </c>
      <c r="Z325" s="5" t="s">
        <v>558</v>
      </c>
    </row>
    <row r="326" spans="3:26" s="5" customFormat="1" ht="20.100000000000001" customHeight="1" x14ac:dyDescent="0.3">
      <c r="C326" s="5">
        <v>5000061</v>
      </c>
      <c r="D326" s="36" t="s">
        <v>560</v>
      </c>
      <c r="E326" s="5">
        <v>5</v>
      </c>
      <c r="F326" s="36">
        <v>15608001</v>
      </c>
      <c r="G326" s="14">
        <v>0</v>
      </c>
      <c r="H326" s="36">
        <v>58</v>
      </c>
      <c r="I326" s="5">
        <v>0</v>
      </c>
      <c r="J326" s="5">
        <v>0</v>
      </c>
      <c r="K326" s="5">
        <v>0</v>
      </c>
      <c r="L326" s="5">
        <v>1</v>
      </c>
      <c r="M326" s="5">
        <v>1</v>
      </c>
      <c r="N326" s="5">
        <v>0</v>
      </c>
      <c r="O326" s="5">
        <v>1</v>
      </c>
      <c r="P326" s="5">
        <v>1</v>
      </c>
      <c r="Q326" s="5">
        <v>1</v>
      </c>
      <c r="R326" s="5">
        <v>1</v>
      </c>
      <c r="S326" s="5">
        <v>0</v>
      </c>
      <c r="T326" s="5">
        <v>0</v>
      </c>
      <c r="U326" s="5">
        <v>0</v>
      </c>
      <c r="V326" s="5">
        <v>0</v>
      </c>
      <c r="W326" s="5">
        <v>1</v>
      </c>
      <c r="X326" s="22">
        <v>0</v>
      </c>
      <c r="Y326" s="5">
        <v>1000000</v>
      </c>
      <c r="Z326" s="5" t="s">
        <v>558</v>
      </c>
    </row>
    <row r="327" spans="3:26" s="5" customFormat="1" ht="20.100000000000001" customHeight="1" x14ac:dyDescent="0.3">
      <c r="C327" s="5">
        <v>5000062</v>
      </c>
      <c r="D327" s="36" t="s">
        <v>561</v>
      </c>
      <c r="E327" s="5">
        <v>5</v>
      </c>
      <c r="F327" s="36">
        <v>15609001</v>
      </c>
      <c r="G327" s="14">
        <v>0</v>
      </c>
      <c r="H327" s="36">
        <v>58</v>
      </c>
      <c r="I327" s="5">
        <v>0</v>
      </c>
      <c r="J327" s="5">
        <v>0</v>
      </c>
      <c r="K327" s="5">
        <v>0</v>
      </c>
      <c r="L327" s="5">
        <v>1</v>
      </c>
      <c r="M327" s="5">
        <v>1</v>
      </c>
      <c r="N327" s="5">
        <v>0</v>
      </c>
      <c r="O327" s="5">
        <v>1</v>
      </c>
      <c r="P327" s="5">
        <v>1</v>
      </c>
      <c r="Q327" s="5">
        <v>1</v>
      </c>
      <c r="R327" s="5">
        <v>1</v>
      </c>
      <c r="S327" s="5">
        <v>0</v>
      </c>
      <c r="T327" s="5">
        <v>0</v>
      </c>
      <c r="U327" s="5">
        <v>0</v>
      </c>
      <c r="V327" s="5">
        <v>0</v>
      </c>
      <c r="W327" s="5">
        <v>1</v>
      </c>
      <c r="X327" s="22">
        <v>0</v>
      </c>
      <c r="Y327" s="5">
        <v>1000000</v>
      </c>
      <c r="Z327" s="5" t="s">
        <v>558</v>
      </c>
    </row>
    <row r="328" spans="3:26" s="5" customFormat="1" ht="20.100000000000001" customHeight="1" x14ac:dyDescent="0.3">
      <c r="C328" s="5">
        <v>5000071</v>
      </c>
      <c r="D328" s="36" t="s">
        <v>562</v>
      </c>
      <c r="E328" s="5">
        <v>5</v>
      </c>
      <c r="F328" s="36">
        <v>15610001</v>
      </c>
      <c r="G328" s="14">
        <v>0</v>
      </c>
      <c r="H328" s="36">
        <v>58</v>
      </c>
      <c r="I328" s="5">
        <v>0</v>
      </c>
      <c r="J328" s="5">
        <v>0</v>
      </c>
      <c r="K328" s="5">
        <v>0</v>
      </c>
      <c r="L328" s="5">
        <v>1</v>
      </c>
      <c r="M328" s="5">
        <v>1</v>
      </c>
      <c r="N328" s="5">
        <v>0</v>
      </c>
      <c r="O328" s="5">
        <v>1</v>
      </c>
      <c r="P328" s="5">
        <v>1</v>
      </c>
      <c r="Q328" s="5">
        <v>1</v>
      </c>
      <c r="R328" s="5">
        <v>1</v>
      </c>
      <c r="S328" s="5">
        <v>0</v>
      </c>
      <c r="T328" s="5">
        <v>0</v>
      </c>
      <c r="U328" s="5">
        <v>0</v>
      </c>
      <c r="V328" s="5">
        <v>0</v>
      </c>
      <c r="W328" s="5">
        <v>1</v>
      </c>
      <c r="X328" s="22">
        <v>0</v>
      </c>
      <c r="Y328" s="5">
        <v>1000000</v>
      </c>
      <c r="Z328" s="5" t="s">
        <v>563</v>
      </c>
    </row>
    <row r="329" spans="3:26" s="5" customFormat="1" ht="20.100000000000001" customHeight="1" x14ac:dyDescent="0.3">
      <c r="C329" s="5">
        <v>5000072</v>
      </c>
      <c r="D329" s="36" t="s">
        <v>564</v>
      </c>
      <c r="E329" s="5">
        <v>5</v>
      </c>
      <c r="F329" s="36">
        <v>15610002</v>
      </c>
      <c r="G329" s="14">
        <v>0</v>
      </c>
      <c r="H329" s="36">
        <v>58</v>
      </c>
      <c r="I329" s="5">
        <v>0</v>
      </c>
      <c r="J329" s="5">
        <v>0</v>
      </c>
      <c r="K329" s="5">
        <v>0</v>
      </c>
      <c r="L329" s="5">
        <v>1</v>
      </c>
      <c r="M329" s="5">
        <v>1</v>
      </c>
      <c r="N329" s="5">
        <v>0</v>
      </c>
      <c r="O329" s="5">
        <v>1</v>
      </c>
      <c r="P329" s="5">
        <v>1</v>
      </c>
      <c r="Q329" s="5">
        <v>1</v>
      </c>
      <c r="R329" s="5">
        <v>1</v>
      </c>
      <c r="S329" s="5">
        <v>0</v>
      </c>
      <c r="T329" s="5">
        <v>0</v>
      </c>
      <c r="U329" s="5">
        <v>0</v>
      </c>
      <c r="V329" s="5">
        <v>0</v>
      </c>
      <c r="W329" s="5">
        <v>1</v>
      </c>
      <c r="X329" s="22">
        <v>0</v>
      </c>
      <c r="Y329" s="5">
        <v>1000000</v>
      </c>
      <c r="Z329" s="5" t="s">
        <v>563</v>
      </c>
    </row>
    <row r="330" spans="3:26" s="5" customFormat="1" ht="20.100000000000001" customHeight="1" x14ac:dyDescent="0.3">
      <c r="C330" s="5">
        <v>5000081</v>
      </c>
      <c r="D330" s="15" t="s">
        <v>565</v>
      </c>
      <c r="E330" s="5">
        <v>5</v>
      </c>
      <c r="F330" s="15">
        <v>15610101</v>
      </c>
      <c r="G330" s="14">
        <v>0</v>
      </c>
      <c r="H330" s="36">
        <v>58</v>
      </c>
      <c r="I330" s="5">
        <v>0</v>
      </c>
      <c r="J330" s="5">
        <v>0</v>
      </c>
      <c r="K330" s="5">
        <v>0</v>
      </c>
      <c r="L330" s="5">
        <v>1</v>
      </c>
      <c r="M330" s="5">
        <v>1</v>
      </c>
      <c r="N330" s="5">
        <v>0</v>
      </c>
      <c r="O330" s="5">
        <v>1</v>
      </c>
      <c r="P330" s="5">
        <v>1</v>
      </c>
      <c r="Q330" s="5">
        <v>1</v>
      </c>
      <c r="R330" s="5">
        <v>1</v>
      </c>
      <c r="S330" s="5">
        <v>0</v>
      </c>
      <c r="T330" s="5">
        <v>0</v>
      </c>
      <c r="U330" s="5">
        <v>0</v>
      </c>
      <c r="V330" s="5">
        <v>0</v>
      </c>
      <c r="W330" s="5">
        <v>1</v>
      </c>
      <c r="X330" s="22">
        <v>0</v>
      </c>
      <c r="Y330" s="5">
        <v>1000000</v>
      </c>
      <c r="Z330" s="5" t="s">
        <v>563</v>
      </c>
    </row>
    <row r="331" spans="3:26" s="5" customFormat="1" ht="20.100000000000001" customHeight="1" x14ac:dyDescent="0.3">
      <c r="C331" s="5">
        <v>5000082</v>
      </c>
      <c r="D331" s="15" t="s">
        <v>566</v>
      </c>
      <c r="E331" s="5">
        <v>5</v>
      </c>
      <c r="F331" s="15">
        <v>15610102</v>
      </c>
      <c r="G331" s="14">
        <v>0</v>
      </c>
      <c r="H331" s="36">
        <v>58</v>
      </c>
      <c r="I331" s="5">
        <v>0</v>
      </c>
      <c r="J331" s="5">
        <v>0</v>
      </c>
      <c r="K331" s="5">
        <v>0</v>
      </c>
      <c r="L331" s="5">
        <v>1</v>
      </c>
      <c r="M331" s="5">
        <v>1</v>
      </c>
      <c r="N331" s="5">
        <v>0</v>
      </c>
      <c r="O331" s="5">
        <v>1</v>
      </c>
      <c r="P331" s="5">
        <v>1</v>
      </c>
      <c r="Q331" s="5">
        <v>1</v>
      </c>
      <c r="R331" s="5">
        <v>1</v>
      </c>
      <c r="S331" s="5">
        <v>0</v>
      </c>
      <c r="T331" s="5">
        <v>0</v>
      </c>
      <c r="U331" s="5">
        <v>0</v>
      </c>
      <c r="V331" s="5">
        <v>0</v>
      </c>
      <c r="W331" s="5">
        <v>1</v>
      </c>
      <c r="X331" s="22">
        <v>0</v>
      </c>
      <c r="Y331" s="5">
        <v>1000000</v>
      </c>
      <c r="Z331" s="5" t="s">
        <v>563</v>
      </c>
    </row>
    <row r="332" spans="3:26" s="5" customFormat="1" ht="20.100000000000001" customHeight="1" x14ac:dyDescent="0.3">
      <c r="C332" s="5">
        <v>5000091</v>
      </c>
      <c r="D332" s="36" t="s">
        <v>567</v>
      </c>
      <c r="E332" s="5">
        <v>5</v>
      </c>
      <c r="F332" s="36">
        <v>15611001</v>
      </c>
      <c r="G332" s="14">
        <v>0</v>
      </c>
      <c r="H332" s="36">
        <v>58</v>
      </c>
      <c r="I332" s="5">
        <v>0</v>
      </c>
      <c r="J332" s="5">
        <v>0</v>
      </c>
      <c r="K332" s="5">
        <v>0</v>
      </c>
      <c r="L332" s="5">
        <v>1</v>
      </c>
      <c r="M332" s="5">
        <v>1</v>
      </c>
      <c r="N332" s="5">
        <v>0</v>
      </c>
      <c r="O332" s="5">
        <v>1</v>
      </c>
      <c r="P332" s="5">
        <v>1</v>
      </c>
      <c r="Q332" s="5">
        <v>1</v>
      </c>
      <c r="R332" s="5">
        <v>1</v>
      </c>
      <c r="S332" s="5">
        <v>0</v>
      </c>
      <c r="T332" s="5">
        <v>0</v>
      </c>
      <c r="U332" s="5">
        <v>0</v>
      </c>
      <c r="V332" s="5">
        <v>0</v>
      </c>
      <c r="W332" s="5">
        <v>1</v>
      </c>
      <c r="X332" s="22">
        <v>0</v>
      </c>
      <c r="Y332" s="5">
        <v>1000000</v>
      </c>
      <c r="Z332" s="5" t="s">
        <v>568</v>
      </c>
    </row>
    <row r="333" spans="3:26" s="5" customFormat="1" ht="20.100000000000001" customHeight="1" x14ac:dyDescent="0.3">
      <c r="C333" s="5">
        <v>5000092</v>
      </c>
      <c r="D333" s="36" t="s">
        <v>569</v>
      </c>
      <c r="E333" s="5">
        <v>5</v>
      </c>
      <c r="F333" s="36">
        <v>15611002</v>
      </c>
      <c r="G333" s="14">
        <v>0</v>
      </c>
      <c r="H333" s="36">
        <v>58</v>
      </c>
      <c r="I333" s="5">
        <v>0</v>
      </c>
      <c r="J333" s="5">
        <v>0</v>
      </c>
      <c r="K333" s="5">
        <v>0</v>
      </c>
      <c r="L333" s="5">
        <v>1</v>
      </c>
      <c r="M333" s="5">
        <v>1</v>
      </c>
      <c r="N333" s="5">
        <v>0</v>
      </c>
      <c r="O333" s="5">
        <v>1</v>
      </c>
      <c r="P333" s="5">
        <v>1</v>
      </c>
      <c r="Q333" s="5">
        <v>1</v>
      </c>
      <c r="R333" s="5">
        <v>1</v>
      </c>
      <c r="S333" s="5">
        <v>0</v>
      </c>
      <c r="T333" s="5">
        <v>0</v>
      </c>
      <c r="U333" s="5">
        <v>0</v>
      </c>
      <c r="V333" s="5">
        <v>0</v>
      </c>
      <c r="W333" s="5">
        <v>1</v>
      </c>
      <c r="X333" s="22">
        <v>0</v>
      </c>
      <c r="Y333" s="5">
        <v>1000000</v>
      </c>
      <c r="Z333" s="5" t="s">
        <v>568</v>
      </c>
    </row>
    <row r="334" spans="3:26" s="5" customFormat="1" ht="20.100000000000001" customHeight="1" x14ac:dyDescent="0.3">
      <c r="C334" s="5">
        <v>5000093</v>
      </c>
      <c r="D334" s="36" t="s">
        <v>570</v>
      </c>
      <c r="E334" s="5">
        <v>5</v>
      </c>
      <c r="F334" s="36">
        <v>15611003</v>
      </c>
      <c r="G334" s="14">
        <v>0</v>
      </c>
      <c r="H334" s="36">
        <v>58</v>
      </c>
      <c r="I334" s="5">
        <v>0</v>
      </c>
      <c r="J334" s="5">
        <v>0</v>
      </c>
      <c r="K334" s="5">
        <v>0</v>
      </c>
      <c r="L334" s="5">
        <v>1</v>
      </c>
      <c r="M334" s="5">
        <v>1</v>
      </c>
      <c r="N334" s="5">
        <v>0</v>
      </c>
      <c r="O334" s="5">
        <v>1</v>
      </c>
      <c r="P334" s="5">
        <v>1</v>
      </c>
      <c r="Q334" s="5">
        <v>1</v>
      </c>
      <c r="R334" s="5">
        <v>1</v>
      </c>
      <c r="S334" s="5">
        <v>0</v>
      </c>
      <c r="T334" s="5">
        <v>0</v>
      </c>
      <c r="U334" s="5">
        <v>0</v>
      </c>
      <c r="V334" s="5">
        <v>0</v>
      </c>
      <c r="W334" s="5">
        <v>1</v>
      </c>
      <c r="X334" s="22">
        <v>0</v>
      </c>
      <c r="Y334" s="5">
        <v>1000000</v>
      </c>
      <c r="Z334" s="5" t="s">
        <v>568</v>
      </c>
    </row>
    <row r="335" spans="3:26" s="5" customFormat="1" ht="20.100000000000001" customHeight="1" x14ac:dyDescent="0.3">
      <c r="C335" s="5">
        <v>5000101</v>
      </c>
      <c r="D335" s="36" t="s">
        <v>571</v>
      </c>
      <c r="E335" s="5">
        <v>5</v>
      </c>
      <c r="F335" s="36">
        <v>15610201</v>
      </c>
      <c r="G335" s="14">
        <v>0</v>
      </c>
      <c r="H335" s="36">
        <v>58</v>
      </c>
      <c r="I335" s="5">
        <v>0</v>
      </c>
      <c r="J335" s="5">
        <v>0</v>
      </c>
      <c r="K335" s="5">
        <v>0</v>
      </c>
      <c r="L335" s="5">
        <v>1</v>
      </c>
      <c r="M335" s="5">
        <v>1</v>
      </c>
      <c r="N335" s="5">
        <v>0</v>
      </c>
      <c r="O335" s="5">
        <v>1</v>
      </c>
      <c r="P335" s="5">
        <v>1</v>
      </c>
      <c r="Q335" s="5">
        <v>1</v>
      </c>
      <c r="R335" s="5">
        <v>1</v>
      </c>
      <c r="S335" s="5">
        <v>0</v>
      </c>
      <c r="T335" s="5">
        <v>0</v>
      </c>
      <c r="U335" s="5">
        <v>0</v>
      </c>
      <c r="V335" s="5">
        <v>0</v>
      </c>
      <c r="W335" s="5">
        <v>1</v>
      </c>
      <c r="X335" s="22">
        <v>0</v>
      </c>
      <c r="Y335" s="5">
        <v>1000000</v>
      </c>
      <c r="Z335" s="5" t="s">
        <v>563</v>
      </c>
    </row>
    <row r="336" spans="3:26" s="5" customFormat="1" ht="20.100000000000001" customHeight="1" x14ac:dyDescent="0.3">
      <c r="C336" s="5">
        <v>5001001</v>
      </c>
      <c r="D336" s="39" t="s">
        <v>572</v>
      </c>
      <c r="E336" s="5">
        <v>5</v>
      </c>
      <c r="F336" s="31">
        <v>10010051</v>
      </c>
      <c r="G336" s="14">
        <v>0</v>
      </c>
      <c r="H336" s="36">
        <v>30</v>
      </c>
      <c r="I336" s="5">
        <v>0</v>
      </c>
      <c r="J336" s="5">
        <v>0</v>
      </c>
      <c r="K336" s="5">
        <v>0</v>
      </c>
      <c r="L336" s="5">
        <v>1</v>
      </c>
      <c r="M336" s="5">
        <v>1</v>
      </c>
      <c r="N336" s="5">
        <v>0</v>
      </c>
      <c r="O336" s="5">
        <v>1</v>
      </c>
      <c r="P336" s="5">
        <v>1</v>
      </c>
      <c r="Q336" s="5">
        <v>1</v>
      </c>
      <c r="R336" s="5">
        <v>1</v>
      </c>
      <c r="S336" s="5">
        <v>0</v>
      </c>
      <c r="T336" s="5">
        <v>0</v>
      </c>
      <c r="U336" s="5">
        <v>0</v>
      </c>
      <c r="V336" s="5">
        <v>0</v>
      </c>
      <c r="W336" s="5">
        <v>1</v>
      </c>
      <c r="X336" s="22">
        <v>0</v>
      </c>
      <c r="Y336" s="5">
        <v>50000</v>
      </c>
      <c r="Z336" s="5" t="s">
        <v>573</v>
      </c>
    </row>
    <row r="337" spans="3:26" s="5" customFormat="1" ht="20.100000000000001" customHeight="1" x14ac:dyDescent="0.3">
      <c r="C337" s="5">
        <v>5001002</v>
      </c>
      <c r="D337" s="39" t="s">
        <v>574</v>
      </c>
      <c r="E337" s="5">
        <v>5</v>
      </c>
      <c r="F337" s="31">
        <v>10010052</v>
      </c>
      <c r="G337" s="14">
        <v>0</v>
      </c>
      <c r="H337" s="36">
        <v>40</v>
      </c>
      <c r="I337" s="5">
        <v>0</v>
      </c>
      <c r="J337" s="5">
        <v>0</v>
      </c>
      <c r="K337" s="5">
        <v>0</v>
      </c>
      <c r="L337" s="5">
        <v>1</v>
      </c>
      <c r="M337" s="5">
        <v>1</v>
      </c>
      <c r="N337" s="5">
        <v>0</v>
      </c>
      <c r="O337" s="5">
        <v>1</v>
      </c>
      <c r="P337" s="5">
        <v>1</v>
      </c>
      <c r="Q337" s="5">
        <v>1</v>
      </c>
      <c r="R337" s="5">
        <v>1</v>
      </c>
      <c r="S337" s="5">
        <v>0</v>
      </c>
      <c r="T337" s="5">
        <v>0</v>
      </c>
      <c r="U337" s="5">
        <v>0</v>
      </c>
      <c r="V337" s="5">
        <v>0</v>
      </c>
      <c r="W337" s="5">
        <v>1</v>
      </c>
      <c r="X337" s="22">
        <v>0</v>
      </c>
      <c r="Y337" s="5">
        <v>100000</v>
      </c>
      <c r="Z337" s="5" t="s">
        <v>575</v>
      </c>
    </row>
    <row r="338" spans="3:26" s="5" customFormat="1" ht="20.100000000000001" customHeight="1" x14ac:dyDescent="0.3">
      <c r="C338" s="5">
        <v>5001003</v>
      </c>
      <c r="D338" s="39" t="s">
        <v>576</v>
      </c>
      <c r="E338" s="5">
        <v>5</v>
      </c>
      <c r="F338" s="31">
        <v>10010053</v>
      </c>
      <c r="G338" s="14">
        <v>0</v>
      </c>
      <c r="H338" s="36">
        <v>50</v>
      </c>
      <c r="I338" s="5">
        <v>0</v>
      </c>
      <c r="J338" s="5">
        <v>0</v>
      </c>
      <c r="K338" s="5">
        <v>0</v>
      </c>
      <c r="L338" s="5">
        <v>1</v>
      </c>
      <c r="M338" s="5">
        <v>1</v>
      </c>
      <c r="N338" s="5">
        <v>0</v>
      </c>
      <c r="O338" s="5">
        <v>1</v>
      </c>
      <c r="P338" s="5">
        <v>1</v>
      </c>
      <c r="Q338" s="5">
        <v>1</v>
      </c>
      <c r="R338" s="5">
        <v>1</v>
      </c>
      <c r="S338" s="5">
        <v>0</v>
      </c>
      <c r="T338" s="5">
        <v>0</v>
      </c>
      <c r="U338" s="5">
        <v>0</v>
      </c>
      <c r="V338" s="5">
        <v>0</v>
      </c>
      <c r="W338" s="5">
        <v>1</v>
      </c>
      <c r="X338" s="22">
        <v>0</v>
      </c>
      <c r="Y338" s="5">
        <v>300000</v>
      </c>
      <c r="Z338" s="5" t="s">
        <v>577</v>
      </c>
    </row>
    <row r="339" spans="3:26" s="5" customFormat="1" ht="20.100000000000001" customHeight="1" x14ac:dyDescent="0.3">
      <c r="C339" s="5">
        <v>5001004</v>
      </c>
      <c r="D339" s="39" t="s">
        <v>578</v>
      </c>
      <c r="E339" s="5">
        <v>5</v>
      </c>
      <c r="F339" s="31">
        <v>11200010</v>
      </c>
      <c r="G339" s="14">
        <v>0</v>
      </c>
      <c r="H339" s="36">
        <v>50</v>
      </c>
      <c r="I339" s="5">
        <v>0</v>
      </c>
      <c r="J339" s="5">
        <v>0</v>
      </c>
      <c r="K339" s="5">
        <v>0</v>
      </c>
      <c r="L339" s="5">
        <v>1</v>
      </c>
      <c r="M339" s="5">
        <v>1</v>
      </c>
      <c r="N339" s="5">
        <v>0</v>
      </c>
      <c r="O339" s="5">
        <v>1</v>
      </c>
      <c r="P339" s="5">
        <v>1</v>
      </c>
      <c r="Q339" s="5">
        <v>1</v>
      </c>
      <c r="R339" s="5">
        <v>1</v>
      </c>
      <c r="S339" s="5">
        <v>0</v>
      </c>
      <c r="T339" s="5">
        <v>0</v>
      </c>
      <c r="U339" s="5">
        <v>0</v>
      </c>
      <c r="V339" s="5">
        <v>0</v>
      </c>
      <c r="W339" s="5">
        <v>1</v>
      </c>
      <c r="X339" s="22">
        <v>0</v>
      </c>
      <c r="Y339" s="5">
        <v>300000</v>
      </c>
      <c r="Z339" s="5" t="s">
        <v>579</v>
      </c>
    </row>
    <row r="340" spans="3:26" s="5" customFormat="1" ht="20.100000000000001" customHeight="1" x14ac:dyDescent="0.3">
      <c r="C340" s="5">
        <v>5001005</v>
      </c>
      <c r="D340" s="39" t="s">
        <v>920</v>
      </c>
      <c r="E340" s="5">
        <v>5</v>
      </c>
      <c r="F340" s="31">
        <v>10010054</v>
      </c>
      <c r="G340" s="14">
        <v>0</v>
      </c>
      <c r="H340" s="36">
        <v>65</v>
      </c>
      <c r="I340" s="5">
        <v>0</v>
      </c>
      <c r="J340" s="5">
        <v>0</v>
      </c>
      <c r="K340" s="5">
        <v>0</v>
      </c>
      <c r="L340" s="5">
        <v>1</v>
      </c>
      <c r="M340" s="5">
        <v>1</v>
      </c>
      <c r="N340" s="5">
        <v>0</v>
      </c>
      <c r="O340" s="5">
        <v>1</v>
      </c>
      <c r="P340" s="5">
        <v>1</v>
      </c>
      <c r="Q340" s="5">
        <v>1</v>
      </c>
      <c r="R340" s="5">
        <v>1</v>
      </c>
      <c r="S340" s="5">
        <v>0</v>
      </c>
      <c r="T340" s="5">
        <v>0</v>
      </c>
      <c r="U340" s="5">
        <v>0</v>
      </c>
      <c r="V340" s="5">
        <v>0</v>
      </c>
      <c r="W340" s="5">
        <v>1</v>
      </c>
      <c r="X340" s="22">
        <v>0</v>
      </c>
      <c r="Y340" s="5">
        <v>1000000</v>
      </c>
      <c r="Z340" s="5" t="s">
        <v>922</v>
      </c>
    </row>
    <row r="341" spans="3:26" s="5" customFormat="1" ht="20.100000000000001" customHeight="1" x14ac:dyDescent="0.3">
      <c r="C341" s="5">
        <v>5001006</v>
      </c>
      <c r="D341" s="39" t="s">
        <v>921</v>
      </c>
      <c r="E341" s="5">
        <v>5</v>
      </c>
      <c r="F341" s="31">
        <v>11200011</v>
      </c>
      <c r="G341" s="14">
        <v>0</v>
      </c>
      <c r="H341" s="36">
        <v>65</v>
      </c>
      <c r="I341" s="5">
        <v>0</v>
      </c>
      <c r="J341" s="5">
        <v>0</v>
      </c>
      <c r="K341" s="5">
        <v>0</v>
      </c>
      <c r="L341" s="5">
        <v>1</v>
      </c>
      <c r="M341" s="5">
        <v>1</v>
      </c>
      <c r="N341" s="5">
        <v>0</v>
      </c>
      <c r="O341" s="5">
        <v>1</v>
      </c>
      <c r="P341" s="5">
        <v>1</v>
      </c>
      <c r="Q341" s="5">
        <v>1</v>
      </c>
      <c r="R341" s="5">
        <v>1</v>
      </c>
      <c r="S341" s="5">
        <v>0</v>
      </c>
      <c r="T341" s="5">
        <v>0</v>
      </c>
      <c r="U341" s="5">
        <v>0</v>
      </c>
      <c r="V341" s="5">
        <v>0</v>
      </c>
      <c r="W341" s="5">
        <v>1</v>
      </c>
      <c r="X341" s="22">
        <v>0</v>
      </c>
      <c r="Y341" s="5">
        <v>500000</v>
      </c>
      <c r="Z341" s="5" t="s">
        <v>923</v>
      </c>
    </row>
    <row r="342" spans="3:26" s="5" customFormat="1" ht="20.100000000000001" customHeight="1" x14ac:dyDescent="0.3">
      <c r="C342" s="5">
        <v>5001101</v>
      </c>
      <c r="D342" s="39" t="s">
        <v>901</v>
      </c>
      <c r="E342" s="5">
        <v>5</v>
      </c>
      <c r="F342" s="31">
        <v>10010032</v>
      </c>
      <c r="G342" s="14">
        <v>0</v>
      </c>
      <c r="H342" s="36">
        <v>60</v>
      </c>
      <c r="I342" s="5">
        <v>0</v>
      </c>
      <c r="J342" s="5">
        <v>0</v>
      </c>
      <c r="K342" s="5">
        <v>0</v>
      </c>
      <c r="L342" s="5">
        <v>1</v>
      </c>
      <c r="M342" s="5">
        <v>0.5</v>
      </c>
      <c r="N342" s="5">
        <v>0</v>
      </c>
      <c r="O342" s="5">
        <v>1</v>
      </c>
      <c r="P342" s="5">
        <v>1</v>
      </c>
      <c r="Q342" s="5">
        <v>1</v>
      </c>
      <c r="R342" s="5">
        <v>1</v>
      </c>
      <c r="S342" s="5">
        <v>0</v>
      </c>
      <c r="T342" s="5">
        <v>0</v>
      </c>
      <c r="U342" s="5">
        <v>0</v>
      </c>
      <c r="V342" s="5">
        <v>0</v>
      </c>
      <c r="W342" s="5">
        <v>1</v>
      </c>
      <c r="X342" s="22">
        <v>0</v>
      </c>
      <c r="Y342" s="5">
        <v>60000</v>
      </c>
      <c r="Z342" s="5" t="s">
        <v>902</v>
      </c>
    </row>
    <row r="343" spans="3:26" s="6" customFormat="1" ht="20.100000000000001" customHeight="1" x14ac:dyDescent="0.3">
      <c r="C343" s="6">
        <v>5002001</v>
      </c>
      <c r="D343" s="15" t="s">
        <v>541</v>
      </c>
      <c r="E343" s="6">
        <v>0</v>
      </c>
      <c r="F343" s="15">
        <v>15701001</v>
      </c>
      <c r="G343" s="14">
        <v>0</v>
      </c>
      <c r="H343" s="15">
        <v>60</v>
      </c>
      <c r="I343" s="6">
        <v>0</v>
      </c>
      <c r="J343" s="6">
        <v>0</v>
      </c>
      <c r="K343" s="6">
        <v>0</v>
      </c>
      <c r="L343" s="6">
        <v>1</v>
      </c>
      <c r="M343" s="6">
        <v>1</v>
      </c>
      <c r="N343" s="6">
        <v>0</v>
      </c>
      <c r="O343" s="6">
        <v>1</v>
      </c>
      <c r="P343" s="6">
        <v>1</v>
      </c>
      <c r="Q343" s="6">
        <v>1</v>
      </c>
      <c r="R343" s="6">
        <v>1</v>
      </c>
      <c r="S343" s="6">
        <v>0</v>
      </c>
      <c r="T343" s="6">
        <v>0</v>
      </c>
      <c r="U343" s="6">
        <v>0</v>
      </c>
      <c r="V343" s="6">
        <v>0</v>
      </c>
      <c r="W343" s="6">
        <v>1</v>
      </c>
      <c r="X343" s="24">
        <v>0</v>
      </c>
      <c r="Y343" s="6">
        <v>0</v>
      </c>
      <c r="Z343" s="40" t="s">
        <v>580</v>
      </c>
    </row>
    <row r="344" spans="3:26" s="6" customFormat="1" ht="20.100000000000001" customHeight="1" x14ac:dyDescent="0.3">
      <c r="C344" s="6">
        <v>5002002</v>
      </c>
      <c r="D344" s="15" t="s">
        <v>543</v>
      </c>
      <c r="E344" s="6">
        <v>0</v>
      </c>
      <c r="F344" s="15">
        <v>15701002</v>
      </c>
      <c r="G344" s="14">
        <v>0</v>
      </c>
      <c r="H344" s="15">
        <v>60</v>
      </c>
      <c r="I344" s="6">
        <v>0</v>
      </c>
      <c r="J344" s="6">
        <v>0</v>
      </c>
      <c r="K344" s="6">
        <v>0</v>
      </c>
      <c r="L344" s="6">
        <v>1</v>
      </c>
      <c r="M344" s="6">
        <v>1</v>
      </c>
      <c r="N344" s="6">
        <v>0</v>
      </c>
      <c r="O344" s="6">
        <v>1</v>
      </c>
      <c r="P344" s="6">
        <v>1</v>
      </c>
      <c r="Q344" s="6">
        <v>1</v>
      </c>
      <c r="R344" s="6">
        <v>1</v>
      </c>
      <c r="S344" s="6">
        <v>0</v>
      </c>
      <c r="T344" s="6">
        <v>0</v>
      </c>
      <c r="U344" s="6">
        <v>0</v>
      </c>
      <c r="V344" s="6">
        <v>0</v>
      </c>
      <c r="W344" s="6">
        <v>1</v>
      </c>
      <c r="X344" s="24">
        <v>0</v>
      </c>
      <c r="Y344" s="6">
        <v>0</v>
      </c>
      <c r="Z344" s="40" t="s">
        <v>581</v>
      </c>
    </row>
    <row r="345" spans="3:26" s="6" customFormat="1" ht="20.100000000000001" customHeight="1" x14ac:dyDescent="0.3">
      <c r="C345" s="6">
        <v>5002003</v>
      </c>
      <c r="D345" s="15" t="s">
        <v>544</v>
      </c>
      <c r="E345" s="6">
        <v>0</v>
      </c>
      <c r="F345" s="15">
        <v>15701003</v>
      </c>
      <c r="G345" s="14">
        <v>0</v>
      </c>
      <c r="H345" s="15">
        <v>60</v>
      </c>
      <c r="I345" s="6">
        <v>0</v>
      </c>
      <c r="J345" s="6">
        <v>0</v>
      </c>
      <c r="K345" s="6">
        <v>0</v>
      </c>
      <c r="L345" s="6">
        <v>1</v>
      </c>
      <c r="M345" s="6">
        <v>1</v>
      </c>
      <c r="N345" s="6">
        <v>0</v>
      </c>
      <c r="O345" s="6">
        <v>1</v>
      </c>
      <c r="P345" s="6">
        <v>1</v>
      </c>
      <c r="Q345" s="6">
        <v>1</v>
      </c>
      <c r="R345" s="6">
        <v>1</v>
      </c>
      <c r="S345" s="6">
        <v>0</v>
      </c>
      <c r="T345" s="6">
        <v>0</v>
      </c>
      <c r="U345" s="6">
        <v>0</v>
      </c>
      <c r="V345" s="6">
        <v>0</v>
      </c>
      <c r="W345" s="6">
        <v>1</v>
      </c>
      <c r="X345" s="24">
        <v>0</v>
      </c>
      <c r="Y345" s="6">
        <v>0</v>
      </c>
      <c r="Z345" s="40" t="s">
        <v>582</v>
      </c>
    </row>
    <row r="346" spans="3:26" s="6" customFormat="1" ht="20.100000000000001" customHeight="1" x14ac:dyDescent="0.3">
      <c r="C346" s="6">
        <v>5002011</v>
      </c>
      <c r="D346" s="15" t="s">
        <v>545</v>
      </c>
      <c r="E346" s="6">
        <v>0</v>
      </c>
      <c r="F346" s="15">
        <v>15702001</v>
      </c>
      <c r="G346" s="14">
        <v>0</v>
      </c>
      <c r="H346" s="15">
        <v>60</v>
      </c>
      <c r="I346" s="6">
        <v>0</v>
      </c>
      <c r="J346" s="6">
        <v>0</v>
      </c>
      <c r="K346" s="6">
        <v>0</v>
      </c>
      <c r="L346" s="6">
        <v>1</v>
      </c>
      <c r="M346" s="6">
        <v>1</v>
      </c>
      <c r="N346" s="6">
        <v>0</v>
      </c>
      <c r="O346" s="6">
        <v>1</v>
      </c>
      <c r="P346" s="6">
        <v>1</v>
      </c>
      <c r="Q346" s="6">
        <v>1</v>
      </c>
      <c r="R346" s="6">
        <v>1</v>
      </c>
      <c r="S346" s="6">
        <v>0</v>
      </c>
      <c r="T346" s="6">
        <v>0</v>
      </c>
      <c r="U346" s="6">
        <v>0</v>
      </c>
      <c r="V346" s="6">
        <v>0</v>
      </c>
      <c r="W346" s="6">
        <v>1</v>
      </c>
      <c r="X346" s="24">
        <v>0</v>
      </c>
      <c r="Y346" s="6">
        <v>0</v>
      </c>
      <c r="Z346" s="40" t="s">
        <v>583</v>
      </c>
    </row>
    <row r="347" spans="3:26" s="6" customFormat="1" ht="20.100000000000001" customHeight="1" x14ac:dyDescent="0.3">
      <c r="C347" s="6">
        <v>5002012</v>
      </c>
      <c r="D347" s="15" t="s">
        <v>546</v>
      </c>
      <c r="E347" s="6">
        <v>0</v>
      </c>
      <c r="F347" s="15">
        <v>15702002</v>
      </c>
      <c r="G347" s="14">
        <v>0</v>
      </c>
      <c r="H347" s="15">
        <v>60</v>
      </c>
      <c r="I347" s="6">
        <v>0</v>
      </c>
      <c r="J347" s="6">
        <v>0</v>
      </c>
      <c r="K347" s="6">
        <v>0</v>
      </c>
      <c r="L347" s="6">
        <v>1</v>
      </c>
      <c r="M347" s="6">
        <v>1</v>
      </c>
      <c r="N347" s="6">
        <v>0</v>
      </c>
      <c r="O347" s="6">
        <v>1</v>
      </c>
      <c r="P347" s="6">
        <v>1</v>
      </c>
      <c r="Q347" s="6">
        <v>1</v>
      </c>
      <c r="R347" s="6">
        <v>1</v>
      </c>
      <c r="S347" s="6">
        <v>0</v>
      </c>
      <c r="T347" s="6">
        <v>0</v>
      </c>
      <c r="U347" s="6">
        <v>0</v>
      </c>
      <c r="V347" s="6">
        <v>0</v>
      </c>
      <c r="W347" s="6">
        <v>1</v>
      </c>
      <c r="X347" s="24">
        <v>0</v>
      </c>
      <c r="Y347" s="6">
        <v>0</v>
      </c>
      <c r="Z347" s="40" t="s">
        <v>584</v>
      </c>
    </row>
    <row r="348" spans="3:26" s="6" customFormat="1" ht="20.100000000000001" customHeight="1" x14ac:dyDescent="0.3">
      <c r="C348" s="6">
        <v>5002013</v>
      </c>
      <c r="D348" s="15" t="s">
        <v>547</v>
      </c>
      <c r="E348" s="6">
        <v>0</v>
      </c>
      <c r="F348" s="15">
        <v>15702003</v>
      </c>
      <c r="G348" s="14">
        <v>0</v>
      </c>
      <c r="H348" s="15">
        <v>60</v>
      </c>
      <c r="I348" s="6">
        <v>0</v>
      </c>
      <c r="J348" s="6">
        <v>0</v>
      </c>
      <c r="K348" s="6">
        <v>0</v>
      </c>
      <c r="L348" s="6">
        <v>1</v>
      </c>
      <c r="M348" s="6">
        <v>1</v>
      </c>
      <c r="N348" s="6">
        <v>0</v>
      </c>
      <c r="O348" s="6">
        <v>1</v>
      </c>
      <c r="P348" s="6">
        <v>1</v>
      </c>
      <c r="Q348" s="6">
        <v>1</v>
      </c>
      <c r="R348" s="6">
        <v>1</v>
      </c>
      <c r="S348" s="6">
        <v>0</v>
      </c>
      <c r="T348" s="6">
        <v>0</v>
      </c>
      <c r="U348" s="6">
        <v>0</v>
      </c>
      <c r="V348" s="6">
        <v>0</v>
      </c>
      <c r="W348" s="6">
        <v>1</v>
      </c>
      <c r="X348" s="24">
        <v>0</v>
      </c>
      <c r="Y348" s="6">
        <v>0</v>
      </c>
      <c r="Z348" s="40" t="s">
        <v>585</v>
      </c>
    </row>
    <row r="349" spans="3:26" s="6" customFormat="1" ht="20.100000000000001" customHeight="1" x14ac:dyDescent="0.3">
      <c r="C349" s="6">
        <v>5002021</v>
      </c>
      <c r="D349" s="15" t="s">
        <v>548</v>
      </c>
      <c r="E349" s="6">
        <v>0</v>
      </c>
      <c r="F349" s="15">
        <v>15703001</v>
      </c>
      <c r="G349" s="14">
        <v>0</v>
      </c>
      <c r="H349" s="15">
        <v>60</v>
      </c>
      <c r="I349" s="6">
        <v>0</v>
      </c>
      <c r="J349" s="6">
        <v>0</v>
      </c>
      <c r="K349" s="6">
        <v>0</v>
      </c>
      <c r="L349" s="6">
        <v>1</v>
      </c>
      <c r="M349" s="6">
        <v>1</v>
      </c>
      <c r="N349" s="6">
        <v>0</v>
      </c>
      <c r="O349" s="6">
        <v>1</v>
      </c>
      <c r="P349" s="6">
        <v>1</v>
      </c>
      <c r="Q349" s="6">
        <v>1</v>
      </c>
      <c r="R349" s="6">
        <v>1</v>
      </c>
      <c r="S349" s="6">
        <v>0</v>
      </c>
      <c r="T349" s="6">
        <v>0</v>
      </c>
      <c r="U349" s="6">
        <v>0</v>
      </c>
      <c r="V349" s="6">
        <v>0</v>
      </c>
      <c r="W349" s="6">
        <v>1</v>
      </c>
      <c r="X349" s="24">
        <v>0</v>
      </c>
      <c r="Y349" s="6">
        <v>0</v>
      </c>
      <c r="Z349" s="40" t="s">
        <v>586</v>
      </c>
    </row>
    <row r="350" spans="3:26" s="6" customFormat="1" ht="20.100000000000001" customHeight="1" x14ac:dyDescent="0.3">
      <c r="C350" s="6">
        <v>5002022</v>
      </c>
      <c r="D350" s="15" t="s">
        <v>549</v>
      </c>
      <c r="E350" s="6">
        <v>0</v>
      </c>
      <c r="F350" s="15">
        <v>15703002</v>
      </c>
      <c r="G350" s="14">
        <v>0</v>
      </c>
      <c r="H350" s="15">
        <v>60</v>
      </c>
      <c r="I350" s="6">
        <v>0</v>
      </c>
      <c r="J350" s="6">
        <v>0</v>
      </c>
      <c r="K350" s="6">
        <v>0</v>
      </c>
      <c r="L350" s="6">
        <v>1</v>
      </c>
      <c r="M350" s="6">
        <v>1</v>
      </c>
      <c r="N350" s="6">
        <v>0</v>
      </c>
      <c r="O350" s="6">
        <v>1</v>
      </c>
      <c r="P350" s="6">
        <v>1</v>
      </c>
      <c r="Q350" s="6">
        <v>1</v>
      </c>
      <c r="R350" s="6">
        <v>1</v>
      </c>
      <c r="S350" s="6">
        <v>0</v>
      </c>
      <c r="T350" s="6">
        <v>0</v>
      </c>
      <c r="U350" s="6">
        <v>0</v>
      </c>
      <c r="V350" s="6">
        <v>0</v>
      </c>
      <c r="W350" s="6">
        <v>1</v>
      </c>
      <c r="X350" s="24">
        <v>0</v>
      </c>
      <c r="Y350" s="6">
        <v>0</v>
      </c>
      <c r="Z350" s="40" t="s">
        <v>587</v>
      </c>
    </row>
    <row r="351" spans="3:26" s="6" customFormat="1" ht="20.100000000000001" customHeight="1" x14ac:dyDescent="0.3">
      <c r="C351" s="6">
        <v>5002023</v>
      </c>
      <c r="D351" s="15" t="s">
        <v>550</v>
      </c>
      <c r="E351" s="6">
        <v>0</v>
      </c>
      <c r="F351" s="15">
        <v>15703003</v>
      </c>
      <c r="G351" s="14">
        <v>0</v>
      </c>
      <c r="H351" s="15">
        <v>60</v>
      </c>
      <c r="I351" s="6">
        <v>0</v>
      </c>
      <c r="J351" s="6">
        <v>0</v>
      </c>
      <c r="K351" s="6">
        <v>0</v>
      </c>
      <c r="L351" s="6">
        <v>1</v>
      </c>
      <c r="M351" s="6">
        <v>1</v>
      </c>
      <c r="N351" s="6">
        <v>0</v>
      </c>
      <c r="O351" s="6">
        <v>1</v>
      </c>
      <c r="P351" s="6">
        <v>1</v>
      </c>
      <c r="Q351" s="6">
        <v>1</v>
      </c>
      <c r="R351" s="6">
        <v>1</v>
      </c>
      <c r="S351" s="6">
        <v>0</v>
      </c>
      <c r="T351" s="6">
        <v>0</v>
      </c>
      <c r="U351" s="6">
        <v>0</v>
      </c>
      <c r="V351" s="6">
        <v>0</v>
      </c>
      <c r="W351" s="6">
        <v>1</v>
      </c>
      <c r="X351" s="24">
        <v>0</v>
      </c>
      <c r="Y351" s="6">
        <v>0</v>
      </c>
      <c r="Z351" s="40" t="s">
        <v>588</v>
      </c>
    </row>
    <row r="352" spans="3:26" s="6" customFormat="1" ht="20.100000000000001" customHeight="1" x14ac:dyDescent="0.3">
      <c r="C352" s="6">
        <v>5002031</v>
      </c>
      <c r="D352" s="15" t="s">
        <v>551</v>
      </c>
      <c r="E352" s="6">
        <v>0</v>
      </c>
      <c r="F352" s="15">
        <v>15704001</v>
      </c>
      <c r="G352" s="14">
        <v>0</v>
      </c>
      <c r="H352" s="15">
        <v>60</v>
      </c>
      <c r="I352" s="6">
        <v>0</v>
      </c>
      <c r="J352" s="6">
        <v>0</v>
      </c>
      <c r="K352" s="6">
        <v>0</v>
      </c>
      <c r="L352" s="6">
        <v>1</v>
      </c>
      <c r="M352" s="6">
        <v>1</v>
      </c>
      <c r="N352" s="6">
        <v>0</v>
      </c>
      <c r="O352" s="6">
        <v>1</v>
      </c>
      <c r="P352" s="6">
        <v>1</v>
      </c>
      <c r="Q352" s="6">
        <v>1</v>
      </c>
      <c r="R352" s="6">
        <v>1</v>
      </c>
      <c r="S352" s="6">
        <v>0</v>
      </c>
      <c r="T352" s="6">
        <v>0</v>
      </c>
      <c r="U352" s="6">
        <v>0</v>
      </c>
      <c r="V352" s="6">
        <v>0</v>
      </c>
      <c r="W352" s="6">
        <v>1</v>
      </c>
      <c r="X352" s="24">
        <v>0</v>
      </c>
      <c r="Y352" s="6">
        <v>0</v>
      </c>
      <c r="Z352" s="40" t="s">
        <v>589</v>
      </c>
    </row>
    <row r="353" spans="3:26" s="6" customFormat="1" ht="20.100000000000001" customHeight="1" x14ac:dyDescent="0.3">
      <c r="C353" s="6">
        <v>5002032</v>
      </c>
      <c r="D353" s="15" t="s">
        <v>552</v>
      </c>
      <c r="E353" s="6">
        <v>0</v>
      </c>
      <c r="F353" s="15">
        <v>15704002</v>
      </c>
      <c r="G353" s="14">
        <v>0</v>
      </c>
      <c r="H353" s="15">
        <v>60</v>
      </c>
      <c r="I353" s="6">
        <v>0</v>
      </c>
      <c r="J353" s="6">
        <v>0</v>
      </c>
      <c r="K353" s="6">
        <v>0</v>
      </c>
      <c r="L353" s="6">
        <v>1</v>
      </c>
      <c r="M353" s="6">
        <v>1</v>
      </c>
      <c r="N353" s="6">
        <v>0</v>
      </c>
      <c r="O353" s="6">
        <v>1</v>
      </c>
      <c r="P353" s="6">
        <v>1</v>
      </c>
      <c r="Q353" s="6">
        <v>1</v>
      </c>
      <c r="R353" s="6">
        <v>1</v>
      </c>
      <c r="S353" s="6">
        <v>0</v>
      </c>
      <c r="T353" s="6">
        <v>0</v>
      </c>
      <c r="U353" s="6">
        <v>0</v>
      </c>
      <c r="V353" s="6">
        <v>0</v>
      </c>
      <c r="W353" s="6">
        <v>1</v>
      </c>
      <c r="X353" s="24">
        <v>0</v>
      </c>
      <c r="Y353" s="6">
        <v>0</v>
      </c>
      <c r="Z353" s="40" t="s">
        <v>590</v>
      </c>
    </row>
    <row r="354" spans="3:26" s="6" customFormat="1" ht="20.100000000000001" customHeight="1" x14ac:dyDescent="0.3">
      <c r="C354" s="6">
        <v>5002033</v>
      </c>
      <c r="D354" s="15" t="s">
        <v>553</v>
      </c>
      <c r="E354" s="6">
        <v>0</v>
      </c>
      <c r="F354" s="15">
        <v>15704003</v>
      </c>
      <c r="G354" s="14">
        <v>0</v>
      </c>
      <c r="H354" s="15">
        <v>60</v>
      </c>
      <c r="I354" s="6">
        <v>0</v>
      </c>
      <c r="J354" s="6">
        <v>0</v>
      </c>
      <c r="K354" s="6">
        <v>0</v>
      </c>
      <c r="L354" s="6">
        <v>1</v>
      </c>
      <c r="M354" s="6">
        <v>1</v>
      </c>
      <c r="N354" s="6">
        <v>0</v>
      </c>
      <c r="O354" s="6">
        <v>1</v>
      </c>
      <c r="P354" s="6">
        <v>1</v>
      </c>
      <c r="Q354" s="6">
        <v>1</v>
      </c>
      <c r="R354" s="6">
        <v>1</v>
      </c>
      <c r="S354" s="6">
        <v>0</v>
      </c>
      <c r="T354" s="6">
        <v>0</v>
      </c>
      <c r="U354" s="6">
        <v>0</v>
      </c>
      <c r="V354" s="6">
        <v>0</v>
      </c>
      <c r="W354" s="6">
        <v>1</v>
      </c>
      <c r="X354" s="24">
        <v>0</v>
      </c>
      <c r="Y354" s="6">
        <v>0</v>
      </c>
      <c r="Z354" s="40" t="s">
        <v>591</v>
      </c>
    </row>
    <row r="355" spans="3:26" s="6" customFormat="1" ht="20.100000000000001" customHeight="1" x14ac:dyDescent="0.3">
      <c r="C355" s="6">
        <v>5002041</v>
      </c>
      <c r="D355" s="15" t="s">
        <v>554</v>
      </c>
      <c r="E355" s="6">
        <v>0</v>
      </c>
      <c r="F355" s="15">
        <v>15705001</v>
      </c>
      <c r="G355" s="14">
        <v>0</v>
      </c>
      <c r="H355" s="15">
        <v>60</v>
      </c>
      <c r="I355" s="6">
        <v>0</v>
      </c>
      <c r="J355" s="6">
        <v>0</v>
      </c>
      <c r="K355" s="6">
        <v>0</v>
      </c>
      <c r="L355" s="6">
        <v>1</v>
      </c>
      <c r="M355" s="6">
        <v>1</v>
      </c>
      <c r="N355" s="6">
        <v>0</v>
      </c>
      <c r="O355" s="6">
        <v>1</v>
      </c>
      <c r="P355" s="6">
        <v>1</v>
      </c>
      <c r="Q355" s="6">
        <v>1</v>
      </c>
      <c r="R355" s="6">
        <v>1</v>
      </c>
      <c r="S355" s="6">
        <v>0</v>
      </c>
      <c r="T355" s="6">
        <v>0</v>
      </c>
      <c r="U355" s="6">
        <v>0</v>
      </c>
      <c r="V355" s="6">
        <v>0</v>
      </c>
      <c r="W355" s="6">
        <v>1</v>
      </c>
      <c r="X355" s="24">
        <v>0</v>
      </c>
      <c r="Y355" s="6">
        <v>0</v>
      </c>
      <c r="Z355" s="40" t="s">
        <v>592</v>
      </c>
    </row>
    <row r="356" spans="3:26" s="6" customFormat="1" ht="20.100000000000001" customHeight="1" x14ac:dyDescent="0.3">
      <c r="C356" s="6">
        <v>5002042</v>
      </c>
      <c r="D356" s="15" t="s">
        <v>555</v>
      </c>
      <c r="E356" s="6">
        <v>0</v>
      </c>
      <c r="F356" s="15">
        <v>15705002</v>
      </c>
      <c r="G356" s="14">
        <v>0</v>
      </c>
      <c r="H356" s="15">
        <v>60</v>
      </c>
      <c r="I356" s="6">
        <v>0</v>
      </c>
      <c r="J356" s="6">
        <v>0</v>
      </c>
      <c r="K356" s="6">
        <v>0</v>
      </c>
      <c r="L356" s="6">
        <v>1</v>
      </c>
      <c r="M356" s="6">
        <v>1</v>
      </c>
      <c r="N356" s="6">
        <v>0</v>
      </c>
      <c r="O356" s="6">
        <v>1</v>
      </c>
      <c r="P356" s="6">
        <v>1</v>
      </c>
      <c r="Q356" s="6">
        <v>1</v>
      </c>
      <c r="R356" s="6">
        <v>1</v>
      </c>
      <c r="S356" s="6">
        <v>0</v>
      </c>
      <c r="T356" s="6">
        <v>0</v>
      </c>
      <c r="U356" s="6">
        <v>0</v>
      </c>
      <c r="V356" s="6">
        <v>0</v>
      </c>
      <c r="W356" s="6">
        <v>1</v>
      </c>
      <c r="X356" s="24">
        <v>0</v>
      </c>
      <c r="Y356" s="6">
        <v>0</v>
      </c>
      <c r="Z356" s="40" t="s">
        <v>593</v>
      </c>
    </row>
    <row r="357" spans="3:26" s="6" customFormat="1" ht="20.100000000000001" customHeight="1" x14ac:dyDescent="0.3">
      <c r="C357" s="6">
        <v>5002043</v>
      </c>
      <c r="D357" s="15" t="s">
        <v>556</v>
      </c>
      <c r="E357" s="6">
        <v>0</v>
      </c>
      <c r="F357" s="15">
        <v>15705003</v>
      </c>
      <c r="G357" s="14">
        <v>0</v>
      </c>
      <c r="H357" s="15">
        <v>60</v>
      </c>
      <c r="I357" s="6">
        <v>0</v>
      </c>
      <c r="J357" s="6">
        <v>0</v>
      </c>
      <c r="K357" s="6">
        <v>0</v>
      </c>
      <c r="L357" s="6">
        <v>1</v>
      </c>
      <c r="M357" s="6">
        <v>1</v>
      </c>
      <c r="N357" s="6">
        <v>0</v>
      </c>
      <c r="O357" s="6">
        <v>1</v>
      </c>
      <c r="P357" s="6">
        <v>1</v>
      </c>
      <c r="Q357" s="6">
        <v>1</v>
      </c>
      <c r="R357" s="6">
        <v>1</v>
      </c>
      <c r="S357" s="6">
        <v>0</v>
      </c>
      <c r="T357" s="6">
        <v>0</v>
      </c>
      <c r="U357" s="6">
        <v>0</v>
      </c>
      <c r="V357" s="6">
        <v>0</v>
      </c>
      <c r="W357" s="6">
        <v>1</v>
      </c>
      <c r="X357" s="24">
        <v>0</v>
      </c>
      <c r="Y357" s="6">
        <v>0</v>
      </c>
      <c r="Z357" s="40" t="s">
        <v>594</v>
      </c>
    </row>
    <row r="358" spans="3:26" s="6" customFormat="1" ht="20.100000000000001" customHeight="1" x14ac:dyDescent="0.3">
      <c r="C358" s="6">
        <v>5002051</v>
      </c>
      <c r="D358" s="15" t="s">
        <v>557</v>
      </c>
      <c r="E358" s="6">
        <v>0</v>
      </c>
      <c r="F358" s="15">
        <v>15706001</v>
      </c>
      <c r="G358" s="14">
        <v>0</v>
      </c>
      <c r="H358" s="15">
        <v>60</v>
      </c>
      <c r="I358" s="6">
        <v>0</v>
      </c>
      <c r="J358" s="6">
        <v>0</v>
      </c>
      <c r="K358" s="6">
        <v>0</v>
      </c>
      <c r="L358" s="6">
        <v>1</v>
      </c>
      <c r="M358" s="6">
        <v>1</v>
      </c>
      <c r="N358" s="6">
        <v>0</v>
      </c>
      <c r="O358" s="6">
        <v>1</v>
      </c>
      <c r="P358" s="6">
        <v>1</v>
      </c>
      <c r="Q358" s="6">
        <v>1</v>
      </c>
      <c r="R358" s="6">
        <v>1</v>
      </c>
      <c r="S358" s="6">
        <v>0</v>
      </c>
      <c r="T358" s="6">
        <v>0</v>
      </c>
      <c r="U358" s="6">
        <v>0</v>
      </c>
      <c r="V358" s="6">
        <v>0</v>
      </c>
      <c r="W358" s="6">
        <v>1</v>
      </c>
      <c r="X358" s="24">
        <v>0</v>
      </c>
      <c r="Y358" s="6">
        <v>0</v>
      </c>
      <c r="Z358" s="40" t="s">
        <v>595</v>
      </c>
    </row>
    <row r="359" spans="3:26" s="6" customFormat="1" ht="20.100000000000001" customHeight="1" x14ac:dyDescent="0.3">
      <c r="C359" s="6">
        <v>5002052</v>
      </c>
      <c r="D359" s="15" t="s">
        <v>559</v>
      </c>
      <c r="E359" s="6">
        <v>0</v>
      </c>
      <c r="F359" s="15">
        <v>15707001</v>
      </c>
      <c r="G359" s="14">
        <v>0</v>
      </c>
      <c r="H359" s="15">
        <v>60</v>
      </c>
      <c r="I359" s="6">
        <v>0</v>
      </c>
      <c r="J359" s="6">
        <v>0</v>
      </c>
      <c r="K359" s="6">
        <v>0</v>
      </c>
      <c r="L359" s="6">
        <v>1</v>
      </c>
      <c r="M359" s="6">
        <v>1</v>
      </c>
      <c r="N359" s="6">
        <v>0</v>
      </c>
      <c r="O359" s="6">
        <v>1</v>
      </c>
      <c r="P359" s="6">
        <v>1</v>
      </c>
      <c r="Q359" s="6">
        <v>1</v>
      </c>
      <c r="R359" s="6">
        <v>1</v>
      </c>
      <c r="S359" s="6">
        <v>0</v>
      </c>
      <c r="T359" s="6">
        <v>0</v>
      </c>
      <c r="U359" s="6">
        <v>0</v>
      </c>
      <c r="V359" s="6">
        <v>0</v>
      </c>
      <c r="W359" s="6">
        <v>1</v>
      </c>
      <c r="X359" s="24">
        <v>0</v>
      </c>
      <c r="Y359" s="6">
        <v>0</v>
      </c>
      <c r="Z359" s="40" t="s">
        <v>596</v>
      </c>
    </row>
    <row r="360" spans="3:26" s="6" customFormat="1" ht="20.100000000000001" customHeight="1" x14ac:dyDescent="0.3">
      <c r="C360" s="6">
        <v>5002061</v>
      </c>
      <c r="D360" s="15" t="s">
        <v>560</v>
      </c>
      <c r="E360" s="6">
        <v>0</v>
      </c>
      <c r="F360" s="15">
        <v>15708001</v>
      </c>
      <c r="G360" s="14">
        <v>0</v>
      </c>
      <c r="H360" s="15">
        <v>60</v>
      </c>
      <c r="I360" s="6">
        <v>0</v>
      </c>
      <c r="J360" s="6">
        <v>0</v>
      </c>
      <c r="K360" s="6">
        <v>0</v>
      </c>
      <c r="L360" s="6">
        <v>1</v>
      </c>
      <c r="M360" s="6">
        <v>1</v>
      </c>
      <c r="N360" s="6">
        <v>0</v>
      </c>
      <c r="O360" s="6">
        <v>1</v>
      </c>
      <c r="P360" s="6">
        <v>1</v>
      </c>
      <c r="Q360" s="6">
        <v>1</v>
      </c>
      <c r="R360" s="6">
        <v>1</v>
      </c>
      <c r="S360" s="6">
        <v>0</v>
      </c>
      <c r="T360" s="6">
        <v>0</v>
      </c>
      <c r="U360" s="6">
        <v>0</v>
      </c>
      <c r="V360" s="6">
        <v>0</v>
      </c>
      <c r="W360" s="6">
        <v>1</v>
      </c>
      <c r="X360" s="24">
        <v>0</v>
      </c>
      <c r="Y360" s="6">
        <v>0</v>
      </c>
      <c r="Z360" s="40" t="s">
        <v>597</v>
      </c>
    </row>
    <row r="361" spans="3:26" s="6" customFormat="1" ht="20.100000000000001" customHeight="1" x14ac:dyDescent="0.3">
      <c r="C361" s="6">
        <v>5002062</v>
      </c>
      <c r="D361" s="15" t="s">
        <v>561</v>
      </c>
      <c r="E361" s="6">
        <v>0</v>
      </c>
      <c r="F361" s="15">
        <v>15709001</v>
      </c>
      <c r="G361" s="14">
        <v>0</v>
      </c>
      <c r="H361" s="15">
        <v>60</v>
      </c>
      <c r="I361" s="6">
        <v>0</v>
      </c>
      <c r="J361" s="6">
        <v>0</v>
      </c>
      <c r="K361" s="6">
        <v>0</v>
      </c>
      <c r="L361" s="6">
        <v>1</v>
      </c>
      <c r="M361" s="6">
        <v>1</v>
      </c>
      <c r="N361" s="6">
        <v>0</v>
      </c>
      <c r="O361" s="6">
        <v>1</v>
      </c>
      <c r="P361" s="6">
        <v>1</v>
      </c>
      <c r="Q361" s="6">
        <v>1</v>
      </c>
      <c r="R361" s="6">
        <v>1</v>
      </c>
      <c r="S361" s="6">
        <v>0</v>
      </c>
      <c r="T361" s="6">
        <v>0</v>
      </c>
      <c r="U361" s="6">
        <v>0</v>
      </c>
      <c r="V361" s="6">
        <v>0</v>
      </c>
      <c r="W361" s="6">
        <v>1</v>
      </c>
      <c r="X361" s="24">
        <v>0</v>
      </c>
      <c r="Y361" s="6">
        <v>0</v>
      </c>
      <c r="Z361" s="40" t="s">
        <v>598</v>
      </c>
    </row>
    <row r="362" spans="3:26" s="6" customFormat="1" ht="20.100000000000001" customHeight="1" x14ac:dyDescent="0.3">
      <c r="C362" s="6">
        <v>5002071</v>
      </c>
      <c r="D362" s="15" t="s">
        <v>562</v>
      </c>
      <c r="E362" s="6">
        <v>0</v>
      </c>
      <c r="F362" s="15">
        <v>15710001</v>
      </c>
      <c r="G362" s="14">
        <v>0</v>
      </c>
      <c r="H362" s="15">
        <v>60</v>
      </c>
      <c r="I362" s="6">
        <v>0</v>
      </c>
      <c r="J362" s="6">
        <v>0</v>
      </c>
      <c r="K362" s="6">
        <v>0</v>
      </c>
      <c r="L362" s="6">
        <v>1</v>
      </c>
      <c r="M362" s="6">
        <v>1</v>
      </c>
      <c r="N362" s="6">
        <v>0</v>
      </c>
      <c r="O362" s="6">
        <v>1</v>
      </c>
      <c r="P362" s="6">
        <v>1</v>
      </c>
      <c r="Q362" s="6">
        <v>1</v>
      </c>
      <c r="R362" s="6">
        <v>1</v>
      </c>
      <c r="S362" s="6">
        <v>0</v>
      </c>
      <c r="T362" s="6">
        <v>0</v>
      </c>
      <c r="U362" s="6">
        <v>0</v>
      </c>
      <c r="V362" s="6">
        <v>0</v>
      </c>
      <c r="W362" s="6">
        <v>1</v>
      </c>
      <c r="X362" s="24">
        <v>0</v>
      </c>
      <c r="Y362" s="6">
        <v>0</v>
      </c>
      <c r="Z362" s="40" t="s">
        <v>599</v>
      </c>
    </row>
    <row r="363" spans="3:26" s="6" customFormat="1" ht="20.100000000000001" customHeight="1" x14ac:dyDescent="0.3">
      <c r="C363" s="6">
        <v>5002072</v>
      </c>
      <c r="D363" s="15" t="s">
        <v>564</v>
      </c>
      <c r="E363" s="6">
        <v>0</v>
      </c>
      <c r="F363" s="15">
        <v>15710002</v>
      </c>
      <c r="G363" s="14">
        <v>0</v>
      </c>
      <c r="H363" s="15">
        <v>60</v>
      </c>
      <c r="I363" s="6">
        <v>0</v>
      </c>
      <c r="J363" s="6">
        <v>0</v>
      </c>
      <c r="K363" s="6">
        <v>0</v>
      </c>
      <c r="L363" s="6">
        <v>1</v>
      </c>
      <c r="M363" s="6">
        <v>1</v>
      </c>
      <c r="N363" s="6">
        <v>0</v>
      </c>
      <c r="O363" s="6">
        <v>1</v>
      </c>
      <c r="P363" s="6">
        <v>1</v>
      </c>
      <c r="Q363" s="6">
        <v>1</v>
      </c>
      <c r="R363" s="6">
        <v>1</v>
      </c>
      <c r="S363" s="6">
        <v>0</v>
      </c>
      <c r="T363" s="6">
        <v>0</v>
      </c>
      <c r="U363" s="6">
        <v>0</v>
      </c>
      <c r="V363" s="6">
        <v>0</v>
      </c>
      <c r="W363" s="6">
        <v>1</v>
      </c>
      <c r="X363" s="24">
        <v>0</v>
      </c>
      <c r="Y363" s="6">
        <v>0</v>
      </c>
      <c r="Z363" s="40" t="s">
        <v>600</v>
      </c>
    </row>
    <row r="364" spans="3:26" s="6" customFormat="1" ht="20.100000000000001" customHeight="1" x14ac:dyDescent="0.3">
      <c r="C364" s="6">
        <v>5002081</v>
      </c>
      <c r="D364" s="15" t="s">
        <v>565</v>
      </c>
      <c r="E364" s="6">
        <v>0</v>
      </c>
      <c r="F364" s="15">
        <v>15710101</v>
      </c>
      <c r="G364" s="14">
        <v>0</v>
      </c>
      <c r="H364" s="15">
        <v>60</v>
      </c>
      <c r="I364" s="6">
        <v>0</v>
      </c>
      <c r="J364" s="6">
        <v>0</v>
      </c>
      <c r="K364" s="6">
        <v>0</v>
      </c>
      <c r="L364" s="6">
        <v>1</v>
      </c>
      <c r="M364" s="6">
        <v>1</v>
      </c>
      <c r="N364" s="6">
        <v>0</v>
      </c>
      <c r="O364" s="6">
        <v>1</v>
      </c>
      <c r="P364" s="6">
        <v>1</v>
      </c>
      <c r="Q364" s="6">
        <v>1</v>
      </c>
      <c r="R364" s="6">
        <v>1</v>
      </c>
      <c r="S364" s="6">
        <v>0</v>
      </c>
      <c r="T364" s="6">
        <v>0</v>
      </c>
      <c r="U364" s="6">
        <v>0</v>
      </c>
      <c r="V364" s="6">
        <v>0</v>
      </c>
      <c r="W364" s="6">
        <v>1</v>
      </c>
      <c r="X364" s="24">
        <v>0</v>
      </c>
      <c r="Y364" s="6">
        <v>0</v>
      </c>
      <c r="Z364" s="40" t="s">
        <v>601</v>
      </c>
    </row>
    <row r="365" spans="3:26" s="6" customFormat="1" ht="20.100000000000001" customHeight="1" x14ac:dyDescent="0.3">
      <c r="C365" s="6">
        <v>5002082</v>
      </c>
      <c r="D365" s="15" t="s">
        <v>566</v>
      </c>
      <c r="E365" s="6">
        <v>0</v>
      </c>
      <c r="F365" s="15">
        <v>15710102</v>
      </c>
      <c r="G365" s="14">
        <v>0</v>
      </c>
      <c r="H365" s="15">
        <v>60</v>
      </c>
      <c r="I365" s="6">
        <v>0</v>
      </c>
      <c r="J365" s="6">
        <v>0</v>
      </c>
      <c r="K365" s="6">
        <v>0</v>
      </c>
      <c r="L365" s="6">
        <v>1</v>
      </c>
      <c r="M365" s="6">
        <v>1</v>
      </c>
      <c r="N365" s="6">
        <v>0</v>
      </c>
      <c r="O365" s="6">
        <v>1</v>
      </c>
      <c r="P365" s="6">
        <v>1</v>
      </c>
      <c r="Q365" s="6">
        <v>1</v>
      </c>
      <c r="R365" s="6">
        <v>1</v>
      </c>
      <c r="S365" s="6">
        <v>0</v>
      </c>
      <c r="T365" s="6">
        <v>0</v>
      </c>
      <c r="U365" s="6">
        <v>0</v>
      </c>
      <c r="V365" s="6">
        <v>0</v>
      </c>
      <c r="W365" s="6">
        <v>1</v>
      </c>
      <c r="X365" s="24">
        <v>0</v>
      </c>
      <c r="Y365" s="6">
        <v>0</v>
      </c>
      <c r="Z365" s="40" t="s">
        <v>602</v>
      </c>
    </row>
    <row r="366" spans="3:26" s="6" customFormat="1" ht="20.100000000000001" customHeight="1" x14ac:dyDescent="0.3">
      <c r="C366" s="6">
        <v>5002091</v>
      </c>
      <c r="D366" s="15" t="s">
        <v>567</v>
      </c>
      <c r="E366" s="6">
        <v>0</v>
      </c>
      <c r="F366" s="15">
        <v>15711001</v>
      </c>
      <c r="G366" s="14">
        <v>0</v>
      </c>
      <c r="H366" s="15">
        <v>60</v>
      </c>
      <c r="I366" s="6">
        <v>0</v>
      </c>
      <c r="J366" s="6">
        <v>0</v>
      </c>
      <c r="K366" s="6">
        <v>0</v>
      </c>
      <c r="L366" s="6">
        <v>1</v>
      </c>
      <c r="M366" s="6">
        <v>1</v>
      </c>
      <c r="N366" s="6">
        <v>0</v>
      </c>
      <c r="O366" s="6">
        <v>1</v>
      </c>
      <c r="P366" s="6">
        <v>1</v>
      </c>
      <c r="Q366" s="6">
        <v>1</v>
      </c>
      <c r="R366" s="6">
        <v>1</v>
      </c>
      <c r="S366" s="6">
        <v>0</v>
      </c>
      <c r="T366" s="6">
        <v>0</v>
      </c>
      <c r="U366" s="6">
        <v>0</v>
      </c>
      <c r="V366" s="6">
        <v>0</v>
      </c>
      <c r="W366" s="6">
        <v>1</v>
      </c>
      <c r="X366" s="24">
        <v>0</v>
      </c>
      <c r="Y366" s="6">
        <v>0</v>
      </c>
      <c r="Z366" s="40" t="s">
        <v>603</v>
      </c>
    </row>
    <row r="367" spans="3:26" s="6" customFormat="1" ht="20.100000000000001" customHeight="1" x14ac:dyDescent="0.3">
      <c r="C367" s="6">
        <v>5002092</v>
      </c>
      <c r="D367" s="15" t="s">
        <v>569</v>
      </c>
      <c r="E367" s="6">
        <v>0</v>
      </c>
      <c r="F367" s="15">
        <v>15711002</v>
      </c>
      <c r="G367" s="14">
        <v>0</v>
      </c>
      <c r="H367" s="15">
        <v>60</v>
      </c>
      <c r="I367" s="6">
        <v>0</v>
      </c>
      <c r="J367" s="6">
        <v>0</v>
      </c>
      <c r="K367" s="6">
        <v>0</v>
      </c>
      <c r="L367" s="6">
        <v>1</v>
      </c>
      <c r="M367" s="6">
        <v>1</v>
      </c>
      <c r="N367" s="6">
        <v>0</v>
      </c>
      <c r="O367" s="6">
        <v>1</v>
      </c>
      <c r="P367" s="6">
        <v>1</v>
      </c>
      <c r="Q367" s="6">
        <v>1</v>
      </c>
      <c r="R367" s="6">
        <v>1</v>
      </c>
      <c r="S367" s="6">
        <v>0</v>
      </c>
      <c r="T367" s="6">
        <v>0</v>
      </c>
      <c r="U367" s="6">
        <v>0</v>
      </c>
      <c r="V367" s="6">
        <v>0</v>
      </c>
      <c r="W367" s="6">
        <v>1</v>
      </c>
      <c r="X367" s="24">
        <v>0</v>
      </c>
      <c r="Y367" s="6">
        <v>0</v>
      </c>
      <c r="Z367" s="40" t="s">
        <v>604</v>
      </c>
    </row>
    <row r="368" spans="3:26" s="6" customFormat="1" ht="20.100000000000001" customHeight="1" x14ac:dyDescent="0.3">
      <c r="C368" s="6">
        <v>5002093</v>
      </c>
      <c r="D368" s="15" t="s">
        <v>570</v>
      </c>
      <c r="E368" s="6">
        <v>0</v>
      </c>
      <c r="F368" s="15">
        <v>15711003</v>
      </c>
      <c r="G368" s="14">
        <v>0</v>
      </c>
      <c r="H368" s="15">
        <v>60</v>
      </c>
      <c r="I368" s="6">
        <v>0</v>
      </c>
      <c r="J368" s="6">
        <v>0</v>
      </c>
      <c r="K368" s="6">
        <v>0</v>
      </c>
      <c r="L368" s="6">
        <v>1</v>
      </c>
      <c r="M368" s="6">
        <v>1</v>
      </c>
      <c r="N368" s="6">
        <v>0</v>
      </c>
      <c r="O368" s="6">
        <v>1</v>
      </c>
      <c r="P368" s="6">
        <v>1</v>
      </c>
      <c r="Q368" s="6">
        <v>1</v>
      </c>
      <c r="R368" s="6">
        <v>1</v>
      </c>
      <c r="S368" s="6">
        <v>0</v>
      </c>
      <c r="T368" s="6">
        <v>0</v>
      </c>
      <c r="U368" s="6">
        <v>0</v>
      </c>
      <c r="V368" s="6">
        <v>0</v>
      </c>
      <c r="W368" s="6">
        <v>1</v>
      </c>
      <c r="X368" s="24">
        <v>0</v>
      </c>
      <c r="Y368" s="6">
        <v>0</v>
      </c>
      <c r="Z368" s="40" t="s">
        <v>605</v>
      </c>
    </row>
    <row r="369" spans="3:26" s="6" customFormat="1" ht="20.100000000000001" customHeight="1" x14ac:dyDescent="0.3">
      <c r="C369" s="6">
        <v>5002101</v>
      </c>
      <c r="D369" s="15" t="s">
        <v>606</v>
      </c>
      <c r="E369" s="6">
        <v>0</v>
      </c>
      <c r="F369" s="15">
        <v>15710201</v>
      </c>
      <c r="G369" s="14">
        <v>0</v>
      </c>
      <c r="H369" s="15">
        <v>60</v>
      </c>
      <c r="I369" s="6">
        <v>0</v>
      </c>
      <c r="J369" s="6">
        <v>0</v>
      </c>
      <c r="K369" s="6">
        <v>0</v>
      </c>
      <c r="L369" s="6">
        <v>1</v>
      </c>
      <c r="M369" s="6">
        <v>1</v>
      </c>
      <c r="N369" s="6">
        <v>0</v>
      </c>
      <c r="O369" s="6">
        <v>1</v>
      </c>
      <c r="P369" s="6">
        <v>1</v>
      </c>
      <c r="Q369" s="6">
        <v>1</v>
      </c>
      <c r="R369" s="6">
        <v>1</v>
      </c>
      <c r="S369" s="6">
        <v>0</v>
      </c>
      <c r="T369" s="6">
        <v>0</v>
      </c>
      <c r="U369" s="6">
        <v>0</v>
      </c>
      <c r="V369" s="6">
        <v>0</v>
      </c>
      <c r="W369" s="6">
        <v>1</v>
      </c>
      <c r="X369" s="24">
        <v>0</v>
      </c>
      <c r="Y369" s="6">
        <v>0</v>
      </c>
      <c r="Z369" s="40" t="s">
        <v>607</v>
      </c>
    </row>
    <row r="370" spans="3:26" s="6" customFormat="1" ht="20.100000000000001" customHeight="1" x14ac:dyDescent="0.3">
      <c r="C370" s="6">
        <v>5003001</v>
      </c>
      <c r="D370" s="15" t="s">
        <v>541</v>
      </c>
      <c r="E370" s="6">
        <v>0</v>
      </c>
      <c r="F370" s="15">
        <v>15801001</v>
      </c>
      <c r="G370" s="14">
        <v>0</v>
      </c>
      <c r="H370" s="15">
        <v>60</v>
      </c>
      <c r="I370" s="6">
        <v>0</v>
      </c>
      <c r="J370" s="6">
        <v>0</v>
      </c>
      <c r="K370" s="6">
        <v>0</v>
      </c>
      <c r="L370" s="6">
        <v>1</v>
      </c>
      <c r="M370" s="6">
        <v>1</v>
      </c>
      <c r="N370" s="6">
        <v>0</v>
      </c>
      <c r="O370" s="6">
        <v>1</v>
      </c>
      <c r="P370" s="6">
        <v>1</v>
      </c>
      <c r="Q370" s="6">
        <v>1</v>
      </c>
      <c r="R370" s="6">
        <v>1</v>
      </c>
      <c r="S370" s="6">
        <v>0</v>
      </c>
      <c r="T370" s="6">
        <v>0</v>
      </c>
      <c r="U370" s="6">
        <v>0</v>
      </c>
      <c r="V370" s="6">
        <v>0</v>
      </c>
      <c r="W370" s="6">
        <v>1</v>
      </c>
      <c r="X370" s="24">
        <v>0</v>
      </c>
      <c r="Y370" s="6">
        <v>0</v>
      </c>
      <c r="Z370" s="40" t="s">
        <v>608</v>
      </c>
    </row>
    <row r="371" spans="3:26" s="6" customFormat="1" ht="20.100000000000001" customHeight="1" x14ac:dyDescent="0.3">
      <c r="C371" s="6">
        <v>5003002</v>
      </c>
      <c r="D371" s="15" t="s">
        <v>543</v>
      </c>
      <c r="E371" s="6">
        <v>0</v>
      </c>
      <c r="F371" s="15">
        <v>15801002</v>
      </c>
      <c r="G371" s="14">
        <v>0</v>
      </c>
      <c r="H371" s="15">
        <v>60</v>
      </c>
      <c r="I371" s="6">
        <v>0</v>
      </c>
      <c r="J371" s="6">
        <v>0</v>
      </c>
      <c r="K371" s="6">
        <v>0</v>
      </c>
      <c r="L371" s="6">
        <v>1</v>
      </c>
      <c r="M371" s="6">
        <v>1</v>
      </c>
      <c r="N371" s="6">
        <v>0</v>
      </c>
      <c r="O371" s="6">
        <v>1</v>
      </c>
      <c r="P371" s="6">
        <v>1</v>
      </c>
      <c r="Q371" s="6">
        <v>1</v>
      </c>
      <c r="R371" s="6">
        <v>1</v>
      </c>
      <c r="S371" s="6">
        <v>0</v>
      </c>
      <c r="T371" s="6">
        <v>0</v>
      </c>
      <c r="U371" s="6">
        <v>0</v>
      </c>
      <c r="V371" s="6">
        <v>0</v>
      </c>
      <c r="W371" s="6">
        <v>1</v>
      </c>
      <c r="X371" s="24">
        <v>0</v>
      </c>
      <c r="Y371" s="6">
        <v>0</v>
      </c>
      <c r="Z371" s="40" t="s">
        <v>609</v>
      </c>
    </row>
    <row r="372" spans="3:26" s="6" customFormat="1" ht="20.100000000000001" customHeight="1" x14ac:dyDescent="0.3">
      <c r="C372" s="6">
        <v>5003003</v>
      </c>
      <c r="D372" s="15" t="s">
        <v>544</v>
      </c>
      <c r="E372" s="6">
        <v>0</v>
      </c>
      <c r="F372" s="15">
        <v>15801003</v>
      </c>
      <c r="G372" s="14">
        <v>0</v>
      </c>
      <c r="H372" s="15">
        <v>60</v>
      </c>
      <c r="I372" s="6">
        <v>0</v>
      </c>
      <c r="J372" s="6">
        <v>0</v>
      </c>
      <c r="K372" s="6">
        <v>0</v>
      </c>
      <c r="L372" s="6">
        <v>1</v>
      </c>
      <c r="M372" s="6">
        <v>1</v>
      </c>
      <c r="N372" s="6">
        <v>0</v>
      </c>
      <c r="O372" s="6">
        <v>1</v>
      </c>
      <c r="P372" s="6">
        <v>1</v>
      </c>
      <c r="Q372" s="6">
        <v>1</v>
      </c>
      <c r="R372" s="6">
        <v>1</v>
      </c>
      <c r="S372" s="6">
        <v>0</v>
      </c>
      <c r="T372" s="6">
        <v>0</v>
      </c>
      <c r="U372" s="6">
        <v>0</v>
      </c>
      <c r="V372" s="6">
        <v>0</v>
      </c>
      <c r="W372" s="6">
        <v>1</v>
      </c>
      <c r="X372" s="24">
        <v>0</v>
      </c>
      <c r="Y372" s="6">
        <v>0</v>
      </c>
      <c r="Z372" s="40" t="s">
        <v>610</v>
      </c>
    </row>
    <row r="373" spans="3:26" s="6" customFormat="1" ht="20.100000000000001" customHeight="1" x14ac:dyDescent="0.3">
      <c r="C373" s="6">
        <v>5003011</v>
      </c>
      <c r="D373" s="15" t="s">
        <v>545</v>
      </c>
      <c r="E373" s="6">
        <v>0</v>
      </c>
      <c r="F373" s="15">
        <v>15802001</v>
      </c>
      <c r="G373" s="14">
        <v>0</v>
      </c>
      <c r="H373" s="15">
        <v>60</v>
      </c>
      <c r="I373" s="6">
        <v>0</v>
      </c>
      <c r="J373" s="6">
        <v>0</v>
      </c>
      <c r="K373" s="6">
        <v>0</v>
      </c>
      <c r="L373" s="6">
        <v>1</v>
      </c>
      <c r="M373" s="6">
        <v>1</v>
      </c>
      <c r="N373" s="6">
        <v>0</v>
      </c>
      <c r="O373" s="6">
        <v>1</v>
      </c>
      <c r="P373" s="6">
        <v>1</v>
      </c>
      <c r="Q373" s="6">
        <v>1</v>
      </c>
      <c r="R373" s="6">
        <v>1</v>
      </c>
      <c r="S373" s="6">
        <v>0</v>
      </c>
      <c r="T373" s="6">
        <v>0</v>
      </c>
      <c r="U373" s="6">
        <v>0</v>
      </c>
      <c r="V373" s="6">
        <v>0</v>
      </c>
      <c r="W373" s="6">
        <v>1</v>
      </c>
      <c r="X373" s="24">
        <v>0</v>
      </c>
      <c r="Y373" s="6">
        <v>0</v>
      </c>
      <c r="Z373" s="40" t="s">
        <v>611</v>
      </c>
    </row>
    <row r="374" spans="3:26" s="6" customFormat="1" ht="20.100000000000001" customHeight="1" x14ac:dyDescent="0.3">
      <c r="C374" s="6">
        <v>5003012</v>
      </c>
      <c r="D374" s="15" t="s">
        <v>546</v>
      </c>
      <c r="E374" s="6">
        <v>0</v>
      </c>
      <c r="F374" s="15">
        <v>15802002</v>
      </c>
      <c r="G374" s="14">
        <v>0</v>
      </c>
      <c r="H374" s="15">
        <v>60</v>
      </c>
      <c r="I374" s="6">
        <v>0</v>
      </c>
      <c r="J374" s="6">
        <v>0</v>
      </c>
      <c r="K374" s="6">
        <v>0</v>
      </c>
      <c r="L374" s="6">
        <v>1</v>
      </c>
      <c r="M374" s="6">
        <v>1</v>
      </c>
      <c r="N374" s="6">
        <v>0</v>
      </c>
      <c r="O374" s="6">
        <v>1</v>
      </c>
      <c r="P374" s="6">
        <v>1</v>
      </c>
      <c r="Q374" s="6">
        <v>1</v>
      </c>
      <c r="R374" s="6">
        <v>1</v>
      </c>
      <c r="S374" s="6">
        <v>0</v>
      </c>
      <c r="T374" s="6">
        <v>0</v>
      </c>
      <c r="U374" s="6">
        <v>0</v>
      </c>
      <c r="V374" s="6">
        <v>0</v>
      </c>
      <c r="W374" s="6">
        <v>1</v>
      </c>
      <c r="X374" s="24">
        <v>0</v>
      </c>
      <c r="Y374" s="6">
        <v>0</v>
      </c>
      <c r="Z374" s="40" t="s">
        <v>612</v>
      </c>
    </row>
    <row r="375" spans="3:26" s="6" customFormat="1" ht="20.100000000000001" customHeight="1" x14ac:dyDescent="0.3">
      <c r="C375" s="6">
        <v>5003013</v>
      </c>
      <c r="D375" s="15" t="s">
        <v>547</v>
      </c>
      <c r="E375" s="6">
        <v>0</v>
      </c>
      <c r="F375" s="15">
        <v>15802003</v>
      </c>
      <c r="G375" s="14">
        <v>0</v>
      </c>
      <c r="H375" s="15">
        <v>60</v>
      </c>
      <c r="I375" s="6">
        <v>0</v>
      </c>
      <c r="J375" s="6">
        <v>0</v>
      </c>
      <c r="K375" s="6">
        <v>0</v>
      </c>
      <c r="L375" s="6">
        <v>1</v>
      </c>
      <c r="M375" s="6">
        <v>1</v>
      </c>
      <c r="N375" s="6">
        <v>0</v>
      </c>
      <c r="O375" s="6">
        <v>1</v>
      </c>
      <c r="P375" s="6">
        <v>1</v>
      </c>
      <c r="Q375" s="6">
        <v>1</v>
      </c>
      <c r="R375" s="6">
        <v>1</v>
      </c>
      <c r="S375" s="6">
        <v>0</v>
      </c>
      <c r="T375" s="6">
        <v>0</v>
      </c>
      <c r="U375" s="6">
        <v>0</v>
      </c>
      <c r="V375" s="6">
        <v>0</v>
      </c>
      <c r="W375" s="6">
        <v>1</v>
      </c>
      <c r="X375" s="24">
        <v>0</v>
      </c>
      <c r="Y375" s="6">
        <v>0</v>
      </c>
      <c r="Z375" s="40" t="s">
        <v>613</v>
      </c>
    </row>
    <row r="376" spans="3:26" s="6" customFormat="1" ht="20.100000000000001" customHeight="1" x14ac:dyDescent="0.3">
      <c r="C376" s="6">
        <v>5003021</v>
      </c>
      <c r="D376" s="15" t="s">
        <v>548</v>
      </c>
      <c r="E376" s="6">
        <v>0</v>
      </c>
      <c r="F376" s="15">
        <v>15803001</v>
      </c>
      <c r="G376" s="14">
        <v>0</v>
      </c>
      <c r="H376" s="15">
        <v>60</v>
      </c>
      <c r="I376" s="6">
        <v>0</v>
      </c>
      <c r="J376" s="6">
        <v>0</v>
      </c>
      <c r="K376" s="6">
        <v>0</v>
      </c>
      <c r="L376" s="6">
        <v>1</v>
      </c>
      <c r="M376" s="6">
        <v>1</v>
      </c>
      <c r="N376" s="6">
        <v>0</v>
      </c>
      <c r="O376" s="6">
        <v>1</v>
      </c>
      <c r="P376" s="6">
        <v>1</v>
      </c>
      <c r="Q376" s="6">
        <v>1</v>
      </c>
      <c r="R376" s="6">
        <v>1</v>
      </c>
      <c r="S376" s="6">
        <v>0</v>
      </c>
      <c r="T376" s="6">
        <v>0</v>
      </c>
      <c r="U376" s="6">
        <v>0</v>
      </c>
      <c r="V376" s="6">
        <v>0</v>
      </c>
      <c r="W376" s="6">
        <v>1</v>
      </c>
      <c r="X376" s="24">
        <v>0</v>
      </c>
      <c r="Y376" s="6">
        <v>0</v>
      </c>
      <c r="Z376" s="40" t="s">
        <v>614</v>
      </c>
    </row>
    <row r="377" spans="3:26" s="6" customFormat="1" ht="20.100000000000001" customHeight="1" x14ac:dyDescent="0.3">
      <c r="C377" s="6">
        <v>5003022</v>
      </c>
      <c r="D377" s="15" t="s">
        <v>549</v>
      </c>
      <c r="E377" s="6">
        <v>0</v>
      </c>
      <c r="F377" s="15">
        <v>15803002</v>
      </c>
      <c r="G377" s="14">
        <v>0</v>
      </c>
      <c r="H377" s="15">
        <v>60</v>
      </c>
      <c r="I377" s="6">
        <v>0</v>
      </c>
      <c r="J377" s="6">
        <v>0</v>
      </c>
      <c r="K377" s="6">
        <v>0</v>
      </c>
      <c r="L377" s="6">
        <v>1</v>
      </c>
      <c r="M377" s="6">
        <v>1</v>
      </c>
      <c r="N377" s="6">
        <v>0</v>
      </c>
      <c r="O377" s="6">
        <v>1</v>
      </c>
      <c r="P377" s="6">
        <v>1</v>
      </c>
      <c r="Q377" s="6">
        <v>1</v>
      </c>
      <c r="R377" s="6">
        <v>1</v>
      </c>
      <c r="S377" s="6">
        <v>0</v>
      </c>
      <c r="T377" s="6">
        <v>0</v>
      </c>
      <c r="U377" s="6">
        <v>0</v>
      </c>
      <c r="V377" s="6">
        <v>0</v>
      </c>
      <c r="W377" s="6">
        <v>1</v>
      </c>
      <c r="X377" s="24">
        <v>0</v>
      </c>
      <c r="Y377" s="6">
        <v>0</v>
      </c>
      <c r="Z377" s="40" t="s">
        <v>615</v>
      </c>
    </row>
    <row r="378" spans="3:26" s="6" customFormat="1" ht="20.100000000000001" customHeight="1" x14ac:dyDescent="0.3">
      <c r="C378" s="6">
        <v>5003023</v>
      </c>
      <c r="D378" s="15" t="s">
        <v>550</v>
      </c>
      <c r="E378" s="6">
        <v>0</v>
      </c>
      <c r="F378" s="15">
        <v>15803003</v>
      </c>
      <c r="G378" s="14">
        <v>0</v>
      </c>
      <c r="H378" s="15">
        <v>60</v>
      </c>
      <c r="I378" s="6">
        <v>0</v>
      </c>
      <c r="J378" s="6">
        <v>0</v>
      </c>
      <c r="K378" s="6">
        <v>0</v>
      </c>
      <c r="L378" s="6">
        <v>1</v>
      </c>
      <c r="M378" s="6">
        <v>1</v>
      </c>
      <c r="N378" s="6">
        <v>0</v>
      </c>
      <c r="O378" s="6">
        <v>1</v>
      </c>
      <c r="P378" s="6">
        <v>1</v>
      </c>
      <c r="Q378" s="6">
        <v>1</v>
      </c>
      <c r="R378" s="6">
        <v>1</v>
      </c>
      <c r="S378" s="6">
        <v>0</v>
      </c>
      <c r="T378" s="6">
        <v>0</v>
      </c>
      <c r="U378" s="6">
        <v>0</v>
      </c>
      <c r="V378" s="6">
        <v>0</v>
      </c>
      <c r="W378" s="6">
        <v>1</v>
      </c>
      <c r="X378" s="24">
        <v>0</v>
      </c>
      <c r="Y378" s="6">
        <v>0</v>
      </c>
      <c r="Z378" s="40" t="s">
        <v>616</v>
      </c>
    </row>
    <row r="379" spans="3:26" s="6" customFormat="1" ht="20.100000000000001" customHeight="1" x14ac:dyDescent="0.3">
      <c r="C379" s="6">
        <v>5003031</v>
      </c>
      <c r="D379" s="15" t="s">
        <v>551</v>
      </c>
      <c r="E379" s="6">
        <v>0</v>
      </c>
      <c r="F379" s="15">
        <v>15804001</v>
      </c>
      <c r="G379" s="14">
        <v>0</v>
      </c>
      <c r="H379" s="15">
        <v>60</v>
      </c>
      <c r="I379" s="6">
        <v>0</v>
      </c>
      <c r="J379" s="6">
        <v>0</v>
      </c>
      <c r="K379" s="6">
        <v>0</v>
      </c>
      <c r="L379" s="6">
        <v>1</v>
      </c>
      <c r="M379" s="6">
        <v>1</v>
      </c>
      <c r="N379" s="6">
        <v>0</v>
      </c>
      <c r="O379" s="6">
        <v>1</v>
      </c>
      <c r="P379" s="6">
        <v>1</v>
      </c>
      <c r="Q379" s="6">
        <v>1</v>
      </c>
      <c r="R379" s="6">
        <v>1</v>
      </c>
      <c r="S379" s="6">
        <v>0</v>
      </c>
      <c r="T379" s="6">
        <v>0</v>
      </c>
      <c r="U379" s="6">
        <v>0</v>
      </c>
      <c r="V379" s="6">
        <v>0</v>
      </c>
      <c r="W379" s="6">
        <v>1</v>
      </c>
      <c r="X379" s="24">
        <v>0</v>
      </c>
      <c r="Y379" s="6">
        <v>0</v>
      </c>
      <c r="Z379" s="40" t="s">
        <v>617</v>
      </c>
    </row>
    <row r="380" spans="3:26" s="6" customFormat="1" ht="20.100000000000001" customHeight="1" x14ac:dyDescent="0.3">
      <c r="C380" s="6">
        <v>5003032</v>
      </c>
      <c r="D380" s="15" t="s">
        <v>552</v>
      </c>
      <c r="E380" s="6">
        <v>0</v>
      </c>
      <c r="F380" s="15">
        <v>15804002</v>
      </c>
      <c r="G380" s="14">
        <v>0</v>
      </c>
      <c r="H380" s="15">
        <v>60</v>
      </c>
      <c r="I380" s="6">
        <v>0</v>
      </c>
      <c r="J380" s="6">
        <v>0</v>
      </c>
      <c r="K380" s="6">
        <v>0</v>
      </c>
      <c r="L380" s="6">
        <v>1</v>
      </c>
      <c r="M380" s="6">
        <v>1</v>
      </c>
      <c r="N380" s="6">
        <v>0</v>
      </c>
      <c r="O380" s="6">
        <v>1</v>
      </c>
      <c r="P380" s="6">
        <v>1</v>
      </c>
      <c r="Q380" s="6">
        <v>1</v>
      </c>
      <c r="R380" s="6">
        <v>1</v>
      </c>
      <c r="S380" s="6">
        <v>0</v>
      </c>
      <c r="T380" s="6">
        <v>0</v>
      </c>
      <c r="U380" s="6">
        <v>0</v>
      </c>
      <c r="V380" s="6">
        <v>0</v>
      </c>
      <c r="W380" s="6">
        <v>1</v>
      </c>
      <c r="X380" s="24">
        <v>0</v>
      </c>
      <c r="Y380" s="6">
        <v>0</v>
      </c>
      <c r="Z380" s="40" t="s">
        <v>618</v>
      </c>
    </row>
    <row r="381" spans="3:26" s="6" customFormat="1" ht="20.100000000000001" customHeight="1" x14ac:dyDescent="0.3">
      <c r="C381" s="6">
        <v>5003033</v>
      </c>
      <c r="D381" s="15" t="s">
        <v>553</v>
      </c>
      <c r="E381" s="6">
        <v>0</v>
      </c>
      <c r="F381" s="15">
        <v>15804003</v>
      </c>
      <c r="G381" s="14">
        <v>0</v>
      </c>
      <c r="H381" s="15">
        <v>60</v>
      </c>
      <c r="I381" s="6">
        <v>0</v>
      </c>
      <c r="J381" s="6">
        <v>0</v>
      </c>
      <c r="K381" s="6">
        <v>0</v>
      </c>
      <c r="L381" s="6">
        <v>1</v>
      </c>
      <c r="M381" s="6">
        <v>1</v>
      </c>
      <c r="N381" s="6">
        <v>0</v>
      </c>
      <c r="O381" s="6">
        <v>1</v>
      </c>
      <c r="P381" s="6">
        <v>1</v>
      </c>
      <c r="Q381" s="6">
        <v>1</v>
      </c>
      <c r="R381" s="6">
        <v>1</v>
      </c>
      <c r="S381" s="6">
        <v>0</v>
      </c>
      <c r="T381" s="6">
        <v>0</v>
      </c>
      <c r="U381" s="6">
        <v>0</v>
      </c>
      <c r="V381" s="6">
        <v>0</v>
      </c>
      <c r="W381" s="6">
        <v>1</v>
      </c>
      <c r="X381" s="24">
        <v>0</v>
      </c>
      <c r="Y381" s="6">
        <v>0</v>
      </c>
      <c r="Z381" s="40" t="s">
        <v>619</v>
      </c>
    </row>
    <row r="382" spans="3:26" s="6" customFormat="1" ht="20.100000000000001" customHeight="1" x14ac:dyDescent="0.3">
      <c r="C382" s="6">
        <v>5003041</v>
      </c>
      <c r="D382" s="15" t="s">
        <v>554</v>
      </c>
      <c r="E382" s="6">
        <v>0</v>
      </c>
      <c r="F382" s="15">
        <v>15805001</v>
      </c>
      <c r="G382" s="14">
        <v>0</v>
      </c>
      <c r="H382" s="15">
        <v>60</v>
      </c>
      <c r="I382" s="6">
        <v>0</v>
      </c>
      <c r="J382" s="6">
        <v>0</v>
      </c>
      <c r="K382" s="6">
        <v>0</v>
      </c>
      <c r="L382" s="6">
        <v>1</v>
      </c>
      <c r="M382" s="6">
        <v>1</v>
      </c>
      <c r="N382" s="6">
        <v>0</v>
      </c>
      <c r="O382" s="6">
        <v>1</v>
      </c>
      <c r="P382" s="6">
        <v>1</v>
      </c>
      <c r="Q382" s="6">
        <v>1</v>
      </c>
      <c r="R382" s="6">
        <v>1</v>
      </c>
      <c r="S382" s="6">
        <v>0</v>
      </c>
      <c r="T382" s="6">
        <v>0</v>
      </c>
      <c r="U382" s="6">
        <v>0</v>
      </c>
      <c r="V382" s="6">
        <v>0</v>
      </c>
      <c r="W382" s="6">
        <v>1</v>
      </c>
      <c r="X382" s="24">
        <v>0</v>
      </c>
      <c r="Y382" s="6">
        <v>0</v>
      </c>
      <c r="Z382" s="40" t="s">
        <v>620</v>
      </c>
    </row>
    <row r="383" spans="3:26" s="6" customFormat="1" ht="20.100000000000001" customHeight="1" x14ac:dyDescent="0.3">
      <c r="C383" s="6">
        <v>5003042</v>
      </c>
      <c r="D383" s="15" t="s">
        <v>555</v>
      </c>
      <c r="E383" s="6">
        <v>0</v>
      </c>
      <c r="F383" s="15">
        <v>15805002</v>
      </c>
      <c r="G383" s="14">
        <v>0</v>
      </c>
      <c r="H383" s="15">
        <v>60</v>
      </c>
      <c r="I383" s="6">
        <v>0</v>
      </c>
      <c r="J383" s="6">
        <v>0</v>
      </c>
      <c r="K383" s="6">
        <v>0</v>
      </c>
      <c r="L383" s="6">
        <v>1</v>
      </c>
      <c r="M383" s="6">
        <v>1</v>
      </c>
      <c r="N383" s="6">
        <v>0</v>
      </c>
      <c r="O383" s="6">
        <v>1</v>
      </c>
      <c r="P383" s="6">
        <v>1</v>
      </c>
      <c r="Q383" s="6">
        <v>1</v>
      </c>
      <c r="R383" s="6">
        <v>1</v>
      </c>
      <c r="S383" s="6">
        <v>0</v>
      </c>
      <c r="T383" s="6">
        <v>0</v>
      </c>
      <c r="U383" s="6">
        <v>0</v>
      </c>
      <c r="V383" s="6">
        <v>0</v>
      </c>
      <c r="W383" s="6">
        <v>1</v>
      </c>
      <c r="X383" s="24">
        <v>0</v>
      </c>
      <c r="Y383" s="6">
        <v>0</v>
      </c>
      <c r="Z383" s="40" t="s">
        <v>621</v>
      </c>
    </row>
    <row r="384" spans="3:26" s="6" customFormat="1" ht="20.100000000000001" customHeight="1" x14ac:dyDescent="0.3">
      <c r="C384" s="6">
        <v>5003043</v>
      </c>
      <c r="D384" s="15" t="s">
        <v>556</v>
      </c>
      <c r="E384" s="6">
        <v>0</v>
      </c>
      <c r="F384" s="15">
        <v>15805003</v>
      </c>
      <c r="G384" s="14">
        <v>0</v>
      </c>
      <c r="H384" s="15">
        <v>60</v>
      </c>
      <c r="I384" s="6">
        <v>0</v>
      </c>
      <c r="J384" s="6">
        <v>0</v>
      </c>
      <c r="K384" s="6">
        <v>0</v>
      </c>
      <c r="L384" s="6">
        <v>1</v>
      </c>
      <c r="M384" s="6">
        <v>1</v>
      </c>
      <c r="N384" s="6">
        <v>0</v>
      </c>
      <c r="O384" s="6">
        <v>1</v>
      </c>
      <c r="P384" s="6">
        <v>1</v>
      </c>
      <c r="Q384" s="6">
        <v>1</v>
      </c>
      <c r="R384" s="6">
        <v>1</v>
      </c>
      <c r="S384" s="6">
        <v>0</v>
      </c>
      <c r="T384" s="6">
        <v>0</v>
      </c>
      <c r="U384" s="6">
        <v>0</v>
      </c>
      <c r="V384" s="6">
        <v>0</v>
      </c>
      <c r="W384" s="6">
        <v>1</v>
      </c>
      <c r="X384" s="24">
        <v>0</v>
      </c>
      <c r="Y384" s="6">
        <v>0</v>
      </c>
      <c r="Z384" s="40" t="s">
        <v>622</v>
      </c>
    </row>
    <row r="385" spans="3:26" s="6" customFormat="1" ht="20.100000000000001" customHeight="1" x14ac:dyDescent="0.3">
      <c r="C385" s="6">
        <v>5003051</v>
      </c>
      <c r="D385" s="15" t="s">
        <v>557</v>
      </c>
      <c r="E385" s="6">
        <v>0</v>
      </c>
      <c r="F385" s="15">
        <v>15806001</v>
      </c>
      <c r="G385" s="14">
        <v>0</v>
      </c>
      <c r="H385" s="15">
        <v>60</v>
      </c>
      <c r="I385" s="6">
        <v>0</v>
      </c>
      <c r="J385" s="6">
        <v>0</v>
      </c>
      <c r="K385" s="6">
        <v>0</v>
      </c>
      <c r="L385" s="6">
        <v>1</v>
      </c>
      <c r="M385" s="6">
        <v>1</v>
      </c>
      <c r="N385" s="6">
        <v>0</v>
      </c>
      <c r="O385" s="6">
        <v>1</v>
      </c>
      <c r="P385" s="6">
        <v>1</v>
      </c>
      <c r="Q385" s="6">
        <v>1</v>
      </c>
      <c r="R385" s="6">
        <v>1</v>
      </c>
      <c r="S385" s="6">
        <v>0</v>
      </c>
      <c r="T385" s="6">
        <v>0</v>
      </c>
      <c r="U385" s="6">
        <v>0</v>
      </c>
      <c r="V385" s="6">
        <v>0</v>
      </c>
      <c r="W385" s="6">
        <v>1</v>
      </c>
      <c r="X385" s="24">
        <v>0</v>
      </c>
      <c r="Y385" s="6">
        <v>0</v>
      </c>
      <c r="Z385" s="40" t="s">
        <v>623</v>
      </c>
    </row>
    <row r="386" spans="3:26" s="6" customFormat="1" ht="20.100000000000001" customHeight="1" x14ac:dyDescent="0.3">
      <c r="C386" s="6">
        <v>5003052</v>
      </c>
      <c r="D386" s="15" t="s">
        <v>559</v>
      </c>
      <c r="E386" s="6">
        <v>0</v>
      </c>
      <c r="F386" s="15">
        <v>15807001</v>
      </c>
      <c r="G386" s="14">
        <v>0</v>
      </c>
      <c r="H386" s="15">
        <v>60</v>
      </c>
      <c r="I386" s="6">
        <v>0</v>
      </c>
      <c r="J386" s="6">
        <v>0</v>
      </c>
      <c r="K386" s="6">
        <v>0</v>
      </c>
      <c r="L386" s="6">
        <v>1</v>
      </c>
      <c r="M386" s="6">
        <v>1</v>
      </c>
      <c r="N386" s="6">
        <v>0</v>
      </c>
      <c r="O386" s="6">
        <v>1</v>
      </c>
      <c r="P386" s="6">
        <v>1</v>
      </c>
      <c r="Q386" s="6">
        <v>1</v>
      </c>
      <c r="R386" s="6">
        <v>1</v>
      </c>
      <c r="S386" s="6">
        <v>0</v>
      </c>
      <c r="T386" s="6">
        <v>0</v>
      </c>
      <c r="U386" s="6">
        <v>0</v>
      </c>
      <c r="V386" s="6">
        <v>0</v>
      </c>
      <c r="W386" s="6">
        <v>1</v>
      </c>
      <c r="X386" s="24">
        <v>0</v>
      </c>
      <c r="Y386" s="6">
        <v>0</v>
      </c>
      <c r="Z386" s="40" t="s">
        <v>624</v>
      </c>
    </row>
    <row r="387" spans="3:26" s="6" customFormat="1" ht="20.100000000000001" customHeight="1" x14ac:dyDescent="0.3">
      <c r="C387" s="6">
        <v>5003061</v>
      </c>
      <c r="D387" s="15" t="s">
        <v>560</v>
      </c>
      <c r="E387" s="6">
        <v>0</v>
      </c>
      <c r="F387" s="15">
        <v>15808001</v>
      </c>
      <c r="G387" s="14">
        <v>0</v>
      </c>
      <c r="H387" s="15">
        <v>60</v>
      </c>
      <c r="I387" s="6">
        <v>0</v>
      </c>
      <c r="J387" s="6">
        <v>0</v>
      </c>
      <c r="K387" s="6">
        <v>0</v>
      </c>
      <c r="L387" s="6">
        <v>1</v>
      </c>
      <c r="M387" s="6">
        <v>1</v>
      </c>
      <c r="N387" s="6">
        <v>0</v>
      </c>
      <c r="O387" s="6">
        <v>1</v>
      </c>
      <c r="P387" s="6">
        <v>1</v>
      </c>
      <c r="Q387" s="6">
        <v>1</v>
      </c>
      <c r="R387" s="6">
        <v>1</v>
      </c>
      <c r="S387" s="6">
        <v>0</v>
      </c>
      <c r="T387" s="6">
        <v>0</v>
      </c>
      <c r="U387" s="6">
        <v>0</v>
      </c>
      <c r="V387" s="6">
        <v>0</v>
      </c>
      <c r="W387" s="6">
        <v>1</v>
      </c>
      <c r="X387" s="24">
        <v>0</v>
      </c>
      <c r="Y387" s="6">
        <v>0</v>
      </c>
      <c r="Z387" s="40" t="s">
        <v>625</v>
      </c>
    </row>
    <row r="388" spans="3:26" s="6" customFormat="1" ht="20.100000000000001" customHeight="1" x14ac:dyDescent="0.3">
      <c r="C388" s="6">
        <v>5003062</v>
      </c>
      <c r="D388" s="15" t="s">
        <v>561</v>
      </c>
      <c r="E388" s="6">
        <v>0</v>
      </c>
      <c r="F388" s="15">
        <v>15809001</v>
      </c>
      <c r="G388" s="14">
        <v>0</v>
      </c>
      <c r="H388" s="15">
        <v>60</v>
      </c>
      <c r="I388" s="6">
        <v>0</v>
      </c>
      <c r="J388" s="6">
        <v>0</v>
      </c>
      <c r="K388" s="6">
        <v>0</v>
      </c>
      <c r="L388" s="6">
        <v>1</v>
      </c>
      <c r="M388" s="6">
        <v>1</v>
      </c>
      <c r="N388" s="6">
        <v>0</v>
      </c>
      <c r="O388" s="6">
        <v>1</v>
      </c>
      <c r="P388" s="6">
        <v>1</v>
      </c>
      <c r="Q388" s="6">
        <v>1</v>
      </c>
      <c r="R388" s="6">
        <v>1</v>
      </c>
      <c r="S388" s="6">
        <v>0</v>
      </c>
      <c r="T388" s="6">
        <v>0</v>
      </c>
      <c r="U388" s="6">
        <v>0</v>
      </c>
      <c r="V388" s="6">
        <v>0</v>
      </c>
      <c r="W388" s="6">
        <v>1</v>
      </c>
      <c r="X388" s="24">
        <v>0</v>
      </c>
      <c r="Y388" s="6">
        <v>0</v>
      </c>
      <c r="Z388" s="40" t="s">
        <v>626</v>
      </c>
    </row>
    <row r="389" spans="3:26" s="6" customFormat="1" ht="20.100000000000001" customHeight="1" x14ac:dyDescent="0.3">
      <c r="C389" s="6">
        <v>5003071</v>
      </c>
      <c r="D389" s="15" t="s">
        <v>562</v>
      </c>
      <c r="E389" s="6">
        <v>0</v>
      </c>
      <c r="F389" s="15">
        <v>15810001</v>
      </c>
      <c r="G389" s="14">
        <v>0</v>
      </c>
      <c r="H389" s="15">
        <v>60</v>
      </c>
      <c r="I389" s="6">
        <v>0</v>
      </c>
      <c r="J389" s="6">
        <v>0</v>
      </c>
      <c r="K389" s="6">
        <v>0</v>
      </c>
      <c r="L389" s="6">
        <v>1</v>
      </c>
      <c r="M389" s="6">
        <v>1</v>
      </c>
      <c r="N389" s="6">
        <v>0</v>
      </c>
      <c r="O389" s="6">
        <v>1</v>
      </c>
      <c r="P389" s="6">
        <v>1</v>
      </c>
      <c r="Q389" s="6">
        <v>1</v>
      </c>
      <c r="R389" s="6">
        <v>1</v>
      </c>
      <c r="S389" s="6">
        <v>0</v>
      </c>
      <c r="T389" s="6">
        <v>0</v>
      </c>
      <c r="U389" s="6">
        <v>0</v>
      </c>
      <c r="V389" s="6">
        <v>0</v>
      </c>
      <c r="W389" s="6">
        <v>1</v>
      </c>
      <c r="X389" s="24">
        <v>0</v>
      </c>
      <c r="Y389" s="6">
        <v>0</v>
      </c>
      <c r="Z389" s="40" t="s">
        <v>627</v>
      </c>
    </row>
    <row r="390" spans="3:26" s="6" customFormat="1" ht="20.100000000000001" customHeight="1" x14ac:dyDescent="0.3">
      <c r="C390" s="6">
        <v>5003072</v>
      </c>
      <c r="D390" s="15" t="s">
        <v>564</v>
      </c>
      <c r="E390" s="6">
        <v>0</v>
      </c>
      <c r="F390" s="15">
        <v>15810002</v>
      </c>
      <c r="G390" s="14">
        <v>0</v>
      </c>
      <c r="H390" s="15">
        <v>60</v>
      </c>
      <c r="I390" s="6">
        <v>0</v>
      </c>
      <c r="J390" s="6">
        <v>0</v>
      </c>
      <c r="K390" s="6">
        <v>0</v>
      </c>
      <c r="L390" s="6">
        <v>1</v>
      </c>
      <c r="M390" s="6">
        <v>1</v>
      </c>
      <c r="N390" s="6">
        <v>0</v>
      </c>
      <c r="O390" s="6">
        <v>1</v>
      </c>
      <c r="P390" s="6">
        <v>1</v>
      </c>
      <c r="Q390" s="6">
        <v>1</v>
      </c>
      <c r="R390" s="6">
        <v>1</v>
      </c>
      <c r="S390" s="6">
        <v>0</v>
      </c>
      <c r="T390" s="6">
        <v>0</v>
      </c>
      <c r="U390" s="6">
        <v>0</v>
      </c>
      <c r="V390" s="6">
        <v>0</v>
      </c>
      <c r="W390" s="6">
        <v>1</v>
      </c>
      <c r="X390" s="24">
        <v>0</v>
      </c>
      <c r="Y390" s="6">
        <v>0</v>
      </c>
      <c r="Z390" s="40" t="s">
        <v>628</v>
      </c>
    </row>
    <row r="391" spans="3:26" s="6" customFormat="1" ht="20.100000000000001" customHeight="1" x14ac:dyDescent="0.3">
      <c r="C391" s="6">
        <v>5003081</v>
      </c>
      <c r="D391" s="15" t="s">
        <v>565</v>
      </c>
      <c r="E391" s="6">
        <v>0</v>
      </c>
      <c r="F391" s="15">
        <v>15810101</v>
      </c>
      <c r="G391" s="14">
        <v>0</v>
      </c>
      <c r="H391" s="15">
        <v>60</v>
      </c>
      <c r="I391" s="6">
        <v>0</v>
      </c>
      <c r="J391" s="6">
        <v>0</v>
      </c>
      <c r="K391" s="6">
        <v>0</v>
      </c>
      <c r="L391" s="6">
        <v>1</v>
      </c>
      <c r="M391" s="6">
        <v>1</v>
      </c>
      <c r="N391" s="6">
        <v>0</v>
      </c>
      <c r="O391" s="6">
        <v>1</v>
      </c>
      <c r="P391" s="6">
        <v>1</v>
      </c>
      <c r="Q391" s="6">
        <v>1</v>
      </c>
      <c r="R391" s="6">
        <v>1</v>
      </c>
      <c r="S391" s="6">
        <v>0</v>
      </c>
      <c r="T391" s="6">
        <v>0</v>
      </c>
      <c r="U391" s="6">
        <v>0</v>
      </c>
      <c r="V391" s="6">
        <v>0</v>
      </c>
      <c r="W391" s="6">
        <v>1</v>
      </c>
      <c r="X391" s="24">
        <v>0</v>
      </c>
      <c r="Y391" s="6">
        <v>0</v>
      </c>
      <c r="Z391" s="40" t="s">
        <v>629</v>
      </c>
    </row>
    <row r="392" spans="3:26" s="6" customFormat="1" ht="20.100000000000001" customHeight="1" x14ac:dyDescent="0.3">
      <c r="C392" s="6">
        <v>5003082</v>
      </c>
      <c r="D392" s="15" t="s">
        <v>566</v>
      </c>
      <c r="E392" s="6">
        <v>0</v>
      </c>
      <c r="F392" s="15">
        <v>15810102</v>
      </c>
      <c r="G392" s="14">
        <v>0</v>
      </c>
      <c r="H392" s="15">
        <v>60</v>
      </c>
      <c r="I392" s="6">
        <v>0</v>
      </c>
      <c r="J392" s="6">
        <v>0</v>
      </c>
      <c r="K392" s="6">
        <v>0</v>
      </c>
      <c r="L392" s="6">
        <v>1</v>
      </c>
      <c r="M392" s="6">
        <v>1</v>
      </c>
      <c r="N392" s="6">
        <v>0</v>
      </c>
      <c r="O392" s="6">
        <v>1</v>
      </c>
      <c r="P392" s="6">
        <v>1</v>
      </c>
      <c r="Q392" s="6">
        <v>1</v>
      </c>
      <c r="R392" s="6">
        <v>1</v>
      </c>
      <c r="S392" s="6">
        <v>0</v>
      </c>
      <c r="T392" s="6">
        <v>0</v>
      </c>
      <c r="U392" s="6">
        <v>0</v>
      </c>
      <c r="V392" s="6">
        <v>0</v>
      </c>
      <c r="W392" s="6">
        <v>1</v>
      </c>
      <c r="X392" s="24">
        <v>0</v>
      </c>
      <c r="Y392" s="6">
        <v>0</v>
      </c>
      <c r="Z392" s="40" t="s">
        <v>630</v>
      </c>
    </row>
    <row r="393" spans="3:26" s="6" customFormat="1" ht="20.100000000000001" customHeight="1" x14ac:dyDescent="0.3">
      <c r="C393" s="6">
        <v>5003091</v>
      </c>
      <c r="D393" s="15" t="s">
        <v>567</v>
      </c>
      <c r="E393" s="6">
        <v>0</v>
      </c>
      <c r="F393" s="15">
        <v>15811001</v>
      </c>
      <c r="G393" s="14">
        <v>0</v>
      </c>
      <c r="H393" s="15">
        <v>60</v>
      </c>
      <c r="I393" s="6">
        <v>0</v>
      </c>
      <c r="J393" s="6">
        <v>0</v>
      </c>
      <c r="K393" s="6">
        <v>0</v>
      </c>
      <c r="L393" s="6">
        <v>1</v>
      </c>
      <c r="M393" s="6">
        <v>1</v>
      </c>
      <c r="N393" s="6">
        <v>0</v>
      </c>
      <c r="O393" s="6">
        <v>1</v>
      </c>
      <c r="P393" s="6">
        <v>1</v>
      </c>
      <c r="Q393" s="6">
        <v>1</v>
      </c>
      <c r="R393" s="6">
        <v>1</v>
      </c>
      <c r="S393" s="6">
        <v>0</v>
      </c>
      <c r="T393" s="6">
        <v>0</v>
      </c>
      <c r="U393" s="6">
        <v>0</v>
      </c>
      <c r="V393" s="6">
        <v>0</v>
      </c>
      <c r="W393" s="6">
        <v>1</v>
      </c>
      <c r="X393" s="24">
        <v>0</v>
      </c>
      <c r="Y393" s="6">
        <v>0</v>
      </c>
      <c r="Z393" s="40" t="s">
        <v>631</v>
      </c>
    </row>
    <row r="394" spans="3:26" s="6" customFormat="1" ht="20.100000000000001" customHeight="1" x14ac:dyDescent="0.3">
      <c r="C394" s="6">
        <v>5003092</v>
      </c>
      <c r="D394" s="15" t="s">
        <v>569</v>
      </c>
      <c r="E394" s="6">
        <v>0</v>
      </c>
      <c r="F394" s="15">
        <v>15811002</v>
      </c>
      <c r="G394" s="14">
        <v>0</v>
      </c>
      <c r="H394" s="15">
        <v>60</v>
      </c>
      <c r="I394" s="6">
        <v>0</v>
      </c>
      <c r="J394" s="6">
        <v>0</v>
      </c>
      <c r="K394" s="6">
        <v>0</v>
      </c>
      <c r="L394" s="6">
        <v>1</v>
      </c>
      <c r="M394" s="6">
        <v>1</v>
      </c>
      <c r="N394" s="6">
        <v>0</v>
      </c>
      <c r="O394" s="6">
        <v>1</v>
      </c>
      <c r="P394" s="6">
        <v>1</v>
      </c>
      <c r="Q394" s="6">
        <v>1</v>
      </c>
      <c r="R394" s="6">
        <v>1</v>
      </c>
      <c r="S394" s="6">
        <v>0</v>
      </c>
      <c r="T394" s="6">
        <v>0</v>
      </c>
      <c r="U394" s="6">
        <v>0</v>
      </c>
      <c r="V394" s="6">
        <v>0</v>
      </c>
      <c r="W394" s="6">
        <v>1</v>
      </c>
      <c r="X394" s="24">
        <v>0</v>
      </c>
      <c r="Y394" s="6">
        <v>0</v>
      </c>
      <c r="Z394" s="40" t="s">
        <v>632</v>
      </c>
    </row>
    <row r="395" spans="3:26" s="6" customFormat="1" ht="20.100000000000001" customHeight="1" x14ac:dyDescent="0.3">
      <c r="C395" s="6">
        <v>5003093</v>
      </c>
      <c r="D395" s="15" t="s">
        <v>570</v>
      </c>
      <c r="E395" s="6">
        <v>0</v>
      </c>
      <c r="F395" s="15">
        <v>15811003</v>
      </c>
      <c r="G395" s="14">
        <v>0</v>
      </c>
      <c r="H395" s="15">
        <v>60</v>
      </c>
      <c r="I395" s="6">
        <v>0</v>
      </c>
      <c r="J395" s="6">
        <v>0</v>
      </c>
      <c r="K395" s="6">
        <v>0</v>
      </c>
      <c r="L395" s="6">
        <v>1</v>
      </c>
      <c r="M395" s="6">
        <v>1</v>
      </c>
      <c r="N395" s="6">
        <v>0</v>
      </c>
      <c r="O395" s="6">
        <v>1</v>
      </c>
      <c r="P395" s="6">
        <v>1</v>
      </c>
      <c r="Q395" s="6">
        <v>1</v>
      </c>
      <c r="R395" s="6">
        <v>1</v>
      </c>
      <c r="S395" s="6">
        <v>0</v>
      </c>
      <c r="T395" s="6">
        <v>0</v>
      </c>
      <c r="U395" s="6">
        <v>0</v>
      </c>
      <c r="V395" s="6">
        <v>0</v>
      </c>
      <c r="W395" s="6">
        <v>1</v>
      </c>
      <c r="X395" s="24">
        <v>0</v>
      </c>
      <c r="Y395" s="6">
        <v>0</v>
      </c>
      <c r="Z395" s="40" t="s">
        <v>633</v>
      </c>
    </row>
    <row r="396" spans="3:26" s="6" customFormat="1" ht="20.100000000000001" customHeight="1" x14ac:dyDescent="0.3">
      <c r="C396" s="6">
        <v>5003101</v>
      </c>
      <c r="D396" s="15" t="s">
        <v>606</v>
      </c>
      <c r="E396" s="6">
        <v>0</v>
      </c>
      <c r="F396" s="15">
        <v>15810201</v>
      </c>
      <c r="G396" s="14">
        <v>0</v>
      </c>
      <c r="H396" s="15">
        <v>60</v>
      </c>
      <c r="I396" s="6">
        <v>0</v>
      </c>
      <c r="J396" s="6">
        <v>0</v>
      </c>
      <c r="K396" s="6">
        <v>0</v>
      </c>
      <c r="L396" s="6">
        <v>1</v>
      </c>
      <c r="M396" s="6">
        <v>1</v>
      </c>
      <c r="N396" s="6">
        <v>0</v>
      </c>
      <c r="O396" s="6">
        <v>1</v>
      </c>
      <c r="P396" s="6">
        <v>1</v>
      </c>
      <c r="Q396" s="6">
        <v>1</v>
      </c>
      <c r="R396" s="6">
        <v>1</v>
      </c>
      <c r="S396" s="6">
        <v>0</v>
      </c>
      <c r="T396" s="6">
        <v>0</v>
      </c>
      <c r="U396" s="6">
        <v>0</v>
      </c>
      <c r="V396" s="6">
        <v>0</v>
      </c>
      <c r="W396" s="6">
        <v>1</v>
      </c>
      <c r="X396" s="24">
        <v>0</v>
      </c>
      <c r="Y396" s="6">
        <v>0</v>
      </c>
      <c r="Z396" s="40" t="s">
        <v>634</v>
      </c>
    </row>
    <row r="397" spans="3:26" s="48" customFormat="1" ht="20.100000000000001" customHeight="1" x14ac:dyDescent="0.3">
      <c r="C397" s="48">
        <v>5004001</v>
      </c>
      <c r="D397" s="29" t="s">
        <v>541</v>
      </c>
      <c r="E397" s="48">
        <v>0</v>
      </c>
      <c r="F397" s="29">
        <v>15901001</v>
      </c>
      <c r="G397" s="35">
        <v>0</v>
      </c>
      <c r="H397" s="29">
        <v>70</v>
      </c>
      <c r="I397" s="48">
        <v>0</v>
      </c>
      <c r="J397" s="48">
        <v>0</v>
      </c>
      <c r="K397" s="48">
        <v>0</v>
      </c>
      <c r="L397" s="48">
        <v>1</v>
      </c>
      <c r="M397" s="48">
        <v>1</v>
      </c>
      <c r="N397" s="48">
        <v>0</v>
      </c>
      <c r="O397" s="48">
        <v>1</v>
      </c>
      <c r="P397" s="48">
        <v>1</v>
      </c>
      <c r="Q397" s="48">
        <v>1</v>
      </c>
      <c r="R397" s="48">
        <v>1</v>
      </c>
      <c r="S397" s="48">
        <v>0</v>
      </c>
      <c r="T397" s="48">
        <v>0</v>
      </c>
      <c r="U397" s="48">
        <v>0</v>
      </c>
      <c r="V397" s="48">
        <v>0</v>
      </c>
      <c r="W397" s="48">
        <v>1</v>
      </c>
      <c r="X397" s="49">
        <v>0</v>
      </c>
      <c r="Y397" s="48">
        <v>0</v>
      </c>
      <c r="Z397" s="50" t="s">
        <v>886</v>
      </c>
    </row>
    <row r="398" spans="3:26" s="48" customFormat="1" ht="20.100000000000001" customHeight="1" x14ac:dyDescent="0.3">
      <c r="C398" s="48">
        <v>5004002</v>
      </c>
      <c r="D398" s="29" t="s">
        <v>543</v>
      </c>
      <c r="E398" s="48">
        <v>0</v>
      </c>
      <c r="F398" s="29">
        <v>15901002</v>
      </c>
      <c r="G398" s="35">
        <v>0</v>
      </c>
      <c r="H398" s="29">
        <v>70</v>
      </c>
      <c r="I398" s="48">
        <v>0</v>
      </c>
      <c r="J398" s="48">
        <v>0</v>
      </c>
      <c r="K398" s="48">
        <v>0</v>
      </c>
      <c r="L398" s="48">
        <v>1</v>
      </c>
      <c r="M398" s="48">
        <v>1</v>
      </c>
      <c r="N398" s="48">
        <v>0</v>
      </c>
      <c r="O398" s="48">
        <v>1</v>
      </c>
      <c r="P398" s="48">
        <v>1</v>
      </c>
      <c r="Q398" s="48">
        <v>1</v>
      </c>
      <c r="R398" s="48">
        <v>1</v>
      </c>
      <c r="S398" s="48">
        <v>0</v>
      </c>
      <c r="T398" s="48">
        <v>0</v>
      </c>
      <c r="U398" s="48">
        <v>0</v>
      </c>
      <c r="V398" s="48">
        <v>0</v>
      </c>
      <c r="W398" s="48">
        <v>1</v>
      </c>
      <c r="X398" s="49">
        <v>0</v>
      </c>
      <c r="Y398" s="48">
        <v>0</v>
      </c>
      <c r="Z398" s="50" t="s">
        <v>887</v>
      </c>
    </row>
    <row r="399" spans="3:26" s="48" customFormat="1" ht="20.100000000000001" customHeight="1" x14ac:dyDescent="0.3">
      <c r="C399" s="48">
        <v>5004003</v>
      </c>
      <c r="D399" s="29" t="s">
        <v>544</v>
      </c>
      <c r="E399" s="48">
        <v>0</v>
      </c>
      <c r="F399" s="29">
        <v>15901003</v>
      </c>
      <c r="G399" s="35">
        <v>0</v>
      </c>
      <c r="H399" s="29">
        <v>70</v>
      </c>
      <c r="I399" s="48">
        <v>0</v>
      </c>
      <c r="J399" s="48">
        <v>0</v>
      </c>
      <c r="K399" s="48">
        <v>0</v>
      </c>
      <c r="L399" s="48">
        <v>1</v>
      </c>
      <c r="M399" s="48">
        <v>1</v>
      </c>
      <c r="N399" s="48">
        <v>0</v>
      </c>
      <c r="O399" s="48">
        <v>1</v>
      </c>
      <c r="P399" s="48">
        <v>1</v>
      </c>
      <c r="Q399" s="48">
        <v>1</v>
      </c>
      <c r="R399" s="48">
        <v>1</v>
      </c>
      <c r="S399" s="48">
        <v>0</v>
      </c>
      <c r="T399" s="48">
        <v>0</v>
      </c>
      <c r="U399" s="48">
        <v>0</v>
      </c>
      <c r="V399" s="48">
        <v>0</v>
      </c>
      <c r="W399" s="48">
        <v>1</v>
      </c>
      <c r="X399" s="49">
        <v>0</v>
      </c>
      <c r="Y399" s="48">
        <v>0</v>
      </c>
      <c r="Z399" s="50" t="s">
        <v>888</v>
      </c>
    </row>
    <row r="400" spans="3:26" s="48" customFormat="1" ht="20.100000000000001" customHeight="1" x14ac:dyDescent="0.3">
      <c r="C400" s="48">
        <v>5004011</v>
      </c>
      <c r="D400" s="29" t="s">
        <v>545</v>
      </c>
      <c r="E400" s="48">
        <v>0</v>
      </c>
      <c r="F400" s="29">
        <v>15902001</v>
      </c>
      <c r="G400" s="35">
        <v>0</v>
      </c>
      <c r="H400" s="29">
        <v>70</v>
      </c>
      <c r="I400" s="48">
        <v>0</v>
      </c>
      <c r="J400" s="48">
        <v>0</v>
      </c>
      <c r="K400" s="48">
        <v>0</v>
      </c>
      <c r="L400" s="48">
        <v>1</v>
      </c>
      <c r="M400" s="48">
        <v>1</v>
      </c>
      <c r="N400" s="48">
        <v>0</v>
      </c>
      <c r="O400" s="48">
        <v>1</v>
      </c>
      <c r="P400" s="48">
        <v>1</v>
      </c>
      <c r="Q400" s="48">
        <v>1</v>
      </c>
      <c r="R400" s="48">
        <v>1</v>
      </c>
      <c r="S400" s="48">
        <v>0</v>
      </c>
      <c r="T400" s="48">
        <v>0</v>
      </c>
      <c r="U400" s="48">
        <v>0</v>
      </c>
      <c r="V400" s="48">
        <v>0</v>
      </c>
      <c r="W400" s="48">
        <v>1</v>
      </c>
      <c r="X400" s="49">
        <v>0</v>
      </c>
      <c r="Y400" s="48">
        <v>0</v>
      </c>
      <c r="Z400" s="50" t="s">
        <v>889</v>
      </c>
    </row>
    <row r="401" spans="3:26" s="48" customFormat="1" ht="20.100000000000001" customHeight="1" x14ac:dyDescent="0.3">
      <c r="C401" s="48">
        <v>5004012</v>
      </c>
      <c r="D401" s="29" t="s">
        <v>546</v>
      </c>
      <c r="E401" s="48">
        <v>0</v>
      </c>
      <c r="F401" s="29">
        <v>15902002</v>
      </c>
      <c r="G401" s="35">
        <v>0</v>
      </c>
      <c r="H401" s="29">
        <v>70</v>
      </c>
      <c r="I401" s="48">
        <v>0</v>
      </c>
      <c r="J401" s="48">
        <v>0</v>
      </c>
      <c r="K401" s="48">
        <v>0</v>
      </c>
      <c r="L401" s="48">
        <v>1</v>
      </c>
      <c r="M401" s="48">
        <v>1</v>
      </c>
      <c r="N401" s="48">
        <v>0</v>
      </c>
      <c r="O401" s="48">
        <v>1</v>
      </c>
      <c r="P401" s="48">
        <v>1</v>
      </c>
      <c r="Q401" s="48">
        <v>1</v>
      </c>
      <c r="R401" s="48">
        <v>1</v>
      </c>
      <c r="S401" s="48">
        <v>0</v>
      </c>
      <c r="T401" s="48">
        <v>0</v>
      </c>
      <c r="U401" s="48">
        <v>0</v>
      </c>
      <c r="V401" s="48">
        <v>0</v>
      </c>
      <c r="W401" s="48">
        <v>1</v>
      </c>
      <c r="X401" s="49">
        <v>0</v>
      </c>
      <c r="Y401" s="48">
        <v>0</v>
      </c>
      <c r="Z401" s="50" t="s">
        <v>890</v>
      </c>
    </row>
    <row r="402" spans="3:26" s="48" customFormat="1" ht="20.100000000000001" customHeight="1" x14ac:dyDescent="0.3">
      <c r="C402" s="48">
        <v>5004013</v>
      </c>
      <c r="D402" s="29" t="s">
        <v>547</v>
      </c>
      <c r="E402" s="48">
        <v>0</v>
      </c>
      <c r="F402" s="29">
        <v>15902003</v>
      </c>
      <c r="G402" s="35">
        <v>0</v>
      </c>
      <c r="H402" s="29">
        <v>70</v>
      </c>
      <c r="I402" s="48">
        <v>0</v>
      </c>
      <c r="J402" s="48">
        <v>0</v>
      </c>
      <c r="K402" s="48">
        <v>0</v>
      </c>
      <c r="L402" s="48">
        <v>1</v>
      </c>
      <c r="M402" s="48">
        <v>1</v>
      </c>
      <c r="N402" s="48">
        <v>0</v>
      </c>
      <c r="O402" s="48">
        <v>1</v>
      </c>
      <c r="P402" s="48">
        <v>1</v>
      </c>
      <c r="Q402" s="48">
        <v>1</v>
      </c>
      <c r="R402" s="48">
        <v>1</v>
      </c>
      <c r="S402" s="48">
        <v>0</v>
      </c>
      <c r="T402" s="48">
        <v>0</v>
      </c>
      <c r="U402" s="48">
        <v>0</v>
      </c>
      <c r="V402" s="48">
        <v>0</v>
      </c>
      <c r="W402" s="48">
        <v>1</v>
      </c>
      <c r="X402" s="49">
        <v>0</v>
      </c>
      <c r="Y402" s="48">
        <v>0</v>
      </c>
      <c r="Z402" s="50" t="s">
        <v>891</v>
      </c>
    </row>
    <row r="403" spans="3:26" s="48" customFormat="1" ht="20.100000000000001" customHeight="1" x14ac:dyDescent="0.3">
      <c r="C403" s="48">
        <v>5004021</v>
      </c>
      <c r="D403" s="29" t="s">
        <v>548</v>
      </c>
      <c r="E403" s="48">
        <v>0</v>
      </c>
      <c r="F403" s="29">
        <v>15903001</v>
      </c>
      <c r="G403" s="35">
        <v>0</v>
      </c>
      <c r="H403" s="29">
        <v>70</v>
      </c>
      <c r="I403" s="48">
        <v>0</v>
      </c>
      <c r="J403" s="48">
        <v>0</v>
      </c>
      <c r="K403" s="48">
        <v>0</v>
      </c>
      <c r="L403" s="48">
        <v>1</v>
      </c>
      <c r="M403" s="48">
        <v>1</v>
      </c>
      <c r="N403" s="48">
        <v>0</v>
      </c>
      <c r="O403" s="48">
        <v>1</v>
      </c>
      <c r="P403" s="48">
        <v>1</v>
      </c>
      <c r="Q403" s="48">
        <v>1</v>
      </c>
      <c r="R403" s="48">
        <v>1</v>
      </c>
      <c r="S403" s="48">
        <v>0</v>
      </c>
      <c r="T403" s="48">
        <v>0</v>
      </c>
      <c r="U403" s="48">
        <v>0</v>
      </c>
      <c r="V403" s="48">
        <v>0</v>
      </c>
      <c r="W403" s="48">
        <v>1</v>
      </c>
      <c r="X403" s="49">
        <v>0</v>
      </c>
      <c r="Y403" s="48">
        <v>0</v>
      </c>
      <c r="Z403" s="50" t="s">
        <v>892</v>
      </c>
    </row>
    <row r="404" spans="3:26" s="48" customFormat="1" ht="20.100000000000001" customHeight="1" x14ac:dyDescent="0.3">
      <c r="C404" s="48">
        <v>5004022</v>
      </c>
      <c r="D404" s="29" t="s">
        <v>549</v>
      </c>
      <c r="E404" s="48">
        <v>0</v>
      </c>
      <c r="F404" s="29">
        <v>15903002</v>
      </c>
      <c r="G404" s="35">
        <v>0</v>
      </c>
      <c r="H404" s="29">
        <v>70</v>
      </c>
      <c r="I404" s="48">
        <v>0</v>
      </c>
      <c r="J404" s="48">
        <v>0</v>
      </c>
      <c r="K404" s="48">
        <v>0</v>
      </c>
      <c r="L404" s="48">
        <v>1</v>
      </c>
      <c r="M404" s="48">
        <v>1</v>
      </c>
      <c r="N404" s="48">
        <v>0</v>
      </c>
      <c r="O404" s="48">
        <v>1</v>
      </c>
      <c r="P404" s="48">
        <v>1</v>
      </c>
      <c r="Q404" s="48">
        <v>1</v>
      </c>
      <c r="R404" s="48">
        <v>1</v>
      </c>
      <c r="S404" s="48">
        <v>0</v>
      </c>
      <c r="T404" s="48">
        <v>0</v>
      </c>
      <c r="U404" s="48">
        <v>0</v>
      </c>
      <c r="V404" s="48">
        <v>0</v>
      </c>
      <c r="W404" s="48">
        <v>1</v>
      </c>
      <c r="X404" s="49">
        <v>0</v>
      </c>
      <c r="Y404" s="48">
        <v>0</v>
      </c>
      <c r="Z404" s="50" t="s">
        <v>893</v>
      </c>
    </row>
    <row r="405" spans="3:26" s="48" customFormat="1" ht="20.100000000000001" customHeight="1" x14ac:dyDescent="0.3">
      <c r="C405" s="48">
        <v>5004023</v>
      </c>
      <c r="D405" s="29" t="s">
        <v>550</v>
      </c>
      <c r="E405" s="48">
        <v>0</v>
      </c>
      <c r="F405" s="29">
        <v>15903003</v>
      </c>
      <c r="G405" s="35">
        <v>0</v>
      </c>
      <c r="H405" s="29">
        <v>70</v>
      </c>
      <c r="I405" s="48">
        <v>0</v>
      </c>
      <c r="J405" s="48">
        <v>0</v>
      </c>
      <c r="K405" s="48">
        <v>0</v>
      </c>
      <c r="L405" s="48">
        <v>1</v>
      </c>
      <c r="M405" s="48">
        <v>1</v>
      </c>
      <c r="N405" s="48">
        <v>0</v>
      </c>
      <c r="O405" s="48">
        <v>1</v>
      </c>
      <c r="P405" s="48">
        <v>1</v>
      </c>
      <c r="Q405" s="48">
        <v>1</v>
      </c>
      <c r="R405" s="48">
        <v>1</v>
      </c>
      <c r="S405" s="48">
        <v>0</v>
      </c>
      <c r="T405" s="48">
        <v>0</v>
      </c>
      <c r="U405" s="48">
        <v>0</v>
      </c>
      <c r="V405" s="48">
        <v>0</v>
      </c>
      <c r="W405" s="48">
        <v>1</v>
      </c>
      <c r="X405" s="49">
        <v>0</v>
      </c>
      <c r="Y405" s="48">
        <v>0</v>
      </c>
      <c r="Z405" s="50" t="s">
        <v>894</v>
      </c>
    </row>
    <row r="406" spans="3:26" s="48" customFormat="1" ht="20.100000000000001" customHeight="1" x14ac:dyDescent="0.3">
      <c r="C406" s="48">
        <v>5004031</v>
      </c>
      <c r="D406" s="29" t="s">
        <v>551</v>
      </c>
      <c r="E406" s="48">
        <v>0</v>
      </c>
      <c r="F406" s="29">
        <v>15904001</v>
      </c>
      <c r="G406" s="35">
        <v>0</v>
      </c>
      <c r="H406" s="29">
        <v>70</v>
      </c>
      <c r="I406" s="48">
        <v>0</v>
      </c>
      <c r="J406" s="48">
        <v>0</v>
      </c>
      <c r="K406" s="48">
        <v>0</v>
      </c>
      <c r="L406" s="48">
        <v>1</v>
      </c>
      <c r="M406" s="48">
        <v>1</v>
      </c>
      <c r="N406" s="48">
        <v>0</v>
      </c>
      <c r="O406" s="48">
        <v>1</v>
      </c>
      <c r="P406" s="48">
        <v>1</v>
      </c>
      <c r="Q406" s="48">
        <v>1</v>
      </c>
      <c r="R406" s="48">
        <v>1</v>
      </c>
      <c r="S406" s="48">
        <v>0</v>
      </c>
      <c r="T406" s="48">
        <v>0</v>
      </c>
      <c r="U406" s="48">
        <v>0</v>
      </c>
      <c r="V406" s="48">
        <v>0</v>
      </c>
      <c r="W406" s="48">
        <v>1</v>
      </c>
      <c r="X406" s="49">
        <v>0</v>
      </c>
      <c r="Y406" s="48">
        <v>0</v>
      </c>
      <c r="Z406" s="50" t="s">
        <v>895</v>
      </c>
    </row>
    <row r="407" spans="3:26" s="48" customFormat="1" ht="20.100000000000001" customHeight="1" x14ac:dyDescent="0.3">
      <c r="C407" s="48">
        <v>5004032</v>
      </c>
      <c r="D407" s="29" t="s">
        <v>552</v>
      </c>
      <c r="E407" s="48">
        <v>0</v>
      </c>
      <c r="F407" s="29">
        <v>15904002</v>
      </c>
      <c r="G407" s="35">
        <v>0</v>
      </c>
      <c r="H407" s="29">
        <v>70</v>
      </c>
      <c r="I407" s="48">
        <v>0</v>
      </c>
      <c r="J407" s="48">
        <v>0</v>
      </c>
      <c r="K407" s="48">
        <v>0</v>
      </c>
      <c r="L407" s="48">
        <v>1</v>
      </c>
      <c r="M407" s="48">
        <v>1</v>
      </c>
      <c r="N407" s="48">
        <v>0</v>
      </c>
      <c r="O407" s="48">
        <v>1</v>
      </c>
      <c r="P407" s="48">
        <v>1</v>
      </c>
      <c r="Q407" s="48">
        <v>1</v>
      </c>
      <c r="R407" s="48">
        <v>1</v>
      </c>
      <c r="S407" s="48">
        <v>0</v>
      </c>
      <c r="T407" s="48">
        <v>0</v>
      </c>
      <c r="U407" s="48">
        <v>0</v>
      </c>
      <c r="V407" s="48">
        <v>0</v>
      </c>
      <c r="W407" s="48">
        <v>1</v>
      </c>
      <c r="X407" s="49">
        <v>0</v>
      </c>
      <c r="Y407" s="48">
        <v>0</v>
      </c>
      <c r="Z407" s="50" t="s">
        <v>896</v>
      </c>
    </row>
    <row r="408" spans="3:26" s="48" customFormat="1" ht="20.100000000000001" customHeight="1" x14ac:dyDescent="0.3">
      <c r="C408" s="48">
        <v>5004033</v>
      </c>
      <c r="D408" s="29" t="s">
        <v>553</v>
      </c>
      <c r="E408" s="48">
        <v>0</v>
      </c>
      <c r="F408" s="29">
        <v>15904003</v>
      </c>
      <c r="G408" s="35">
        <v>0</v>
      </c>
      <c r="H408" s="29">
        <v>70</v>
      </c>
      <c r="I408" s="48">
        <v>0</v>
      </c>
      <c r="J408" s="48">
        <v>0</v>
      </c>
      <c r="K408" s="48">
        <v>0</v>
      </c>
      <c r="L408" s="48">
        <v>1</v>
      </c>
      <c r="M408" s="48">
        <v>1</v>
      </c>
      <c r="N408" s="48">
        <v>0</v>
      </c>
      <c r="O408" s="48">
        <v>1</v>
      </c>
      <c r="P408" s="48">
        <v>1</v>
      </c>
      <c r="Q408" s="48">
        <v>1</v>
      </c>
      <c r="R408" s="48">
        <v>1</v>
      </c>
      <c r="S408" s="48">
        <v>0</v>
      </c>
      <c r="T408" s="48">
        <v>0</v>
      </c>
      <c r="U408" s="48">
        <v>0</v>
      </c>
      <c r="V408" s="48">
        <v>0</v>
      </c>
      <c r="W408" s="48">
        <v>1</v>
      </c>
      <c r="X408" s="49">
        <v>0</v>
      </c>
      <c r="Y408" s="48">
        <v>0</v>
      </c>
      <c r="Z408" s="50" t="s">
        <v>897</v>
      </c>
    </row>
    <row r="409" spans="3:26" s="48" customFormat="1" ht="20.100000000000001" customHeight="1" x14ac:dyDescent="0.3">
      <c r="C409" s="48">
        <v>5004041</v>
      </c>
      <c r="D409" s="29" t="s">
        <v>554</v>
      </c>
      <c r="E409" s="48">
        <v>0</v>
      </c>
      <c r="F409" s="29">
        <v>15905001</v>
      </c>
      <c r="G409" s="35">
        <v>0</v>
      </c>
      <c r="H409" s="29">
        <v>70</v>
      </c>
      <c r="I409" s="48">
        <v>0</v>
      </c>
      <c r="J409" s="48">
        <v>0</v>
      </c>
      <c r="K409" s="48">
        <v>0</v>
      </c>
      <c r="L409" s="48">
        <v>1</v>
      </c>
      <c r="M409" s="48">
        <v>1</v>
      </c>
      <c r="N409" s="48">
        <v>0</v>
      </c>
      <c r="O409" s="48">
        <v>1</v>
      </c>
      <c r="P409" s="48">
        <v>1</v>
      </c>
      <c r="Q409" s="48">
        <v>1</v>
      </c>
      <c r="R409" s="48">
        <v>1</v>
      </c>
      <c r="S409" s="48">
        <v>0</v>
      </c>
      <c r="T409" s="48">
        <v>0</v>
      </c>
      <c r="U409" s="48">
        <v>0</v>
      </c>
      <c r="V409" s="48">
        <v>0</v>
      </c>
      <c r="W409" s="48">
        <v>1</v>
      </c>
      <c r="X409" s="49">
        <v>0</v>
      </c>
      <c r="Y409" s="48">
        <v>0</v>
      </c>
      <c r="Z409" s="50" t="s">
        <v>898</v>
      </c>
    </row>
    <row r="410" spans="3:26" s="48" customFormat="1" ht="20.100000000000001" customHeight="1" x14ac:dyDescent="0.3">
      <c r="C410" s="48">
        <v>5004042</v>
      </c>
      <c r="D410" s="29" t="s">
        <v>555</v>
      </c>
      <c r="E410" s="48">
        <v>0</v>
      </c>
      <c r="F410" s="29">
        <v>15905002</v>
      </c>
      <c r="G410" s="35">
        <v>0</v>
      </c>
      <c r="H410" s="29">
        <v>70</v>
      </c>
      <c r="I410" s="48">
        <v>0</v>
      </c>
      <c r="J410" s="48">
        <v>0</v>
      </c>
      <c r="K410" s="48">
        <v>0</v>
      </c>
      <c r="L410" s="48">
        <v>1</v>
      </c>
      <c r="M410" s="48">
        <v>1</v>
      </c>
      <c r="N410" s="48">
        <v>0</v>
      </c>
      <c r="O410" s="48">
        <v>1</v>
      </c>
      <c r="P410" s="48">
        <v>1</v>
      </c>
      <c r="Q410" s="48">
        <v>1</v>
      </c>
      <c r="R410" s="48">
        <v>1</v>
      </c>
      <c r="S410" s="48">
        <v>0</v>
      </c>
      <c r="T410" s="48">
        <v>0</v>
      </c>
      <c r="U410" s="48">
        <v>0</v>
      </c>
      <c r="V410" s="48">
        <v>0</v>
      </c>
      <c r="W410" s="48">
        <v>1</v>
      </c>
      <c r="X410" s="49">
        <v>0</v>
      </c>
      <c r="Y410" s="48">
        <v>0</v>
      </c>
      <c r="Z410" s="50" t="s">
        <v>899</v>
      </c>
    </row>
    <row r="411" spans="3:26" s="48" customFormat="1" ht="20.100000000000001" customHeight="1" x14ac:dyDescent="0.3">
      <c r="C411" s="48">
        <v>5004043</v>
      </c>
      <c r="D411" s="29" t="s">
        <v>556</v>
      </c>
      <c r="E411" s="48">
        <v>0</v>
      </c>
      <c r="F411" s="29">
        <v>15905003</v>
      </c>
      <c r="G411" s="35">
        <v>0</v>
      </c>
      <c r="H411" s="29">
        <v>70</v>
      </c>
      <c r="I411" s="48">
        <v>0</v>
      </c>
      <c r="J411" s="48">
        <v>0</v>
      </c>
      <c r="K411" s="48">
        <v>0</v>
      </c>
      <c r="L411" s="48">
        <v>1</v>
      </c>
      <c r="M411" s="48">
        <v>1</v>
      </c>
      <c r="N411" s="48">
        <v>0</v>
      </c>
      <c r="O411" s="48">
        <v>1</v>
      </c>
      <c r="P411" s="48">
        <v>1</v>
      </c>
      <c r="Q411" s="48">
        <v>1</v>
      </c>
      <c r="R411" s="48">
        <v>1</v>
      </c>
      <c r="S411" s="48">
        <v>0</v>
      </c>
      <c r="T411" s="48">
        <v>0</v>
      </c>
      <c r="U411" s="48">
        <v>0</v>
      </c>
      <c r="V411" s="48">
        <v>0</v>
      </c>
      <c r="W411" s="48">
        <v>1</v>
      </c>
      <c r="X411" s="49">
        <v>0</v>
      </c>
      <c r="Y411" s="48">
        <v>0</v>
      </c>
      <c r="Z411" s="50" t="s">
        <v>900</v>
      </c>
    </row>
    <row r="412" spans="3:26" s="48" customFormat="1" ht="20.100000000000001" customHeight="1" x14ac:dyDescent="0.3">
      <c r="C412" s="48">
        <v>5004051</v>
      </c>
      <c r="D412" s="29" t="s">
        <v>557</v>
      </c>
      <c r="E412" s="48">
        <v>0</v>
      </c>
      <c r="F412" s="29">
        <v>15906001</v>
      </c>
      <c r="G412" s="35">
        <v>0</v>
      </c>
      <c r="H412" s="29">
        <v>70</v>
      </c>
      <c r="I412" s="48">
        <v>0</v>
      </c>
      <c r="J412" s="48">
        <v>0</v>
      </c>
      <c r="K412" s="48">
        <v>0</v>
      </c>
      <c r="L412" s="48">
        <v>1</v>
      </c>
      <c r="M412" s="48">
        <v>1</v>
      </c>
      <c r="N412" s="48">
        <v>0</v>
      </c>
      <c r="O412" s="48">
        <v>1</v>
      </c>
      <c r="P412" s="48">
        <v>1</v>
      </c>
      <c r="Q412" s="48">
        <v>1</v>
      </c>
      <c r="R412" s="48">
        <v>1</v>
      </c>
      <c r="S412" s="48">
        <v>0</v>
      </c>
      <c r="T412" s="48">
        <v>0</v>
      </c>
      <c r="U412" s="48">
        <v>0</v>
      </c>
      <c r="V412" s="48">
        <v>0</v>
      </c>
      <c r="W412" s="48">
        <v>1</v>
      </c>
      <c r="X412" s="49">
        <v>0</v>
      </c>
      <c r="Y412" s="48">
        <v>0</v>
      </c>
      <c r="Z412" s="50" t="s">
        <v>882</v>
      </c>
    </row>
    <row r="413" spans="3:26" s="48" customFormat="1" ht="20.100000000000001" customHeight="1" x14ac:dyDescent="0.3">
      <c r="C413" s="48">
        <v>5004052</v>
      </c>
      <c r="D413" s="29" t="s">
        <v>559</v>
      </c>
      <c r="E413" s="48">
        <v>0</v>
      </c>
      <c r="F413" s="29">
        <v>15907001</v>
      </c>
      <c r="G413" s="35">
        <v>0</v>
      </c>
      <c r="H413" s="29">
        <v>70</v>
      </c>
      <c r="I413" s="48">
        <v>0</v>
      </c>
      <c r="J413" s="48">
        <v>0</v>
      </c>
      <c r="K413" s="48">
        <v>0</v>
      </c>
      <c r="L413" s="48">
        <v>1</v>
      </c>
      <c r="M413" s="48">
        <v>1</v>
      </c>
      <c r="N413" s="48">
        <v>0</v>
      </c>
      <c r="O413" s="48">
        <v>1</v>
      </c>
      <c r="P413" s="48">
        <v>1</v>
      </c>
      <c r="Q413" s="48">
        <v>1</v>
      </c>
      <c r="R413" s="48">
        <v>1</v>
      </c>
      <c r="S413" s="48">
        <v>0</v>
      </c>
      <c r="T413" s="48">
        <v>0</v>
      </c>
      <c r="U413" s="48">
        <v>0</v>
      </c>
      <c r="V413" s="48">
        <v>0</v>
      </c>
      <c r="W413" s="48">
        <v>1</v>
      </c>
      <c r="X413" s="49">
        <v>0</v>
      </c>
      <c r="Y413" s="48">
        <v>0</v>
      </c>
      <c r="Z413" s="50" t="s">
        <v>883</v>
      </c>
    </row>
    <row r="414" spans="3:26" s="48" customFormat="1" ht="20.100000000000001" customHeight="1" x14ac:dyDescent="0.3">
      <c r="C414" s="48">
        <v>5004061</v>
      </c>
      <c r="D414" s="29" t="s">
        <v>560</v>
      </c>
      <c r="E414" s="48">
        <v>0</v>
      </c>
      <c r="F414" s="29">
        <v>15908001</v>
      </c>
      <c r="G414" s="35">
        <v>0</v>
      </c>
      <c r="H414" s="29">
        <v>70</v>
      </c>
      <c r="I414" s="48">
        <v>0</v>
      </c>
      <c r="J414" s="48">
        <v>0</v>
      </c>
      <c r="K414" s="48">
        <v>0</v>
      </c>
      <c r="L414" s="48">
        <v>1</v>
      </c>
      <c r="M414" s="48">
        <v>1</v>
      </c>
      <c r="N414" s="48">
        <v>0</v>
      </c>
      <c r="O414" s="48">
        <v>1</v>
      </c>
      <c r="P414" s="48">
        <v>1</v>
      </c>
      <c r="Q414" s="48">
        <v>1</v>
      </c>
      <c r="R414" s="48">
        <v>1</v>
      </c>
      <c r="S414" s="48">
        <v>0</v>
      </c>
      <c r="T414" s="48">
        <v>0</v>
      </c>
      <c r="U414" s="48">
        <v>0</v>
      </c>
      <c r="V414" s="48">
        <v>0</v>
      </c>
      <c r="W414" s="48">
        <v>1</v>
      </c>
      <c r="X414" s="49">
        <v>0</v>
      </c>
      <c r="Y414" s="48">
        <v>0</v>
      </c>
      <c r="Z414" s="50" t="s">
        <v>884</v>
      </c>
    </row>
    <row r="415" spans="3:26" s="48" customFormat="1" ht="20.100000000000001" customHeight="1" x14ac:dyDescent="0.3">
      <c r="C415" s="48">
        <v>5004062</v>
      </c>
      <c r="D415" s="29" t="s">
        <v>561</v>
      </c>
      <c r="E415" s="48">
        <v>0</v>
      </c>
      <c r="F415" s="29">
        <v>15909001</v>
      </c>
      <c r="G415" s="35">
        <v>0</v>
      </c>
      <c r="H415" s="29">
        <v>70</v>
      </c>
      <c r="I415" s="48">
        <v>0</v>
      </c>
      <c r="J415" s="48">
        <v>0</v>
      </c>
      <c r="K415" s="48">
        <v>0</v>
      </c>
      <c r="L415" s="48">
        <v>1</v>
      </c>
      <c r="M415" s="48">
        <v>1</v>
      </c>
      <c r="N415" s="48">
        <v>0</v>
      </c>
      <c r="O415" s="48">
        <v>1</v>
      </c>
      <c r="P415" s="48">
        <v>1</v>
      </c>
      <c r="Q415" s="48">
        <v>1</v>
      </c>
      <c r="R415" s="48">
        <v>1</v>
      </c>
      <c r="S415" s="48">
        <v>0</v>
      </c>
      <c r="T415" s="48">
        <v>0</v>
      </c>
      <c r="U415" s="48">
        <v>0</v>
      </c>
      <c r="V415" s="48">
        <v>0</v>
      </c>
      <c r="W415" s="48">
        <v>1</v>
      </c>
      <c r="X415" s="49">
        <v>0</v>
      </c>
      <c r="Y415" s="48">
        <v>0</v>
      </c>
      <c r="Z415" s="50" t="s">
        <v>885</v>
      </c>
    </row>
    <row r="416" spans="3:26" s="48" customFormat="1" ht="20.100000000000001" customHeight="1" x14ac:dyDescent="0.3">
      <c r="C416" s="48">
        <v>5004071</v>
      </c>
      <c r="D416" s="29" t="s">
        <v>562</v>
      </c>
      <c r="E416" s="48">
        <v>0</v>
      </c>
      <c r="F416" s="29">
        <v>15910001</v>
      </c>
      <c r="G416" s="35">
        <v>0</v>
      </c>
      <c r="H416" s="29">
        <v>70</v>
      </c>
      <c r="I416" s="48">
        <v>0</v>
      </c>
      <c r="J416" s="48">
        <v>0</v>
      </c>
      <c r="K416" s="48">
        <v>0</v>
      </c>
      <c r="L416" s="48">
        <v>1</v>
      </c>
      <c r="M416" s="48">
        <v>1</v>
      </c>
      <c r="N416" s="48">
        <v>0</v>
      </c>
      <c r="O416" s="48">
        <v>1</v>
      </c>
      <c r="P416" s="48">
        <v>1</v>
      </c>
      <c r="Q416" s="48">
        <v>1</v>
      </c>
      <c r="R416" s="48">
        <v>1</v>
      </c>
      <c r="S416" s="48">
        <v>0</v>
      </c>
      <c r="T416" s="48">
        <v>0</v>
      </c>
      <c r="U416" s="48">
        <v>0</v>
      </c>
      <c r="V416" s="48">
        <v>0</v>
      </c>
      <c r="W416" s="48">
        <v>1</v>
      </c>
      <c r="X416" s="49">
        <v>0</v>
      </c>
      <c r="Y416" s="48">
        <v>0</v>
      </c>
      <c r="Z416" s="50" t="s">
        <v>875</v>
      </c>
    </row>
    <row r="417" spans="3:26" s="48" customFormat="1" ht="20.100000000000001" customHeight="1" x14ac:dyDescent="0.3">
      <c r="C417" s="48">
        <v>5004072</v>
      </c>
      <c r="D417" s="29" t="s">
        <v>564</v>
      </c>
      <c r="E417" s="48">
        <v>0</v>
      </c>
      <c r="F417" s="29">
        <v>15910002</v>
      </c>
      <c r="G417" s="35">
        <v>0</v>
      </c>
      <c r="H417" s="29">
        <v>70</v>
      </c>
      <c r="I417" s="48">
        <v>0</v>
      </c>
      <c r="J417" s="48">
        <v>0</v>
      </c>
      <c r="K417" s="48">
        <v>0</v>
      </c>
      <c r="L417" s="48">
        <v>1</v>
      </c>
      <c r="M417" s="48">
        <v>1</v>
      </c>
      <c r="N417" s="48">
        <v>0</v>
      </c>
      <c r="O417" s="48">
        <v>1</v>
      </c>
      <c r="P417" s="48">
        <v>1</v>
      </c>
      <c r="Q417" s="48">
        <v>1</v>
      </c>
      <c r="R417" s="48">
        <v>1</v>
      </c>
      <c r="S417" s="48">
        <v>0</v>
      </c>
      <c r="T417" s="48">
        <v>0</v>
      </c>
      <c r="U417" s="48">
        <v>0</v>
      </c>
      <c r="V417" s="48">
        <v>0</v>
      </c>
      <c r="W417" s="48">
        <v>1</v>
      </c>
      <c r="X417" s="49">
        <v>0</v>
      </c>
      <c r="Y417" s="48">
        <v>0</v>
      </c>
      <c r="Z417" s="50" t="s">
        <v>876</v>
      </c>
    </row>
    <row r="418" spans="3:26" s="48" customFormat="1" ht="20.100000000000001" customHeight="1" x14ac:dyDescent="0.3">
      <c r="C418" s="48">
        <v>5004081</v>
      </c>
      <c r="D418" s="29" t="s">
        <v>565</v>
      </c>
      <c r="E418" s="48">
        <v>0</v>
      </c>
      <c r="F418" s="29">
        <v>15910101</v>
      </c>
      <c r="G418" s="35">
        <v>0</v>
      </c>
      <c r="H418" s="29">
        <v>70</v>
      </c>
      <c r="I418" s="48">
        <v>0</v>
      </c>
      <c r="J418" s="48">
        <v>0</v>
      </c>
      <c r="K418" s="48">
        <v>0</v>
      </c>
      <c r="L418" s="48">
        <v>1</v>
      </c>
      <c r="M418" s="48">
        <v>1</v>
      </c>
      <c r="N418" s="48">
        <v>0</v>
      </c>
      <c r="O418" s="48">
        <v>1</v>
      </c>
      <c r="P418" s="48">
        <v>1</v>
      </c>
      <c r="Q418" s="48">
        <v>1</v>
      </c>
      <c r="R418" s="48">
        <v>1</v>
      </c>
      <c r="S418" s="48">
        <v>0</v>
      </c>
      <c r="T418" s="48">
        <v>0</v>
      </c>
      <c r="U418" s="48">
        <v>0</v>
      </c>
      <c r="V418" s="48">
        <v>0</v>
      </c>
      <c r="W418" s="48">
        <v>1</v>
      </c>
      <c r="X418" s="49">
        <v>0</v>
      </c>
      <c r="Y418" s="48">
        <v>0</v>
      </c>
      <c r="Z418" s="50" t="s">
        <v>877</v>
      </c>
    </row>
    <row r="419" spans="3:26" s="48" customFormat="1" ht="20.100000000000001" customHeight="1" x14ac:dyDescent="0.3">
      <c r="C419" s="48">
        <v>5004082</v>
      </c>
      <c r="D419" s="29" t="s">
        <v>566</v>
      </c>
      <c r="E419" s="48">
        <v>0</v>
      </c>
      <c r="F419" s="29">
        <v>15910102</v>
      </c>
      <c r="G419" s="35">
        <v>0</v>
      </c>
      <c r="H419" s="29">
        <v>70</v>
      </c>
      <c r="I419" s="48">
        <v>0</v>
      </c>
      <c r="J419" s="48">
        <v>0</v>
      </c>
      <c r="K419" s="48">
        <v>0</v>
      </c>
      <c r="L419" s="48">
        <v>1</v>
      </c>
      <c r="M419" s="48">
        <v>1</v>
      </c>
      <c r="N419" s="48">
        <v>0</v>
      </c>
      <c r="O419" s="48">
        <v>1</v>
      </c>
      <c r="P419" s="48">
        <v>1</v>
      </c>
      <c r="Q419" s="48">
        <v>1</v>
      </c>
      <c r="R419" s="48">
        <v>1</v>
      </c>
      <c r="S419" s="48">
        <v>0</v>
      </c>
      <c r="T419" s="48">
        <v>0</v>
      </c>
      <c r="U419" s="48">
        <v>0</v>
      </c>
      <c r="V419" s="48">
        <v>0</v>
      </c>
      <c r="W419" s="48">
        <v>1</v>
      </c>
      <c r="X419" s="49">
        <v>0</v>
      </c>
      <c r="Y419" s="48">
        <v>0</v>
      </c>
      <c r="Z419" s="50" t="s">
        <v>878</v>
      </c>
    </row>
    <row r="420" spans="3:26" s="48" customFormat="1" ht="20.100000000000001" customHeight="1" x14ac:dyDescent="0.3">
      <c r="C420" s="48">
        <v>5004091</v>
      </c>
      <c r="D420" s="29" t="s">
        <v>567</v>
      </c>
      <c r="E420" s="48">
        <v>0</v>
      </c>
      <c r="F420" s="29">
        <v>15911001</v>
      </c>
      <c r="G420" s="35">
        <v>0</v>
      </c>
      <c r="H420" s="29">
        <v>70</v>
      </c>
      <c r="I420" s="48">
        <v>0</v>
      </c>
      <c r="J420" s="48">
        <v>0</v>
      </c>
      <c r="K420" s="48">
        <v>0</v>
      </c>
      <c r="L420" s="48">
        <v>1</v>
      </c>
      <c r="M420" s="48">
        <v>1</v>
      </c>
      <c r="N420" s="48">
        <v>0</v>
      </c>
      <c r="O420" s="48">
        <v>1</v>
      </c>
      <c r="P420" s="48">
        <v>1</v>
      </c>
      <c r="Q420" s="48">
        <v>1</v>
      </c>
      <c r="R420" s="48">
        <v>1</v>
      </c>
      <c r="S420" s="48">
        <v>0</v>
      </c>
      <c r="T420" s="48">
        <v>0</v>
      </c>
      <c r="U420" s="48">
        <v>0</v>
      </c>
      <c r="V420" s="48">
        <v>0</v>
      </c>
      <c r="W420" s="48">
        <v>1</v>
      </c>
      <c r="X420" s="49">
        <v>0</v>
      </c>
      <c r="Y420" s="48">
        <v>0</v>
      </c>
      <c r="Z420" s="50" t="s">
        <v>879</v>
      </c>
    </row>
    <row r="421" spans="3:26" s="48" customFormat="1" ht="20.100000000000001" customHeight="1" x14ac:dyDescent="0.3">
      <c r="C421" s="48">
        <v>5004092</v>
      </c>
      <c r="D421" s="29" t="s">
        <v>569</v>
      </c>
      <c r="E421" s="48">
        <v>0</v>
      </c>
      <c r="F421" s="29">
        <v>15911002</v>
      </c>
      <c r="G421" s="35">
        <v>0</v>
      </c>
      <c r="H421" s="29">
        <v>70</v>
      </c>
      <c r="I421" s="48">
        <v>0</v>
      </c>
      <c r="J421" s="48">
        <v>0</v>
      </c>
      <c r="K421" s="48">
        <v>0</v>
      </c>
      <c r="L421" s="48">
        <v>1</v>
      </c>
      <c r="M421" s="48">
        <v>1</v>
      </c>
      <c r="N421" s="48">
        <v>0</v>
      </c>
      <c r="O421" s="48">
        <v>1</v>
      </c>
      <c r="P421" s="48">
        <v>1</v>
      </c>
      <c r="Q421" s="48">
        <v>1</v>
      </c>
      <c r="R421" s="48">
        <v>1</v>
      </c>
      <c r="S421" s="48">
        <v>0</v>
      </c>
      <c r="T421" s="48">
        <v>0</v>
      </c>
      <c r="U421" s="48">
        <v>0</v>
      </c>
      <c r="V421" s="48">
        <v>0</v>
      </c>
      <c r="W421" s="48">
        <v>1</v>
      </c>
      <c r="X421" s="49">
        <v>0</v>
      </c>
      <c r="Y421" s="48">
        <v>0</v>
      </c>
      <c r="Z421" s="50" t="s">
        <v>880</v>
      </c>
    </row>
    <row r="422" spans="3:26" s="48" customFormat="1" ht="20.100000000000001" customHeight="1" x14ac:dyDescent="0.3">
      <c r="C422" s="48">
        <v>5004093</v>
      </c>
      <c r="D422" s="29" t="s">
        <v>570</v>
      </c>
      <c r="E422" s="48">
        <v>0</v>
      </c>
      <c r="F422" s="29">
        <v>15911003</v>
      </c>
      <c r="G422" s="35">
        <v>0</v>
      </c>
      <c r="H422" s="29">
        <v>70</v>
      </c>
      <c r="I422" s="48">
        <v>0</v>
      </c>
      <c r="J422" s="48">
        <v>0</v>
      </c>
      <c r="K422" s="48">
        <v>0</v>
      </c>
      <c r="L422" s="48">
        <v>1</v>
      </c>
      <c r="M422" s="48">
        <v>1</v>
      </c>
      <c r="N422" s="48">
        <v>0</v>
      </c>
      <c r="O422" s="48">
        <v>1</v>
      </c>
      <c r="P422" s="48">
        <v>1</v>
      </c>
      <c r="Q422" s="48">
        <v>1</v>
      </c>
      <c r="R422" s="48">
        <v>1</v>
      </c>
      <c r="S422" s="48">
        <v>0</v>
      </c>
      <c r="T422" s="48">
        <v>0</v>
      </c>
      <c r="U422" s="48">
        <v>0</v>
      </c>
      <c r="V422" s="48">
        <v>0</v>
      </c>
      <c r="W422" s="48">
        <v>1</v>
      </c>
      <c r="X422" s="49">
        <v>0</v>
      </c>
      <c r="Y422" s="48">
        <v>0</v>
      </c>
      <c r="Z422" s="50" t="s">
        <v>881</v>
      </c>
    </row>
    <row r="423" spans="3:26" s="48" customFormat="1" ht="20.100000000000001" customHeight="1" x14ac:dyDescent="0.3">
      <c r="C423" s="48">
        <v>5004101</v>
      </c>
      <c r="D423" s="29" t="s">
        <v>606</v>
      </c>
      <c r="E423" s="48">
        <v>0</v>
      </c>
      <c r="F423" s="29">
        <v>15910201</v>
      </c>
      <c r="G423" s="35">
        <v>0</v>
      </c>
      <c r="H423" s="29">
        <v>70</v>
      </c>
      <c r="I423" s="48">
        <v>0</v>
      </c>
      <c r="J423" s="48">
        <v>0</v>
      </c>
      <c r="K423" s="48">
        <v>0</v>
      </c>
      <c r="L423" s="48">
        <v>1</v>
      </c>
      <c r="M423" s="48">
        <v>1</v>
      </c>
      <c r="N423" s="48">
        <v>0</v>
      </c>
      <c r="O423" s="48">
        <v>1</v>
      </c>
      <c r="P423" s="48">
        <v>1</v>
      </c>
      <c r="Q423" s="48">
        <v>1</v>
      </c>
      <c r="R423" s="48">
        <v>1</v>
      </c>
      <c r="S423" s="48">
        <v>0</v>
      </c>
      <c r="T423" s="48">
        <v>0</v>
      </c>
      <c r="U423" s="48">
        <v>0</v>
      </c>
      <c r="V423" s="48">
        <v>0</v>
      </c>
      <c r="W423" s="48">
        <v>1</v>
      </c>
      <c r="X423" s="49">
        <v>0</v>
      </c>
      <c r="Y423" s="48">
        <v>0</v>
      </c>
      <c r="Z423" s="50" t="s">
        <v>903</v>
      </c>
    </row>
    <row r="424" spans="3:26" s="6" customFormat="1" ht="20.100000000000001" customHeight="1" x14ac:dyDescent="0.3">
      <c r="C424" s="6">
        <v>6000101</v>
      </c>
      <c r="D424" s="6" t="s">
        <v>635</v>
      </c>
      <c r="E424" s="6">
        <v>9</v>
      </c>
      <c r="F424" s="6">
        <v>11500101</v>
      </c>
      <c r="G424" s="41">
        <v>0</v>
      </c>
      <c r="H424" s="15">
        <v>12</v>
      </c>
      <c r="I424" s="6">
        <v>0</v>
      </c>
      <c r="J424" s="6">
        <v>0</v>
      </c>
      <c r="K424" s="6">
        <v>0</v>
      </c>
      <c r="L424" s="6">
        <v>1</v>
      </c>
      <c r="M424" s="6">
        <v>1</v>
      </c>
      <c r="N424" s="6">
        <v>0</v>
      </c>
      <c r="O424" s="6">
        <v>1</v>
      </c>
      <c r="P424" s="6">
        <v>1</v>
      </c>
      <c r="Q424" s="6">
        <v>1</v>
      </c>
      <c r="R424" s="6">
        <v>1</v>
      </c>
      <c r="S424" s="6">
        <v>0</v>
      </c>
      <c r="T424" s="6">
        <v>0</v>
      </c>
      <c r="U424" s="6">
        <v>0</v>
      </c>
      <c r="V424" s="6">
        <v>0</v>
      </c>
      <c r="W424" s="6">
        <v>1</v>
      </c>
      <c r="X424" s="24">
        <v>0</v>
      </c>
      <c r="Y424" s="6">
        <v>0</v>
      </c>
      <c r="Z424" s="40" t="s">
        <v>636</v>
      </c>
    </row>
    <row r="425" spans="3:26" s="6" customFormat="1" ht="20.100000000000001" customHeight="1" x14ac:dyDescent="0.3">
      <c r="C425" s="6">
        <v>6000102</v>
      </c>
      <c r="D425" s="6" t="s">
        <v>637</v>
      </c>
      <c r="E425" s="6">
        <v>9</v>
      </c>
      <c r="F425" s="6">
        <v>11500102</v>
      </c>
      <c r="G425" s="41">
        <v>0</v>
      </c>
      <c r="H425" s="15">
        <v>12</v>
      </c>
      <c r="I425" s="6">
        <v>0</v>
      </c>
      <c r="J425" s="6">
        <v>0</v>
      </c>
      <c r="K425" s="6">
        <v>0</v>
      </c>
      <c r="L425" s="6">
        <v>1</v>
      </c>
      <c r="M425" s="6">
        <v>1</v>
      </c>
      <c r="N425" s="6">
        <v>0</v>
      </c>
      <c r="O425" s="6">
        <v>1</v>
      </c>
      <c r="P425" s="6">
        <v>1</v>
      </c>
      <c r="Q425" s="6">
        <v>1</v>
      </c>
      <c r="R425" s="6">
        <v>1</v>
      </c>
      <c r="S425" s="6">
        <v>0</v>
      </c>
      <c r="T425" s="6">
        <v>0</v>
      </c>
      <c r="U425" s="6">
        <v>0</v>
      </c>
      <c r="V425" s="6">
        <v>0</v>
      </c>
      <c r="W425" s="6">
        <v>1</v>
      </c>
      <c r="X425" s="24">
        <v>0</v>
      </c>
      <c r="Y425" s="6">
        <v>0</v>
      </c>
      <c r="Z425" s="40" t="s">
        <v>636</v>
      </c>
    </row>
    <row r="426" spans="3:26" s="6" customFormat="1" ht="20.100000000000001" customHeight="1" x14ac:dyDescent="0.3">
      <c r="C426" s="6">
        <v>6000103</v>
      </c>
      <c r="D426" s="6" t="s">
        <v>638</v>
      </c>
      <c r="E426" s="6">
        <v>9</v>
      </c>
      <c r="F426" s="6">
        <v>11500103</v>
      </c>
      <c r="G426" s="41">
        <v>0</v>
      </c>
      <c r="H426" s="15">
        <v>12</v>
      </c>
      <c r="I426" s="6">
        <v>0</v>
      </c>
      <c r="J426" s="6">
        <v>0</v>
      </c>
      <c r="K426" s="6">
        <v>0</v>
      </c>
      <c r="L426" s="6">
        <v>1</v>
      </c>
      <c r="M426" s="6">
        <v>1</v>
      </c>
      <c r="N426" s="6">
        <v>0</v>
      </c>
      <c r="O426" s="6">
        <v>1</v>
      </c>
      <c r="P426" s="6">
        <v>1</v>
      </c>
      <c r="Q426" s="6">
        <v>1</v>
      </c>
      <c r="R426" s="6">
        <v>1</v>
      </c>
      <c r="S426" s="6">
        <v>0</v>
      </c>
      <c r="T426" s="6">
        <v>0</v>
      </c>
      <c r="U426" s="6">
        <v>0</v>
      </c>
      <c r="V426" s="6">
        <v>0</v>
      </c>
      <c r="W426" s="6">
        <v>1</v>
      </c>
      <c r="X426" s="24">
        <v>0</v>
      </c>
      <c r="Y426" s="6">
        <v>0</v>
      </c>
      <c r="Z426" s="40" t="s">
        <v>636</v>
      </c>
    </row>
    <row r="427" spans="3:26" s="6" customFormat="1" ht="20.100000000000001" customHeight="1" x14ac:dyDescent="0.3">
      <c r="C427" s="6">
        <v>6000201</v>
      </c>
      <c r="D427" s="6" t="s">
        <v>639</v>
      </c>
      <c r="E427" s="6">
        <v>9</v>
      </c>
      <c r="F427" s="6">
        <v>11500201</v>
      </c>
      <c r="G427" s="41">
        <v>0</v>
      </c>
      <c r="H427" s="15">
        <v>30</v>
      </c>
      <c r="I427" s="6">
        <v>0</v>
      </c>
      <c r="J427" s="6">
        <v>0</v>
      </c>
      <c r="K427" s="6">
        <v>0</v>
      </c>
      <c r="L427" s="6">
        <v>1</v>
      </c>
      <c r="M427" s="6">
        <v>1</v>
      </c>
      <c r="N427" s="6">
        <v>0</v>
      </c>
      <c r="O427" s="6">
        <v>1</v>
      </c>
      <c r="P427" s="6">
        <v>1</v>
      </c>
      <c r="Q427" s="6">
        <v>1</v>
      </c>
      <c r="R427" s="6">
        <v>1</v>
      </c>
      <c r="S427" s="6">
        <v>0</v>
      </c>
      <c r="T427" s="6">
        <v>0</v>
      </c>
      <c r="U427" s="6">
        <v>0</v>
      </c>
      <c r="V427" s="6">
        <v>0</v>
      </c>
      <c r="W427" s="6">
        <v>1</v>
      </c>
      <c r="X427" s="24">
        <v>0</v>
      </c>
      <c r="Y427" s="6">
        <v>0</v>
      </c>
      <c r="Z427" s="40" t="s">
        <v>640</v>
      </c>
    </row>
    <row r="428" spans="3:26" s="6" customFormat="1" ht="20.100000000000001" customHeight="1" x14ac:dyDescent="0.3">
      <c r="C428" s="6">
        <v>6000202</v>
      </c>
      <c r="D428" s="6" t="s">
        <v>641</v>
      </c>
      <c r="E428" s="6">
        <v>9</v>
      </c>
      <c r="F428" s="6">
        <v>11500202</v>
      </c>
      <c r="G428" s="41">
        <v>0</v>
      </c>
      <c r="H428" s="15">
        <v>30</v>
      </c>
      <c r="I428" s="6">
        <v>0</v>
      </c>
      <c r="J428" s="6">
        <v>0</v>
      </c>
      <c r="K428" s="6">
        <v>0</v>
      </c>
      <c r="L428" s="6">
        <v>1</v>
      </c>
      <c r="M428" s="6">
        <v>1</v>
      </c>
      <c r="N428" s="6">
        <v>0</v>
      </c>
      <c r="O428" s="6">
        <v>1</v>
      </c>
      <c r="P428" s="6">
        <v>1</v>
      </c>
      <c r="Q428" s="6">
        <v>1</v>
      </c>
      <c r="R428" s="6">
        <v>1</v>
      </c>
      <c r="S428" s="6">
        <v>0</v>
      </c>
      <c r="T428" s="6">
        <v>0</v>
      </c>
      <c r="U428" s="6">
        <v>0</v>
      </c>
      <c r="V428" s="6">
        <v>0</v>
      </c>
      <c r="W428" s="6">
        <v>1</v>
      </c>
      <c r="X428" s="24">
        <v>0</v>
      </c>
      <c r="Y428" s="6">
        <v>0</v>
      </c>
      <c r="Z428" s="40" t="s">
        <v>640</v>
      </c>
    </row>
    <row r="429" spans="3:26" s="6" customFormat="1" ht="20.100000000000001" customHeight="1" x14ac:dyDescent="0.3">
      <c r="C429" s="6">
        <v>6000203</v>
      </c>
      <c r="D429" s="6" t="s">
        <v>642</v>
      </c>
      <c r="E429" s="6">
        <v>9</v>
      </c>
      <c r="F429" s="6">
        <v>11500203</v>
      </c>
      <c r="G429" s="41">
        <v>0</v>
      </c>
      <c r="H429" s="15">
        <v>30</v>
      </c>
      <c r="I429" s="6">
        <v>0</v>
      </c>
      <c r="J429" s="6">
        <v>0</v>
      </c>
      <c r="K429" s="6">
        <v>0</v>
      </c>
      <c r="L429" s="6">
        <v>1</v>
      </c>
      <c r="M429" s="6">
        <v>1</v>
      </c>
      <c r="N429" s="6">
        <v>0</v>
      </c>
      <c r="O429" s="6">
        <v>1</v>
      </c>
      <c r="P429" s="6">
        <v>1</v>
      </c>
      <c r="Q429" s="6">
        <v>1</v>
      </c>
      <c r="R429" s="6">
        <v>1</v>
      </c>
      <c r="S429" s="6">
        <v>0</v>
      </c>
      <c r="T429" s="6">
        <v>0</v>
      </c>
      <c r="U429" s="6">
        <v>0</v>
      </c>
      <c r="V429" s="6">
        <v>0</v>
      </c>
      <c r="W429" s="6">
        <v>1</v>
      </c>
      <c r="X429" s="24">
        <v>0</v>
      </c>
      <c r="Y429" s="6">
        <v>0</v>
      </c>
      <c r="Z429" s="40" t="s">
        <v>640</v>
      </c>
    </row>
    <row r="430" spans="3:26" s="6" customFormat="1" ht="20.100000000000001" customHeight="1" x14ac:dyDescent="0.3">
      <c r="C430" s="6">
        <v>6000301</v>
      </c>
      <c r="D430" s="6" t="s">
        <v>643</v>
      </c>
      <c r="E430" s="6">
        <v>9</v>
      </c>
      <c r="F430" s="6">
        <v>11500301</v>
      </c>
      <c r="G430" s="41">
        <v>0</v>
      </c>
      <c r="H430" s="15">
        <v>40</v>
      </c>
      <c r="I430" s="6">
        <v>0</v>
      </c>
      <c r="J430" s="6">
        <v>0</v>
      </c>
      <c r="K430" s="6">
        <v>0</v>
      </c>
      <c r="L430" s="6">
        <v>1</v>
      </c>
      <c r="M430" s="6">
        <v>1</v>
      </c>
      <c r="N430" s="6">
        <v>0</v>
      </c>
      <c r="O430" s="6">
        <v>1</v>
      </c>
      <c r="P430" s="6">
        <v>1</v>
      </c>
      <c r="Q430" s="6">
        <v>1</v>
      </c>
      <c r="R430" s="6">
        <v>1</v>
      </c>
      <c r="S430" s="6">
        <v>0</v>
      </c>
      <c r="T430" s="6">
        <v>0</v>
      </c>
      <c r="U430" s="6">
        <v>0</v>
      </c>
      <c r="V430" s="6">
        <v>0</v>
      </c>
      <c r="W430" s="6">
        <v>1</v>
      </c>
      <c r="X430" s="24">
        <v>0</v>
      </c>
      <c r="Y430" s="6">
        <v>0</v>
      </c>
      <c r="Z430" s="40" t="s">
        <v>644</v>
      </c>
    </row>
    <row r="431" spans="3:26" s="6" customFormat="1" ht="20.100000000000001" customHeight="1" x14ac:dyDescent="0.3">
      <c r="C431" s="6">
        <v>6000302</v>
      </c>
      <c r="D431" s="6" t="s">
        <v>645</v>
      </c>
      <c r="E431" s="6">
        <v>9</v>
      </c>
      <c r="F431" s="6">
        <v>11500302</v>
      </c>
      <c r="G431" s="41">
        <v>0</v>
      </c>
      <c r="H431" s="15">
        <v>40</v>
      </c>
      <c r="I431" s="6">
        <v>0</v>
      </c>
      <c r="J431" s="6">
        <v>0</v>
      </c>
      <c r="K431" s="6">
        <v>0</v>
      </c>
      <c r="L431" s="6">
        <v>1</v>
      </c>
      <c r="M431" s="6">
        <v>1</v>
      </c>
      <c r="N431" s="6">
        <v>0</v>
      </c>
      <c r="O431" s="6">
        <v>1</v>
      </c>
      <c r="P431" s="6">
        <v>1</v>
      </c>
      <c r="Q431" s="6">
        <v>1</v>
      </c>
      <c r="R431" s="6">
        <v>1</v>
      </c>
      <c r="S431" s="6">
        <v>0</v>
      </c>
      <c r="T431" s="6">
        <v>0</v>
      </c>
      <c r="U431" s="6">
        <v>0</v>
      </c>
      <c r="V431" s="6">
        <v>0</v>
      </c>
      <c r="W431" s="6">
        <v>1</v>
      </c>
      <c r="X431" s="24">
        <v>0</v>
      </c>
      <c r="Y431" s="6">
        <v>0</v>
      </c>
      <c r="Z431" s="40" t="s">
        <v>644</v>
      </c>
    </row>
    <row r="432" spans="3:26" s="6" customFormat="1" ht="20.100000000000001" customHeight="1" x14ac:dyDescent="0.3">
      <c r="C432" s="6">
        <v>6000303</v>
      </c>
      <c r="D432" s="6" t="s">
        <v>646</v>
      </c>
      <c r="E432" s="6">
        <v>9</v>
      </c>
      <c r="F432" s="6">
        <v>11500303</v>
      </c>
      <c r="G432" s="41">
        <v>0</v>
      </c>
      <c r="H432" s="15">
        <v>40</v>
      </c>
      <c r="I432" s="6">
        <v>0</v>
      </c>
      <c r="J432" s="6">
        <v>0</v>
      </c>
      <c r="K432" s="6">
        <v>0</v>
      </c>
      <c r="L432" s="6">
        <v>1</v>
      </c>
      <c r="M432" s="6">
        <v>1</v>
      </c>
      <c r="N432" s="6">
        <v>0</v>
      </c>
      <c r="O432" s="6">
        <v>1</v>
      </c>
      <c r="P432" s="6">
        <v>1</v>
      </c>
      <c r="Q432" s="6">
        <v>1</v>
      </c>
      <c r="R432" s="6">
        <v>1</v>
      </c>
      <c r="S432" s="6">
        <v>0</v>
      </c>
      <c r="T432" s="6">
        <v>0</v>
      </c>
      <c r="U432" s="6">
        <v>0</v>
      </c>
      <c r="V432" s="6">
        <v>0</v>
      </c>
      <c r="W432" s="6">
        <v>1</v>
      </c>
      <c r="X432" s="24">
        <v>0</v>
      </c>
      <c r="Y432" s="6">
        <v>0</v>
      </c>
      <c r="Z432" s="40" t="s">
        <v>644</v>
      </c>
    </row>
    <row r="433" spans="3:26" s="6" customFormat="1" ht="20.100000000000001" customHeight="1" x14ac:dyDescent="0.3">
      <c r="C433" s="6">
        <v>6000401</v>
      </c>
      <c r="D433" s="6" t="s">
        <v>647</v>
      </c>
      <c r="E433" s="6">
        <v>9</v>
      </c>
      <c r="F433" s="6">
        <v>11500401</v>
      </c>
      <c r="G433" s="41">
        <v>0</v>
      </c>
      <c r="H433" s="15">
        <v>50</v>
      </c>
      <c r="I433" s="6">
        <v>0</v>
      </c>
      <c r="J433" s="6">
        <v>0</v>
      </c>
      <c r="K433" s="6">
        <v>0</v>
      </c>
      <c r="L433" s="6">
        <v>1</v>
      </c>
      <c r="M433" s="6">
        <v>1</v>
      </c>
      <c r="N433" s="6">
        <v>0</v>
      </c>
      <c r="O433" s="6">
        <v>1</v>
      </c>
      <c r="P433" s="6">
        <v>1</v>
      </c>
      <c r="Q433" s="6">
        <v>1</v>
      </c>
      <c r="R433" s="6">
        <v>1</v>
      </c>
      <c r="S433" s="6">
        <v>0</v>
      </c>
      <c r="T433" s="6">
        <v>0</v>
      </c>
      <c r="U433" s="6">
        <v>0</v>
      </c>
      <c r="V433" s="6">
        <v>0</v>
      </c>
      <c r="W433" s="6">
        <v>1</v>
      </c>
      <c r="X433" s="24">
        <v>0</v>
      </c>
      <c r="Y433" s="6">
        <v>0</v>
      </c>
      <c r="Z433" s="40" t="s">
        <v>648</v>
      </c>
    </row>
    <row r="434" spans="3:26" s="6" customFormat="1" ht="20.100000000000001" customHeight="1" x14ac:dyDescent="0.3">
      <c r="C434" s="6">
        <v>6000402</v>
      </c>
      <c r="D434" s="6" t="s">
        <v>649</v>
      </c>
      <c r="E434" s="6">
        <v>9</v>
      </c>
      <c r="F434" s="6">
        <v>11500402</v>
      </c>
      <c r="G434" s="41">
        <v>0</v>
      </c>
      <c r="H434" s="15">
        <v>50</v>
      </c>
      <c r="I434" s="6">
        <v>0</v>
      </c>
      <c r="J434" s="6">
        <v>0</v>
      </c>
      <c r="K434" s="6">
        <v>0</v>
      </c>
      <c r="L434" s="6">
        <v>1</v>
      </c>
      <c r="M434" s="6">
        <v>1</v>
      </c>
      <c r="N434" s="6">
        <v>0</v>
      </c>
      <c r="O434" s="6">
        <v>1</v>
      </c>
      <c r="P434" s="6">
        <v>1</v>
      </c>
      <c r="Q434" s="6">
        <v>1</v>
      </c>
      <c r="R434" s="6">
        <v>1</v>
      </c>
      <c r="S434" s="6">
        <v>0</v>
      </c>
      <c r="T434" s="6">
        <v>0</v>
      </c>
      <c r="U434" s="6">
        <v>0</v>
      </c>
      <c r="V434" s="6">
        <v>0</v>
      </c>
      <c r="W434" s="6">
        <v>1</v>
      </c>
      <c r="X434" s="24">
        <v>0</v>
      </c>
      <c r="Y434" s="6">
        <v>0</v>
      </c>
      <c r="Z434" s="40" t="s">
        <v>648</v>
      </c>
    </row>
    <row r="435" spans="3:26" s="6" customFormat="1" ht="20.100000000000001" customHeight="1" x14ac:dyDescent="0.3">
      <c r="C435" s="6">
        <v>6000403</v>
      </c>
      <c r="D435" s="6" t="s">
        <v>650</v>
      </c>
      <c r="E435" s="6">
        <v>9</v>
      </c>
      <c r="F435" s="6">
        <v>11500403</v>
      </c>
      <c r="G435" s="41">
        <v>0</v>
      </c>
      <c r="H435" s="15">
        <v>50</v>
      </c>
      <c r="I435" s="6">
        <v>0</v>
      </c>
      <c r="J435" s="6">
        <v>0</v>
      </c>
      <c r="K435" s="6">
        <v>0</v>
      </c>
      <c r="L435" s="6">
        <v>1</v>
      </c>
      <c r="M435" s="6">
        <v>1</v>
      </c>
      <c r="N435" s="6">
        <v>0</v>
      </c>
      <c r="O435" s="6">
        <v>1</v>
      </c>
      <c r="P435" s="6">
        <v>1</v>
      </c>
      <c r="Q435" s="6">
        <v>1</v>
      </c>
      <c r="R435" s="6">
        <v>1</v>
      </c>
      <c r="S435" s="6">
        <v>0</v>
      </c>
      <c r="T435" s="6">
        <v>0</v>
      </c>
      <c r="U435" s="6">
        <v>0</v>
      </c>
      <c r="V435" s="6">
        <v>0</v>
      </c>
      <c r="W435" s="6">
        <v>1</v>
      </c>
      <c r="X435" s="24">
        <v>0</v>
      </c>
      <c r="Y435" s="6">
        <v>0</v>
      </c>
      <c r="Z435" s="40" t="s">
        <v>648</v>
      </c>
    </row>
    <row r="436" spans="3:26" s="6" customFormat="1" ht="20.100000000000001" customHeight="1" x14ac:dyDescent="0.3">
      <c r="C436" s="6">
        <v>6000501</v>
      </c>
      <c r="D436" s="6" t="s">
        <v>651</v>
      </c>
      <c r="E436" s="6">
        <v>9</v>
      </c>
      <c r="F436" s="6">
        <v>11500501</v>
      </c>
      <c r="G436" s="41">
        <v>0</v>
      </c>
      <c r="H436" s="15">
        <v>55</v>
      </c>
      <c r="I436" s="6">
        <v>0</v>
      </c>
      <c r="J436" s="6">
        <v>0</v>
      </c>
      <c r="K436" s="6">
        <v>0</v>
      </c>
      <c r="L436" s="6">
        <v>1</v>
      </c>
      <c r="M436" s="6">
        <v>1</v>
      </c>
      <c r="N436" s="6">
        <v>0</v>
      </c>
      <c r="O436" s="6">
        <v>1</v>
      </c>
      <c r="P436" s="6">
        <v>1</v>
      </c>
      <c r="Q436" s="6">
        <v>1</v>
      </c>
      <c r="R436" s="6">
        <v>1</v>
      </c>
      <c r="S436" s="6">
        <v>0</v>
      </c>
      <c r="T436" s="6">
        <v>0</v>
      </c>
      <c r="U436" s="6">
        <v>0</v>
      </c>
      <c r="V436" s="6">
        <v>0</v>
      </c>
      <c r="W436" s="6">
        <v>1</v>
      </c>
      <c r="X436" s="24">
        <v>0</v>
      </c>
      <c r="Y436" s="6">
        <v>0</v>
      </c>
      <c r="Z436" s="40" t="s">
        <v>652</v>
      </c>
    </row>
    <row r="437" spans="3:26" s="6" customFormat="1" ht="20.100000000000001" customHeight="1" x14ac:dyDescent="0.3">
      <c r="C437" s="6">
        <v>6000502</v>
      </c>
      <c r="D437" s="6" t="s">
        <v>653</v>
      </c>
      <c r="E437" s="6">
        <v>9</v>
      </c>
      <c r="F437" s="6">
        <v>11500502</v>
      </c>
      <c r="G437" s="41">
        <v>0</v>
      </c>
      <c r="H437" s="15">
        <v>55</v>
      </c>
      <c r="I437" s="6">
        <v>0</v>
      </c>
      <c r="J437" s="6">
        <v>0</v>
      </c>
      <c r="K437" s="6">
        <v>0</v>
      </c>
      <c r="L437" s="6">
        <v>1</v>
      </c>
      <c r="M437" s="6">
        <v>1</v>
      </c>
      <c r="N437" s="6">
        <v>0</v>
      </c>
      <c r="O437" s="6">
        <v>1</v>
      </c>
      <c r="P437" s="6">
        <v>1</v>
      </c>
      <c r="Q437" s="6">
        <v>1</v>
      </c>
      <c r="R437" s="6">
        <v>1</v>
      </c>
      <c r="S437" s="6">
        <v>0</v>
      </c>
      <c r="T437" s="6">
        <v>0</v>
      </c>
      <c r="U437" s="6">
        <v>0</v>
      </c>
      <c r="V437" s="6">
        <v>0</v>
      </c>
      <c r="W437" s="6">
        <v>1</v>
      </c>
      <c r="X437" s="24">
        <v>0</v>
      </c>
      <c r="Y437" s="6">
        <v>0</v>
      </c>
      <c r="Z437" s="40" t="s">
        <v>652</v>
      </c>
    </row>
    <row r="438" spans="3:26" s="6" customFormat="1" ht="20.100000000000001" customHeight="1" x14ac:dyDescent="0.3">
      <c r="C438" s="6">
        <v>6000503</v>
      </c>
      <c r="D438" s="6" t="s">
        <v>654</v>
      </c>
      <c r="E438" s="6">
        <v>9</v>
      </c>
      <c r="F438" s="6">
        <v>11500503</v>
      </c>
      <c r="G438" s="41">
        <v>0</v>
      </c>
      <c r="H438" s="15">
        <v>55</v>
      </c>
      <c r="I438" s="6">
        <v>0</v>
      </c>
      <c r="J438" s="6">
        <v>0</v>
      </c>
      <c r="K438" s="6">
        <v>0</v>
      </c>
      <c r="L438" s="6">
        <v>1</v>
      </c>
      <c r="M438" s="6">
        <v>1</v>
      </c>
      <c r="N438" s="6">
        <v>0</v>
      </c>
      <c r="O438" s="6">
        <v>1</v>
      </c>
      <c r="P438" s="6">
        <v>1</v>
      </c>
      <c r="Q438" s="6">
        <v>1</v>
      </c>
      <c r="R438" s="6">
        <v>1</v>
      </c>
      <c r="S438" s="6">
        <v>0</v>
      </c>
      <c r="T438" s="6">
        <v>0</v>
      </c>
      <c r="U438" s="6">
        <v>0</v>
      </c>
      <c r="V438" s="6">
        <v>0</v>
      </c>
      <c r="W438" s="6">
        <v>1</v>
      </c>
      <c r="X438" s="24">
        <v>0</v>
      </c>
      <c r="Y438" s="6">
        <v>0</v>
      </c>
      <c r="Z438" s="40" t="s">
        <v>652</v>
      </c>
    </row>
    <row r="439" spans="3:26" s="6" customFormat="1" ht="20.100000000000001" customHeight="1" x14ac:dyDescent="0.3">
      <c r="C439" s="6">
        <v>6000601</v>
      </c>
      <c r="D439" s="6" t="s">
        <v>651</v>
      </c>
      <c r="E439" s="6">
        <v>9</v>
      </c>
      <c r="F439" s="6">
        <v>11500601</v>
      </c>
      <c r="G439" s="41">
        <v>0</v>
      </c>
      <c r="H439" s="15">
        <v>60</v>
      </c>
      <c r="I439" s="6">
        <v>0</v>
      </c>
      <c r="J439" s="6">
        <v>0</v>
      </c>
      <c r="K439" s="6">
        <v>0</v>
      </c>
      <c r="L439" s="6">
        <v>1</v>
      </c>
      <c r="M439" s="6">
        <v>1</v>
      </c>
      <c r="N439" s="6">
        <v>0</v>
      </c>
      <c r="O439" s="6">
        <v>1</v>
      </c>
      <c r="P439" s="6">
        <v>1</v>
      </c>
      <c r="Q439" s="6">
        <v>1</v>
      </c>
      <c r="R439" s="6">
        <v>1</v>
      </c>
      <c r="S439" s="6">
        <v>0</v>
      </c>
      <c r="T439" s="6">
        <v>0</v>
      </c>
      <c r="U439" s="6">
        <v>0</v>
      </c>
      <c r="V439" s="6">
        <v>0</v>
      </c>
      <c r="W439" s="6">
        <v>1</v>
      </c>
      <c r="X439" s="24">
        <v>0</v>
      </c>
      <c r="Y439" s="6">
        <v>0</v>
      </c>
      <c r="Z439" s="40" t="s">
        <v>924</v>
      </c>
    </row>
    <row r="440" spans="3:26" s="6" customFormat="1" ht="20.100000000000001" customHeight="1" x14ac:dyDescent="0.3">
      <c r="C440" s="6">
        <v>6000602</v>
      </c>
      <c r="D440" s="6" t="s">
        <v>653</v>
      </c>
      <c r="E440" s="6">
        <v>9</v>
      </c>
      <c r="F440" s="6">
        <v>11500602</v>
      </c>
      <c r="G440" s="41">
        <v>0</v>
      </c>
      <c r="H440" s="15">
        <v>60</v>
      </c>
      <c r="I440" s="6">
        <v>0</v>
      </c>
      <c r="J440" s="6">
        <v>0</v>
      </c>
      <c r="K440" s="6">
        <v>0</v>
      </c>
      <c r="L440" s="6">
        <v>1</v>
      </c>
      <c r="M440" s="6">
        <v>1</v>
      </c>
      <c r="N440" s="6">
        <v>0</v>
      </c>
      <c r="O440" s="6">
        <v>1</v>
      </c>
      <c r="P440" s="6">
        <v>1</v>
      </c>
      <c r="Q440" s="6">
        <v>1</v>
      </c>
      <c r="R440" s="6">
        <v>1</v>
      </c>
      <c r="S440" s="6">
        <v>0</v>
      </c>
      <c r="T440" s="6">
        <v>0</v>
      </c>
      <c r="U440" s="6">
        <v>0</v>
      </c>
      <c r="V440" s="6">
        <v>0</v>
      </c>
      <c r="W440" s="6">
        <v>1</v>
      </c>
      <c r="X440" s="24">
        <v>0</v>
      </c>
      <c r="Y440" s="6">
        <v>0</v>
      </c>
      <c r="Z440" s="40" t="s">
        <v>926</v>
      </c>
    </row>
    <row r="441" spans="3:26" s="6" customFormat="1" ht="20.100000000000001" customHeight="1" x14ac:dyDescent="0.3">
      <c r="C441" s="6">
        <v>6000603</v>
      </c>
      <c r="D441" s="6" t="s">
        <v>654</v>
      </c>
      <c r="E441" s="6">
        <v>9</v>
      </c>
      <c r="F441" s="6">
        <v>11500603</v>
      </c>
      <c r="G441" s="41">
        <v>0</v>
      </c>
      <c r="H441" s="15">
        <v>60</v>
      </c>
      <c r="I441" s="6">
        <v>0</v>
      </c>
      <c r="J441" s="6">
        <v>0</v>
      </c>
      <c r="K441" s="6">
        <v>0</v>
      </c>
      <c r="L441" s="6">
        <v>1</v>
      </c>
      <c r="M441" s="6">
        <v>1</v>
      </c>
      <c r="N441" s="6">
        <v>0</v>
      </c>
      <c r="O441" s="6">
        <v>1</v>
      </c>
      <c r="P441" s="6">
        <v>1</v>
      </c>
      <c r="Q441" s="6">
        <v>1</v>
      </c>
      <c r="R441" s="6">
        <v>1</v>
      </c>
      <c r="S441" s="6">
        <v>0</v>
      </c>
      <c r="T441" s="6">
        <v>0</v>
      </c>
      <c r="U441" s="6">
        <v>0</v>
      </c>
      <c r="V441" s="6">
        <v>0</v>
      </c>
      <c r="W441" s="6">
        <v>1</v>
      </c>
      <c r="X441" s="24">
        <v>0</v>
      </c>
      <c r="Y441" s="6">
        <v>0</v>
      </c>
      <c r="Z441" s="40" t="s">
        <v>925</v>
      </c>
    </row>
    <row r="442" spans="3:26" s="5" customFormat="1" ht="20.100000000000001" customHeight="1" x14ac:dyDescent="0.3">
      <c r="C442" s="42">
        <v>6101001</v>
      </c>
      <c r="D442" s="43" t="s">
        <v>655</v>
      </c>
      <c r="E442" s="5">
        <v>6</v>
      </c>
      <c r="F442" s="42">
        <v>10101101</v>
      </c>
      <c r="G442" s="5">
        <v>0</v>
      </c>
      <c r="H442" s="36">
        <v>1</v>
      </c>
      <c r="I442" s="5">
        <v>5000</v>
      </c>
      <c r="J442" s="5">
        <v>5</v>
      </c>
      <c r="K442" s="5">
        <v>0</v>
      </c>
      <c r="L442" s="5">
        <v>1</v>
      </c>
      <c r="M442" s="5">
        <v>1</v>
      </c>
      <c r="N442" s="5">
        <v>0.02</v>
      </c>
      <c r="O442" s="5">
        <v>0</v>
      </c>
      <c r="P442" s="5">
        <v>1</v>
      </c>
      <c r="Q442" s="5">
        <v>1</v>
      </c>
      <c r="R442" s="5">
        <v>1</v>
      </c>
      <c r="S442" s="5">
        <f>S462-150</f>
        <v>0</v>
      </c>
      <c r="T442" s="5">
        <v>175</v>
      </c>
      <c r="U442" s="5" t="s">
        <v>339</v>
      </c>
      <c r="V442" s="5">
        <v>0</v>
      </c>
      <c r="W442" s="5">
        <v>1</v>
      </c>
      <c r="X442" s="22">
        <v>0</v>
      </c>
      <c r="Y442" s="5">
        <v>0</v>
      </c>
      <c r="Z442" s="45" t="s">
        <v>656</v>
      </c>
    </row>
    <row r="443" spans="3:26" s="5" customFormat="1" ht="20.100000000000001" customHeight="1" x14ac:dyDescent="0.3">
      <c r="C443" s="42">
        <v>6101002</v>
      </c>
      <c r="D443" s="43" t="s">
        <v>657</v>
      </c>
      <c r="E443" s="5">
        <v>6</v>
      </c>
      <c r="F443" s="42">
        <v>10101102</v>
      </c>
      <c r="G443" s="5">
        <v>0</v>
      </c>
      <c r="H443" s="36">
        <v>11</v>
      </c>
      <c r="I443" s="5">
        <v>5000</v>
      </c>
      <c r="J443" s="5">
        <v>5</v>
      </c>
      <c r="K443" s="5">
        <v>0</v>
      </c>
      <c r="L443" s="5">
        <v>1</v>
      </c>
      <c r="M443" s="5">
        <v>1</v>
      </c>
      <c r="N443" s="5">
        <v>0.02</v>
      </c>
      <c r="O443" s="5">
        <v>0</v>
      </c>
      <c r="P443" s="5">
        <v>1</v>
      </c>
      <c r="Q443" s="5">
        <v>1</v>
      </c>
      <c r="R443" s="5">
        <v>1</v>
      </c>
      <c r="S443" s="5">
        <f t="shared" ref="S443:S460" si="10">S463-150</f>
        <v>100</v>
      </c>
      <c r="T443" s="5">
        <v>175</v>
      </c>
      <c r="U443" s="5" t="s">
        <v>339</v>
      </c>
      <c r="V443" s="5">
        <v>0</v>
      </c>
      <c r="W443" s="5">
        <v>1</v>
      </c>
      <c r="X443" s="22">
        <v>0</v>
      </c>
      <c r="Y443" s="5">
        <v>0</v>
      </c>
      <c r="Z443" s="45" t="s">
        <v>658</v>
      </c>
    </row>
    <row r="444" spans="3:26" s="5" customFormat="1" ht="20.100000000000001" customHeight="1" x14ac:dyDescent="0.3">
      <c r="C444" s="42">
        <v>6101003</v>
      </c>
      <c r="D444" s="43" t="s">
        <v>659</v>
      </c>
      <c r="E444" s="5">
        <v>6</v>
      </c>
      <c r="F444" s="42">
        <v>10101103</v>
      </c>
      <c r="G444" s="5">
        <v>1</v>
      </c>
      <c r="H444" s="36">
        <v>1</v>
      </c>
      <c r="I444" s="5">
        <v>5000</v>
      </c>
      <c r="J444" s="5">
        <v>5</v>
      </c>
      <c r="K444" s="5">
        <v>0</v>
      </c>
      <c r="L444" s="5">
        <v>1</v>
      </c>
      <c r="M444" s="5">
        <v>1</v>
      </c>
      <c r="N444" s="5">
        <v>0.02</v>
      </c>
      <c r="O444" s="5">
        <v>0</v>
      </c>
      <c r="P444" s="5">
        <v>1</v>
      </c>
      <c r="Q444" s="5">
        <v>1</v>
      </c>
      <c r="R444" s="5">
        <v>1</v>
      </c>
      <c r="S444" s="5">
        <v>0</v>
      </c>
      <c r="T444" s="5">
        <v>175</v>
      </c>
      <c r="U444" s="5" t="s">
        <v>339</v>
      </c>
      <c r="V444" s="5">
        <v>0</v>
      </c>
      <c r="W444" s="5">
        <v>1</v>
      </c>
      <c r="X444" s="22">
        <v>0</v>
      </c>
      <c r="Y444" s="5">
        <v>0</v>
      </c>
      <c r="Z444" s="45" t="s">
        <v>660</v>
      </c>
    </row>
    <row r="445" spans="3:26" s="5" customFormat="1" ht="20.100000000000001" customHeight="1" x14ac:dyDescent="0.3">
      <c r="C445" s="42">
        <f>C442+1000</f>
        <v>6102001</v>
      </c>
      <c r="D445" s="43" t="s">
        <v>661</v>
      </c>
      <c r="E445" s="5">
        <v>6</v>
      </c>
      <c r="F445" s="42">
        <v>10101201</v>
      </c>
      <c r="G445" s="5">
        <v>0</v>
      </c>
      <c r="H445" s="36">
        <v>3</v>
      </c>
      <c r="I445" s="5">
        <v>5000</v>
      </c>
      <c r="J445" s="5">
        <v>5</v>
      </c>
      <c r="K445" s="5">
        <v>0</v>
      </c>
      <c r="L445" s="5">
        <v>1</v>
      </c>
      <c r="M445" s="5">
        <v>1</v>
      </c>
      <c r="N445" s="5">
        <v>0.02</v>
      </c>
      <c r="O445" s="5">
        <v>0</v>
      </c>
      <c r="P445" s="5">
        <v>1</v>
      </c>
      <c r="Q445" s="5">
        <v>1</v>
      </c>
      <c r="R445" s="5">
        <v>1</v>
      </c>
      <c r="S445" s="5">
        <f t="shared" si="10"/>
        <v>20</v>
      </c>
      <c r="T445" s="5">
        <v>175</v>
      </c>
      <c r="U445" s="5" t="s">
        <v>339</v>
      </c>
      <c r="V445" s="5">
        <v>0</v>
      </c>
      <c r="W445" s="5">
        <v>1</v>
      </c>
      <c r="X445" s="22">
        <v>0</v>
      </c>
      <c r="Y445" s="5">
        <v>0</v>
      </c>
      <c r="Z445" s="45" t="s">
        <v>656</v>
      </c>
    </row>
    <row r="446" spans="3:26" s="5" customFormat="1" ht="20.100000000000001" customHeight="1" x14ac:dyDescent="0.3">
      <c r="C446" s="42">
        <f t="shared" ref="C446:C450" si="11">C443+1000</f>
        <v>6102002</v>
      </c>
      <c r="D446" s="43" t="s">
        <v>662</v>
      </c>
      <c r="E446" s="5">
        <v>6</v>
      </c>
      <c r="F446" s="42">
        <v>10101202</v>
      </c>
      <c r="G446" s="5">
        <v>0</v>
      </c>
      <c r="H446" s="36">
        <v>12</v>
      </c>
      <c r="I446" s="5">
        <v>5000</v>
      </c>
      <c r="J446" s="5">
        <v>5</v>
      </c>
      <c r="K446" s="5">
        <v>0</v>
      </c>
      <c r="L446" s="5">
        <v>1</v>
      </c>
      <c r="M446" s="5">
        <v>1</v>
      </c>
      <c r="N446" s="5">
        <v>0.02</v>
      </c>
      <c r="O446" s="5">
        <v>0</v>
      </c>
      <c r="P446" s="5">
        <v>1</v>
      </c>
      <c r="Q446" s="5">
        <v>1</v>
      </c>
      <c r="R446" s="5">
        <v>1</v>
      </c>
      <c r="S446" s="5">
        <f t="shared" si="10"/>
        <v>110</v>
      </c>
      <c r="T446" s="5">
        <v>175</v>
      </c>
      <c r="U446" s="5" t="s">
        <v>339</v>
      </c>
      <c r="V446" s="5">
        <v>0</v>
      </c>
      <c r="W446" s="5">
        <v>1</v>
      </c>
      <c r="X446" s="22">
        <v>0</v>
      </c>
      <c r="Y446" s="5">
        <v>0</v>
      </c>
      <c r="Z446" s="45" t="s">
        <v>663</v>
      </c>
    </row>
    <row r="447" spans="3:26" s="5" customFormat="1" ht="20.100000000000001" customHeight="1" x14ac:dyDescent="0.3">
      <c r="C447" s="42">
        <f t="shared" si="11"/>
        <v>6102003</v>
      </c>
      <c r="D447" s="43" t="s">
        <v>664</v>
      </c>
      <c r="E447" s="5">
        <v>6</v>
      </c>
      <c r="F447" s="42">
        <v>10101203</v>
      </c>
      <c r="G447" s="5">
        <v>1</v>
      </c>
      <c r="H447" s="36">
        <v>1</v>
      </c>
      <c r="I447" s="5">
        <v>5000</v>
      </c>
      <c r="J447" s="5">
        <v>5</v>
      </c>
      <c r="K447" s="5">
        <v>0</v>
      </c>
      <c r="L447" s="5">
        <v>1</v>
      </c>
      <c r="M447" s="5">
        <v>1</v>
      </c>
      <c r="N447" s="5">
        <v>0.02</v>
      </c>
      <c r="O447" s="5">
        <v>0</v>
      </c>
      <c r="P447" s="5">
        <v>1</v>
      </c>
      <c r="Q447" s="5">
        <v>1</v>
      </c>
      <c r="R447" s="5">
        <v>1</v>
      </c>
      <c r="S447" s="5">
        <v>0</v>
      </c>
      <c r="T447" s="5">
        <v>175</v>
      </c>
      <c r="U447" s="5" t="s">
        <v>339</v>
      </c>
      <c r="V447" s="5">
        <v>0</v>
      </c>
      <c r="W447" s="5">
        <v>1</v>
      </c>
      <c r="X447" s="22">
        <v>0</v>
      </c>
      <c r="Y447" s="5">
        <v>0</v>
      </c>
      <c r="Z447" s="45" t="s">
        <v>665</v>
      </c>
    </row>
    <row r="448" spans="3:26" s="5" customFormat="1" ht="20.100000000000001" customHeight="1" x14ac:dyDescent="0.3">
      <c r="C448" s="42">
        <f t="shared" si="11"/>
        <v>6103001</v>
      </c>
      <c r="D448" s="43" t="s">
        <v>666</v>
      </c>
      <c r="E448" s="5">
        <v>6</v>
      </c>
      <c r="F448" s="42">
        <v>10101301</v>
      </c>
      <c r="G448" s="5">
        <v>0</v>
      </c>
      <c r="H448" s="36">
        <v>5</v>
      </c>
      <c r="I448" s="5">
        <v>5000</v>
      </c>
      <c r="J448" s="5">
        <v>5</v>
      </c>
      <c r="K448" s="5">
        <v>0</v>
      </c>
      <c r="L448" s="5">
        <v>1</v>
      </c>
      <c r="M448" s="5">
        <v>1</v>
      </c>
      <c r="N448" s="5">
        <v>0.02</v>
      </c>
      <c r="O448" s="5">
        <v>0</v>
      </c>
      <c r="P448" s="5">
        <v>1</v>
      </c>
      <c r="Q448" s="5">
        <v>1</v>
      </c>
      <c r="R448" s="5">
        <v>1</v>
      </c>
      <c r="S448" s="5">
        <f t="shared" si="10"/>
        <v>10</v>
      </c>
      <c r="T448" s="5">
        <v>175</v>
      </c>
      <c r="U448" s="5" t="s">
        <v>339</v>
      </c>
      <c r="V448" s="5">
        <v>0</v>
      </c>
      <c r="W448" s="5">
        <v>1</v>
      </c>
      <c r="X448" s="22">
        <v>0</v>
      </c>
      <c r="Y448" s="5">
        <v>0</v>
      </c>
      <c r="Z448" s="45" t="s">
        <v>667</v>
      </c>
    </row>
    <row r="449" spans="3:26" s="5" customFormat="1" ht="20.100000000000001" customHeight="1" x14ac:dyDescent="0.3">
      <c r="C449" s="42">
        <f t="shared" si="11"/>
        <v>6103002</v>
      </c>
      <c r="D449" s="43" t="s">
        <v>668</v>
      </c>
      <c r="E449" s="5">
        <v>6</v>
      </c>
      <c r="F449" s="42">
        <v>10101302</v>
      </c>
      <c r="G449" s="5">
        <v>0</v>
      </c>
      <c r="H449" s="36">
        <v>13</v>
      </c>
      <c r="I449" s="5">
        <v>5000</v>
      </c>
      <c r="J449" s="5">
        <v>5</v>
      </c>
      <c r="K449" s="5">
        <v>0</v>
      </c>
      <c r="L449" s="5">
        <v>1</v>
      </c>
      <c r="M449" s="5">
        <v>1</v>
      </c>
      <c r="N449" s="5">
        <v>0.02</v>
      </c>
      <c r="O449" s="5">
        <v>0</v>
      </c>
      <c r="P449" s="5">
        <v>1</v>
      </c>
      <c r="Q449" s="5">
        <v>1</v>
      </c>
      <c r="R449" s="5">
        <v>1</v>
      </c>
      <c r="S449" s="5">
        <f t="shared" si="10"/>
        <v>120</v>
      </c>
      <c r="T449" s="5">
        <v>175</v>
      </c>
      <c r="U449" s="5" t="s">
        <v>339</v>
      </c>
      <c r="V449" s="5">
        <v>0</v>
      </c>
      <c r="W449" s="5">
        <v>1</v>
      </c>
      <c r="X449" s="22">
        <v>0</v>
      </c>
      <c r="Y449" s="5">
        <v>0</v>
      </c>
      <c r="Z449" s="45" t="s">
        <v>669</v>
      </c>
    </row>
    <row r="450" spans="3:26" s="5" customFormat="1" ht="19.5" customHeight="1" x14ac:dyDescent="0.3">
      <c r="C450" s="42">
        <f t="shared" si="11"/>
        <v>6103003</v>
      </c>
      <c r="D450" s="43" t="s">
        <v>670</v>
      </c>
      <c r="E450" s="5">
        <v>6</v>
      </c>
      <c r="F450" s="42">
        <v>10101303</v>
      </c>
      <c r="G450" s="5">
        <v>1</v>
      </c>
      <c r="H450" s="36">
        <v>1</v>
      </c>
      <c r="I450" s="5">
        <v>5000</v>
      </c>
      <c r="J450" s="5">
        <v>5</v>
      </c>
      <c r="K450" s="5">
        <v>0</v>
      </c>
      <c r="L450" s="5">
        <v>1</v>
      </c>
      <c r="M450" s="5">
        <v>1</v>
      </c>
      <c r="N450" s="5">
        <v>0.02</v>
      </c>
      <c r="O450" s="5">
        <v>0</v>
      </c>
      <c r="P450" s="5">
        <v>1</v>
      </c>
      <c r="Q450" s="5">
        <v>1</v>
      </c>
      <c r="R450" s="5">
        <v>1</v>
      </c>
      <c r="S450" s="5">
        <v>0</v>
      </c>
      <c r="T450" s="5">
        <v>175</v>
      </c>
      <c r="U450" s="5" t="s">
        <v>339</v>
      </c>
      <c r="V450" s="5">
        <v>0</v>
      </c>
      <c r="W450" s="5">
        <v>1</v>
      </c>
      <c r="X450" s="22">
        <v>0</v>
      </c>
      <c r="Y450" s="5">
        <v>0</v>
      </c>
      <c r="Z450" s="45" t="s">
        <v>671</v>
      </c>
    </row>
    <row r="451" spans="3:26" s="5" customFormat="1" ht="20.100000000000001" customHeight="1" x14ac:dyDescent="0.3">
      <c r="C451" s="42">
        <v>6104001</v>
      </c>
      <c r="D451" s="43" t="s">
        <v>672</v>
      </c>
      <c r="E451" s="5">
        <v>6</v>
      </c>
      <c r="F451" s="42">
        <v>10101401</v>
      </c>
      <c r="G451" s="5">
        <v>0</v>
      </c>
      <c r="H451" s="36">
        <v>7</v>
      </c>
      <c r="I451" s="5">
        <v>5000</v>
      </c>
      <c r="J451" s="5">
        <v>5</v>
      </c>
      <c r="K451" s="5">
        <v>0</v>
      </c>
      <c r="L451" s="5">
        <v>1</v>
      </c>
      <c r="M451" s="5">
        <v>1</v>
      </c>
      <c r="N451" s="5">
        <v>0.02</v>
      </c>
      <c r="O451" s="5">
        <v>0</v>
      </c>
      <c r="P451" s="5">
        <v>1</v>
      </c>
      <c r="Q451" s="5">
        <v>1</v>
      </c>
      <c r="R451" s="5">
        <v>1</v>
      </c>
      <c r="S451" s="5">
        <f t="shared" si="10"/>
        <v>30</v>
      </c>
      <c r="T451" s="5">
        <v>175</v>
      </c>
      <c r="U451" s="5" t="s">
        <v>339</v>
      </c>
      <c r="V451" s="5">
        <v>0</v>
      </c>
      <c r="W451" s="5">
        <v>1</v>
      </c>
      <c r="X451" s="22">
        <v>0</v>
      </c>
      <c r="Y451" s="5">
        <v>0</v>
      </c>
      <c r="Z451" s="45" t="s">
        <v>673</v>
      </c>
    </row>
    <row r="452" spans="3:26" s="5" customFormat="1" ht="20.100000000000001" customHeight="1" x14ac:dyDescent="0.3">
      <c r="C452" s="42">
        <v>6104002</v>
      </c>
      <c r="D452" s="43" t="s">
        <v>674</v>
      </c>
      <c r="E452" s="5">
        <v>6</v>
      </c>
      <c r="F452" s="42">
        <v>10101402</v>
      </c>
      <c r="G452" s="5">
        <v>0</v>
      </c>
      <c r="H452" s="36">
        <v>14</v>
      </c>
      <c r="I452" s="5">
        <v>5000</v>
      </c>
      <c r="J452" s="5">
        <v>5</v>
      </c>
      <c r="K452" s="5">
        <v>0</v>
      </c>
      <c r="L452" s="5">
        <v>1</v>
      </c>
      <c r="M452" s="5">
        <v>1</v>
      </c>
      <c r="N452" s="5">
        <v>0.02</v>
      </c>
      <c r="O452" s="5">
        <v>0</v>
      </c>
      <c r="P452" s="5">
        <v>1</v>
      </c>
      <c r="Q452" s="5">
        <v>1</v>
      </c>
      <c r="R452" s="5">
        <v>1</v>
      </c>
      <c r="S452" s="5">
        <f t="shared" si="10"/>
        <v>60</v>
      </c>
      <c r="T452" s="5">
        <v>175</v>
      </c>
      <c r="U452" s="5" t="s">
        <v>339</v>
      </c>
      <c r="V452" s="5">
        <v>0</v>
      </c>
      <c r="W452" s="5">
        <v>1</v>
      </c>
      <c r="X452" s="22">
        <v>0</v>
      </c>
      <c r="Y452" s="5">
        <v>0</v>
      </c>
      <c r="Z452" s="45" t="s">
        <v>663</v>
      </c>
    </row>
    <row r="453" spans="3:26" s="5" customFormat="1" ht="20.100000000000001" customHeight="1" x14ac:dyDescent="0.3">
      <c r="C453" s="42">
        <v>6104003</v>
      </c>
      <c r="D453" s="43" t="s">
        <v>675</v>
      </c>
      <c r="E453" s="5">
        <v>6</v>
      </c>
      <c r="F453" s="42">
        <v>10101403</v>
      </c>
      <c r="G453" s="5">
        <v>0</v>
      </c>
      <c r="H453" s="36">
        <v>14</v>
      </c>
      <c r="I453" s="5">
        <v>5000</v>
      </c>
      <c r="J453" s="5">
        <v>5</v>
      </c>
      <c r="K453" s="5">
        <v>0</v>
      </c>
      <c r="L453" s="5">
        <v>1</v>
      </c>
      <c r="M453" s="5">
        <v>1</v>
      </c>
      <c r="N453" s="5">
        <v>0.02</v>
      </c>
      <c r="O453" s="5">
        <v>0</v>
      </c>
      <c r="P453" s="5">
        <v>1</v>
      </c>
      <c r="Q453" s="5">
        <v>1</v>
      </c>
      <c r="R453" s="5">
        <v>1</v>
      </c>
      <c r="S453" s="5">
        <f t="shared" si="10"/>
        <v>90</v>
      </c>
      <c r="T453" s="5">
        <v>175</v>
      </c>
      <c r="U453" s="5" t="s">
        <v>339</v>
      </c>
      <c r="V453" s="5">
        <v>0</v>
      </c>
      <c r="W453" s="5">
        <v>1</v>
      </c>
      <c r="X453" s="22">
        <v>0</v>
      </c>
      <c r="Y453" s="5">
        <v>0</v>
      </c>
      <c r="Z453" s="45" t="s">
        <v>676</v>
      </c>
    </row>
    <row r="454" spans="3:26" ht="20.100000000000001" customHeight="1" x14ac:dyDescent="0.3">
      <c r="C454" s="42">
        <v>6104004</v>
      </c>
      <c r="D454" s="43" t="s">
        <v>677</v>
      </c>
      <c r="E454" s="5">
        <v>6</v>
      </c>
      <c r="F454" s="42">
        <v>10101404</v>
      </c>
      <c r="G454" s="44">
        <v>1</v>
      </c>
      <c r="H454" s="36">
        <v>1</v>
      </c>
      <c r="I454" s="5">
        <v>5000</v>
      </c>
      <c r="J454" s="5">
        <v>5</v>
      </c>
      <c r="K454" s="5">
        <v>0</v>
      </c>
      <c r="L454" s="5">
        <v>1</v>
      </c>
      <c r="M454" s="5">
        <v>1</v>
      </c>
      <c r="N454" s="5">
        <v>0.02</v>
      </c>
      <c r="O454" s="5">
        <v>0</v>
      </c>
      <c r="P454" s="5">
        <v>1</v>
      </c>
      <c r="Q454" s="5">
        <v>1</v>
      </c>
      <c r="R454" s="5">
        <v>1</v>
      </c>
      <c r="S454" s="5">
        <v>0</v>
      </c>
      <c r="T454" s="5">
        <v>175</v>
      </c>
      <c r="U454" s="5" t="s">
        <v>339</v>
      </c>
      <c r="V454" s="5">
        <v>0</v>
      </c>
      <c r="W454" s="5">
        <v>1</v>
      </c>
      <c r="X454" s="22">
        <v>0</v>
      </c>
      <c r="Y454" s="5">
        <v>0</v>
      </c>
      <c r="Z454" s="45" t="s">
        <v>671</v>
      </c>
    </row>
    <row r="455" spans="3:26" ht="20.100000000000001" customHeight="1" x14ac:dyDescent="0.3">
      <c r="C455" s="42">
        <v>6105001</v>
      </c>
      <c r="D455" s="43" t="s">
        <v>678</v>
      </c>
      <c r="E455" s="5">
        <v>6</v>
      </c>
      <c r="F455" s="42">
        <v>10101501</v>
      </c>
      <c r="G455" s="44">
        <v>0</v>
      </c>
      <c r="H455" s="36">
        <v>8</v>
      </c>
      <c r="I455" s="5">
        <v>5000</v>
      </c>
      <c r="J455" s="5">
        <v>5</v>
      </c>
      <c r="K455" s="5">
        <v>0</v>
      </c>
      <c r="L455" s="5">
        <v>1</v>
      </c>
      <c r="M455" s="5">
        <v>1</v>
      </c>
      <c r="N455" s="5">
        <v>0.02</v>
      </c>
      <c r="O455" s="5">
        <v>0</v>
      </c>
      <c r="P455" s="5">
        <v>1</v>
      </c>
      <c r="Q455" s="5">
        <v>1</v>
      </c>
      <c r="R455" s="5">
        <v>1</v>
      </c>
      <c r="S455" s="5">
        <f t="shared" si="10"/>
        <v>30</v>
      </c>
      <c r="T455" s="5">
        <v>175</v>
      </c>
      <c r="U455" s="5" t="s">
        <v>339</v>
      </c>
      <c r="V455" s="5">
        <v>0</v>
      </c>
      <c r="W455" s="5">
        <v>1</v>
      </c>
      <c r="X455" s="22">
        <v>0</v>
      </c>
      <c r="Y455" s="5">
        <v>0</v>
      </c>
      <c r="Z455" s="45" t="s">
        <v>673</v>
      </c>
    </row>
    <row r="456" spans="3:26" ht="20.100000000000001" customHeight="1" x14ac:dyDescent="0.3">
      <c r="C456" s="42">
        <v>6105002</v>
      </c>
      <c r="D456" s="43" t="s">
        <v>679</v>
      </c>
      <c r="E456" s="5">
        <v>6</v>
      </c>
      <c r="F456" s="42">
        <v>10101502</v>
      </c>
      <c r="G456" s="44">
        <v>0</v>
      </c>
      <c r="H456" s="36">
        <v>15</v>
      </c>
      <c r="I456" s="5">
        <v>5000</v>
      </c>
      <c r="J456" s="5">
        <v>5</v>
      </c>
      <c r="K456" s="5">
        <v>0</v>
      </c>
      <c r="L456" s="5">
        <v>1</v>
      </c>
      <c r="M456" s="5">
        <v>1</v>
      </c>
      <c r="N456" s="5">
        <v>0.02</v>
      </c>
      <c r="O456" s="5">
        <v>0</v>
      </c>
      <c r="P456" s="5">
        <v>1</v>
      </c>
      <c r="Q456" s="5">
        <v>1</v>
      </c>
      <c r="R456" s="5">
        <v>1</v>
      </c>
      <c r="S456" s="5">
        <f t="shared" si="10"/>
        <v>60</v>
      </c>
      <c r="T456" s="5">
        <v>175</v>
      </c>
      <c r="U456" s="5" t="s">
        <v>339</v>
      </c>
      <c r="V456" s="5">
        <v>0</v>
      </c>
      <c r="W456" s="5">
        <v>1</v>
      </c>
      <c r="X456" s="22">
        <v>0</v>
      </c>
      <c r="Y456" s="5">
        <v>0</v>
      </c>
      <c r="Z456" s="45" t="s">
        <v>663</v>
      </c>
    </row>
    <row r="457" spans="3:26" ht="20.100000000000001" customHeight="1" x14ac:dyDescent="0.3">
      <c r="C457" s="42">
        <v>6105003</v>
      </c>
      <c r="D457" s="43" t="s">
        <v>680</v>
      </c>
      <c r="E457" s="5">
        <v>6</v>
      </c>
      <c r="F457" s="42">
        <v>10101503</v>
      </c>
      <c r="G457" s="44">
        <v>0</v>
      </c>
      <c r="H457" s="36">
        <v>15</v>
      </c>
      <c r="I457" s="5">
        <v>5000</v>
      </c>
      <c r="J457" s="5">
        <v>5</v>
      </c>
      <c r="K457" s="5">
        <v>0</v>
      </c>
      <c r="L457" s="5">
        <v>1</v>
      </c>
      <c r="M457" s="5">
        <v>1</v>
      </c>
      <c r="N457" s="5">
        <v>0.02</v>
      </c>
      <c r="O457" s="5">
        <v>0</v>
      </c>
      <c r="P457" s="5">
        <v>1</v>
      </c>
      <c r="Q457" s="5">
        <v>1</v>
      </c>
      <c r="R457" s="5">
        <v>1</v>
      </c>
      <c r="S457" s="5">
        <f t="shared" si="10"/>
        <v>90</v>
      </c>
      <c r="T457" s="5">
        <v>175</v>
      </c>
      <c r="U457" s="5" t="s">
        <v>339</v>
      </c>
      <c r="V457" s="5">
        <v>0</v>
      </c>
      <c r="W457" s="5">
        <v>1</v>
      </c>
      <c r="X457" s="22">
        <v>0</v>
      </c>
      <c r="Y457" s="5">
        <v>0</v>
      </c>
      <c r="Z457" s="45" t="s">
        <v>676</v>
      </c>
    </row>
    <row r="458" spans="3:26" ht="20.100000000000001" customHeight="1" x14ac:dyDescent="0.3">
      <c r="C458" s="42">
        <v>6105004</v>
      </c>
      <c r="D458" s="43" t="s">
        <v>681</v>
      </c>
      <c r="E458" s="5">
        <v>6</v>
      </c>
      <c r="F458" s="42">
        <v>10101504</v>
      </c>
      <c r="G458" s="44">
        <v>1</v>
      </c>
      <c r="H458" s="36">
        <v>1</v>
      </c>
      <c r="I458" s="5">
        <v>5000</v>
      </c>
      <c r="J458" s="5">
        <v>5</v>
      </c>
      <c r="K458" s="5">
        <v>0</v>
      </c>
      <c r="L458" s="5">
        <v>1</v>
      </c>
      <c r="M458" s="5">
        <v>1</v>
      </c>
      <c r="N458" s="5">
        <v>0.02</v>
      </c>
      <c r="O458" s="5">
        <v>0</v>
      </c>
      <c r="P458" s="5">
        <v>1</v>
      </c>
      <c r="Q458" s="5">
        <v>1</v>
      </c>
      <c r="R458" s="5">
        <v>1</v>
      </c>
      <c r="S458" s="5">
        <v>0</v>
      </c>
      <c r="T458" s="5">
        <v>175</v>
      </c>
      <c r="U458" s="5" t="s">
        <v>339</v>
      </c>
      <c r="V458" s="5">
        <v>0</v>
      </c>
      <c r="W458" s="5">
        <v>1</v>
      </c>
      <c r="X458" s="22">
        <v>0</v>
      </c>
      <c r="Y458" s="5">
        <v>0</v>
      </c>
      <c r="Z458" s="45" t="s">
        <v>671</v>
      </c>
    </row>
    <row r="459" spans="3:26" ht="20.100000000000001" customHeight="1" x14ac:dyDescent="0.3">
      <c r="C459" s="42">
        <v>6106001</v>
      </c>
      <c r="D459" s="43" t="s">
        <v>682</v>
      </c>
      <c r="E459" s="5">
        <v>6</v>
      </c>
      <c r="F459" s="42">
        <v>10101601</v>
      </c>
      <c r="G459" s="44">
        <v>0</v>
      </c>
      <c r="H459" s="36">
        <v>10</v>
      </c>
      <c r="I459" s="5">
        <v>5000</v>
      </c>
      <c r="J459" s="5">
        <v>5</v>
      </c>
      <c r="K459" s="5">
        <v>0</v>
      </c>
      <c r="L459" s="5">
        <v>1</v>
      </c>
      <c r="M459" s="5">
        <v>1</v>
      </c>
      <c r="N459" s="5">
        <v>0.02</v>
      </c>
      <c r="O459" s="5">
        <v>0</v>
      </c>
      <c r="P459" s="5">
        <v>1</v>
      </c>
      <c r="Q459" s="5">
        <v>1</v>
      </c>
      <c r="R459" s="5">
        <v>1</v>
      </c>
      <c r="S459" s="5">
        <f t="shared" si="10"/>
        <v>80</v>
      </c>
      <c r="T459" s="5">
        <v>175</v>
      </c>
      <c r="U459" s="5" t="s">
        <v>339</v>
      </c>
      <c r="V459" s="5">
        <v>0</v>
      </c>
      <c r="W459" s="5">
        <v>1</v>
      </c>
      <c r="X459" s="22">
        <v>0</v>
      </c>
      <c r="Y459" s="5">
        <v>0</v>
      </c>
      <c r="Z459" s="45" t="s">
        <v>683</v>
      </c>
    </row>
    <row r="460" spans="3:26" ht="20.100000000000001" customHeight="1" x14ac:dyDescent="0.3">
      <c r="C460" s="42">
        <v>6106002</v>
      </c>
      <c r="D460" s="43" t="s">
        <v>684</v>
      </c>
      <c r="E460" s="5">
        <v>6</v>
      </c>
      <c r="F460" s="42">
        <v>10101602</v>
      </c>
      <c r="G460" s="44">
        <v>0</v>
      </c>
      <c r="H460" s="36">
        <v>16</v>
      </c>
      <c r="I460" s="5">
        <v>5000</v>
      </c>
      <c r="J460" s="5">
        <v>5</v>
      </c>
      <c r="K460" s="5">
        <v>0</v>
      </c>
      <c r="L460" s="5">
        <v>1</v>
      </c>
      <c r="M460" s="5">
        <v>1</v>
      </c>
      <c r="N460" s="5">
        <v>0.02</v>
      </c>
      <c r="O460" s="5">
        <v>0</v>
      </c>
      <c r="P460" s="5">
        <v>1</v>
      </c>
      <c r="Q460" s="5">
        <v>1</v>
      </c>
      <c r="R460" s="5">
        <v>1</v>
      </c>
      <c r="S460" s="5">
        <f t="shared" si="10"/>
        <v>140</v>
      </c>
      <c r="T460" s="5">
        <v>175</v>
      </c>
      <c r="U460" s="5" t="s">
        <v>339</v>
      </c>
      <c r="V460" s="5">
        <v>0</v>
      </c>
      <c r="W460" s="5">
        <v>1</v>
      </c>
      <c r="X460" s="22">
        <v>0</v>
      </c>
      <c r="Y460" s="5">
        <v>0</v>
      </c>
      <c r="Z460" s="45" t="s">
        <v>669</v>
      </c>
    </row>
    <row r="461" spans="3:26" ht="20.100000000000001" customHeight="1" x14ac:dyDescent="0.3">
      <c r="C461" s="42">
        <v>6106003</v>
      </c>
      <c r="D461" s="43" t="s">
        <v>685</v>
      </c>
      <c r="E461" s="5">
        <v>6</v>
      </c>
      <c r="F461" s="42">
        <v>10101603</v>
      </c>
      <c r="G461" s="44">
        <v>1</v>
      </c>
      <c r="H461" s="36">
        <v>1</v>
      </c>
      <c r="I461" s="5">
        <v>5000</v>
      </c>
      <c r="J461" s="5">
        <v>5</v>
      </c>
      <c r="K461" s="5">
        <v>0</v>
      </c>
      <c r="L461" s="5">
        <v>1</v>
      </c>
      <c r="M461" s="5">
        <v>1</v>
      </c>
      <c r="N461" s="5">
        <v>0.02</v>
      </c>
      <c r="O461" s="5">
        <v>0</v>
      </c>
      <c r="P461" s="5">
        <v>1</v>
      </c>
      <c r="Q461" s="5">
        <v>1</v>
      </c>
      <c r="R461" s="5">
        <v>1</v>
      </c>
      <c r="S461" s="5">
        <v>0</v>
      </c>
      <c r="T461" s="5">
        <v>175</v>
      </c>
      <c r="U461" s="5" t="s">
        <v>339</v>
      </c>
      <c r="V461" s="5">
        <v>0</v>
      </c>
      <c r="W461" s="5">
        <v>1</v>
      </c>
      <c r="X461" s="22">
        <v>0</v>
      </c>
      <c r="Y461" s="5">
        <v>0</v>
      </c>
      <c r="Z461" s="45" t="s">
        <v>671</v>
      </c>
    </row>
    <row r="462" spans="3:26" ht="20.100000000000001" customHeight="1" x14ac:dyDescent="0.3">
      <c r="C462" s="42">
        <v>6201001</v>
      </c>
      <c r="D462" s="43" t="s">
        <v>686</v>
      </c>
      <c r="E462" s="5">
        <v>6</v>
      </c>
      <c r="F462" s="42">
        <v>10102101</v>
      </c>
      <c r="G462" s="5">
        <v>0</v>
      </c>
      <c r="H462" s="36">
        <v>30</v>
      </c>
      <c r="I462" s="5">
        <v>10000</v>
      </c>
      <c r="J462" s="5">
        <v>5</v>
      </c>
      <c r="K462" s="5">
        <v>0</v>
      </c>
      <c r="L462" s="5">
        <v>1</v>
      </c>
      <c r="M462" s="5">
        <v>1</v>
      </c>
      <c r="N462" s="5">
        <v>0.02</v>
      </c>
      <c r="O462" s="5">
        <v>0</v>
      </c>
      <c r="P462" s="5">
        <v>1</v>
      </c>
      <c r="Q462" s="5">
        <v>1</v>
      </c>
      <c r="R462" s="5">
        <v>1</v>
      </c>
      <c r="S462" s="5">
        <v>150</v>
      </c>
      <c r="T462" s="5">
        <v>350</v>
      </c>
      <c r="U462" s="5" t="s">
        <v>339</v>
      </c>
      <c r="V462" s="5">
        <v>0</v>
      </c>
      <c r="W462" s="5">
        <v>1</v>
      </c>
      <c r="X462" s="22">
        <v>0</v>
      </c>
      <c r="Y462" s="5">
        <v>0</v>
      </c>
      <c r="Z462" s="45" t="s">
        <v>687</v>
      </c>
    </row>
    <row r="463" spans="3:26" ht="20.100000000000001" customHeight="1" x14ac:dyDescent="0.3">
      <c r="C463" s="42">
        <v>6201002</v>
      </c>
      <c r="D463" s="43" t="s">
        <v>688</v>
      </c>
      <c r="E463" s="5">
        <v>6</v>
      </c>
      <c r="F463" s="42">
        <v>10102102</v>
      </c>
      <c r="G463" s="5">
        <v>0</v>
      </c>
      <c r="H463" s="36">
        <v>40</v>
      </c>
      <c r="I463" s="5">
        <v>10000</v>
      </c>
      <c r="J463" s="5">
        <v>5</v>
      </c>
      <c r="K463" s="5">
        <v>0</v>
      </c>
      <c r="L463" s="5">
        <v>1</v>
      </c>
      <c r="M463" s="5">
        <v>1</v>
      </c>
      <c r="N463" s="5">
        <v>0.02</v>
      </c>
      <c r="O463" s="5">
        <v>0</v>
      </c>
      <c r="P463" s="5">
        <v>1</v>
      </c>
      <c r="Q463" s="5">
        <v>1</v>
      </c>
      <c r="R463" s="5">
        <v>1</v>
      </c>
      <c r="S463" s="5">
        <v>250</v>
      </c>
      <c r="T463" s="5">
        <v>350</v>
      </c>
      <c r="U463" s="5" t="s">
        <v>339</v>
      </c>
      <c r="V463" s="5">
        <v>0</v>
      </c>
      <c r="W463" s="5">
        <v>1</v>
      </c>
      <c r="X463" s="22">
        <v>0</v>
      </c>
      <c r="Y463" s="5">
        <v>0</v>
      </c>
      <c r="Z463" s="45" t="s">
        <v>689</v>
      </c>
    </row>
    <row r="464" spans="3:26" ht="20.100000000000001" customHeight="1" x14ac:dyDescent="0.3">
      <c r="C464" s="42">
        <v>6201003</v>
      </c>
      <c r="D464" s="43" t="s">
        <v>690</v>
      </c>
      <c r="E464" s="5">
        <v>6</v>
      </c>
      <c r="F464" s="42">
        <v>10102103</v>
      </c>
      <c r="G464" s="5">
        <v>1</v>
      </c>
      <c r="H464" s="36">
        <v>30</v>
      </c>
      <c r="I464" s="5">
        <v>10000</v>
      </c>
      <c r="J464" s="5">
        <v>5</v>
      </c>
      <c r="K464" s="5">
        <v>0</v>
      </c>
      <c r="L464" s="5">
        <v>1</v>
      </c>
      <c r="M464" s="5">
        <v>1</v>
      </c>
      <c r="N464" s="5">
        <v>0.02</v>
      </c>
      <c r="O464" s="5">
        <v>0</v>
      </c>
      <c r="P464" s="5">
        <v>1</v>
      </c>
      <c r="Q464" s="5">
        <v>1</v>
      </c>
      <c r="R464" s="5">
        <v>1</v>
      </c>
      <c r="S464" s="5">
        <v>0</v>
      </c>
      <c r="T464" s="5">
        <v>350</v>
      </c>
      <c r="U464" s="5" t="s">
        <v>339</v>
      </c>
      <c r="V464" s="5">
        <v>0</v>
      </c>
      <c r="W464" s="5">
        <v>1</v>
      </c>
      <c r="X464" s="22">
        <v>0</v>
      </c>
      <c r="Y464" s="5">
        <v>0</v>
      </c>
      <c r="Z464" s="45" t="s">
        <v>691</v>
      </c>
    </row>
    <row r="465" spans="3:26" ht="20.100000000000001" customHeight="1" x14ac:dyDescent="0.3">
      <c r="C465" s="42">
        <v>6202001</v>
      </c>
      <c r="D465" s="43" t="s">
        <v>692</v>
      </c>
      <c r="E465" s="5">
        <v>6</v>
      </c>
      <c r="F465" s="42">
        <v>10102201</v>
      </c>
      <c r="G465" s="5">
        <v>0</v>
      </c>
      <c r="H465" s="36">
        <v>32</v>
      </c>
      <c r="I465" s="5">
        <v>10000</v>
      </c>
      <c r="J465" s="5">
        <v>5</v>
      </c>
      <c r="K465" s="5">
        <v>0</v>
      </c>
      <c r="L465" s="5">
        <v>1</v>
      </c>
      <c r="M465" s="5">
        <v>1</v>
      </c>
      <c r="N465" s="5">
        <v>0.02</v>
      </c>
      <c r="O465" s="5">
        <v>0</v>
      </c>
      <c r="P465" s="5">
        <v>1</v>
      </c>
      <c r="Q465" s="5">
        <v>1</v>
      </c>
      <c r="R465" s="5">
        <v>1</v>
      </c>
      <c r="S465" s="5">
        <v>170</v>
      </c>
      <c r="T465" s="5">
        <v>350</v>
      </c>
      <c r="U465" s="5" t="s">
        <v>339</v>
      </c>
      <c r="V465" s="5">
        <v>0</v>
      </c>
      <c r="W465" s="5">
        <v>1</v>
      </c>
      <c r="X465" s="22">
        <v>0</v>
      </c>
      <c r="Y465" s="5">
        <v>0</v>
      </c>
      <c r="Z465" s="45" t="s">
        <v>687</v>
      </c>
    </row>
    <row r="466" spans="3:26" ht="20.100000000000001" customHeight="1" x14ac:dyDescent="0.3">
      <c r="C466" s="42">
        <v>6202002</v>
      </c>
      <c r="D466" s="43" t="s">
        <v>693</v>
      </c>
      <c r="E466" s="5">
        <v>6</v>
      </c>
      <c r="F466" s="42">
        <v>10102202</v>
      </c>
      <c r="G466" s="5">
        <v>0</v>
      </c>
      <c r="H466" s="36">
        <v>41</v>
      </c>
      <c r="I466" s="5">
        <v>10000</v>
      </c>
      <c r="J466" s="5">
        <v>5</v>
      </c>
      <c r="K466" s="5">
        <v>0</v>
      </c>
      <c r="L466" s="5">
        <v>1</v>
      </c>
      <c r="M466" s="5">
        <v>1</v>
      </c>
      <c r="N466" s="5">
        <v>0.02</v>
      </c>
      <c r="O466" s="5">
        <v>0</v>
      </c>
      <c r="P466" s="5">
        <v>1</v>
      </c>
      <c r="Q466" s="5">
        <v>1</v>
      </c>
      <c r="R466" s="5">
        <v>1</v>
      </c>
      <c r="S466" s="5">
        <v>260</v>
      </c>
      <c r="T466" s="5">
        <v>350</v>
      </c>
      <c r="U466" s="5" t="s">
        <v>339</v>
      </c>
      <c r="V466" s="5">
        <v>0</v>
      </c>
      <c r="W466" s="5">
        <v>1</v>
      </c>
      <c r="X466" s="22">
        <v>0</v>
      </c>
      <c r="Y466" s="5">
        <v>0</v>
      </c>
      <c r="Z466" s="45" t="s">
        <v>694</v>
      </c>
    </row>
    <row r="467" spans="3:26" ht="20.100000000000001" customHeight="1" x14ac:dyDescent="0.3">
      <c r="C467" s="42">
        <v>6202003</v>
      </c>
      <c r="D467" s="43" t="s">
        <v>695</v>
      </c>
      <c r="E467" s="5">
        <v>6</v>
      </c>
      <c r="F467" s="42">
        <v>10102203</v>
      </c>
      <c r="G467" s="5">
        <v>1</v>
      </c>
      <c r="H467" s="36">
        <v>30</v>
      </c>
      <c r="I467" s="5">
        <v>10000</v>
      </c>
      <c r="J467" s="5">
        <v>5</v>
      </c>
      <c r="K467" s="5">
        <v>0</v>
      </c>
      <c r="L467" s="5">
        <v>1</v>
      </c>
      <c r="M467" s="5">
        <v>1</v>
      </c>
      <c r="N467" s="5">
        <v>0.02</v>
      </c>
      <c r="O467" s="5">
        <v>0</v>
      </c>
      <c r="P467" s="5">
        <v>1</v>
      </c>
      <c r="Q467" s="5">
        <v>1</v>
      </c>
      <c r="R467" s="5">
        <v>1</v>
      </c>
      <c r="S467" s="5">
        <v>0</v>
      </c>
      <c r="T467" s="5">
        <v>350</v>
      </c>
      <c r="U467" s="5" t="s">
        <v>339</v>
      </c>
      <c r="V467" s="5">
        <v>0</v>
      </c>
      <c r="W467" s="5">
        <v>1</v>
      </c>
      <c r="X467" s="22">
        <v>0</v>
      </c>
      <c r="Y467" s="5">
        <v>0</v>
      </c>
      <c r="Z467" s="45" t="s">
        <v>696</v>
      </c>
    </row>
    <row r="468" spans="3:26" ht="20.100000000000001" customHeight="1" x14ac:dyDescent="0.3">
      <c r="C468" s="42">
        <v>6203001</v>
      </c>
      <c r="D468" s="43" t="s">
        <v>697</v>
      </c>
      <c r="E468" s="5">
        <v>6</v>
      </c>
      <c r="F468" s="42">
        <v>10102301</v>
      </c>
      <c r="G468" s="5">
        <v>0</v>
      </c>
      <c r="H468" s="36">
        <v>34</v>
      </c>
      <c r="I468" s="5">
        <v>10000</v>
      </c>
      <c r="J468" s="5">
        <v>5</v>
      </c>
      <c r="K468" s="5">
        <v>0</v>
      </c>
      <c r="L468" s="5">
        <v>1</v>
      </c>
      <c r="M468" s="5">
        <v>1</v>
      </c>
      <c r="N468" s="5">
        <v>0.02</v>
      </c>
      <c r="O468" s="5">
        <v>0</v>
      </c>
      <c r="P468" s="5">
        <v>1</v>
      </c>
      <c r="Q468" s="5">
        <v>1</v>
      </c>
      <c r="R468" s="5">
        <v>1</v>
      </c>
      <c r="S468" s="5">
        <v>160</v>
      </c>
      <c r="T468" s="5">
        <v>350</v>
      </c>
      <c r="U468" s="5" t="s">
        <v>339</v>
      </c>
      <c r="V468" s="5">
        <v>0</v>
      </c>
      <c r="W468" s="5">
        <v>1</v>
      </c>
      <c r="X468" s="22">
        <v>0</v>
      </c>
      <c r="Y468" s="5">
        <v>0</v>
      </c>
      <c r="Z468" s="45" t="s">
        <v>698</v>
      </c>
    </row>
    <row r="469" spans="3:26" ht="20.100000000000001" customHeight="1" x14ac:dyDescent="0.3">
      <c r="C469" s="42">
        <v>6203002</v>
      </c>
      <c r="D469" s="43" t="s">
        <v>699</v>
      </c>
      <c r="E469" s="5">
        <v>6</v>
      </c>
      <c r="F469" s="42">
        <v>10102302</v>
      </c>
      <c r="G469" s="5">
        <v>0</v>
      </c>
      <c r="H469" s="36">
        <v>42</v>
      </c>
      <c r="I469" s="5">
        <v>10000</v>
      </c>
      <c r="J469" s="5">
        <v>5</v>
      </c>
      <c r="K469" s="5">
        <v>0</v>
      </c>
      <c r="L469" s="5">
        <v>1</v>
      </c>
      <c r="M469" s="5">
        <v>1</v>
      </c>
      <c r="N469" s="5">
        <v>0.02</v>
      </c>
      <c r="O469" s="5">
        <v>0</v>
      </c>
      <c r="P469" s="5">
        <v>1</v>
      </c>
      <c r="Q469" s="5">
        <v>1</v>
      </c>
      <c r="R469" s="5">
        <v>1</v>
      </c>
      <c r="S469" s="5">
        <v>270</v>
      </c>
      <c r="T469" s="5">
        <v>350</v>
      </c>
      <c r="U469" s="5" t="s">
        <v>339</v>
      </c>
      <c r="V469" s="5">
        <v>0</v>
      </c>
      <c r="W469" s="5">
        <v>1</v>
      </c>
      <c r="X469" s="22">
        <v>0</v>
      </c>
      <c r="Y469" s="5">
        <v>0</v>
      </c>
      <c r="Z469" s="45" t="s">
        <v>700</v>
      </c>
    </row>
    <row r="470" spans="3:26" ht="20.100000000000001" customHeight="1" x14ac:dyDescent="0.3">
      <c r="C470" s="42">
        <v>6203003</v>
      </c>
      <c r="D470" s="43" t="s">
        <v>701</v>
      </c>
      <c r="E470" s="5">
        <v>6</v>
      </c>
      <c r="F470" s="42">
        <v>10102303</v>
      </c>
      <c r="G470" s="5">
        <v>1</v>
      </c>
      <c r="H470" s="36">
        <v>30</v>
      </c>
      <c r="I470" s="5">
        <v>10000</v>
      </c>
      <c r="J470" s="5">
        <v>5</v>
      </c>
      <c r="K470" s="5">
        <v>0</v>
      </c>
      <c r="L470" s="5">
        <v>1</v>
      </c>
      <c r="M470" s="5">
        <v>1</v>
      </c>
      <c r="N470" s="5">
        <v>0.02</v>
      </c>
      <c r="O470" s="5">
        <v>0</v>
      </c>
      <c r="P470" s="5">
        <v>1</v>
      </c>
      <c r="Q470" s="5">
        <v>1</v>
      </c>
      <c r="R470" s="5">
        <v>1</v>
      </c>
      <c r="S470" s="5">
        <v>0</v>
      </c>
      <c r="T470" s="5">
        <v>350</v>
      </c>
      <c r="U470" s="5" t="s">
        <v>339</v>
      </c>
      <c r="V470" s="5">
        <v>0</v>
      </c>
      <c r="W470" s="5">
        <v>1</v>
      </c>
      <c r="X470" s="22">
        <v>0</v>
      </c>
      <c r="Y470" s="5">
        <v>0</v>
      </c>
      <c r="Z470" s="45" t="s">
        <v>702</v>
      </c>
    </row>
    <row r="471" spans="3:26" ht="20.100000000000001" customHeight="1" x14ac:dyDescent="0.3">
      <c r="C471" s="42">
        <v>6204001</v>
      </c>
      <c r="D471" s="43" t="s">
        <v>703</v>
      </c>
      <c r="E471" s="5">
        <v>6</v>
      </c>
      <c r="F471" s="42">
        <v>10102401</v>
      </c>
      <c r="G471" s="5">
        <v>0</v>
      </c>
      <c r="H471" s="36">
        <v>36</v>
      </c>
      <c r="I471" s="5">
        <v>10000</v>
      </c>
      <c r="J471" s="5">
        <v>5</v>
      </c>
      <c r="K471" s="5">
        <v>0</v>
      </c>
      <c r="L471" s="5">
        <v>1</v>
      </c>
      <c r="M471" s="5">
        <v>1</v>
      </c>
      <c r="N471" s="5">
        <v>0.02</v>
      </c>
      <c r="O471" s="5">
        <v>0</v>
      </c>
      <c r="P471" s="5">
        <v>1</v>
      </c>
      <c r="Q471" s="5">
        <v>1</v>
      </c>
      <c r="R471" s="5">
        <v>1</v>
      </c>
      <c r="S471" s="5">
        <v>180</v>
      </c>
      <c r="T471" s="5">
        <v>350</v>
      </c>
      <c r="U471" s="5" t="s">
        <v>339</v>
      </c>
      <c r="V471" s="5">
        <v>0</v>
      </c>
      <c r="W471" s="5">
        <v>1</v>
      </c>
      <c r="X471" s="22">
        <v>0</v>
      </c>
      <c r="Y471" s="5">
        <v>0</v>
      </c>
      <c r="Z471" s="45" t="s">
        <v>704</v>
      </c>
    </row>
    <row r="472" spans="3:26" ht="20.100000000000001" customHeight="1" x14ac:dyDescent="0.3">
      <c r="C472" s="42">
        <v>6204002</v>
      </c>
      <c r="D472" s="43" t="s">
        <v>705</v>
      </c>
      <c r="E472" s="5">
        <v>6</v>
      </c>
      <c r="F472" s="42">
        <v>10102402</v>
      </c>
      <c r="G472" s="5">
        <v>0</v>
      </c>
      <c r="H472" s="36">
        <v>43</v>
      </c>
      <c r="I472" s="5">
        <v>10000</v>
      </c>
      <c r="J472" s="5">
        <v>5</v>
      </c>
      <c r="K472" s="5">
        <v>0</v>
      </c>
      <c r="L472" s="5">
        <v>1</v>
      </c>
      <c r="M472" s="5">
        <v>1</v>
      </c>
      <c r="N472" s="5">
        <v>0.02</v>
      </c>
      <c r="O472" s="5">
        <v>0</v>
      </c>
      <c r="P472" s="5">
        <v>1</v>
      </c>
      <c r="Q472" s="5">
        <v>1</v>
      </c>
      <c r="R472" s="5">
        <v>1</v>
      </c>
      <c r="S472" s="5">
        <v>210</v>
      </c>
      <c r="T472" s="5">
        <v>350</v>
      </c>
      <c r="U472" s="5" t="s">
        <v>339</v>
      </c>
      <c r="V472" s="5">
        <v>0</v>
      </c>
      <c r="W472" s="5">
        <v>1</v>
      </c>
      <c r="X472" s="22">
        <v>0</v>
      </c>
      <c r="Y472" s="5">
        <v>0</v>
      </c>
      <c r="Z472" s="45" t="s">
        <v>694</v>
      </c>
    </row>
    <row r="473" spans="3:26" ht="20.100000000000001" customHeight="1" x14ac:dyDescent="0.3">
      <c r="C473" s="42">
        <v>6204003</v>
      </c>
      <c r="D473" s="43" t="s">
        <v>706</v>
      </c>
      <c r="E473" s="5">
        <v>6</v>
      </c>
      <c r="F473" s="42">
        <v>10102403</v>
      </c>
      <c r="G473" s="5">
        <v>0</v>
      </c>
      <c r="H473" s="36">
        <v>43</v>
      </c>
      <c r="I473" s="5">
        <v>10000</v>
      </c>
      <c r="J473" s="5">
        <v>5</v>
      </c>
      <c r="K473" s="5">
        <v>0</v>
      </c>
      <c r="L473" s="5">
        <v>1</v>
      </c>
      <c r="M473" s="5">
        <v>1</v>
      </c>
      <c r="N473" s="5">
        <v>0.02</v>
      </c>
      <c r="O473" s="5">
        <v>0</v>
      </c>
      <c r="P473" s="5">
        <v>1</v>
      </c>
      <c r="Q473" s="5">
        <v>1</v>
      </c>
      <c r="R473" s="5">
        <v>1</v>
      </c>
      <c r="S473" s="5">
        <v>240</v>
      </c>
      <c r="T473" s="5">
        <v>350</v>
      </c>
      <c r="U473" s="5" t="s">
        <v>339</v>
      </c>
      <c r="V473" s="5">
        <v>0</v>
      </c>
      <c r="W473" s="5">
        <v>1</v>
      </c>
      <c r="X473" s="22">
        <v>0</v>
      </c>
      <c r="Y473" s="5">
        <v>0</v>
      </c>
      <c r="Z473" s="45" t="s">
        <v>707</v>
      </c>
    </row>
    <row r="474" spans="3:26" ht="20.100000000000001" customHeight="1" x14ac:dyDescent="0.3">
      <c r="C474" s="42">
        <v>6204004</v>
      </c>
      <c r="D474" s="43" t="s">
        <v>708</v>
      </c>
      <c r="E474" s="5">
        <v>6</v>
      </c>
      <c r="F474" s="42">
        <v>10102404</v>
      </c>
      <c r="G474" s="44">
        <v>1</v>
      </c>
      <c r="H474" s="36">
        <v>30</v>
      </c>
      <c r="I474" s="5">
        <v>10000</v>
      </c>
      <c r="J474" s="5">
        <v>5</v>
      </c>
      <c r="K474" s="5">
        <v>0</v>
      </c>
      <c r="L474" s="5">
        <v>1</v>
      </c>
      <c r="M474" s="5">
        <v>1</v>
      </c>
      <c r="N474" s="5">
        <v>0.02</v>
      </c>
      <c r="O474" s="5">
        <v>0</v>
      </c>
      <c r="P474" s="5">
        <v>1</v>
      </c>
      <c r="Q474" s="5">
        <v>1</v>
      </c>
      <c r="R474" s="5">
        <v>1</v>
      </c>
      <c r="S474" s="5">
        <v>0</v>
      </c>
      <c r="T474" s="5">
        <v>350</v>
      </c>
      <c r="U474" s="5" t="s">
        <v>339</v>
      </c>
      <c r="V474" s="5">
        <v>0</v>
      </c>
      <c r="W474" s="5">
        <v>1</v>
      </c>
      <c r="X474" s="22">
        <v>0</v>
      </c>
      <c r="Y474" s="5">
        <v>0</v>
      </c>
      <c r="Z474" s="45" t="s">
        <v>702</v>
      </c>
    </row>
    <row r="475" spans="3:26" ht="20.100000000000001" customHeight="1" x14ac:dyDescent="0.3">
      <c r="C475" s="42">
        <v>6205001</v>
      </c>
      <c r="D475" s="43" t="s">
        <v>709</v>
      </c>
      <c r="E475" s="5">
        <v>6</v>
      </c>
      <c r="F475" s="42">
        <v>10102501</v>
      </c>
      <c r="G475" s="44">
        <v>0</v>
      </c>
      <c r="H475" s="36">
        <v>37</v>
      </c>
      <c r="I475" s="5">
        <v>10000</v>
      </c>
      <c r="J475" s="5">
        <v>5</v>
      </c>
      <c r="K475" s="5">
        <v>0</v>
      </c>
      <c r="L475" s="5">
        <v>1</v>
      </c>
      <c r="M475" s="5">
        <v>1</v>
      </c>
      <c r="N475" s="5">
        <v>0.02</v>
      </c>
      <c r="O475" s="5">
        <v>0</v>
      </c>
      <c r="P475" s="5">
        <v>1</v>
      </c>
      <c r="Q475" s="5">
        <v>1</v>
      </c>
      <c r="R475" s="5">
        <v>1</v>
      </c>
      <c r="S475" s="5">
        <v>180</v>
      </c>
      <c r="T475" s="5">
        <v>350</v>
      </c>
      <c r="U475" s="5" t="s">
        <v>339</v>
      </c>
      <c r="V475" s="5">
        <v>0</v>
      </c>
      <c r="W475" s="5">
        <v>1</v>
      </c>
      <c r="X475" s="22">
        <v>0</v>
      </c>
      <c r="Y475" s="5">
        <v>0</v>
      </c>
      <c r="Z475" s="45" t="s">
        <v>704</v>
      </c>
    </row>
    <row r="476" spans="3:26" ht="20.100000000000001" customHeight="1" x14ac:dyDescent="0.3">
      <c r="C476" s="42">
        <v>6205002</v>
      </c>
      <c r="D476" s="43" t="s">
        <v>710</v>
      </c>
      <c r="E476" s="5">
        <v>6</v>
      </c>
      <c r="F476" s="42">
        <v>10102502</v>
      </c>
      <c r="G476" s="44">
        <v>0</v>
      </c>
      <c r="H476" s="36">
        <v>44</v>
      </c>
      <c r="I476" s="5">
        <v>10000</v>
      </c>
      <c r="J476" s="5">
        <v>5</v>
      </c>
      <c r="K476" s="5">
        <v>0</v>
      </c>
      <c r="L476" s="5">
        <v>1</v>
      </c>
      <c r="M476" s="5">
        <v>1</v>
      </c>
      <c r="N476" s="5">
        <v>0.02</v>
      </c>
      <c r="O476" s="5">
        <v>0</v>
      </c>
      <c r="P476" s="5">
        <v>1</v>
      </c>
      <c r="Q476" s="5">
        <v>1</v>
      </c>
      <c r="R476" s="5">
        <v>1</v>
      </c>
      <c r="S476" s="5">
        <v>210</v>
      </c>
      <c r="T476" s="5">
        <v>350</v>
      </c>
      <c r="U476" s="5" t="s">
        <v>339</v>
      </c>
      <c r="V476" s="5">
        <v>0</v>
      </c>
      <c r="W476" s="5">
        <v>1</v>
      </c>
      <c r="X476" s="22">
        <v>0</v>
      </c>
      <c r="Y476" s="5">
        <v>0</v>
      </c>
      <c r="Z476" s="45" t="s">
        <v>694</v>
      </c>
    </row>
    <row r="477" spans="3:26" ht="20.100000000000001" customHeight="1" x14ac:dyDescent="0.3">
      <c r="C477" s="42">
        <v>6205003</v>
      </c>
      <c r="D477" s="43" t="s">
        <v>711</v>
      </c>
      <c r="E477" s="5">
        <v>6</v>
      </c>
      <c r="F477" s="42">
        <v>10102503</v>
      </c>
      <c r="G477" s="44">
        <v>0</v>
      </c>
      <c r="H477" s="36">
        <v>44</v>
      </c>
      <c r="I477" s="5">
        <v>10000</v>
      </c>
      <c r="J477" s="5">
        <v>5</v>
      </c>
      <c r="K477" s="5">
        <v>0</v>
      </c>
      <c r="L477" s="5">
        <v>1</v>
      </c>
      <c r="M477" s="5">
        <v>1</v>
      </c>
      <c r="N477" s="5">
        <v>0.02</v>
      </c>
      <c r="O477" s="5">
        <v>0</v>
      </c>
      <c r="P477" s="5">
        <v>1</v>
      </c>
      <c r="Q477" s="5">
        <v>1</v>
      </c>
      <c r="R477" s="5">
        <v>1</v>
      </c>
      <c r="S477" s="5">
        <v>240</v>
      </c>
      <c r="T477" s="5">
        <v>350</v>
      </c>
      <c r="U477" s="5" t="s">
        <v>339</v>
      </c>
      <c r="V477" s="5">
        <v>0</v>
      </c>
      <c r="W477" s="5">
        <v>1</v>
      </c>
      <c r="X477" s="22">
        <v>0</v>
      </c>
      <c r="Y477" s="5">
        <v>0</v>
      </c>
      <c r="Z477" s="45" t="s">
        <v>707</v>
      </c>
    </row>
    <row r="478" spans="3:26" ht="20.100000000000001" customHeight="1" x14ac:dyDescent="0.3">
      <c r="C478" s="42">
        <v>6205004</v>
      </c>
      <c r="D478" s="43" t="s">
        <v>712</v>
      </c>
      <c r="E478" s="5">
        <v>6</v>
      </c>
      <c r="F478" s="42">
        <v>10102504</v>
      </c>
      <c r="G478" s="44">
        <v>1</v>
      </c>
      <c r="H478" s="36">
        <v>30</v>
      </c>
      <c r="I478" s="5">
        <v>10000</v>
      </c>
      <c r="J478" s="5">
        <v>5</v>
      </c>
      <c r="K478" s="5">
        <v>0</v>
      </c>
      <c r="L478" s="5">
        <v>1</v>
      </c>
      <c r="M478" s="5">
        <v>1</v>
      </c>
      <c r="N478" s="5">
        <v>0.02</v>
      </c>
      <c r="O478" s="5">
        <v>0</v>
      </c>
      <c r="P478" s="5">
        <v>1</v>
      </c>
      <c r="Q478" s="5">
        <v>1</v>
      </c>
      <c r="R478" s="5">
        <v>1</v>
      </c>
      <c r="S478" s="5">
        <v>0</v>
      </c>
      <c r="T478" s="5">
        <v>350</v>
      </c>
      <c r="U478" s="5" t="s">
        <v>339</v>
      </c>
      <c r="V478" s="5">
        <v>0</v>
      </c>
      <c r="W478" s="5">
        <v>1</v>
      </c>
      <c r="X478" s="22">
        <v>0</v>
      </c>
      <c r="Y478" s="5">
        <v>0</v>
      </c>
      <c r="Z478" s="45" t="s">
        <v>702</v>
      </c>
    </row>
    <row r="479" spans="3:26" ht="20.100000000000001" customHeight="1" x14ac:dyDescent="0.3">
      <c r="C479" s="42">
        <v>6206001</v>
      </c>
      <c r="D479" s="43" t="s">
        <v>713</v>
      </c>
      <c r="E479" s="5">
        <v>6</v>
      </c>
      <c r="F479" s="42">
        <v>10102601</v>
      </c>
      <c r="G479" s="44">
        <v>0</v>
      </c>
      <c r="H479" s="36">
        <v>39</v>
      </c>
      <c r="I479" s="5">
        <v>10000</v>
      </c>
      <c r="J479" s="5">
        <v>5</v>
      </c>
      <c r="K479" s="5">
        <v>0</v>
      </c>
      <c r="L479" s="5">
        <v>1</v>
      </c>
      <c r="M479" s="5">
        <v>1</v>
      </c>
      <c r="N479" s="5">
        <v>0.02</v>
      </c>
      <c r="O479" s="5">
        <v>0</v>
      </c>
      <c r="P479" s="5">
        <v>1</v>
      </c>
      <c r="Q479" s="5">
        <v>1</v>
      </c>
      <c r="R479" s="5">
        <v>1</v>
      </c>
      <c r="S479" s="5">
        <v>230</v>
      </c>
      <c r="T479" s="5">
        <v>350</v>
      </c>
      <c r="U479" s="5" t="s">
        <v>339</v>
      </c>
      <c r="V479" s="5">
        <v>0</v>
      </c>
      <c r="W479" s="5">
        <v>1</v>
      </c>
      <c r="X479" s="22">
        <v>0</v>
      </c>
      <c r="Y479" s="5">
        <v>0</v>
      </c>
      <c r="Z479" s="45" t="s">
        <v>714</v>
      </c>
    </row>
    <row r="480" spans="3:26" ht="20.100000000000001" customHeight="1" x14ac:dyDescent="0.3">
      <c r="C480" s="42">
        <v>6206002</v>
      </c>
      <c r="D480" s="43" t="s">
        <v>715</v>
      </c>
      <c r="E480" s="5">
        <v>6</v>
      </c>
      <c r="F480" s="42">
        <v>10102602</v>
      </c>
      <c r="G480" s="44">
        <v>0</v>
      </c>
      <c r="H480" s="36">
        <v>45</v>
      </c>
      <c r="I480" s="5">
        <v>10000</v>
      </c>
      <c r="J480" s="5">
        <v>5</v>
      </c>
      <c r="K480" s="5">
        <v>0</v>
      </c>
      <c r="L480" s="5">
        <v>1</v>
      </c>
      <c r="M480" s="5">
        <v>1</v>
      </c>
      <c r="N480" s="5">
        <v>0.02</v>
      </c>
      <c r="O480" s="5">
        <v>0</v>
      </c>
      <c r="P480" s="5">
        <v>1</v>
      </c>
      <c r="Q480" s="5">
        <v>1</v>
      </c>
      <c r="R480" s="5">
        <v>1</v>
      </c>
      <c r="S480" s="5">
        <v>290</v>
      </c>
      <c r="T480" s="5">
        <v>350</v>
      </c>
      <c r="U480" s="5" t="s">
        <v>339</v>
      </c>
      <c r="V480" s="5">
        <v>0</v>
      </c>
      <c r="W480" s="5">
        <v>1</v>
      </c>
      <c r="X480" s="22">
        <v>0</v>
      </c>
      <c r="Y480" s="5">
        <v>0</v>
      </c>
      <c r="Z480" s="45" t="s">
        <v>707</v>
      </c>
    </row>
    <row r="481" spans="3:26" ht="20.100000000000001" customHeight="1" x14ac:dyDescent="0.3">
      <c r="C481" s="42">
        <v>6206003</v>
      </c>
      <c r="D481" s="43" t="s">
        <v>716</v>
      </c>
      <c r="E481" s="5">
        <v>6</v>
      </c>
      <c r="F481" s="42">
        <v>10102603</v>
      </c>
      <c r="G481" s="44">
        <v>1</v>
      </c>
      <c r="H481" s="36">
        <v>48</v>
      </c>
      <c r="I481" s="5">
        <v>10000</v>
      </c>
      <c r="J481" s="5">
        <v>5</v>
      </c>
      <c r="K481" s="5">
        <v>0</v>
      </c>
      <c r="L481" s="5">
        <v>1</v>
      </c>
      <c r="M481" s="5">
        <v>1</v>
      </c>
      <c r="N481" s="5">
        <v>0.02</v>
      </c>
      <c r="O481" s="5">
        <v>0</v>
      </c>
      <c r="P481" s="5">
        <v>1</v>
      </c>
      <c r="Q481" s="5">
        <v>1</v>
      </c>
      <c r="R481" s="5">
        <v>1</v>
      </c>
      <c r="S481" s="5">
        <v>0</v>
      </c>
      <c r="T481" s="5">
        <v>350</v>
      </c>
      <c r="U481" s="5" t="s">
        <v>339</v>
      </c>
      <c r="V481" s="5">
        <v>0</v>
      </c>
      <c r="W481" s="5">
        <v>1</v>
      </c>
      <c r="X481" s="22">
        <v>0</v>
      </c>
      <c r="Y481" s="5">
        <v>0</v>
      </c>
      <c r="Z481" s="45" t="s">
        <v>702</v>
      </c>
    </row>
    <row r="482" spans="3:26" ht="20.100000000000001" customHeight="1" x14ac:dyDescent="0.3">
      <c r="C482" s="42">
        <v>6301001</v>
      </c>
      <c r="D482" s="43" t="s">
        <v>717</v>
      </c>
      <c r="E482" s="5">
        <v>6</v>
      </c>
      <c r="F482" s="42">
        <v>10103101</v>
      </c>
      <c r="G482" s="5">
        <v>0</v>
      </c>
      <c r="H482" s="36">
        <f>H462+20</f>
        <v>50</v>
      </c>
      <c r="I482" s="5">
        <v>12500</v>
      </c>
      <c r="J482" s="5">
        <v>5</v>
      </c>
      <c r="K482" s="5">
        <v>0</v>
      </c>
      <c r="L482" s="5">
        <v>1</v>
      </c>
      <c r="M482" s="5">
        <v>1</v>
      </c>
      <c r="N482" s="5">
        <v>0.02</v>
      </c>
      <c r="O482" s="5">
        <v>0</v>
      </c>
      <c r="P482" s="5">
        <v>1</v>
      </c>
      <c r="Q482" s="5">
        <v>1</v>
      </c>
      <c r="R482" s="5">
        <v>1</v>
      </c>
      <c r="S482" s="5">
        <v>300</v>
      </c>
      <c r="T482" s="5">
        <v>500</v>
      </c>
      <c r="U482" s="5" t="s">
        <v>339</v>
      </c>
      <c r="V482" s="5">
        <v>0</v>
      </c>
      <c r="W482" s="5">
        <v>1</v>
      </c>
      <c r="X482" s="22">
        <v>0</v>
      </c>
      <c r="Y482" s="5">
        <v>0</v>
      </c>
      <c r="Z482" s="45" t="s">
        <v>718</v>
      </c>
    </row>
    <row r="483" spans="3:26" ht="20.100000000000001" customHeight="1" x14ac:dyDescent="0.3">
      <c r="C483" s="42">
        <v>6301002</v>
      </c>
      <c r="D483" s="43" t="s">
        <v>719</v>
      </c>
      <c r="E483" s="5">
        <v>6</v>
      </c>
      <c r="F483" s="42">
        <v>10103102</v>
      </c>
      <c r="G483" s="5">
        <v>0</v>
      </c>
      <c r="H483" s="36">
        <f t="shared" ref="H483:H499" si="12">H463+20</f>
        <v>60</v>
      </c>
      <c r="I483" s="5">
        <v>12500</v>
      </c>
      <c r="J483" s="5">
        <v>5</v>
      </c>
      <c r="K483" s="5">
        <v>0</v>
      </c>
      <c r="L483" s="5">
        <v>1</v>
      </c>
      <c r="M483" s="5">
        <v>1</v>
      </c>
      <c r="N483" s="5">
        <v>0.02</v>
      </c>
      <c r="O483" s="5">
        <v>0</v>
      </c>
      <c r="P483" s="5">
        <v>1</v>
      </c>
      <c r="Q483" s="5">
        <v>1</v>
      </c>
      <c r="R483" s="5">
        <v>1</v>
      </c>
      <c r="S483" s="5">
        <v>400</v>
      </c>
      <c r="T483" s="5">
        <v>500</v>
      </c>
      <c r="U483" s="5" t="s">
        <v>339</v>
      </c>
      <c r="V483" s="5">
        <v>0</v>
      </c>
      <c r="W483" s="5">
        <v>1</v>
      </c>
      <c r="X483" s="22">
        <v>0</v>
      </c>
      <c r="Y483" s="5">
        <v>0</v>
      </c>
      <c r="Z483" s="45" t="s">
        <v>720</v>
      </c>
    </row>
    <row r="484" spans="3:26" ht="20.100000000000001" customHeight="1" x14ac:dyDescent="0.3">
      <c r="C484" s="42">
        <v>6301003</v>
      </c>
      <c r="D484" s="43" t="s">
        <v>721</v>
      </c>
      <c r="E484" s="5">
        <v>6</v>
      </c>
      <c r="F484" s="42">
        <v>10103103</v>
      </c>
      <c r="G484" s="5">
        <v>1</v>
      </c>
      <c r="H484" s="36">
        <f t="shared" si="12"/>
        <v>50</v>
      </c>
      <c r="I484" s="5">
        <v>12500</v>
      </c>
      <c r="J484" s="5">
        <v>5</v>
      </c>
      <c r="K484" s="5">
        <v>0</v>
      </c>
      <c r="L484" s="5">
        <v>1</v>
      </c>
      <c r="M484" s="5">
        <v>1</v>
      </c>
      <c r="N484" s="5">
        <v>0.02</v>
      </c>
      <c r="O484" s="5">
        <v>0</v>
      </c>
      <c r="P484" s="5">
        <v>1</v>
      </c>
      <c r="Q484" s="5">
        <v>1</v>
      </c>
      <c r="R484" s="5">
        <v>1</v>
      </c>
      <c r="S484" s="5">
        <v>0</v>
      </c>
      <c r="T484" s="5">
        <v>500</v>
      </c>
      <c r="U484" s="5" t="s">
        <v>339</v>
      </c>
      <c r="V484" s="5">
        <v>0</v>
      </c>
      <c r="W484" s="5">
        <v>1</v>
      </c>
      <c r="X484" s="22">
        <v>0</v>
      </c>
      <c r="Y484" s="5">
        <v>0</v>
      </c>
      <c r="Z484" s="45" t="s">
        <v>722</v>
      </c>
    </row>
    <row r="485" spans="3:26" ht="20.100000000000001" customHeight="1" x14ac:dyDescent="0.3">
      <c r="C485" s="42">
        <v>6302001</v>
      </c>
      <c r="D485" s="43" t="s">
        <v>723</v>
      </c>
      <c r="E485" s="5">
        <v>6</v>
      </c>
      <c r="F485" s="42">
        <v>10103201</v>
      </c>
      <c r="G485" s="5">
        <v>0</v>
      </c>
      <c r="H485" s="36">
        <f t="shared" si="12"/>
        <v>52</v>
      </c>
      <c r="I485" s="5">
        <v>12500</v>
      </c>
      <c r="J485" s="5">
        <v>5</v>
      </c>
      <c r="K485" s="5">
        <v>0</v>
      </c>
      <c r="L485" s="5">
        <v>1</v>
      </c>
      <c r="M485" s="5">
        <v>1</v>
      </c>
      <c r="N485" s="5">
        <v>0.02</v>
      </c>
      <c r="O485" s="5">
        <v>0</v>
      </c>
      <c r="P485" s="5">
        <v>1</v>
      </c>
      <c r="Q485" s="5">
        <v>1</v>
      </c>
      <c r="R485" s="5">
        <v>1</v>
      </c>
      <c r="S485" s="5">
        <v>320</v>
      </c>
      <c r="T485" s="5">
        <v>500</v>
      </c>
      <c r="U485" s="5" t="s">
        <v>339</v>
      </c>
      <c r="V485" s="5">
        <v>0</v>
      </c>
      <c r="W485" s="5">
        <v>1</v>
      </c>
      <c r="X485" s="22">
        <v>0</v>
      </c>
      <c r="Y485" s="5">
        <v>0</v>
      </c>
      <c r="Z485" s="45" t="s">
        <v>718</v>
      </c>
    </row>
    <row r="486" spans="3:26" ht="20.100000000000001" customHeight="1" x14ac:dyDescent="0.3">
      <c r="C486" s="42">
        <v>6302002</v>
      </c>
      <c r="D486" s="43" t="s">
        <v>724</v>
      </c>
      <c r="E486" s="5">
        <v>6</v>
      </c>
      <c r="F486" s="42">
        <v>10103202</v>
      </c>
      <c r="G486" s="5">
        <v>0</v>
      </c>
      <c r="H486" s="36">
        <v>51</v>
      </c>
      <c r="I486" s="5">
        <v>12500</v>
      </c>
      <c r="J486" s="5">
        <v>5</v>
      </c>
      <c r="K486" s="5">
        <v>0</v>
      </c>
      <c r="L486" s="5">
        <v>1</v>
      </c>
      <c r="M486" s="5">
        <v>1</v>
      </c>
      <c r="N486" s="5">
        <v>0.02</v>
      </c>
      <c r="O486" s="5">
        <v>0</v>
      </c>
      <c r="P486" s="5">
        <v>1</v>
      </c>
      <c r="Q486" s="5">
        <v>1</v>
      </c>
      <c r="R486" s="5">
        <v>1</v>
      </c>
      <c r="S486" s="5">
        <v>410</v>
      </c>
      <c r="T486" s="5">
        <v>500</v>
      </c>
      <c r="U486" s="5" t="s">
        <v>339</v>
      </c>
      <c r="V486" s="5">
        <v>0</v>
      </c>
      <c r="W486" s="5">
        <v>1</v>
      </c>
      <c r="X486" s="22">
        <v>0</v>
      </c>
      <c r="Y486" s="5">
        <v>0</v>
      </c>
      <c r="Z486" s="45" t="s">
        <v>725</v>
      </c>
    </row>
    <row r="487" spans="3:26" ht="20.100000000000001" customHeight="1" x14ac:dyDescent="0.3">
      <c r="C487" s="42">
        <v>6302003</v>
      </c>
      <c r="D487" s="43" t="s">
        <v>726</v>
      </c>
      <c r="E487" s="5">
        <v>6</v>
      </c>
      <c r="F487" s="42">
        <v>10103203</v>
      </c>
      <c r="G487" s="5">
        <v>1</v>
      </c>
      <c r="H487" s="36">
        <f t="shared" si="12"/>
        <v>50</v>
      </c>
      <c r="I487" s="5">
        <v>12500</v>
      </c>
      <c r="J487" s="5">
        <v>5</v>
      </c>
      <c r="K487" s="5">
        <v>0</v>
      </c>
      <c r="L487" s="5">
        <v>1</v>
      </c>
      <c r="M487" s="5">
        <v>1</v>
      </c>
      <c r="N487" s="5">
        <v>0.02</v>
      </c>
      <c r="O487" s="5">
        <v>0</v>
      </c>
      <c r="P487" s="5">
        <v>1</v>
      </c>
      <c r="Q487" s="5">
        <v>1</v>
      </c>
      <c r="R487" s="5">
        <v>1</v>
      </c>
      <c r="S487" s="5">
        <v>0</v>
      </c>
      <c r="T487" s="5">
        <v>500</v>
      </c>
      <c r="U487" s="5" t="s">
        <v>339</v>
      </c>
      <c r="V487" s="5">
        <v>0</v>
      </c>
      <c r="W487" s="5">
        <v>1</v>
      </c>
      <c r="X487" s="22">
        <v>0</v>
      </c>
      <c r="Y487" s="5">
        <v>0</v>
      </c>
      <c r="Z487" s="45" t="s">
        <v>727</v>
      </c>
    </row>
    <row r="488" spans="3:26" ht="20.100000000000001" customHeight="1" x14ac:dyDescent="0.3">
      <c r="C488" s="42">
        <v>6303001</v>
      </c>
      <c r="D488" s="43" t="s">
        <v>728</v>
      </c>
      <c r="E488" s="5">
        <v>6</v>
      </c>
      <c r="F488" s="42">
        <v>10103301</v>
      </c>
      <c r="G488" s="5">
        <v>0</v>
      </c>
      <c r="H488" s="36">
        <f t="shared" si="12"/>
        <v>54</v>
      </c>
      <c r="I488" s="5">
        <v>12500</v>
      </c>
      <c r="J488" s="5">
        <v>5</v>
      </c>
      <c r="K488" s="5">
        <v>0</v>
      </c>
      <c r="L488" s="5">
        <v>1</v>
      </c>
      <c r="M488" s="5">
        <v>1</v>
      </c>
      <c r="N488" s="5">
        <v>0.02</v>
      </c>
      <c r="O488" s="5">
        <v>0</v>
      </c>
      <c r="P488" s="5">
        <v>1</v>
      </c>
      <c r="Q488" s="5">
        <v>1</v>
      </c>
      <c r="R488" s="5">
        <v>1</v>
      </c>
      <c r="S488" s="5">
        <v>310</v>
      </c>
      <c r="T488" s="5">
        <v>500</v>
      </c>
      <c r="U488" s="5" t="s">
        <v>339</v>
      </c>
      <c r="V488" s="5">
        <v>0</v>
      </c>
      <c r="W488" s="5">
        <v>1</v>
      </c>
      <c r="X488" s="22">
        <v>0</v>
      </c>
      <c r="Y488" s="5">
        <v>0</v>
      </c>
      <c r="Z488" s="45" t="s">
        <v>729</v>
      </c>
    </row>
    <row r="489" spans="3:26" ht="20.100000000000001" customHeight="1" x14ac:dyDescent="0.3">
      <c r="C489" s="42">
        <v>6303002</v>
      </c>
      <c r="D489" s="43" t="s">
        <v>730</v>
      </c>
      <c r="E489" s="5">
        <v>6</v>
      </c>
      <c r="F489" s="42">
        <v>10103302</v>
      </c>
      <c r="G489" s="5">
        <v>0</v>
      </c>
      <c r="H489" s="36">
        <v>56</v>
      </c>
      <c r="I489" s="5">
        <v>12500</v>
      </c>
      <c r="J489" s="5">
        <v>5</v>
      </c>
      <c r="K489" s="5">
        <v>0</v>
      </c>
      <c r="L489" s="5">
        <v>1</v>
      </c>
      <c r="M489" s="5">
        <v>1</v>
      </c>
      <c r="N489" s="5">
        <v>0.02</v>
      </c>
      <c r="O489" s="5">
        <v>0</v>
      </c>
      <c r="P489" s="5">
        <v>1</v>
      </c>
      <c r="Q489" s="5">
        <v>1</v>
      </c>
      <c r="R489" s="5">
        <v>1</v>
      </c>
      <c r="S489" s="5">
        <v>420</v>
      </c>
      <c r="T489" s="5">
        <v>500</v>
      </c>
      <c r="U489" s="5" t="s">
        <v>339</v>
      </c>
      <c r="V489" s="5">
        <v>0</v>
      </c>
      <c r="W489" s="5">
        <v>1</v>
      </c>
      <c r="X489" s="22">
        <v>0</v>
      </c>
      <c r="Y489" s="5">
        <v>0</v>
      </c>
      <c r="Z489" s="45" t="s">
        <v>731</v>
      </c>
    </row>
    <row r="490" spans="3:26" ht="20.100000000000001" customHeight="1" x14ac:dyDescent="0.3">
      <c r="C490" s="42">
        <v>6303003</v>
      </c>
      <c r="D490" s="43" t="s">
        <v>732</v>
      </c>
      <c r="E490" s="5">
        <v>6</v>
      </c>
      <c r="F490" s="42">
        <v>10103303</v>
      </c>
      <c r="G490" s="5">
        <v>1</v>
      </c>
      <c r="H490" s="36">
        <f t="shared" si="12"/>
        <v>50</v>
      </c>
      <c r="I490" s="5">
        <v>12500</v>
      </c>
      <c r="J490" s="5">
        <v>5</v>
      </c>
      <c r="K490" s="5">
        <v>0</v>
      </c>
      <c r="L490" s="5">
        <v>1</v>
      </c>
      <c r="M490" s="5">
        <v>1</v>
      </c>
      <c r="N490" s="5">
        <v>0.02</v>
      </c>
      <c r="O490" s="5">
        <v>0</v>
      </c>
      <c r="P490" s="5">
        <v>1</v>
      </c>
      <c r="Q490" s="5">
        <v>1</v>
      </c>
      <c r="R490" s="5">
        <v>1</v>
      </c>
      <c r="S490" s="5">
        <v>0</v>
      </c>
      <c r="T490" s="5">
        <v>500</v>
      </c>
      <c r="U490" s="5" t="s">
        <v>339</v>
      </c>
      <c r="V490" s="5">
        <v>0</v>
      </c>
      <c r="W490" s="5">
        <v>1</v>
      </c>
      <c r="X490" s="22">
        <v>0</v>
      </c>
      <c r="Y490" s="5">
        <v>0</v>
      </c>
      <c r="Z490" s="45" t="s">
        <v>733</v>
      </c>
    </row>
    <row r="491" spans="3:26" ht="20.100000000000001" customHeight="1" x14ac:dyDescent="0.3">
      <c r="C491" s="42">
        <v>6304001</v>
      </c>
      <c r="D491" s="43" t="s">
        <v>734</v>
      </c>
      <c r="E491" s="5">
        <v>6</v>
      </c>
      <c r="F491" s="42">
        <v>10103401</v>
      </c>
      <c r="G491" s="5">
        <v>0</v>
      </c>
      <c r="H491" s="36">
        <f t="shared" si="12"/>
        <v>56</v>
      </c>
      <c r="I491" s="5">
        <v>12500</v>
      </c>
      <c r="J491" s="5">
        <v>5</v>
      </c>
      <c r="K491" s="5">
        <v>0</v>
      </c>
      <c r="L491" s="5">
        <v>1</v>
      </c>
      <c r="M491" s="5">
        <v>1</v>
      </c>
      <c r="N491" s="5">
        <v>0.02</v>
      </c>
      <c r="O491" s="5">
        <v>0</v>
      </c>
      <c r="P491" s="5">
        <v>1</v>
      </c>
      <c r="Q491" s="5">
        <v>1</v>
      </c>
      <c r="R491" s="5">
        <v>1</v>
      </c>
      <c r="S491" s="5">
        <v>330</v>
      </c>
      <c r="T491" s="5">
        <v>500</v>
      </c>
      <c r="U491" s="5" t="s">
        <v>339</v>
      </c>
      <c r="V491" s="5">
        <v>0</v>
      </c>
      <c r="W491" s="5">
        <v>1</v>
      </c>
      <c r="X491" s="22">
        <v>0</v>
      </c>
      <c r="Y491" s="5">
        <v>0</v>
      </c>
      <c r="Z491" s="45" t="s">
        <v>735</v>
      </c>
    </row>
    <row r="492" spans="3:26" ht="20.100000000000001" customHeight="1" x14ac:dyDescent="0.3">
      <c r="C492" s="42">
        <v>6304002</v>
      </c>
      <c r="D492" s="43" t="s">
        <v>736</v>
      </c>
      <c r="E492" s="5">
        <v>6</v>
      </c>
      <c r="F492" s="42">
        <v>10103402</v>
      </c>
      <c r="G492" s="5">
        <v>0</v>
      </c>
      <c r="H492" s="36">
        <v>53</v>
      </c>
      <c r="I492" s="5">
        <v>12500</v>
      </c>
      <c r="J492" s="5">
        <v>5</v>
      </c>
      <c r="K492" s="5">
        <v>0</v>
      </c>
      <c r="L492" s="5">
        <v>1</v>
      </c>
      <c r="M492" s="5">
        <v>1</v>
      </c>
      <c r="N492" s="5">
        <v>0.02</v>
      </c>
      <c r="O492" s="5">
        <v>0</v>
      </c>
      <c r="P492" s="5">
        <v>1</v>
      </c>
      <c r="Q492" s="5">
        <v>1</v>
      </c>
      <c r="R492" s="5">
        <v>1</v>
      </c>
      <c r="S492" s="5">
        <v>360</v>
      </c>
      <c r="T492" s="5">
        <v>500</v>
      </c>
      <c r="U492" s="5" t="s">
        <v>339</v>
      </c>
      <c r="V492" s="5">
        <v>0</v>
      </c>
      <c r="W492" s="5">
        <v>1</v>
      </c>
      <c r="X492" s="22">
        <v>0</v>
      </c>
      <c r="Y492" s="5">
        <v>0</v>
      </c>
      <c r="Z492" s="45" t="s">
        <v>725</v>
      </c>
    </row>
    <row r="493" spans="3:26" ht="20.100000000000001" customHeight="1" x14ac:dyDescent="0.3">
      <c r="C493" s="42">
        <v>6304003</v>
      </c>
      <c r="D493" s="43" t="s">
        <v>737</v>
      </c>
      <c r="E493" s="5">
        <v>6</v>
      </c>
      <c r="F493" s="42">
        <v>10103403</v>
      </c>
      <c r="G493" s="5">
        <v>0</v>
      </c>
      <c r="H493" s="36">
        <v>53</v>
      </c>
      <c r="I493" s="5">
        <v>12500</v>
      </c>
      <c r="J493" s="5">
        <v>5</v>
      </c>
      <c r="K493" s="5">
        <v>0</v>
      </c>
      <c r="L493" s="5">
        <v>1</v>
      </c>
      <c r="M493" s="5">
        <v>1</v>
      </c>
      <c r="N493" s="5">
        <v>0.02</v>
      </c>
      <c r="O493" s="5">
        <v>0</v>
      </c>
      <c r="P493" s="5">
        <v>1</v>
      </c>
      <c r="Q493" s="5">
        <v>1</v>
      </c>
      <c r="R493" s="5">
        <v>1</v>
      </c>
      <c r="S493" s="5">
        <v>390</v>
      </c>
      <c r="T493" s="5">
        <v>500</v>
      </c>
      <c r="U493" s="5" t="s">
        <v>339</v>
      </c>
      <c r="V493" s="5">
        <v>0</v>
      </c>
      <c r="W493" s="5">
        <v>1</v>
      </c>
      <c r="X493" s="22">
        <v>0</v>
      </c>
      <c r="Y493" s="5">
        <v>0</v>
      </c>
      <c r="Z493" s="45" t="s">
        <v>738</v>
      </c>
    </row>
    <row r="494" spans="3:26" ht="20.100000000000001" customHeight="1" x14ac:dyDescent="0.3">
      <c r="C494" s="42">
        <v>6304004</v>
      </c>
      <c r="D494" s="43" t="s">
        <v>739</v>
      </c>
      <c r="E494" s="5">
        <v>6</v>
      </c>
      <c r="F494" s="42">
        <v>10103404</v>
      </c>
      <c r="G494" s="44">
        <v>1</v>
      </c>
      <c r="H494" s="36">
        <f t="shared" si="12"/>
        <v>50</v>
      </c>
      <c r="I494" s="5">
        <v>12500</v>
      </c>
      <c r="J494" s="5">
        <v>5</v>
      </c>
      <c r="K494" s="5">
        <v>0</v>
      </c>
      <c r="L494" s="5">
        <v>1</v>
      </c>
      <c r="M494" s="5">
        <v>1</v>
      </c>
      <c r="N494" s="5">
        <v>0.02</v>
      </c>
      <c r="O494" s="5">
        <v>0</v>
      </c>
      <c r="P494" s="5">
        <v>1</v>
      </c>
      <c r="Q494" s="5">
        <v>1</v>
      </c>
      <c r="R494" s="5">
        <v>1</v>
      </c>
      <c r="S494" s="5">
        <v>0</v>
      </c>
      <c r="T494" s="5">
        <v>500</v>
      </c>
      <c r="U494" s="5" t="s">
        <v>339</v>
      </c>
      <c r="V494" s="5">
        <v>0</v>
      </c>
      <c r="W494" s="5">
        <v>1</v>
      </c>
      <c r="X494" s="22">
        <v>0</v>
      </c>
      <c r="Y494" s="5">
        <v>0</v>
      </c>
      <c r="Z494" s="45" t="s">
        <v>733</v>
      </c>
    </row>
    <row r="495" spans="3:26" ht="20.100000000000001" customHeight="1" x14ac:dyDescent="0.3">
      <c r="C495" s="42">
        <v>6305001</v>
      </c>
      <c r="D495" s="43" t="s">
        <v>740</v>
      </c>
      <c r="E495" s="5">
        <v>6</v>
      </c>
      <c r="F495" s="42">
        <v>10103501</v>
      </c>
      <c r="G495" s="44">
        <v>0</v>
      </c>
      <c r="H495" s="36">
        <f t="shared" si="12"/>
        <v>57</v>
      </c>
      <c r="I495" s="5">
        <v>12500</v>
      </c>
      <c r="J495" s="5">
        <v>5</v>
      </c>
      <c r="K495" s="5">
        <v>0</v>
      </c>
      <c r="L495" s="5">
        <v>1</v>
      </c>
      <c r="M495" s="5">
        <v>1</v>
      </c>
      <c r="N495" s="5">
        <v>0.02</v>
      </c>
      <c r="O495" s="5">
        <v>0</v>
      </c>
      <c r="P495" s="5">
        <v>1</v>
      </c>
      <c r="Q495" s="5">
        <v>1</v>
      </c>
      <c r="R495" s="5">
        <v>1</v>
      </c>
      <c r="S495" s="5">
        <v>330</v>
      </c>
      <c r="T495" s="5">
        <v>500</v>
      </c>
      <c r="U495" s="5" t="s">
        <v>339</v>
      </c>
      <c r="V495" s="5">
        <v>0</v>
      </c>
      <c r="W495" s="5">
        <v>1</v>
      </c>
      <c r="X495" s="22">
        <v>0</v>
      </c>
      <c r="Y495" s="5">
        <v>0</v>
      </c>
      <c r="Z495" s="45" t="s">
        <v>735</v>
      </c>
    </row>
    <row r="496" spans="3:26" ht="20.100000000000001" customHeight="1" x14ac:dyDescent="0.3">
      <c r="C496" s="42">
        <v>6305002</v>
      </c>
      <c r="D496" s="43" t="s">
        <v>741</v>
      </c>
      <c r="E496" s="5">
        <v>6</v>
      </c>
      <c r="F496" s="42">
        <v>10103502</v>
      </c>
      <c r="G496" s="44">
        <v>0</v>
      </c>
      <c r="H496" s="36">
        <v>54</v>
      </c>
      <c r="I496" s="5">
        <v>12500</v>
      </c>
      <c r="J496" s="5">
        <v>5</v>
      </c>
      <c r="K496" s="5">
        <v>0</v>
      </c>
      <c r="L496" s="5">
        <v>1</v>
      </c>
      <c r="M496" s="5">
        <v>1</v>
      </c>
      <c r="N496" s="5">
        <v>0.02</v>
      </c>
      <c r="O496" s="5">
        <v>0</v>
      </c>
      <c r="P496" s="5">
        <v>1</v>
      </c>
      <c r="Q496" s="5">
        <v>1</v>
      </c>
      <c r="R496" s="5">
        <v>1</v>
      </c>
      <c r="S496" s="5">
        <v>360</v>
      </c>
      <c r="T496" s="5">
        <v>500</v>
      </c>
      <c r="U496" s="5" t="s">
        <v>339</v>
      </c>
      <c r="V496" s="5">
        <v>0</v>
      </c>
      <c r="W496" s="5">
        <v>1</v>
      </c>
      <c r="X496" s="22">
        <v>0</v>
      </c>
      <c r="Y496" s="5">
        <v>0</v>
      </c>
      <c r="Z496" s="45" t="s">
        <v>725</v>
      </c>
    </row>
    <row r="497" spans="3:26" ht="20.100000000000001" customHeight="1" x14ac:dyDescent="0.3">
      <c r="C497" s="42">
        <v>6305003</v>
      </c>
      <c r="D497" s="43" t="s">
        <v>742</v>
      </c>
      <c r="E497" s="5">
        <v>6</v>
      </c>
      <c r="F497" s="42">
        <v>10103503</v>
      </c>
      <c r="G497" s="44">
        <v>0</v>
      </c>
      <c r="H497" s="36">
        <v>55</v>
      </c>
      <c r="I497" s="5">
        <v>12500</v>
      </c>
      <c r="J497" s="5">
        <v>5</v>
      </c>
      <c r="K497" s="5">
        <v>0</v>
      </c>
      <c r="L497" s="5">
        <v>1</v>
      </c>
      <c r="M497" s="5">
        <v>1</v>
      </c>
      <c r="N497" s="5">
        <v>0.02</v>
      </c>
      <c r="O497" s="5">
        <v>0</v>
      </c>
      <c r="P497" s="5">
        <v>1</v>
      </c>
      <c r="Q497" s="5">
        <v>1</v>
      </c>
      <c r="R497" s="5">
        <v>1</v>
      </c>
      <c r="S497" s="5">
        <v>390</v>
      </c>
      <c r="T497" s="5">
        <v>500</v>
      </c>
      <c r="U497" s="5" t="s">
        <v>339</v>
      </c>
      <c r="V497" s="5">
        <v>0</v>
      </c>
      <c r="W497" s="5">
        <v>1</v>
      </c>
      <c r="X497" s="22">
        <v>0</v>
      </c>
      <c r="Y497" s="5">
        <v>0</v>
      </c>
      <c r="Z497" s="45" t="s">
        <v>738</v>
      </c>
    </row>
    <row r="498" spans="3:26" ht="20.100000000000001" customHeight="1" x14ac:dyDescent="0.3">
      <c r="C498" s="42">
        <v>6305004</v>
      </c>
      <c r="D498" s="43" t="s">
        <v>743</v>
      </c>
      <c r="E498" s="5">
        <v>6</v>
      </c>
      <c r="F498" s="42">
        <v>10103504</v>
      </c>
      <c r="G498" s="44">
        <v>1</v>
      </c>
      <c r="H498" s="36">
        <f t="shared" si="12"/>
        <v>50</v>
      </c>
      <c r="I498" s="5">
        <v>12500</v>
      </c>
      <c r="J498" s="5">
        <v>5</v>
      </c>
      <c r="K498" s="5">
        <v>0</v>
      </c>
      <c r="L498" s="5">
        <v>1</v>
      </c>
      <c r="M498" s="5">
        <v>1</v>
      </c>
      <c r="N498" s="5">
        <v>0.02</v>
      </c>
      <c r="O498" s="5">
        <v>0</v>
      </c>
      <c r="P498" s="5">
        <v>1</v>
      </c>
      <c r="Q498" s="5">
        <v>1</v>
      </c>
      <c r="R498" s="5">
        <v>1</v>
      </c>
      <c r="S498" s="5">
        <v>0</v>
      </c>
      <c r="T498" s="5">
        <v>500</v>
      </c>
      <c r="U498" s="5" t="s">
        <v>339</v>
      </c>
      <c r="V498" s="5">
        <v>0</v>
      </c>
      <c r="W498" s="5">
        <v>1</v>
      </c>
      <c r="X498" s="22">
        <v>0</v>
      </c>
      <c r="Y498" s="5">
        <v>0</v>
      </c>
      <c r="Z498" s="45" t="s">
        <v>733</v>
      </c>
    </row>
    <row r="499" spans="3:26" ht="20.100000000000001" customHeight="1" x14ac:dyDescent="0.3">
      <c r="C499" s="42">
        <v>6306001</v>
      </c>
      <c r="D499" s="43" t="s">
        <v>744</v>
      </c>
      <c r="E499" s="5">
        <v>6</v>
      </c>
      <c r="F499" s="42">
        <v>10103601</v>
      </c>
      <c r="G499" s="44">
        <v>0</v>
      </c>
      <c r="H499" s="36">
        <f t="shared" si="12"/>
        <v>59</v>
      </c>
      <c r="I499" s="5">
        <v>12500</v>
      </c>
      <c r="J499" s="5">
        <v>5</v>
      </c>
      <c r="K499" s="5">
        <v>0</v>
      </c>
      <c r="L499" s="5">
        <v>1</v>
      </c>
      <c r="M499" s="5">
        <v>1</v>
      </c>
      <c r="N499" s="5">
        <v>0.02</v>
      </c>
      <c r="O499" s="5">
        <v>0</v>
      </c>
      <c r="P499" s="5">
        <v>1</v>
      </c>
      <c r="Q499" s="5">
        <v>1</v>
      </c>
      <c r="R499" s="5">
        <v>1</v>
      </c>
      <c r="S499" s="5">
        <v>380</v>
      </c>
      <c r="T499" s="5">
        <v>500</v>
      </c>
      <c r="U499" s="5" t="s">
        <v>339</v>
      </c>
      <c r="V499" s="5">
        <v>0</v>
      </c>
      <c r="W499" s="5">
        <v>1</v>
      </c>
      <c r="X499" s="22">
        <v>0</v>
      </c>
      <c r="Y499" s="5">
        <v>0</v>
      </c>
      <c r="Z499" s="45" t="s">
        <v>745</v>
      </c>
    </row>
    <row r="500" spans="3:26" ht="20.100000000000001" customHeight="1" x14ac:dyDescent="0.3">
      <c r="C500" s="42">
        <v>6306002</v>
      </c>
      <c r="D500" s="43" t="s">
        <v>746</v>
      </c>
      <c r="E500" s="5">
        <v>6</v>
      </c>
      <c r="F500" s="42">
        <v>10103602</v>
      </c>
      <c r="G500" s="44">
        <v>0</v>
      </c>
      <c r="H500" s="36">
        <v>55</v>
      </c>
      <c r="I500" s="5">
        <v>12500</v>
      </c>
      <c r="J500" s="5">
        <v>5</v>
      </c>
      <c r="K500" s="5">
        <v>0</v>
      </c>
      <c r="L500" s="5">
        <v>1</v>
      </c>
      <c r="M500" s="5">
        <v>1</v>
      </c>
      <c r="N500" s="5">
        <v>0.02</v>
      </c>
      <c r="O500" s="5">
        <v>0</v>
      </c>
      <c r="P500" s="5">
        <v>1</v>
      </c>
      <c r="Q500" s="5">
        <v>1</v>
      </c>
      <c r="R500" s="5">
        <v>1</v>
      </c>
      <c r="S500" s="5">
        <v>440</v>
      </c>
      <c r="T500" s="5">
        <v>500</v>
      </c>
      <c r="U500" s="5" t="s">
        <v>339</v>
      </c>
      <c r="V500" s="5">
        <v>0</v>
      </c>
      <c r="W500" s="5">
        <v>1</v>
      </c>
      <c r="X500" s="22">
        <v>0</v>
      </c>
      <c r="Y500" s="5">
        <v>0</v>
      </c>
      <c r="Z500" s="45" t="s">
        <v>731</v>
      </c>
    </row>
    <row r="501" spans="3:26" ht="20.100000000000001" customHeight="1" x14ac:dyDescent="0.3">
      <c r="C501" s="42">
        <v>6306003</v>
      </c>
      <c r="D501" s="43" t="s">
        <v>747</v>
      </c>
      <c r="E501" s="5">
        <v>6</v>
      </c>
      <c r="F501" s="42">
        <v>10103603</v>
      </c>
      <c r="G501" s="44">
        <v>1</v>
      </c>
      <c r="H501" s="36">
        <v>50</v>
      </c>
      <c r="I501" s="5">
        <v>12500</v>
      </c>
      <c r="J501" s="5">
        <v>5</v>
      </c>
      <c r="K501" s="5">
        <v>0</v>
      </c>
      <c r="L501" s="5">
        <v>1</v>
      </c>
      <c r="M501" s="5">
        <v>1</v>
      </c>
      <c r="N501" s="5">
        <v>0.02</v>
      </c>
      <c r="O501" s="5">
        <v>0</v>
      </c>
      <c r="P501" s="5">
        <v>1</v>
      </c>
      <c r="Q501" s="5">
        <v>1</v>
      </c>
      <c r="R501" s="5">
        <v>1</v>
      </c>
      <c r="S501" s="5">
        <v>0</v>
      </c>
      <c r="T501" s="5">
        <v>500</v>
      </c>
      <c r="U501" s="5" t="s">
        <v>339</v>
      </c>
      <c r="V501" s="5">
        <v>0</v>
      </c>
      <c r="W501" s="5">
        <v>1</v>
      </c>
      <c r="X501" s="22">
        <v>0</v>
      </c>
      <c r="Y501" s="5">
        <v>0</v>
      </c>
      <c r="Z501" s="45" t="s">
        <v>733</v>
      </c>
    </row>
    <row r="502" spans="3:26" s="5" customFormat="1" ht="20.100000000000001" customHeight="1" x14ac:dyDescent="0.3">
      <c r="C502" s="42">
        <v>7101001</v>
      </c>
      <c r="D502" s="43" t="s">
        <v>748</v>
      </c>
      <c r="E502" s="5">
        <v>1</v>
      </c>
      <c r="F502" s="42">
        <v>10070101</v>
      </c>
      <c r="G502" s="5">
        <v>0</v>
      </c>
      <c r="H502" s="36">
        <v>10</v>
      </c>
      <c r="I502" s="5">
        <v>5000</v>
      </c>
      <c r="J502" s="5">
        <v>5</v>
      </c>
      <c r="K502" s="5">
        <v>0</v>
      </c>
      <c r="L502" s="5">
        <v>1</v>
      </c>
      <c r="M502" s="5">
        <v>1</v>
      </c>
      <c r="N502" s="5">
        <v>0.02</v>
      </c>
      <c r="O502" s="5">
        <v>0</v>
      </c>
      <c r="P502" s="5">
        <v>1</v>
      </c>
      <c r="Q502" s="5">
        <v>1</v>
      </c>
      <c r="R502" s="5">
        <v>1</v>
      </c>
      <c r="S502" s="5">
        <v>125</v>
      </c>
      <c r="T502" s="5">
        <v>0</v>
      </c>
      <c r="U502" s="5" t="s">
        <v>339</v>
      </c>
      <c r="V502" s="5">
        <v>0</v>
      </c>
      <c r="W502" s="5">
        <v>1</v>
      </c>
      <c r="X502" s="22">
        <v>0</v>
      </c>
      <c r="Y502" s="5">
        <v>0</v>
      </c>
      <c r="Z502" s="45" t="s">
        <v>749</v>
      </c>
    </row>
    <row r="503" spans="3:26" ht="20.100000000000001" customHeight="1" x14ac:dyDescent="0.3">
      <c r="C503" s="42">
        <v>7101002</v>
      </c>
      <c r="D503" s="43" t="s">
        <v>750</v>
      </c>
      <c r="E503" s="5">
        <v>1</v>
      </c>
      <c r="F503" s="42">
        <v>10070102</v>
      </c>
      <c r="G503" s="5">
        <v>0</v>
      </c>
      <c r="H503" s="5">
        <v>12</v>
      </c>
      <c r="I503" s="5">
        <v>5000</v>
      </c>
      <c r="J503" s="5">
        <v>5</v>
      </c>
      <c r="K503" s="5">
        <v>0</v>
      </c>
      <c r="L503" s="5">
        <v>1</v>
      </c>
      <c r="M503" s="5">
        <v>1</v>
      </c>
      <c r="N503" s="5">
        <v>0.02</v>
      </c>
      <c r="O503" s="5">
        <v>0</v>
      </c>
      <c r="P503" s="5">
        <v>1</v>
      </c>
      <c r="Q503" s="5">
        <v>1</v>
      </c>
      <c r="R503" s="5">
        <v>1</v>
      </c>
      <c r="S503" s="5">
        <v>100</v>
      </c>
      <c r="T503" s="5">
        <v>0</v>
      </c>
      <c r="U503" s="5" t="s">
        <v>339</v>
      </c>
      <c r="V503" s="5">
        <v>0</v>
      </c>
      <c r="W503" s="5">
        <v>1</v>
      </c>
      <c r="X503" s="22">
        <v>0</v>
      </c>
      <c r="Y503" s="5">
        <v>0</v>
      </c>
      <c r="Z503" s="7" t="s">
        <v>749</v>
      </c>
    </row>
    <row r="504" spans="3:26" ht="20.100000000000001" customHeight="1" x14ac:dyDescent="0.3">
      <c r="C504" s="42">
        <v>7101003</v>
      </c>
      <c r="D504" s="43" t="s">
        <v>751</v>
      </c>
      <c r="E504" s="5">
        <v>1</v>
      </c>
      <c r="F504" s="42">
        <v>10070103</v>
      </c>
      <c r="G504" s="5">
        <v>0</v>
      </c>
      <c r="H504" s="5">
        <v>14</v>
      </c>
      <c r="I504" s="5">
        <v>5000</v>
      </c>
      <c r="J504" s="5">
        <v>5</v>
      </c>
      <c r="K504" s="5">
        <v>0</v>
      </c>
      <c r="L504" s="5">
        <v>1</v>
      </c>
      <c r="M504" s="5">
        <v>1</v>
      </c>
      <c r="N504" s="5">
        <v>0.02</v>
      </c>
      <c r="O504" s="5">
        <v>0</v>
      </c>
      <c r="P504" s="5">
        <v>1</v>
      </c>
      <c r="Q504" s="5">
        <v>1</v>
      </c>
      <c r="R504" s="5">
        <v>1</v>
      </c>
      <c r="S504" s="5">
        <v>75</v>
      </c>
      <c r="T504" s="5">
        <v>0</v>
      </c>
      <c r="U504" s="5" t="s">
        <v>339</v>
      </c>
      <c r="V504" s="5">
        <v>0</v>
      </c>
      <c r="W504" s="5">
        <v>1</v>
      </c>
      <c r="X504" s="22">
        <v>0</v>
      </c>
      <c r="Y504" s="5">
        <v>0</v>
      </c>
      <c r="Z504" s="7" t="s">
        <v>749</v>
      </c>
    </row>
    <row r="505" spans="3:26" ht="20.100000000000001" customHeight="1" x14ac:dyDescent="0.3">
      <c r="C505" s="42">
        <v>7101004</v>
      </c>
      <c r="D505" s="43" t="s">
        <v>752</v>
      </c>
      <c r="E505" s="5">
        <v>1</v>
      </c>
      <c r="F505" s="42">
        <v>10070104</v>
      </c>
      <c r="G505" s="5">
        <v>0</v>
      </c>
      <c r="H505" s="5">
        <v>16</v>
      </c>
      <c r="I505" s="5">
        <v>5000</v>
      </c>
      <c r="J505" s="5">
        <v>5</v>
      </c>
      <c r="K505" s="5">
        <v>0</v>
      </c>
      <c r="L505" s="5">
        <v>1</v>
      </c>
      <c r="M505" s="5">
        <v>1</v>
      </c>
      <c r="N505" s="5">
        <v>0.02</v>
      </c>
      <c r="O505" s="5">
        <v>0</v>
      </c>
      <c r="P505" s="5">
        <v>1</v>
      </c>
      <c r="Q505" s="5">
        <v>1</v>
      </c>
      <c r="R505" s="5">
        <v>1</v>
      </c>
      <c r="S505" s="5">
        <v>50</v>
      </c>
      <c r="T505" s="5">
        <v>0</v>
      </c>
      <c r="U505" s="5" t="s">
        <v>339</v>
      </c>
      <c r="V505" s="5">
        <v>0</v>
      </c>
      <c r="W505" s="5">
        <v>1</v>
      </c>
      <c r="X505" s="22">
        <v>0</v>
      </c>
      <c r="Y505" s="5">
        <v>0</v>
      </c>
      <c r="Z505" s="7" t="s">
        <v>749</v>
      </c>
    </row>
    <row r="506" spans="3:26" ht="20.100000000000001" customHeight="1" x14ac:dyDescent="0.3">
      <c r="C506" s="42">
        <v>7102001</v>
      </c>
      <c r="D506" s="43" t="s">
        <v>753</v>
      </c>
      <c r="E506" s="5">
        <v>1</v>
      </c>
      <c r="F506" s="42">
        <v>10070201</v>
      </c>
      <c r="G506" s="5">
        <v>1</v>
      </c>
      <c r="H506" s="5">
        <v>30</v>
      </c>
      <c r="I506" s="5">
        <v>7500</v>
      </c>
      <c r="J506" s="5">
        <v>5</v>
      </c>
      <c r="K506" s="5">
        <v>0</v>
      </c>
      <c r="L506" s="5">
        <v>1</v>
      </c>
      <c r="M506" s="5">
        <v>1</v>
      </c>
      <c r="N506" s="5">
        <v>0.02</v>
      </c>
      <c r="O506" s="5">
        <v>0</v>
      </c>
      <c r="P506" s="5">
        <v>1</v>
      </c>
      <c r="Q506" s="5">
        <v>1</v>
      </c>
      <c r="R506" s="5">
        <v>1</v>
      </c>
      <c r="S506" s="5">
        <f t="shared" ref="S506:S513" si="13">S502+150</f>
        <v>275</v>
      </c>
      <c r="T506" s="5">
        <v>0</v>
      </c>
      <c r="U506" s="5" t="s">
        <v>339</v>
      </c>
      <c r="V506" s="5">
        <v>0</v>
      </c>
      <c r="W506" s="5">
        <v>1</v>
      </c>
      <c r="X506" s="22">
        <v>0</v>
      </c>
      <c r="Y506" s="5">
        <v>0</v>
      </c>
      <c r="Z506" s="7" t="s">
        <v>754</v>
      </c>
    </row>
    <row r="507" spans="3:26" ht="20.100000000000001" customHeight="1" x14ac:dyDescent="0.3">
      <c r="C507" s="42">
        <v>7102002</v>
      </c>
      <c r="D507" s="43" t="s">
        <v>755</v>
      </c>
      <c r="E507" s="5">
        <v>1</v>
      </c>
      <c r="F507" s="42">
        <v>10070202</v>
      </c>
      <c r="G507" s="5">
        <v>1</v>
      </c>
      <c r="H507" s="5">
        <v>30</v>
      </c>
      <c r="I507" s="5">
        <v>7500</v>
      </c>
      <c r="J507" s="5">
        <v>5</v>
      </c>
      <c r="K507" s="5">
        <v>0</v>
      </c>
      <c r="L507" s="5">
        <v>1</v>
      </c>
      <c r="M507" s="5">
        <v>1</v>
      </c>
      <c r="N507" s="5">
        <v>0.02</v>
      </c>
      <c r="O507" s="5">
        <v>0</v>
      </c>
      <c r="P507" s="5">
        <v>1</v>
      </c>
      <c r="Q507" s="5">
        <v>1</v>
      </c>
      <c r="R507" s="5">
        <v>1</v>
      </c>
      <c r="S507" s="5">
        <f t="shared" si="13"/>
        <v>250</v>
      </c>
      <c r="T507" s="5">
        <v>0</v>
      </c>
      <c r="U507" s="5" t="s">
        <v>339</v>
      </c>
      <c r="V507" s="5">
        <v>0</v>
      </c>
      <c r="W507" s="5">
        <v>1</v>
      </c>
      <c r="X507" s="22">
        <v>0</v>
      </c>
      <c r="Y507" s="5">
        <v>0</v>
      </c>
      <c r="Z507" s="7" t="s">
        <v>754</v>
      </c>
    </row>
    <row r="508" spans="3:26" ht="20.100000000000001" customHeight="1" x14ac:dyDescent="0.3">
      <c r="C508" s="42">
        <v>7102003</v>
      </c>
      <c r="D508" s="43" t="s">
        <v>756</v>
      </c>
      <c r="E508" s="5">
        <v>1</v>
      </c>
      <c r="F508" s="42">
        <v>10070203</v>
      </c>
      <c r="G508" s="5">
        <v>1</v>
      </c>
      <c r="H508" s="5">
        <v>30</v>
      </c>
      <c r="I508" s="5">
        <v>7500</v>
      </c>
      <c r="J508" s="5">
        <v>5</v>
      </c>
      <c r="K508" s="5">
        <v>0</v>
      </c>
      <c r="L508" s="5">
        <v>1</v>
      </c>
      <c r="M508" s="5">
        <v>1</v>
      </c>
      <c r="N508" s="5">
        <v>0.02</v>
      </c>
      <c r="O508" s="5">
        <v>0</v>
      </c>
      <c r="P508" s="5">
        <v>1</v>
      </c>
      <c r="Q508" s="5">
        <v>1</v>
      </c>
      <c r="R508" s="5">
        <v>1</v>
      </c>
      <c r="S508" s="5">
        <f t="shared" si="13"/>
        <v>225</v>
      </c>
      <c r="T508" s="5">
        <v>0</v>
      </c>
      <c r="U508" s="5" t="s">
        <v>339</v>
      </c>
      <c r="V508" s="5">
        <v>0</v>
      </c>
      <c r="W508" s="5">
        <v>1</v>
      </c>
      <c r="X508" s="22">
        <v>0</v>
      </c>
      <c r="Y508" s="5">
        <v>0</v>
      </c>
      <c r="Z508" s="7" t="s">
        <v>754</v>
      </c>
    </row>
    <row r="509" spans="3:26" ht="20.100000000000001" customHeight="1" x14ac:dyDescent="0.3">
      <c r="C509" s="42">
        <v>7102004</v>
      </c>
      <c r="D509" s="43" t="s">
        <v>757</v>
      </c>
      <c r="E509" s="5">
        <v>1</v>
      </c>
      <c r="F509" s="42">
        <v>10070204</v>
      </c>
      <c r="G509" s="5">
        <v>1</v>
      </c>
      <c r="H509" s="5">
        <v>30</v>
      </c>
      <c r="I509" s="5">
        <v>7500</v>
      </c>
      <c r="J509" s="5">
        <v>5</v>
      </c>
      <c r="K509" s="5">
        <v>0</v>
      </c>
      <c r="L509" s="5">
        <v>1</v>
      </c>
      <c r="M509" s="5">
        <v>1</v>
      </c>
      <c r="N509" s="5">
        <v>0.02</v>
      </c>
      <c r="O509" s="5">
        <v>0</v>
      </c>
      <c r="P509" s="5">
        <v>1</v>
      </c>
      <c r="Q509" s="5">
        <v>1</v>
      </c>
      <c r="R509" s="5">
        <v>1</v>
      </c>
      <c r="S509" s="5">
        <f t="shared" si="13"/>
        <v>200</v>
      </c>
      <c r="T509" s="5">
        <v>0</v>
      </c>
      <c r="U509" s="5" t="s">
        <v>339</v>
      </c>
      <c r="V509" s="5">
        <v>0</v>
      </c>
      <c r="W509" s="5">
        <v>1</v>
      </c>
      <c r="X509" s="22">
        <v>0</v>
      </c>
      <c r="Y509" s="5">
        <v>0</v>
      </c>
      <c r="Z509" s="7" t="s">
        <v>754</v>
      </c>
    </row>
    <row r="510" spans="3:26" ht="20.100000000000001" customHeight="1" x14ac:dyDescent="0.3">
      <c r="C510" s="42">
        <v>7103001</v>
      </c>
      <c r="D510" s="43" t="s">
        <v>758</v>
      </c>
      <c r="E510" s="5">
        <v>1</v>
      </c>
      <c r="F510" s="42">
        <v>10070301</v>
      </c>
      <c r="G510" s="5">
        <v>1</v>
      </c>
      <c r="H510" s="5">
        <v>50</v>
      </c>
      <c r="I510" s="5">
        <v>10000</v>
      </c>
      <c r="J510" s="5">
        <v>5</v>
      </c>
      <c r="K510" s="5">
        <v>0</v>
      </c>
      <c r="L510" s="5">
        <v>1</v>
      </c>
      <c r="M510" s="5">
        <v>1</v>
      </c>
      <c r="N510" s="5">
        <v>0.02</v>
      </c>
      <c r="O510" s="5">
        <v>0</v>
      </c>
      <c r="P510" s="5">
        <v>1</v>
      </c>
      <c r="Q510" s="5">
        <v>1</v>
      </c>
      <c r="R510" s="5">
        <v>1</v>
      </c>
      <c r="S510" s="5">
        <f t="shared" si="13"/>
        <v>425</v>
      </c>
      <c r="T510" s="5">
        <v>0</v>
      </c>
      <c r="U510" s="5" t="s">
        <v>339</v>
      </c>
      <c r="V510" s="5">
        <v>0</v>
      </c>
      <c r="W510" s="5">
        <v>1</v>
      </c>
      <c r="X510" s="22">
        <v>0</v>
      </c>
      <c r="Y510" s="5">
        <v>0</v>
      </c>
      <c r="Z510" s="7" t="s">
        <v>759</v>
      </c>
    </row>
    <row r="511" spans="3:26" ht="20.100000000000001" customHeight="1" x14ac:dyDescent="0.3">
      <c r="C511" s="42">
        <v>7103002</v>
      </c>
      <c r="D511" s="43" t="s">
        <v>760</v>
      </c>
      <c r="E511" s="5">
        <v>1</v>
      </c>
      <c r="F511" s="42">
        <v>10070302</v>
      </c>
      <c r="G511" s="5">
        <v>1</v>
      </c>
      <c r="H511" s="5">
        <v>50</v>
      </c>
      <c r="I511" s="5">
        <v>10000</v>
      </c>
      <c r="J511" s="5">
        <v>5</v>
      </c>
      <c r="K511" s="5">
        <v>0</v>
      </c>
      <c r="L511" s="5">
        <v>1</v>
      </c>
      <c r="M511" s="5">
        <v>1</v>
      </c>
      <c r="N511" s="5">
        <v>0.02</v>
      </c>
      <c r="O511" s="5">
        <v>0</v>
      </c>
      <c r="P511" s="5">
        <v>1</v>
      </c>
      <c r="Q511" s="5">
        <v>1</v>
      </c>
      <c r="R511" s="5">
        <v>1</v>
      </c>
      <c r="S511" s="5">
        <f t="shared" si="13"/>
        <v>400</v>
      </c>
      <c r="T511" s="5">
        <v>0</v>
      </c>
      <c r="U511" s="5" t="s">
        <v>339</v>
      </c>
      <c r="V511" s="5">
        <v>0</v>
      </c>
      <c r="W511" s="5">
        <v>1</v>
      </c>
      <c r="X511" s="22">
        <v>0</v>
      </c>
      <c r="Y511" s="5">
        <v>0</v>
      </c>
      <c r="Z511" s="7" t="s">
        <v>759</v>
      </c>
    </row>
    <row r="512" spans="3:26" ht="20.100000000000001" customHeight="1" x14ac:dyDescent="0.3">
      <c r="C512" s="42">
        <v>7103003</v>
      </c>
      <c r="D512" s="43" t="s">
        <v>761</v>
      </c>
      <c r="E512" s="5">
        <v>1</v>
      </c>
      <c r="F512" s="42">
        <v>10070303</v>
      </c>
      <c r="G512" s="5">
        <v>1</v>
      </c>
      <c r="H512" s="5">
        <v>50</v>
      </c>
      <c r="I512" s="5">
        <v>10000</v>
      </c>
      <c r="J512" s="5">
        <v>5</v>
      </c>
      <c r="K512" s="5">
        <v>0</v>
      </c>
      <c r="L512" s="5">
        <v>1</v>
      </c>
      <c r="M512" s="5">
        <v>1</v>
      </c>
      <c r="N512" s="5">
        <v>0.02</v>
      </c>
      <c r="O512" s="5">
        <v>0</v>
      </c>
      <c r="P512" s="5">
        <v>1</v>
      </c>
      <c r="Q512" s="5">
        <v>1</v>
      </c>
      <c r="R512" s="5">
        <v>1</v>
      </c>
      <c r="S512" s="5">
        <f t="shared" si="13"/>
        <v>375</v>
      </c>
      <c r="T512" s="5">
        <v>0</v>
      </c>
      <c r="U512" s="5" t="s">
        <v>339</v>
      </c>
      <c r="V512" s="5">
        <v>0</v>
      </c>
      <c r="W512" s="5">
        <v>1</v>
      </c>
      <c r="X512" s="22">
        <v>0</v>
      </c>
      <c r="Y512" s="5">
        <v>0</v>
      </c>
      <c r="Z512" s="7" t="s">
        <v>759</v>
      </c>
    </row>
    <row r="513" spans="3:26" ht="20.100000000000001" customHeight="1" x14ac:dyDescent="0.3">
      <c r="C513" s="42">
        <v>7103004</v>
      </c>
      <c r="D513" s="43" t="s">
        <v>762</v>
      </c>
      <c r="E513" s="5">
        <v>1</v>
      </c>
      <c r="F513" s="42">
        <v>10070304</v>
      </c>
      <c r="G513" s="5">
        <v>1</v>
      </c>
      <c r="H513" s="5">
        <v>50</v>
      </c>
      <c r="I513" s="5">
        <v>10000</v>
      </c>
      <c r="J513" s="5">
        <v>5</v>
      </c>
      <c r="K513" s="5">
        <v>0</v>
      </c>
      <c r="L513" s="5">
        <v>1</v>
      </c>
      <c r="M513" s="5">
        <v>1</v>
      </c>
      <c r="N513" s="5">
        <v>0.02</v>
      </c>
      <c r="O513" s="5">
        <v>0</v>
      </c>
      <c r="P513" s="5">
        <v>1</v>
      </c>
      <c r="Q513" s="5">
        <v>1</v>
      </c>
      <c r="R513" s="5">
        <v>1</v>
      </c>
      <c r="S513" s="5">
        <f t="shared" si="13"/>
        <v>350</v>
      </c>
      <c r="T513" s="5">
        <v>0</v>
      </c>
      <c r="U513" s="5" t="s">
        <v>339</v>
      </c>
      <c r="V513" s="5">
        <v>0</v>
      </c>
      <c r="W513" s="5">
        <v>1</v>
      </c>
      <c r="X513" s="22">
        <v>0</v>
      </c>
      <c r="Y513" s="5">
        <v>0</v>
      </c>
      <c r="Z513" s="7" t="s">
        <v>759</v>
      </c>
    </row>
    <row r="514" spans="3:26" ht="20.100000000000001" customHeight="1" x14ac:dyDescent="0.3">
      <c r="C514" s="42">
        <v>7201001</v>
      </c>
      <c r="D514" s="28" t="s">
        <v>763</v>
      </c>
      <c r="E514" s="5">
        <v>2</v>
      </c>
      <c r="F514" s="42">
        <v>10080101</v>
      </c>
      <c r="G514" s="5">
        <v>0</v>
      </c>
      <c r="H514" s="36">
        <v>10</v>
      </c>
      <c r="I514" s="5">
        <v>5000</v>
      </c>
      <c r="J514" s="5">
        <v>5</v>
      </c>
      <c r="K514" s="5">
        <v>0</v>
      </c>
      <c r="L514" s="5">
        <v>1</v>
      </c>
      <c r="M514" s="5">
        <v>1</v>
      </c>
      <c r="N514" s="5">
        <v>0.02</v>
      </c>
      <c r="O514" s="5">
        <v>0</v>
      </c>
      <c r="P514" s="5">
        <v>1</v>
      </c>
      <c r="Q514" s="5">
        <v>1</v>
      </c>
      <c r="R514" s="5">
        <v>1</v>
      </c>
      <c r="S514" s="5">
        <v>125</v>
      </c>
      <c r="T514" s="5">
        <v>200</v>
      </c>
      <c r="U514" s="5" t="s">
        <v>339</v>
      </c>
      <c r="V514" s="5">
        <v>0</v>
      </c>
      <c r="W514" s="5">
        <v>1</v>
      </c>
      <c r="X514" s="22">
        <v>0</v>
      </c>
      <c r="Y514" s="5">
        <v>0</v>
      </c>
      <c r="Z514" s="7" t="s">
        <v>764</v>
      </c>
    </row>
    <row r="515" spans="3:26" ht="20.100000000000001" customHeight="1" x14ac:dyDescent="0.3">
      <c r="C515" s="42">
        <v>7201002</v>
      </c>
      <c r="D515" s="28" t="s">
        <v>765</v>
      </c>
      <c r="E515" s="5">
        <v>2</v>
      </c>
      <c r="F515" s="42">
        <v>10080102</v>
      </c>
      <c r="G515" s="5">
        <v>0</v>
      </c>
      <c r="H515" s="5">
        <v>12</v>
      </c>
      <c r="I515" s="5">
        <v>5000</v>
      </c>
      <c r="J515" s="5">
        <v>5</v>
      </c>
      <c r="K515" s="5">
        <v>0</v>
      </c>
      <c r="L515" s="5">
        <v>1</v>
      </c>
      <c r="M515" s="5">
        <v>1</v>
      </c>
      <c r="N515" s="5">
        <v>0.02</v>
      </c>
      <c r="O515" s="5">
        <v>0</v>
      </c>
      <c r="P515" s="5">
        <v>1</v>
      </c>
      <c r="Q515" s="5">
        <v>1</v>
      </c>
      <c r="R515" s="5">
        <v>1</v>
      </c>
      <c r="S515" s="5">
        <v>100</v>
      </c>
      <c r="T515" s="5">
        <v>200</v>
      </c>
      <c r="U515" s="5" t="s">
        <v>339</v>
      </c>
      <c r="V515" s="5">
        <v>0</v>
      </c>
      <c r="W515" s="5">
        <v>1</v>
      </c>
      <c r="X515" s="22">
        <v>0</v>
      </c>
      <c r="Y515" s="5">
        <v>0</v>
      </c>
      <c r="Z515" s="7" t="s">
        <v>764</v>
      </c>
    </row>
    <row r="516" spans="3:26" ht="20.100000000000001" customHeight="1" x14ac:dyDescent="0.3">
      <c r="C516" s="42">
        <v>7201003</v>
      </c>
      <c r="D516" s="28" t="s">
        <v>766</v>
      </c>
      <c r="E516" s="5">
        <v>2</v>
      </c>
      <c r="F516" s="42">
        <v>10080103</v>
      </c>
      <c r="G516" s="5">
        <v>0</v>
      </c>
      <c r="H516" s="5">
        <v>14</v>
      </c>
      <c r="I516" s="5">
        <v>5000</v>
      </c>
      <c r="J516" s="5">
        <v>5</v>
      </c>
      <c r="K516" s="5">
        <v>0</v>
      </c>
      <c r="L516" s="5">
        <v>1</v>
      </c>
      <c r="M516" s="5">
        <v>1</v>
      </c>
      <c r="N516" s="5">
        <v>0.02</v>
      </c>
      <c r="O516" s="5">
        <v>0</v>
      </c>
      <c r="P516" s="5">
        <v>1</v>
      </c>
      <c r="Q516" s="5">
        <v>1</v>
      </c>
      <c r="R516" s="5">
        <v>1</v>
      </c>
      <c r="S516" s="5">
        <v>75</v>
      </c>
      <c r="T516" s="5">
        <v>200</v>
      </c>
      <c r="U516" s="5" t="s">
        <v>339</v>
      </c>
      <c r="V516" s="5">
        <v>0</v>
      </c>
      <c r="W516" s="5">
        <v>1</v>
      </c>
      <c r="X516" s="22">
        <v>0</v>
      </c>
      <c r="Y516" s="5">
        <v>0</v>
      </c>
      <c r="Z516" s="7" t="s">
        <v>764</v>
      </c>
    </row>
    <row r="517" spans="3:26" ht="20.100000000000001" customHeight="1" x14ac:dyDescent="0.3">
      <c r="C517" s="42">
        <v>7201004</v>
      </c>
      <c r="D517" s="28" t="s">
        <v>767</v>
      </c>
      <c r="E517" s="5">
        <v>2</v>
      </c>
      <c r="F517" s="42">
        <v>10080104</v>
      </c>
      <c r="G517" s="5">
        <v>0</v>
      </c>
      <c r="H517" s="5">
        <v>16</v>
      </c>
      <c r="I517" s="5">
        <v>5000</v>
      </c>
      <c r="J517" s="5">
        <v>5</v>
      </c>
      <c r="K517" s="5">
        <v>0</v>
      </c>
      <c r="L517" s="5">
        <v>1</v>
      </c>
      <c r="M517" s="5">
        <v>1</v>
      </c>
      <c r="N517" s="5">
        <v>0.02</v>
      </c>
      <c r="O517" s="5">
        <v>0</v>
      </c>
      <c r="P517" s="5">
        <v>1</v>
      </c>
      <c r="Q517" s="5">
        <v>1</v>
      </c>
      <c r="R517" s="5">
        <v>1</v>
      </c>
      <c r="S517" s="5">
        <v>50</v>
      </c>
      <c r="T517" s="5">
        <v>200</v>
      </c>
      <c r="U517" s="5" t="s">
        <v>339</v>
      </c>
      <c r="V517" s="5">
        <v>0</v>
      </c>
      <c r="W517" s="5">
        <v>1</v>
      </c>
      <c r="X517" s="22">
        <v>0</v>
      </c>
      <c r="Y517" s="5">
        <v>0</v>
      </c>
      <c r="Z517" s="7" t="s">
        <v>764</v>
      </c>
    </row>
    <row r="518" spans="3:26" ht="20.100000000000001" customHeight="1" x14ac:dyDescent="0.3">
      <c r="C518" s="42">
        <v>7202001</v>
      </c>
      <c r="D518" s="28" t="s">
        <v>768</v>
      </c>
      <c r="E518" s="5">
        <v>2</v>
      </c>
      <c r="F518" s="42">
        <v>10080201</v>
      </c>
      <c r="G518" s="5">
        <v>1</v>
      </c>
      <c r="H518" s="5">
        <v>30</v>
      </c>
      <c r="I518" s="5">
        <v>7500</v>
      </c>
      <c r="J518" s="5">
        <v>5</v>
      </c>
      <c r="K518" s="5">
        <v>0</v>
      </c>
      <c r="L518" s="5">
        <v>1</v>
      </c>
      <c r="M518" s="5">
        <v>1</v>
      </c>
      <c r="N518" s="5">
        <v>0.02</v>
      </c>
      <c r="O518" s="5">
        <v>0</v>
      </c>
      <c r="P518" s="5">
        <v>1</v>
      </c>
      <c r="Q518" s="5">
        <v>1</v>
      </c>
      <c r="R518" s="5">
        <v>1</v>
      </c>
      <c r="S518" s="5">
        <f t="shared" ref="S518:S525" si="14">S514+150</f>
        <v>275</v>
      </c>
      <c r="T518" s="5">
        <v>350</v>
      </c>
      <c r="U518" s="5" t="s">
        <v>339</v>
      </c>
      <c r="V518" s="5">
        <v>0</v>
      </c>
      <c r="W518" s="5">
        <v>1</v>
      </c>
      <c r="X518" s="22">
        <v>0</v>
      </c>
      <c r="Y518" s="5">
        <v>0</v>
      </c>
      <c r="Z518" s="7" t="s">
        <v>769</v>
      </c>
    </row>
    <row r="519" spans="3:26" ht="20.100000000000001" customHeight="1" x14ac:dyDescent="0.3">
      <c r="C519" s="42">
        <v>7202002</v>
      </c>
      <c r="D519" s="28" t="s">
        <v>770</v>
      </c>
      <c r="E519" s="5">
        <v>2</v>
      </c>
      <c r="F519" s="42">
        <v>10080202</v>
      </c>
      <c r="G519" s="5">
        <v>1</v>
      </c>
      <c r="H519" s="5">
        <v>30</v>
      </c>
      <c r="I519" s="5">
        <v>7500</v>
      </c>
      <c r="J519" s="5">
        <v>5</v>
      </c>
      <c r="K519" s="5">
        <v>0</v>
      </c>
      <c r="L519" s="5">
        <v>1</v>
      </c>
      <c r="M519" s="5">
        <v>1</v>
      </c>
      <c r="N519" s="5">
        <v>0.02</v>
      </c>
      <c r="O519" s="5">
        <v>0</v>
      </c>
      <c r="P519" s="5">
        <v>1</v>
      </c>
      <c r="Q519" s="5">
        <v>1</v>
      </c>
      <c r="R519" s="5">
        <v>1</v>
      </c>
      <c r="S519" s="5">
        <f t="shared" si="14"/>
        <v>250</v>
      </c>
      <c r="T519" s="5">
        <v>350</v>
      </c>
      <c r="U519" s="5" t="s">
        <v>339</v>
      </c>
      <c r="V519" s="5">
        <v>0</v>
      </c>
      <c r="W519" s="5">
        <v>1</v>
      </c>
      <c r="X519" s="22">
        <v>0</v>
      </c>
      <c r="Y519" s="5">
        <v>0</v>
      </c>
      <c r="Z519" s="7" t="s">
        <v>769</v>
      </c>
    </row>
    <row r="520" spans="3:26" ht="20.100000000000001" customHeight="1" x14ac:dyDescent="0.3">
      <c r="C520" s="42">
        <v>7202003</v>
      </c>
      <c r="D520" s="28" t="s">
        <v>771</v>
      </c>
      <c r="E520" s="5">
        <v>2</v>
      </c>
      <c r="F520" s="42">
        <v>10080203</v>
      </c>
      <c r="G520" s="5">
        <v>1</v>
      </c>
      <c r="H520" s="5">
        <v>30</v>
      </c>
      <c r="I520" s="5">
        <v>7500</v>
      </c>
      <c r="J520" s="5">
        <v>5</v>
      </c>
      <c r="K520" s="5">
        <v>0</v>
      </c>
      <c r="L520" s="5">
        <v>1</v>
      </c>
      <c r="M520" s="5">
        <v>1</v>
      </c>
      <c r="N520" s="5">
        <v>0.02</v>
      </c>
      <c r="O520" s="5">
        <v>0</v>
      </c>
      <c r="P520" s="5">
        <v>1</v>
      </c>
      <c r="Q520" s="5">
        <v>1</v>
      </c>
      <c r="R520" s="5">
        <v>1</v>
      </c>
      <c r="S520" s="5">
        <f t="shared" si="14"/>
        <v>225</v>
      </c>
      <c r="T520" s="5">
        <v>350</v>
      </c>
      <c r="U520" s="5" t="s">
        <v>339</v>
      </c>
      <c r="V520" s="5">
        <v>0</v>
      </c>
      <c r="W520" s="5">
        <v>1</v>
      </c>
      <c r="X520" s="22">
        <v>0</v>
      </c>
      <c r="Y520" s="5">
        <v>0</v>
      </c>
      <c r="Z520" s="7" t="s">
        <v>769</v>
      </c>
    </row>
    <row r="521" spans="3:26" ht="20.100000000000001" customHeight="1" x14ac:dyDescent="0.3">
      <c r="C521" s="42">
        <v>7202004</v>
      </c>
      <c r="D521" s="28" t="s">
        <v>772</v>
      </c>
      <c r="E521" s="5">
        <v>2</v>
      </c>
      <c r="F521" s="42">
        <v>10080204</v>
      </c>
      <c r="G521" s="5">
        <v>1</v>
      </c>
      <c r="H521" s="5">
        <v>30</v>
      </c>
      <c r="I521" s="5">
        <v>7500</v>
      </c>
      <c r="J521" s="5">
        <v>5</v>
      </c>
      <c r="K521" s="5">
        <v>0</v>
      </c>
      <c r="L521" s="5">
        <v>1</v>
      </c>
      <c r="M521" s="5">
        <v>1</v>
      </c>
      <c r="N521" s="5">
        <v>0.02</v>
      </c>
      <c r="O521" s="5">
        <v>0</v>
      </c>
      <c r="P521" s="5">
        <v>1</v>
      </c>
      <c r="Q521" s="5">
        <v>1</v>
      </c>
      <c r="R521" s="5">
        <v>1</v>
      </c>
      <c r="S521" s="5">
        <f t="shared" si="14"/>
        <v>200</v>
      </c>
      <c r="T521" s="5">
        <v>350</v>
      </c>
      <c r="U521" s="5" t="s">
        <v>339</v>
      </c>
      <c r="V521" s="5">
        <v>0</v>
      </c>
      <c r="W521" s="5">
        <v>1</v>
      </c>
      <c r="X521" s="22">
        <v>0</v>
      </c>
      <c r="Y521" s="5">
        <v>0</v>
      </c>
      <c r="Z521" s="7" t="s">
        <v>769</v>
      </c>
    </row>
    <row r="522" spans="3:26" ht="20.100000000000001" customHeight="1" x14ac:dyDescent="0.3">
      <c r="C522" s="42">
        <v>7203001</v>
      </c>
      <c r="D522" s="28" t="s">
        <v>773</v>
      </c>
      <c r="E522" s="5">
        <v>2</v>
      </c>
      <c r="F522" s="42">
        <v>10080301</v>
      </c>
      <c r="G522" s="5">
        <v>1</v>
      </c>
      <c r="H522" s="5">
        <v>50</v>
      </c>
      <c r="I522" s="5">
        <v>10000</v>
      </c>
      <c r="J522" s="5">
        <v>5</v>
      </c>
      <c r="K522" s="5">
        <v>0</v>
      </c>
      <c r="L522" s="5">
        <v>1</v>
      </c>
      <c r="M522" s="5">
        <v>1</v>
      </c>
      <c r="N522" s="5">
        <v>0.02</v>
      </c>
      <c r="O522" s="5">
        <v>0</v>
      </c>
      <c r="P522" s="5">
        <v>1</v>
      </c>
      <c r="Q522" s="5">
        <v>1</v>
      </c>
      <c r="R522" s="5">
        <v>1</v>
      </c>
      <c r="S522" s="5">
        <f t="shared" si="14"/>
        <v>425</v>
      </c>
      <c r="T522" s="5">
        <v>500</v>
      </c>
      <c r="U522" s="5" t="s">
        <v>339</v>
      </c>
      <c r="V522" s="5">
        <v>0</v>
      </c>
      <c r="W522" s="5">
        <v>1</v>
      </c>
      <c r="X522" s="22">
        <v>0</v>
      </c>
      <c r="Y522" s="5">
        <v>0</v>
      </c>
      <c r="Z522" s="7" t="s">
        <v>774</v>
      </c>
    </row>
    <row r="523" spans="3:26" ht="20.100000000000001" customHeight="1" x14ac:dyDescent="0.3">
      <c r="C523" s="42">
        <v>7203002</v>
      </c>
      <c r="D523" s="28" t="s">
        <v>775</v>
      </c>
      <c r="E523" s="5">
        <v>2</v>
      </c>
      <c r="F523" s="42">
        <v>10080302</v>
      </c>
      <c r="G523" s="5">
        <v>1</v>
      </c>
      <c r="H523" s="5">
        <v>50</v>
      </c>
      <c r="I523" s="5">
        <v>10000</v>
      </c>
      <c r="J523" s="5">
        <v>5</v>
      </c>
      <c r="K523" s="5">
        <v>0</v>
      </c>
      <c r="L523" s="5">
        <v>1</v>
      </c>
      <c r="M523" s="5">
        <v>1</v>
      </c>
      <c r="N523" s="5">
        <v>0.02</v>
      </c>
      <c r="O523" s="5">
        <v>0</v>
      </c>
      <c r="P523" s="5">
        <v>1</v>
      </c>
      <c r="Q523" s="5">
        <v>1</v>
      </c>
      <c r="R523" s="5">
        <v>1</v>
      </c>
      <c r="S523" s="5">
        <f t="shared" si="14"/>
        <v>400</v>
      </c>
      <c r="T523" s="5">
        <v>500</v>
      </c>
      <c r="U523" s="5" t="s">
        <v>339</v>
      </c>
      <c r="V523" s="5">
        <v>0</v>
      </c>
      <c r="W523" s="5">
        <v>1</v>
      </c>
      <c r="X523" s="22">
        <v>0</v>
      </c>
      <c r="Y523" s="5">
        <v>0</v>
      </c>
      <c r="Z523" s="7" t="s">
        <v>774</v>
      </c>
    </row>
    <row r="524" spans="3:26" ht="20.100000000000001" customHeight="1" x14ac:dyDescent="0.3">
      <c r="C524" s="42">
        <v>7203003</v>
      </c>
      <c r="D524" s="28" t="s">
        <v>776</v>
      </c>
      <c r="E524" s="5">
        <v>2</v>
      </c>
      <c r="F524" s="42">
        <v>10080303</v>
      </c>
      <c r="G524" s="5">
        <v>1</v>
      </c>
      <c r="H524" s="5">
        <v>50</v>
      </c>
      <c r="I524" s="5">
        <v>10000</v>
      </c>
      <c r="J524" s="5">
        <v>5</v>
      </c>
      <c r="K524" s="5">
        <v>0</v>
      </c>
      <c r="L524" s="5">
        <v>1</v>
      </c>
      <c r="M524" s="5">
        <v>1</v>
      </c>
      <c r="N524" s="5">
        <v>0.02</v>
      </c>
      <c r="O524" s="5">
        <v>0</v>
      </c>
      <c r="P524" s="5">
        <v>1</v>
      </c>
      <c r="Q524" s="5">
        <v>1</v>
      </c>
      <c r="R524" s="5">
        <v>1</v>
      </c>
      <c r="S524" s="5">
        <f t="shared" si="14"/>
        <v>375</v>
      </c>
      <c r="T524" s="5">
        <v>500</v>
      </c>
      <c r="U524" s="5" t="s">
        <v>339</v>
      </c>
      <c r="V524" s="5">
        <v>0</v>
      </c>
      <c r="W524" s="5">
        <v>1</v>
      </c>
      <c r="X524" s="22">
        <v>0</v>
      </c>
      <c r="Y524" s="5">
        <v>0</v>
      </c>
      <c r="Z524" s="7" t="s">
        <v>774</v>
      </c>
    </row>
    <row r="525" spans="3:26" ht="20.100000000000001" customHeight="1" x14ac:dyDescent="0.3">
      <c r="C525" s="42">
        <v>7203004</v>
      </c>
      <c r="D525" s="28" t="s">
        <v>777</v>
      </c>
      <c r="E525" s="5">
        <v>2</v>
      </c>
      <c r="F525" s="42">
        <v>10080304</v>
      </c>
      <c r="G525" s="5">
        <v>1</v>
      </c>
      <c r="H525" s="5">
        <v>50</v>
      </c>
      <c r="I525" s="5">
        <v>10000</v>
      </c>
      <c r="J525" s="5">
        <v>5</v>
      </c>
      <c r="K525" s="5">
        <v>0</v>
      </c>
      <c r="L525" s="5">
        <v>1</v>
      </c>
      <c r="M525" s="5">
        <v>1</v>
      </c>
      <c r="N525" s="5">
        <v>0.02</v>
      </c>
      <c r="O525" s="5">
        <v>0</v>
      </c>
      <c r="P525" s="5">
        <v>1</v>
      </c>
      <c r="Q525" s="5">
        <v>1</v>
      </c>
      <c r="R525" s="5">
        <v>1</v>
      </c>
      <c r="S525" s="5">
        <f t="shared" si="14"/>
        <v>350</v>
      </c>
      <c r="T525" s="5">
        <v>500</v>
      </c>
      <c r="U525" s="5" t="s">
        <v>339</v>
      </c>
      <c r="V525" s="5">
        <v>0</v>
      </c>
      <c r="W525" s="5">
        <v>1</v>
      </c>
      <c r="X525" s="22">
        <v>0</v>
      </c>
      <c r="Y525" s="5">
        <v>0</v>
      </c>
      <c r="Z525" s="7" t="s">
        <v>774</v>
      </c>
    </row>
    <row r="526" spans="3:26" ht="20.100000000000001" customHeight="1" x14ac:dyDescent="0.3">
      <c r="C526" s="42">
        <v>7204101</v>
      </c>
      <c r="D526" s="28" t="s">
        <v>778</v>
      </c>
      <c r="E526" s="5">
        <v>2</v>
      </c>
      <c r="F526" s="42">
        <v>10080401</v>
      </c>
      <c r="G526" s="5">
        <v>0</v>
      </c>
      <c r="H526" s="5">
        <v>10</v>
      </c>
      <c r="I526" s="5">
        <v>5000</v>
      </c>
      <c r="J526" s="5">
        <v>5</v>
      </c>
      <c r="K526" s="5">
        <v>0</v>
      </c>
      <c r="L526" s="5">
        <v>1</v>
      </c>
      <c r="M526" s="5">
        <v>1</v>
      </c>
      <c r="N526" s="5">
        <v>0.02</v>
      </c>
      <c r="O526" s="5">
        <v>0</v>
      </c>
      <c r="P526" s="5">
        <v>1</v>
      </c>
      <c r="Q526" s="5">
        <v>1</v>
      </c>
      <c r="R526" s="5">
        <v>1</v>
      </c>
      <c r="S526" s="5">
        <v>150</v>
      </c>
      <c r="T526" s="5">
        <v>200</v>
      </c>
      <c r="U526" s="5" t="s">
        <v>339</v>
      </c>
      <c r="V526" s="5">
        <v>0</v>
      </c>
      <c r="W526" s="5">
        <v>1</v>
      </c>
      <c r="X526" s="22">
        <v>0</v>
      </c>
      <c r="Y526" s="5">
        <v>0</v>
      </c>
      <c r="Z526" s="7" t="s">
        <v>779</v>
      </c>
    </row>
    <row r="527" spans="3:26" ht="20.100000000000001" customHeight="1" x14ac:dyDescent="0.3">
      <c r="C527" s="42">
        <v>7204102</v>
      </c>
      <c r="D527" s="28" t="s">
        <v>780</v>
      </c>
      <c r="E527" s="5">
        <v>2</v>
      </c>
      <c r="F527" s="42">
        <v>10080402</v>
      </c>
      <c r="G527" s="5">
        <v>0</v>
      </c>
      <c r="H527" s="5">
        <v>30</v>
      </c>
      <c r="I527" s="5">
        <v>5000</v>
      </c>
      <c r="J527" s="5">
        <v>5</v>
      </c>
      <c r="K527" s="5">
        <v>0</v>
      </c>
      <c r="L527" s="5">
        <v>1</v>
      </c>
      <c r="M527" s="5">
        <v>1</v>
      </c>
      <c r="N527" s="5">
        <v>0.02</v>
      </c>
      <c r="O527" s="5">
        <v>0</v>
      </c>
      <c r="P527" s="5">
        <v>1</v>
      </c>
      <c r="Q527" s="5">
        <v>1</v>
      </c>
      <c r="R527" s="5">
        <v>1</v>
      </c>
      <c r="S527" s="5">
        <v>300</v>
      </c>
      <c r="T527" s="5">
        <v>200</v>
      </c>
      <c r="U527" s="5" t="s">
        <v>339</v>
      </c>
      <c r="V527" s="5">
        <v>0</v>
      </c>
      <c r="W527" s="5">
        <v>1</v>
      </c>
      <c r="X527" s="22">
        <v>0</v>
      </c>
      <c r="Y527" s="5">
        <v>0</v>
      </c>
      <c r="Z527" s="7" t="s">
        <v>781</v>
      </c>
    </row>
    <row r="528" spans="3:26" ht="20.100000000000001" customHeight="1" x14ac:dyDescent="0.3">
      <c r="C528" s="42">
        <v>7204103</v>
      </c>
      <c r="D528" s="28" t="s">
        <v>782</v>
      </c>
      <c r="E528" s="5">
        <v>2</v>
      </c>
      <c r="F528" s="42">
        <v>10080403</v>
      </c>
      <c r="G528" s="5">
        <v>0</v>
      </c>
      <c r="H528" s="5">
        <v>50</v>
      </c>
      <c r="I528" s="5">
        <v>5000</v>
      </c>
      <c r="J528" s="5">
        <v>5</v>
      </c>
      <c r="K528" s="5">
        <v>0</v>
      </c>
      <c r="L528" s="5">
        <v>1</v>
      </c>
      <c r="M528" s="5">
        <v>1</v>
      </c>
      <c r="N528" s="5">
        <v>0.02</v>
      </c>
      <c r="O528" s="5">
        <v>0</v>
      </c>
      <c r="P528" s="5">
        <v>1</v>
      </c>
      <c r="Q528" s="5">
        <v>1</v>
      </c>
      <c r="R528" s="5">
        <v>1</v>
      </c>
      <c r="S528" s="5">
        <v>450</v>
      </c>
      <c r="T528" s="5">
        <v>200</v>
      </c>
      <c r="U528" s="5" t="s">
        <v>339</v>
      </c>
      <c r="V528" s="5">
        <v>0</v>
      </c>
      <c r="W528" s="5">
        <v>1</v>
      </c>
      <c r="X528" s="22">
        <v>0</v>
      </c>
      <c r="Y528" s="5">
        <v>0</v>
      </c>
      <c r="Z528" s="7" t="s">
        <v>783</v>
      </c>
    </row>
    <row r="529" spans="3:26" ht="20.100000000000001" customHeight="1" x14ac:dyDescent="0.3">
      <c r="C529" s="42">
        <v>7204201</v>
      </c>
      <c r="D529" s="28" t="s">
        <v>784</v>
      </c>
      <c r="E529" s="5">
        <v>2</v>
      </c>
      <c r="F529" s="42">
        <v>10080501</v>
      </c>
      <c r="G529" s="5">
        <v>0</v>
      </c>
      <c r="H529" s="5">
        <v>11</v>
      </c>
      <c r="I529" s="5">
        <v>5000</v>
      </c>
      <c r="J529" s="5">
        <v>5</v>
      </c>
      <c r="K529" s="5">
        <v>0</v>
      </c>
      <c r="L529" s="5">
        <v>1</v>
      </c>
      <c r="M529" s="5">
        <v>1</v>
      </c>
      <c r="N529" s="5">
        <v>0.02</v>
      </c>
      <c r="O529" s="5">
        <v>0</v>
      </c>
      <c r="P529" s="5">
        <v>1</v>
      </c>
      <c r="Q529" s="5">
        <v>1</v>
      </c>
      <c r="R529" s="5">
        <v>1</v>
      </c>
      <c r="S529" s="5">
        <v>150</v>
      </c>
      <c r="T529" s="5">
        <v>200</v>
      </c>
      <c r="U529" s="5" t="s">
        <v>339</v>
      </c>
      <c r="V529" s="5">
        <v>0</v>
      </c>
      <c r="W529" s="5">
        <v>1</v>
      </c>
      <c r="X529" s="22">
        <v>0</v>
      </c>
      <c r="Y529" s="5">
        <v>0</v>
      </c>
      <c r="Z529" s="7" t="s">
        <v>779</v>
      </c>
    </row>
    <row r="530" spans="3:26" ht="20.100000000000001" customHeight="1" x14ac:dyDescent="0.3">
      <c r="C530" s="42">
        <v>7204202</v>
      </c>
      <c r="D530" s="28" t="s">
        <v>785</v>
      </c>
      <c r="E530" s="5">
        <v>2</v>
      </c>
      <c r="F530" s="42">
        <v>10080502</v>
      </c>
      <c r="G530" s="5">
        <v>0</v>
      </c>
      <c r="H530" s="5">
        <v>31</v>
      </c>
      <c r="I530" s="5">
        <v>5000</v>
      </c>
      <c r="J530" s="5">
        <v>5</v>
      </c>
      <c r="K530" s="5">
        <v>0</v>
      </c>
      <c r="L530" s="5">
        <v>1</v>
      </c>
      <c r="M530" s="5">
        <v>1</v>
      </c>
      <c r="N530" s="5">
        <v>0.02</v>
      </c>
      <c r="O530" s="5">
        <v>0</v>
      </c>
      <c r="P530" s="5">
        <v>1</v>
      </c>
      <c r="Q530" s="5">
        <v>1</v>
      </c>
      <c r="R530" s="5">
        <v>1</v>
      </c>
      <c r="S530" s="5">
        <v>300</v>
      </c>
      <c r="T530" s="5">
        <v>200</v>
      </c>
      <c r="U530" s="5" t="s">
        <v>339</v>
      </c>
      <c r="V530" s="5">
        <v>0</v>
      </c>
      <c r="W530" s="5">
        <v>1</v>
      </c>
      <c r="X530" s="22">
        <v>0</v>
      </c>
      <c r="Y530" s="5">
        <v>0</v>
      </c>
      <c r="Z530" s="7" t="s">
        <v>781</v>
      </c>
    </row>
    <row r="531" spans="3:26" ht="20.100000000000001" customHeight="1" x14ac:dyDescent="0.3">
      <c r="C531" s="42">
        <v>7204203</v>
      </c>
      <c r="D531" s="28" t="s">
        <v>786</v>
      </c>
      <c r="E531" s="5">
        <v>2</v>
      </c>
      <c r="F531" s="42">
        <v>10080503</v>
      </c>
      <c r="G531" s="5">
        <v>0</v>
      </c>
      <c r="H531" s="5">
        <v>51</v>
      </c>
      <c r="I531" s="5">
        <v>5000</v>
      </c>
      <c r="J531" s="5">
        <v>5</v>
      </c>
      <c r="K531" s="5">
        <v>0</v>
      </c>
      <c r="L531" s="5">
        <v>1</v>
      </c>
      <c r="M531" s="5">
        <v>1</v>
      </c>
      <c r="N531" s="5">
        <v>0.02</v>
      </c>
      <c r="O531" s="5">
        <v>0</v>
      </c>
      <c r="P531" s="5">
        <v>1</v>
      </c>
      <c r="Q531" s="5">
        <v>1</v>
      </c>
      <c r="R531" s="5">
        <v>1</v>
      </c>
      <c r="S531" s="5">
        <v>450</v>
      </c>
      <c r="T531" s="5">
        <v>200</v>
      </c>
      <c r="U531" s="5" t="s">
        <v>339</v>
      </c>
      <c r="V531" s="5">
        <v>0</v>
      </c>
      <c r="W531" s="5">
        <v>1</v>
      </c>
      <c r="X531" s="22">
        <v>0</v>
      </c>
      <c r="Y531" s="5">
        <v>0</v>
      </c>
      <c r="Z531" s="7" t="s">
        <v>783</v>
      </c>
    </row>
    <row r="532" spans="3:26" ht="20.100000000000001" customHeight="1" x14ac:dyDescent="0.3">
      <c r="C532" s="42">
        <v>7204301</v>
      </c>
      <c r="D532" s="28" t="s">
        <v>787</v>
      </c>
      <c r="E532" s="5">
        <v>2</v>
      </c>
      <c r="F532" s="42">
        <v>10080601</v>
      </c>
      <c r="G532" s="5">
        <v>0</v>
      </c>
      <c r="H532" s="5">
        <v>12</v>
      </c>
      <c r="I532" s="5">
        <v>5000</v>
      </c>
      <c r="J532" s="5">
        <v>5</v>
      </c>
      <c r="K532" s="5">
        <v>0</v>
      </c>
      <c r="L532" s="5">
        <v>1</v>
      </c>
      <c r="M532" s="5">
        <v>1</v>
      </c>
      <c r="N532" s="5">
        <v>0.02</v>
      </c>
      <c r="O532" s="5">
        <v>0</v>
      </c>
      <c r="P532" s="5">
        <v>1</v>
      </c>
      <c r="Q532" s="5">
        <v>1</v>
      </c>
      <c r="R532" s="5">
        <v>1</v>
      </c>
      <c r="S532" s="5">
        <v>150</v>
      </c>
      <c r="T532" s="5">
        <v>200</v>
      </c>
      <c r="U532" s="5" t="s">
        <v>339</v>
      </c>
      <c r="V532" s="5">
        <v>0</v>
      </c>
      <c r="W532" s="5">
        <v>1</v>
      </c>
      <c r="X532" s="22">
        <v>0</v>
      </c>
      <c r="Y532" s="5">
        <v>0</v>
      </c>
      <c r="Z532" s="7" t="s">
        <v>779</v>
      </c>
    </row>
    <row r="533" spans="3:26" ht="20.100000000000001" customHeight="1" x14ac:dyDescent="0.3">
      <c r="C533" s="42">
        <v>7204302</v>
      </c>
      <c r="D533" s="28" t="s">
        <v>788</v>
      </c>
      <c r="E533" s="5">
        <v>2</v>
      </c>
      <c r="F533" s="42">
        <v>10080602</v>
      </c>
      <c r="G533" s="5">
        <v>0</v>
      </c>
      <c r="H533" s="5">
        <v>32</v>
      </c>
      <c r="I533" s="5">
        <v>5000</v>
      </c>
      <c r="J533" s="5">
        <v>5</v>
      </c>
      <c r="K533" s="5">
        <v>0</v>
      </c>
      <c r="L533" s="5">
        <v>1</v>
      </c>
      <c r="M533" s="5">
        <v>1</v>
      </c>
      <c r="N533" s="5">
        <v>0.02</v>
      </c>
      <c r="O533" s="5">
        <v>0</v>
      </c>
      <c r="P533" s="5">
        <v>1</v>
      </c>
      <c r="Q533" s="5">
        <v>1</v>
      </c>
      <c r="R533" s="5">
        <v>1</v>
      </c>
      <c r="S533" s="5">
        <v>300</v>
      </c>
      <c r="T533" s="5">
        <v>200</v>
      </c>
      <c r="U533" s="5" t="s">
        <v>339</v>
      </c>
      <c r="V533" s="5">
        <v>0</v>
      </c>
      <c r="W533" s="5">
        <v>1</v>
      </c>
      <c r="X533" s="22">
        <v>0</v>
      </c>
      <c r="Y533" s="5">
        <v>0</v>
      </c>
      <c r="Z533" s="7" t="s">
        <v>781</v>
      </c>
    </row>
    <row r="534" spans="3:26" ht="20.100000000000001" customHeight="1" x14ac:dyDescent="0.3">
      <c r="C534" s="42">
        <v>7204303</v>
      </c>
      <c r="D534" s="28" t="s">
        <v>789</v>
      </c>
      <c r="E534" s="5">
        <v>2</v>
      </c>
      <c r="F534" s="42">
        <v>10080603</v>
      </c>
      <c r="G534" s="5">
        <v>0</v>
      </c>
      <c r="H534" s="5">
        <v>52</v>
      </c>
      <c r="I534" s="5">
        <v>5000</v>
      </c>
      <c r="J534" s="5">
        <v>5</v>
      </c>
      <c r="K534" s="5">
        <v>0</v>
      </c>
      <c r="L534" s="5">
        <v>1</v>
      </c>
      <c r="M534" s="5">
        <v>1</v>
      </c>
      <c r="N534" s="5">
        <v>0.02</v>
      </c>
      <c r="O534" s="5">
        <v>0</v>
      </c>
      <c r="P534" s="5">
        <v>1</v>
      </c>
      <c r="Q534" s="5">
        <v>1</v>
      </c>
      <c r="R534" s="5">
        <v>1</v>
      </c>
      <c r="S534" s="5">
        <v>450</v>
      </c>
      <c r="T534" s="5">
        <v>200</v>
      </c>
      <c r="U534" s="5" t="s">
        <v>339</v>
      </c>
      <c r="V534" s="5">
        <v>0</v>
      </c>
      <c r="W534" s="5">
        <v>1</v>
      </c>
      <c r="X534" s="22">
        <v>0</v>
      </c>
      <c r="Y534" s="5">
        <v>0</v>
      </c>
      <c r="Z534" s="7" t="s">
        <v>783</v>
      </c>
    </row>
    <row r="535" spans="3:26" ht="20.100000000000001" customHeight="1" x14ac:dyDescent="0.3">
      <c r="C535" s="42">
        <v>7204401</v>
      </c>
      <c r="D535" s="28" t="s">
        <v>790</v>
      </c>
      <c r="E535" s="5">
        <v>2</v>
      </c>
      <c r="F535" s="42">
        <v>10080701</v>
      </c>
      <c r="G535" s="5">
        <v>0</v>
      </c>
      <c r="H535" s="5">
        <v>13</v>
      </c>
      <c r="I535" s="5">
        <v>5000</v>
      </c>
      <c r="J535" s="5">
        <v>5</v>
      </c>
      <c r="K535" s="5">
        <v>0</v>
      </c>
      <c r="L535" s="5">
        <v>1</v>
      </c>
      <c r="M535" s="5">
        <v>1</v>
      </c>
      <c r="N535" s="5">
        <v>0.02</v>
      </c>
      <c r="O535" s="5">
        <v>0</v>
      </c>
      <c r="P535" s="5">
        <v>1</v>
      </c>
      <c r="Q535" s="5">
        <v>1</v>
      </c>
      <c r="R535" s="5">
        <v>1</v>
      </c>
      <c r="S535" s="5">
        <v>150</v>
      </c>
      <c r="T535" s="5">
        <v>200</v>
      </c>
      <c r="U535" s="5" t="s">
        <v>339</v>
      </c>
      <c r="V535" s="5">
        <v>0</v>
      </c>
      <c r="W535" s="5">
        <v>1</v>
      </c>
      <c r="X535" s="22">
        <v>0</v>
      </c>
      <c r="Y535" s="5">
        <v>0</v>
      </c>
      <c r="Z535" s="7" t="s">
        <v>779</v>
      </c>
    </row>
    <row r="536" spans="3:26" ht="20.100000000000001" customHeight="1" x14ac:dyDescent="0.3">
      <c r="C536" s="42">
        <v>7204402</v>
      </c>
      <c r="D536" s="28" t="s">
        <v>791</v>
      </c>
      <c r="E536" s="5">
        <v>2</v>
      </c>
      <c r="F536" s="42">
        <v>10080702</v>
      </c>
      <c r="G536" s="5">
        <v>0</v>
      </c>
      <c r="H536" s="5">
        <v>33</v>
      </c>
      <c r="I536" s="5">
        <v>5000</v>
      </c>
      <c r="J536" s="5">
        <v>5</v>
      </c>
      <c r="K536" s="5">
        <v>0</v>
      </c>
      <c r="L536" s="5">
        <v>1</v>
      </c>
      <c r="M536" s="5">
        <v>1</v>
      </c>
      <c r="N536" s="5">
        <v>0.02</v>
      </c>
      <c r="O536" s="5">
        <v>0</v>
      </c>
      <c r="P536" s="5">
        <v>1</v>
      </c>
      <c r="Q536" s="5">
        <v>1</v>
      </c>
      <c r="R536" s="5">
        <v>1</v>
      </c>
      <c r="S536" s="5">
        <v>300</v>
      </c>
      <c r="T536" s="5">
        <v>200</v>
      </c>
      <c r="U536" s="5" t="s">
        <v>339</v>
      </c>
      <c r="V536" s="5">
        <v>0</v>
      </c>
      <c r="W536" s="5">
        <v>1</v>
      </c>
      <c r="X536" s="22">
        <v>0</v>
      </c>
      <c r="Y536" s="5">
        <v>0</v>
      </c>
      <c r="Z536" s="7" t="s">
        <v>781</v>
      </c>
    </row>
    <row r="537" spans="3:26" ht="20.100000000000001" customHeight="1" x14ac:dyDescent="0.3">
      <c r="C537" s="42">
        <v>7204403</v>
      </c>
      <c r="D537" s="28" t="s">
        <v>792</v>
      </c>
      <c r="E537" s="5">
        <v>2</v>
      </c>
      <c r="F537" s="42">
        <v>10080703</v>
      </c>
      <c r="G537" s="5">
        <v>0</v>
      </c>
      <c r="H537" s="5">
        <v>53</v>
      </c>
      <c r="I537" s="5">
        <v>5000</v>
      </c>
      <c r="J537" s="5">
        <v>5</v>
      </c>
      <c r="K537" s="5">
        <v>0</v>
      </c>
      <c r="L537" s="5">
        <v>1</v>
      </c>
      <c r="M537" s="5">
        <v>1</v>
      </c>
      <c r="N537" s="5">
        <v>0.02</v>
      </c>
      <c r="O537" s="5">
        <v>0</v>
      </c>
      <c r="P537" s="5">
        <v>1</v>
      </c>
      <c r="Q537" s="5">
        <v>1</v>
      </c>
      <c r="R537" s="5">
        <v>1</v>
      </c>
      <c r="S537" s="5">
        <v>450</v>
      </c>
      <c r="T537" s="5">
        <v>200</v>
      </c>
      <c r="U537" s="5" t="s">
        <v>339</v>
      </c>
      <c r="V537" s="5">
        <v>0</v>
      </c>
      <c r="W537" s="5">
        <v>1</v>
      </c>
      <c r="X537" s="22">
        <v>0</v>
      </c>
      <c r="Y537" s="5">
        <v>0</v>
      </c>
      <c r="Z537" s="7" t="s">
        <v>783</v>
      </c>
    </row>
    <row r="538" spans="3:26" ht="20.100000000000001" customHeight="1" x14ac:dyDescent="0.3">
      <c r="C538" s="42">
        <v>7204501</v>
      </c>
      <c r="D538" s="28" t="s">
        <v>793</v>
      </c>
      <c r="E538" s="5">
        <v>2</v>
      </c>
      <c r="F538" s="42">
        <v>10080801</v>
      </c>
      <c r="G538" s="5">
        <v>0</v>
      </c>
      <c r="H538" s="5">
        <v>14</v>
      </c>
      <c r="I538" s="5">
        <v>5000</v>
      </c>
      <c r="J538" s="5">
        <v>5</v>
      </c>
      <c r="K538" s="5">
        <v>0</v>
      </c>
      <c r="L538" s="5">
        <v>1</v>
      </c>
      <c r="M538" s="5">
        <v>1</v>
      </c>
      <c r="N538" s="5">
        <v>0.02</v>
      </c>
      <c r="O538" s="5">
        <v>0</v>
      </c>
      <c r="P538" s="5">
        <v>1</v>
      </c>
      <c r="Q538" s="5">
        <v>1</v>
      </c>
      <c r="R538" s="5">
        <v>1</v>
      </c>
      <c r="S538" s="5">
        <v>150</v>
      </c>
      <c r="T538" s="5">
        <v>200</v>
      </c>
      <c r="U538" s="5" t="s">
        <v>339</v>
      </c>
      <c r="V538" s="5">
        <v>0</v>
      </c>
      <c r="W538" s="5">
        <v>1</v>
      </c>
      <c r="X538" s="22">
        <v>0</v>
      </c>
      <c r="Y538" s="5">
        <v>0</v>
      </c>
      <c r="Z538" s="7" t="s">
        <v>779</v>
      </c>
    </row>
    <row r="539" spans="3:26" ht="20.100000000000001" customHeight="1" x14ac:dyDescent="0.3">
      <c r="C539" s="42">
        <v>7204502</v>
      </c>
      <c r="D539" s="28" t="s">
        <v>794</v>
      </c>
      <c r="E539" s="5">
        <v>2</v>
      </c>
      <c r="F539" s="42">
        <v>10080802</v>
      </c>
      <c r="G539" s="5">
        <v>0</v>
      </c>
      <c r="H539" s="5">
        <v>34</v>
      </c>
      <c r="I539" s="5">
        <v>5000</v>
      </c>
      <c r="J539" s="5">
        <v>5</v>
      </c>
      <c r="K539" s="5">
        <v>0</v>
      </c>
      <c r="L539" s="5">
        <v>1</v>
      </c>
      <c r="M539" s="5">
        <v>1</v>
      </c>
      <c r="N539" s="5">
        <v>0.02</v>
      </c>
      <c r="O539" s="5">
        <v>0</v>
      </c>
      <c r="P539" s="5">
        <v>1</v>
      </c>
      <c r="Q539" s="5">
        <v>1</v>
      </c>
      <c r="R539" s="5">
        <v>1</v>
      </c>
      <c r="S539" s="5">
        <v>300</v>
      </c>
      <c r="T539" s="5">
        <v>200</v>
      </c>
      <c r="U539" s="5" t="s">
        <v>339</v>
      </c>
      <c r="V539" s="5">
        <v>0</v>
      </c>
      <c r="W539" s="5">
        <v>1</v>
      </c>
      <c r="X539" s="22">
        <v>0</v>
      </c>
      <c r="Y539" s="5">
        <v>0</v>
      </c>
      <c r="Z539" s="7" t="s">
        <v>781</v>
      </c>
    </row>
    <row r="540" spans="3:26" ht="20.100000000000001" customHeight="1" x14ac:dyDescent="0.3">
      <c r="C540" s="42">
        <v>7204503</v>
      </c>
      <c r="D540" s="28" t="s">
        <v>795</v>
      </c>
      <c r="E540" s="5">
        <v>2</v>
      </c>
      <c r="F540" s="42">
        <v>10080803</v>
      </c>
      <c r="G540" s="5">
        <v>0</v>
      </c>
      <c r="H540" s="5">
        <v>54</v>
      </c>
      <c r="I540" s="5">
        <v>5000</v>
      </c>
      <c r="J540" s="5">
        <v>5</v>
      </c>
      <c r="K540" s="5">
        <v>0</v>
      </c>
      <c r="L540" s="5">
        <v>1</v>
      </c>
      <c r="M540" s="5">
        <v>1</v>
      </c>
      <c r="N540" s="5">
        <v>0.02</v>
      </c>
      <c r="O540" s="5">
        <v>0</v>
      </c>
      <c r="P540" s="5">
        <v>1</v>
      </c>
      <c r="Q540" s="5">
        <v>1</v>
      </c>
      <c r="R540" s="5">
        <v>1</v>
      </c>
      <c r="S540" s="5">
        <v>450</v>
      </c>
      <c r="T540" s="5">
        <v>200</v>
      </c>
      <c r="U540" s="5" t="s">
        <v>339</v>
      </c>
      <c r="V540" s="5">
        <v>0</v>
      </c>
      <c r="W540" s="5">
        <v>1</v>
      </c>
      <c r="X540" s="22">
        <v>0</v>
      </c>
      <c r="Y540" s="5">
        <v>0</v>
      </c>
      <c r="Z540" s="7" t="s">
        <v>783</v>
      </c>
    </row>
    <row r="541" spans="3:26" ht="20.100000000000001" customHeight="1" x14ac:dyDescent="0.3">
      <c r="C541" s="42">
        <v>7301001</v>
      </c>
      <c r="D541" s="28" t="s">
        <v>796</v>
      </c>
      <c r="E541" s="5">
        <v>3</v>
      </c>
      <c r="F541" s="42">
        <v>10090101</v>
      </c>
      <c r="G541" s="5">
        <v>0</v>
      </c>
      <c r="H541" s="5">
        <v>12</v>
      </c>
      <c r="I541" s="5">
        <v>5000</v>
      </c>
      <c r="J541" s="5">
        <v>20</v>
      </c>
      <c r="K541" s="5">
        <v>0</v>
      </c>
      <c r="L541" s="5">
        <v>1</v>
      </c>
      <c r="M541" s="5">
        <v>1</v>
      </c>
      <c r="N541" s="5">
        <v>0.02</v>
      </c>
      <c r="O541" s="5">
        <v>1</v>
      </c>
      <c r="P541" s="5">
        <v>1</v>
      </c>
      <c r="Q541" s="5">
        <v>1</v>
      </c>
      <c r="R541" s="5">
        <v>1</v>
      </c>
      <c r="S541" s="5">
        <v>150</v>
      </c>
      <c r="T541" s="5">
        <v>200</v>
      </c>
      <c r="U541" s="5" t="s">
        <v>52</v>
      </c>
      <c r="V541" s="5">
        <v>0</v>
      </c>
      <c r="W541" s="5">
        <v>1</v>
      </c>
      <c r="X541" s="22">
        <v>0</v>
      </c>
      <c r="Y541" s="5">
        <v>0</v>
      </c>
      <c r="Z541" s="7" t="s">
        <v>797</v>
      </c>
    </row>
    <row r="542" spans="3:26" ht="20.100000000000001" customHeight="1" x14ac:dyDescent="0.3">
      <c r="C542" s="42">
        <v>7301002</v>
      </c>
      <c r="D542" s="28" t="s">
        <v>798</v>
      </c>
      <c r="E542" s="5">
        <v>3</v>
      </c>
      <c r="F542" s="42">
        <v>10090102</v>
      </c>
      <c r="G542" s="5">
        <v>0</v>
      </c>
      <c r="H542" s="5">
        <v>15</v>
      </c>
      <c r="I542" s="5">
        <v>5000</v>
      </c>
      <c r="J542" s="5">
        <v>20</v>
      </c>
      <c r="K542" s="5">
        <v>0</v>
      </c>
      <c r="L542" s="5">
        <v>1</v>
      </c>
      <c r="M542" s="5">
        <v>1</v>
      </c>
      <c r="N542" s="5">
        <v>0.02</v>
      </c>
      <c r="O542" s="5">
        <v>1</v>
      </c>
      <c r="P542" s="5">
        <v>1</v>
      </c>
      <c r="Q542" s="5">
        <v>1</v>
      </c>
      <c r="R542" s="5">
        <v>1</v>
      </c>
      <c r="S542" s="5">
        <v>175</v>
      </c>
      <c r="T542" s="5">
        <v>200</v>
      </c>
      <c r="U542" s="5" t="s">
        <v>52</v>
      </c>
      <c r="V542" s="5">
        <v>0</v>
      </c>
      <c r="W542" s="5">
        <v>1</v>
      </c>
      <c r="X542" s="22">
        <v>0</v>
      </c>
      <c r="Y542" s="5">
        <v>0</v>
      </c>
      <c r="Z542" s="7" t="s">
        <v>797</v>
      </c>
    </row>
    <row r="543" spans="3:26" ht="20.100000000000001" customHeight="1" x14ac:dyDescent="0.3">
      <c r="C543" s="42">
        <v>7302001</v>
      </c>
      <c r="D543" s="28" t="s">
        <v>799</v>
      </c>
      <c r="E543" s="5">
        <v>3</v>
      </c>
      <c r="F543" s="42">
        <v>10090201</v>
      </c>
      <c r="G543" s="5">
        <v>1</v>
      </c>
      <c r="H543" s="5">
        <v>30</v>
      </c>
      <c r="I543" s="5">
        <v>12500</v>
      </c>
      <c r="J543" s="5">
        <v>20</v>
      </c>
      <c r="K543" s="5">
        <v>0</v>
      </c>
      <c r="L543" s="5">
        <v>1</v>
      </c>
      <c r="M543" s="5">
        <v>1</v>
      </c>
      <c r="N543" s="5">
        <v>0.02</v>
      </c>
      <c r="O543" s="5">
        <v>1</v>
      </c>
      <c r="P543" s="5">
        <v>1</v>
      </c>
      <c r="Q543" s="5">
        <v>1</v>
      </c>
      <c r="R543" s="5">
        <v>1</v>
      </c>
      <c r="S543" s="5">
        <v>275</v>
      </c>
      <c r="T543" s="5">
        <v>350</v>
      </c>
      <c r="U543" s="5" t="s">
        <v>52</v>
      </c>
      <c r="V543" s="5">
        <v>0</v>
      </c>
      <c r="W543" s="5">
        <v>1</v>
      </c>
      <c r="X543" s="22">
        <v>0</v>
      </c>
      <c r="Y543" s="5">
        <v>0</v>
      </c>
      <c r="Z543" s="7" t="s">
        <v>800</v>
      </c>
    </row>
    <row r="544" spans="3:26" ht="20.100000000000001" customHeight="1" x14ac:dyDescent="0.3">
      <c r="C544" s="42">
        <v>7302002</v>
      </c>
      <c r="D544" s="28" t="s">
        <v>801</v>
      </c>
      <c r="E544" s="5">
        <v>3</v>
      </c>
      <c r="F544" s="42">
        <v>10090202</v>
      </c>
      <c r="G544" s="5">
        <v>1</v>
      </c>
      <c r="H544" s="5">
        <v>30</v>
      </c>
      <c r="I544" s="5">
        <v>12500</v>
      </c>
      <c r="J544" s="5">
        <v>20</v>
      </c>
      <c r="K544" s="5">
        <v>0</v>
      </c>
      <c r="L544" s="5">
        <v>1</v>
      </c>
      <c r="M544" s="5">
        <v>1</v>
      </c>
      <c r="N544" s="5">
        <v>0.02</v>
      </c>
      <c r="O544" s="5">
        <v>1</v>
      </c>
      <c r="P544" s="5">
        <v>1</v>
      </c>
      <c r="Q544" s="5">
        <v>1</v>
      </c>
      <c r="R544" s="5">
        <v>1</v>
      </c>
      <c r="S544" s="5">
        <v>300</v>
      </c>
      <c r="T544" s="5">
        <v>350</v>
      </c>
      <c r="U544" s="5" t="s">
        <v>52</v>
      </c>
      <c r="V544" s="5">
        <v>0</v>
      </c>
      <c r="W544" s="5">
        <v>1</v>
      </c>
      <c r="X544" s="22">
        <v>0</v>
      </c>
      <c r="Y544" s="5">
        <v>0</v>
      </c>
      <c r="Z544" s="7" t="s">
        <v>800</v>
      </c>
    </row>
    <row r="545" spans="3:26" ht="20.100000000000001" customHeight="1" x14ac:dyDescent="0.3">
      <c r="C545" s="42">
        <v>7303001</v>
      </c>
      <c r="D545" s="28" t="s">
        <v>802</v>
      </c>
      <c r="E545" s="5">
        <v>3</v>
      </c>
      <c r="F545" s="42">
        <v>10090301</v>
      </c>
      <c r="G545" s="5">
        <v>1</v>
      </c>
      <c r="H545" s="5">
        <v>50</v>
      </c>
      <c r="I545" s="5">
        <v>20000</v>
      </c>
      <c r="J545" s="5">
        <v>20</v>
      </c>
      <c r="K545" s="5">
        <v>0</v>
      </c>
      <c r="L545" s="5">
        <v>1</v>
      </c>
      <c r="M545" s="5">
        <v>1</v>
      </c>
      <c r="N545" s="5">
        <v>0.02</v>
      </c>
      <c r="O545" s="5">
        <v>1</v>
      </c>
      <c r="P545" s="5">
        <v>1</v>
      </c>
      <c r="Q545" s="5">
        <v>1</v>
      </c>
      <c r="R545" s="5">
        <v>1</v>
      </c>
      <c r="S545" s="5">
        <v>400</v>
      </c>
      <c r="T545" s="5">
        <v>500</v>
      </c>
      <c r="U545" s="5" t="s">
        <v>52</v>
      </c>
      <c r="V545" s="5">
        <v>0</v>
      </c>
      <c r="W545" s="5">
        <v>1</v>
      </c>
      <c r="X545" s="22">
        <v>0</v>
      </c>
      <c r="Y545" s="5">
        <v>0</v>
      </c>
      <c r="Z545" s="7" t="s">
        <v>803</v>
      </c>
    </row>
    <row r="546" spans="3:26" ht="20.100000000000001" customHeight="1" x14ac:dyDescent="0.3">
      <c r="C546" s="42">
        <v>7303002</v>
      </c>
      <c r="D546" s="28" t="s">
        <v>804</v>
      </c>
      <c r="E546" s="5">
        <v>3</v>
      </c>
      <c r="F546" s="42">
        <v>10090302</v>
      </c>
      <c r="G546" s="5">
        <v>1</v>
      </c>
      <c r="H546" s="5">
        <v>50</v>
      </c>
      <c r="I546" s="5">
        <v>20000</v>
      </c>
      <c r="J546" s="5">
        <v>20</v>
      </c>
      <c r="K546" s="5">
        <v>0</v>
      </c>
      <c r="L546" s="5">
        <v>1</v>
      </c>
      <c r="M546" s="5">
        <v>1</v>
      </c>
      <c r="N546" s="5">
        <v>0.02</v>
      </c>
      <c r="O546" s="5">
        <v>1</v>
      </c>
      <c r="P546" s="5">
        <v>1</v>
      </c>
      <c r="Q546" s="5">
        <v>1</v>
      </c>
      <c r="R546" s="5">
        <v>1</v>
      </c>
      <c r="S546" s="5">
        <v>425</v>
      </c>
      <c r="T546" s="5">
        <v>500</v>
      </c>
      <c r="U546" s="5" t="s">
        <v>52</v>
      </c>
      <c r="V546" s="5">
        <v>0</v>
      </c>
      <c r="W546" s="5">
        <v>1</v>
      </c>
      <c r="X546" s="22">
        <v>0</v>
      </c>
      <c r="Y546" s="5">
        <v>0</v>
      </c>
      <c r="Z546" s="7" t="s">
        <v>803</v>
      </c>
    </row>
    <row r="547" spans="3:26" s="5" customFormat="1" ht="20.100000000000001" customHeight="1" x14ac:dyDescent="0.15">
      <c r="C547" s="5">
        <v>8000001</v>
      </c>
      <c r="D547" s="28" t="s">
        <v>805</v>
      </c>
      <c r="E547" s="5">
        <v>8</v>
      </c>
      <c r="F547" s="28">
        <v>10036001</v>
      </c>
      <c r="G547" s="5">
        <v>0</v>
      </c>
      <c r="H547" s="5">
        <v>1</v>
      </c>
      <c r="I547" s="5">
        <v>0</v>
      </c>
      <c r="J547" s="5">
        <v>0</v>
      </c>
      <c r="K547" s="5">
        <v>0</v>
      </c>
      <c r="L547" s="5">
        <v>1</v>
      </c>
      <c r="M547" s="5">
        <v>1</v>
      </c>
      <c r="N547" s="5">
        <v>0</v>
      </c>
      <c r="O547" s="5">
        <v>1</v>
      </c>
      <c r="P547" s="5">
        <v>1</v>
      </c>
      <c r="Q547" s="5">
        <v>1</v>
      </c>
      <c r="R547" s="5">
        <v>1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46" t="s">
        <v>806</v>
      </c>
    </row>
    <row r="548" spans="3:26" s="5" customFormat="1" ht="20.100000000000001" customHeight="1" x14ac:dyDescent="0.15">
      <c r="C548" s="5">
        <v>8000002</v>
      </c>
      <c r="D548" s="28" t="s">
        <v>807</v>
      </c>
      <c r="E548" s="5">
        <v>8</v>
      </c>
      <c r="F548" s="28">
        <v>10036002</v>
      </c>
      <c r="G548" s="5">
        <v>0</v>
      </c>
      <c r="H548" s="5">
        <v>2</v>
      </c>
      <c r="I548" s="5">
        <v>0</v>
      </c>
      <c r="J548" s="5">
        <v>0</v>
      </c>
      <c r="K548" s="5">
        <v>0</v>
      </c>
      <c r="L548" s="5">
        <v>1</v>
      </c>
      <c r="M548" s="5">
        <v>1</v>
      </c>
      <c r="N548" s="5">
        <v>0</v>
      </c>
      <c r="O548" s="5">
        <v>1</v>
      </c>
      <c r="P548" s="5">
        <v>1</v>
      </c>
      <c r="Q548" s="5">
        <v>1</v>
      </c>
      <c r="R548" s="5">
        <v>1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46" t="s">
        <v>808</v>
      </c>
    </row>
    <row r="549" spans="3:26" s="5" customFormat="1" ht="20.100000000000001" customHeight="1" x14ac:dyDescent="0.15">
      <c r="C549" s="5">
        <v>8000003</v>
      </c>
      <c r="D549" s="28" t="s">
        <v>809</v>
      </c>
      <c r="E549" s="5">
        <v>8</v>
      </c>
      <c r="F549" s="28">
        <v>10036003</v>
      </c>
      <c r="G549" s="5">
        <v>0</v>
      </c>
      <c r="H549" s="5">
        <v>2</v>
      </c>
      <c r="I549" s="5">
        <v>0</v>
      </c>
      <c r="J549" s="5">
        <v>0</v>
      </c>
      <c r="K549" s="5">
        <v>0</v>
      </c>
      <c r="L549" s="5">
        <v>1</v>
      </c>
      <c r="M549" s="5">
        <v>1</v>
      </c>
      <c r="N549" s="5">
        <v>0</v>
      </c>
      <c r="O549" s="5">
        <v>1</v>
      </c>
      <c r="P549" s="5">
        <v>1</v>
      </c>
      <c r="Q549" s="5">
        <v>1</v>
      </c>
      <c r="R549" s="5">
        <v>1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46" t="s">
        <v>810</v>
      </c>
    </row>
    <row r="550" spans="3:26" s="5" customFormat="1" ht="20.100000000000001" customHeight="1" x14ac:dyDescent="0.15">
      <c r="C550" s="5">
        <v>8000004</v>
      </c>
      <c r="D550" s="28" t="s">
        <v>811</v>
      </c>
      <c r="E550" s="5">
        <v>8</v>
      </c>
      <c r="F550" s="28">
        <v>10036004</v>
      </c>
      <c r="G550" s="5">
        <v>0</v>
      </c>
      <c r="H550" s="5">
        <v>2</v>
      </c>
      <c r="I550" s="5">
        <v>0</v>
      </c>
      <c r="J550" s="5">
        <v>0</v>
      </c>
      <c r="K550" s="5">
        <v>0</v>
      </c>
      <c r="L550" s="5">
        <v>1</v>
      </c>
      <c r="M550" s="5">
        <v>1</v>
      </c>
      <c r="N550" s="5">
        <v>0</v>
      </c>
      <c r="O550" s="5">
        <v>1</v>
      </c>
      <c r="P550" s="5">
        <v>1</v>
      </c>
      <c r="Q550" s="5">
        <v>1</v>
      </c>
      <c r="R550" s="5">
        <v>1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46" t="s">
        <v>812</v>
      </c>
    </row>
    <row r="551" spans="3:26" s="5" customFormat="1" ht="20.100000000000001" customHeight="1" x14ac:dyDescent="0.15">
      <c r="C551" s="5">
        <v>8000005</v>
      </c>
      <c r="D551" s="28" t="s">
        <v>813</v>
      </c>
      <c r="E551" s="5">
        <v>8</v>
      </c>
      <c r="F551" s="28">
        <v>10036005</v>
      </c>
      <c r="G551" s="5">
        <v>0</v>
      </c>
      <c r="H551" s="5">
        <v>1</v>
      </c>
      <c r="I551" s="5">
        <v>0</v>
      </c>
      <c r="J551" s="5">
        <v>0</v>
      </c>
      <c r="K551" s="5">
        <v>0</v>
      </c>
      <c r="L551" s="5">
        <v>1</v>
      </c>
      <c r="M551" s="5">
        <v>1</v>
      </c>
      <c r="N551" s="5">
        <v>0</v>
      </c>
      <c r="O551" s="5">
        <v>1</v>
      </c>
      <c r="P551" s="5">
        <v>1</v>
      </c>
      <c r="Q551" s="5">
        <v>1</v>
      </c>
      <c r="R551" s="5">
        <v>1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46" t="s">
        <v>814</v>
      </c>
    </row>
    <row r="552" spans="3:26" s="5" customFormat="1" ht="20.100000000000001" customHeight="1" x14ac:dyDescent="0.15">
      <c r="C552" s="5">
        <v>8000006</v>
      </c>
      <c r="D552" s="28" t="s">
        <v>815</v>
      </c>
      <c r="E552" s="5">
        <v>8</v>
      </c>
      <c r="F552" s="28">
        <v>10036006</v>
      </c>
      <c r="G552" s="5">
        <v>0</v>
      </c>
      <c r="H552" s="5">
        <v>3</v>
      </c>
      <c r="I552" s="5">
        <v>0</v>
      </c>
      <c r="J552" s="5">
        <v>0</v>
      </c>
      <c r="K552" s="5">
        <v>0</v>
      </c>
      <c r="L552" s="5">
        <v>1</v>
      </c>
      <c r="M552" s="5">
        <v>1</v>
      </c>
      <c r="N552" s="5">
        <v>0</v>
      </c>
      <c r="O552" s="5">
        <v>1</v>
      </c>
      <c r="P552" s="5">
        <v>1</v>
      </c>
      <c r="Q552" s="5">
        <v>1</v>
      </c>
      <c r="R552" s="5">
        <v>1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46" t="s">
        <v>816</v>
      </c>
    </row>
    <row r="553" spans="3:26" s="5" customFormat="1" ht="20.100000000000001" customHeight="1" x14ac:dyDescent="0.15">
      <c r="C553" s="5">
        <v>8000007</v>
      </c>
      <c r="D553" s="28" t="s">
        <v>817</v>
      </c>
      <c r="E553" s="5">
        <v>8</v>
      </c>
      <c r="F553" s="28">
        <v>10036007</v>
      </c>
      <c r="G553" s="5">
        <v>0</v>
      </c>
      <c r="H553" s="5">
        <v>5</v>
      </c>
      <c r="I553" s="5">
        <v>0</v>
      </c>
      <c r="J553" s="5">
        <v>0</v>
      </c>
      <c r="K553" s="5">
        <v>0</v>
      </c>
      <c r="L553" s="5">
        <v>1</v>
      </c>
      <c r="M553" s="5">
        <v>1</v>
      </c>
      <c r="N553" s="5">
        <v>0</v>
      </c>
      <c r="O553" s="5">
        <v>1</v>
      </c>
      <c r="P553" s="5">
        <v>1</v>
      </c>
      <c r="Q553" s="5">
        <v>1</v>
      </c>
      <c r="R553" s="5">
        <v>1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46" t="s">
        <v>818</v>
      </c>
    </row>
    <row r="554" spans="3:26" s="5" customFormat="1" ht="20.100000000000001" customHeight="1" x14ac:dyDescent="0.15">
      <c r="C554" s="5">
        <v>8000008</v>
      </c>
      <c r="D554" s="28" t="s">
        <v>819</v>
      </c>
      <c r="E554" s="5">
        <v>8</v>
      </c>
      <c r="F554" s="28">
        <v>10036008</v>
      </c>
      <c r="G554" s="5">
        <v>0</v>
      </c>
      <c r="H554" s="5">
        <v>5</v>
      </c>
      <c r="I554" s="5">
        <v>0</v>
      </c>
      <c r="J554" s="5">
        <v>0</v>
      </c>
      <c r="K554" s="5">
        <v>0</v>
      </c>
      <c r="L554" s="5">
        <v>1</v>
      </c>
      <c r="M554" s="5">
        <v>1</v>
      </c>
      <c r="N554" s="5">
        <v>0</v>
      </c>
      <c r="O554" s="5">
        <v>1</v>
      </c>
      <c r="P554" s="5">
        <v>1</v>
      </c>
      <c r="Q554" s="5">
        <v>1</v>
      </c>
      <c r="R554" s="5">
        <v>1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46" t="s">
        <v>820</v>
      </c>
    </row>
    <row r="555" spans="3:26" s="5" customFormat="1" ht="20.100000000000001" customHeight="1" x14ac:dyDescent="0.15">
      <c r="C555" s="5">
        <v>8000009</v>
      </c>
      <c r="D555" s="28" t="s">
        <v>821</v>
      </c>
      <c r="E555" s="5">
        <v>8</v>
      </c>
      <c r="F555" s="28">
        <v>10036009</v>
      </c>
      <c r="G555" s="5">
        <v>0</v>
      </c>
      <c r="H555" s="5">
        <v>7</v>
      </c>
      <c r="I555" s="5">
        <v>0</v>
      </c>
      <c r="J555" s="5">
        <v>0</v>
      </c>
      <c r="K555" s="5">
        <v>0</v>
      </c>
      <c r="L555" s="5">
        <v>1</v>
      </c>
      <c r="M555" s="5">
        <v>1</v>
      </c>
      <c r="N555" s="5">
        <v>0</v>
      </c>
      <c r="O555" s="5">
        <v>1</v>
      </c>
      <c r="P555" s="5">
        <v>1</v>
      </c>
      <c r="Q555" s="5">
        <v>1</v>
      </c>
      <c r="R555" s="5">
        <v>1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46" t="s">
        <v>822</v>
      </c>
    </row>
    <row r="556" spans="3:26" s="5" customFormat="1" ht="20.100000000000001" customHeight="1" x14ac:dyDescent="0.15">
      <c r="C556" s="5">
        <v>8000010</v>
      </c>
      <c r="D556" s="28" t="s">
        <v>823</v>
      </c>
      <c r="E556" s="5">
        <v>8</v>
      </c>
      <c r="F556" s="28">
        <v>10036010</v>
      </c>
      <c r="G556" s="5">
        <v>0</v>
      </c>
      <c r="H556" s="5">
        <v>9</v>
      </c>
      <c r="I556" s="5">
        <v>0</v>
      </c>
      <c r="J556" s="5">
        <v>0</v>
      </c>
      <c r="K556" s="5">
        <v>0</v>
      </c>
      <c r="L556" s="5">
        <v>1</v>
      </c>
      <c r="M556" s="5">
        <v>1</v>
      </c>
      <c r="N556" s="5">
        <v>0</v>
      </c>
      <c r="O556" s="5">
        <v>1</v>
      </c>
      <c r="P556" s="5">
        <v>1</v>
      </c>
      <c r="Q556" s="5">
        <v>1</v>
      </c>
      <c r="R556" s="5">
        <v>1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46" t="s">
        <v>824</v>
      </c>
    </row>
    <row r="557" spans="3:26" s="5" customFormat="1" ht="20.100000000000001" customHeight="1" x14ac:dyDescent="0.15">
      <c r="C557" s="5">
        <v>8000011</v>
      </c>
      <c r="D557" s="28" t="s">
        <v>825</v>
      </c>
      <c r="E557" s="5">
        <v>8</v>
      </c>
      <c r="F557" s="28">
        <v>10036011</v>
      </c>
      <c r="G557" s="5">
        <v>0</v>
      </c>
      <c r="H557" s="5">
        <v>9</v>
      </c>
      <c r="I557" s="5">
        <v>0</v>
      </c>
      <c r="J557" s="5">
        <v>0</v>
      </c>
      <c r="K557" s="5">
        <v>0</v>
      </c>
      <c r="L557" s="5">
        <v>1</v>
      </c>
      <c r="M557" s="5">
        <v>1</v>
      </c>
      <c r="N557" s="5">
        <v>0</v>
      </c>
      <c r="O557" s="5">
        <v>1</v>
      </c>
      <c r="P557" s="5">
        <v>1</v>
      </c>
      <c r="Q557" s="5">
        <v>1</v>
      </c>
      <c r="R557" s="5">
        <v>1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46" t="s">
        <v>826</v>
      </c>
    </row>
    <row r="558" spans="3:26" s="5" customFormat="1" ht="20.100000000000001" customHeight="1" x14ac:dyDescent="0.15">
      <c r="C558" s="5">
        <v>8000012</v>
      </c>
      <c r="D558" s="28" t="s">
        <v>827</v>
      </c>
      <c r="E558" s="5">
        <v>8</v>
      </c>
      <c r="F558" s="28">
        <v>10036012</v>
      </c>
      <c r="G558" s="5">
        <v>0</v>
      </c>
      <c r="H558" s="5">
        <v>11</v>
      </c>
      <c r="I558" s="5">
        <v>0</v>
      </c>
      <c r="J558" s="5">
        <v>0</v>
      </c>
      <c r="K558" s="5">
        <v>0</v>
      </c>
      <c r="L558" s="5">
        <v>1</v>
      </c>
      <c r="M558" s="5">
        <v>1</v>
      </c>
      <c r="N558" s="5">
        <v>0</v>
      </c>
      <c r="O558" s="5">
        <v>1</v>
      </c>
      <c r="P558" s="5">
        <v>1</v>
      </c>
      <c r="Q558" s="5">
        <v>1</v>
      </c>
      <c r="R558" s="5">
        <v>1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46" t="s">
        <v>828</v>
      </c>
    </row>
    <row r="559" spans="3:26" s="5" customFormat="1" ht="20.100000000000001" customHeight="1" x14ac:dyDescent="0.15">
      <c r="C559" s="5">
        <v>8000013</v>
      </c>
      <c r="D559" s="28" t="s">
        <v>829</v>
      </c>
      <c r="E559" s="5">
        <v>8</v>
      </c>
      <c r="F559" s="28">
        <v>10036013</v>
      </c>
      <c r="G559" s="5">
        <v>0</v>
      </c>
      <c r="H559" s="5">
        <v>13</v>
      </c>
      <c r="I559" s="5">
        <v>0</v>
      </c>
      <c r="J559" s="5">
        <v>0</v>
      </c>
      <c r="K559" s="5">
        <v>0</v>
      </c>
      <c r="L559" s="5">
        <v>1</v>
      </c>
      <c r="M559" s="5">
        <v>1</v>
      </c>
      <c r="N559" s="5">
        <v>0</v>
      </c>
      <c r="O559" s="5">
        <v>1</v>
      </c>
      <c r="P559" s="5">
        <v>1</v>
      </c>
      <c r="Q559" s="5">
        <v>1</v>
      </c>
      <c r="R559" s="5">
        <v>1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46" t="s">
        <v>830</v>
      </c>
    </row>
    <row r="560" spans="3:26" s="5" customFormat="1" ht="20.100000000000001" customHeight="1" x14ac:dyDescent="0.15">
      <c r="C560" s="5">
        <v>8000014</v>
      </c>
      <c r="D560" s="28" t="s">
        <v>831</v>
      </c>
      <c r="E560" s="5">
        <v>8</v>
      </c>
      <c r="F560" s="28">
        <v>10036014</v>
      </c>
      <c r="G560" s="5">
        <v>0</v>
      </c>
      <c r="H560" s="5">
        <v>11</v>
      </c>
      <c r="I560" s="5">
        <v>0</v>
      </c>
      <c r="J560" s="5">
        <v>0</v>
      </c>
      <c r="K560" s="5">
        <v>0</v>
      </c>
      <c r="L560" s="5">
        <v>1</v>
      </c>
      <c r="M560" s="5">
        <v>1</v>
      </c>
      <c r="N560" s="5">
        <v>0</v>
      </c>
      <c r="O560" s="5">
        <v>1</v>
      </c>
      <c r="P560" s="5">
        <v>1</v>
      </c>
      <c r="Q560" s="5">
        <v>1</v>
      </c>
      <c r="R560" s="5">
        <v>1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46" t="s">
        <v>832</v>
      </c>
    </row>
    <row r="561" spans="3:26" s="5" customFormat="1" ht="20.100000000000001" customHeight="1" x14ac:dyDescent="0.15">
      <c r="C561" s="5">
        <v>8000015</v>
      </c>
      <c r="D561" s="28" t="s">
        <v>833</v>
      </c>
      <c r="E561" s="5">
        <v>8</v>
      </c>
      <c r="F561" s="28">
        <v>10036015</v>
      </c>
      <c r="G561" s="5">
        <v>0</v>
      </c>
      <c r="H561" s="5">
        <v>13</v>
      </c>
      <c r="I561" s="5">
        <v>0</v>
      </c>
      <c r="J561" s="5">
        <v>0</v>
      </c>
      <c r="K561" s="5">
        <v>0</v>
      </c>
      <c r="L561" s="5">
        <v>1</v>
      </c>
      <c r="M561" s="5">
        <v>1</v>
      </c>
      <c r="N561" s="5">
        <v>0</v>
      </c>
      <c r="O561" s="5">
        <v>1</v>
      </c>
      <c r="P561" s="5">
        <v>1</v>
      </c>
      <c r="Q561" s="5">
        <v>1</v>
      </c>
      <c r="R561" s="5">
        <v>1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46" t="s">
        <v>834</v>
      </c>
    </row>
    <row r="562" spans="3:26" s="5" customFormat="1" ht="20.100000000000001" customHeight="1" x14ac:dyDescent="0.15">
      <c r="C562" s="5">
        <v>8000016</v>
      </c>
      <c r="D562" s="28" t="s">
        <v>835</v>
      </c>
      <c r="E562" s="5">
        <v>8</v>
      </c>
      <c r="F562" s="28">
        <v>10036016</v>
      </c>
      <c r="G562" s="5">
        <v>0</v>
      </c>
      <c r="H562" s="5">
        <v>15</v>
      </c>
      <c r="I562" s="5">
        <v>0</v>
      </c>
      <c r="J562" s="5">
        <v>0</v>
      </c>
      <c r="K562" s="5">
        <v>0</v>
      </c>
      <c r="L562" s="5">
        <v>1</v>
      </c>
      <c r="M562" s="5">
        <v>1</v>
      </c>
      <c r="N562" s="5">
        <v>0</v>
      </c>
      <c r="O562" s="5">
        <v>1</v>
      </c>
      <c r="P562" s="5">
        <v>1</v>
      </c>
      <c r="Q562" s="5">
        <v>1</v>
      </c>
      <c r="R562" s="5">
        <v>1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46" t="s">
        <v>836</v>
      </c>
    </row>
    <row r="563" spans="3:26" s="5" customFormat="1" ht="20.100000000000001" customHeight="1" x14ac:dyDescent="0.15">
      <c r="C563" s="5">
        <v>8000017</v>
      </c>
      <c r="D563" s="28" t="s">
        <v>837</v>
      </c>
      <c r="E563" s="5">
        <v>8</v>
      </c>
      <c r="F563" s="28">
        <v>10036017</v>
      </c>
      <c r="G563" s="5">
        <v>0</v>
      </c>
      <c r="H563" s="5">
        <v>15</v>
      </c>
      <c r="I563" s="5">
        <v>0</v>
      </c>
      <c r="J563" s="5">
        <v>0</v>
      </c>
      <c r="K563" s="5">
        <v>0</v>
      </c>
      <c r="L563" s="5">
        <v>1</v>
      </c>
      <c r="M563" s="5">
        <v>1</v>
      </c>
      <c r="N563" s="5">
        <v>0</v>
      </c>
      <c r="O563" s="5">
        <v>1</v>
      </c>
      <c r="P563" s="5">
        <v>1</v>
      </c>
      <c r="Q563" s="5">
        <v>1</v>
      </c>
      <c r="R563" s="5">
        <v>1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46" t="s">
        <v>838</v>
      </c>
    </row>
    <row r="564" spans="3:26" s="5" customFormat="1" ht="20.100000000000001" customHeight="1" x14ac:dyDescent="0.15">
      <c r="C564" s="5">
        <v>8000018</v>
      </c>
      <c r="D564" s="28" t="s">
        <v>839</v>
      </c>
      <c r="E564" s="5">
        <v>8</v>
      </c>
      <c r="F564" s="28">
        <v>10036018</v>
      </c>
      <c r="G564" s="5">
        <v>0</v>
      </c>
      <c r="H564" s="5">
        <v>17</v>
      </c>
      <c r="I564" s="5">
        <v>0</v>
      </c>
      <c r="J564" s="5">
        <v>0</v>
      </c>
      <c r="K564" s="5">
        <v>0</v>
      </c>
      <c r="L564" s="5">
        <v>1</v>
      </c>
      <c r="M564" s="5">
        <v>1</v>
      </c>
      <c r="N564" s="5">
        <v>0</v>
      </c>
      <c r="O564" s="5">
        <v>1</v>
      </c>
      <c r="P564" s="5">
        <v>1</v>
      </c>
      <c r="Q564" s="5">
        <v>1</v>
      </c>
      <c r="R564" s="5">
        <v>1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46" t="s">
        <v>840</v>
      </c>
    </row>
    <row r="565" spans="3:26" s="5" customFormat="1" ht="20.100000000000001" customHeight="1" x14ac:dyDescent="0.15">
      <c r="C565" s="5">
        <v>8000019</v>
      </c>
      <c r="D565" s="28" t="s">
        <v>841</v>
      </c>
      <c r="E565" s="5">
        <v>8</v>
      </c>
      <c r="F565" s="28">
        <v>10036019</v>
      </c>
      <c r="G565" s="5">
        <v>0</v>
      </c>
      <c r="H565" s="5">
        <v>17</v>
      </c>
      <c r="I565" s="5">
        <v>0</v>
      </c>
      <c r="J565" s="5">
        <v>0</v>
      </c>
      <c r="K565" s="5">
        <v>0</v>
      </c>
      <c r="L565" s="5">
        <v>1</v>
      </c>
      <c r="M565" s="5">
        <v>1</v>
      </c>
      <c r="N565" s="5">
        <v>0</v>
      </c>
      <c r="O565" s="5">
        <v>1</v>
      </c>
      <c r="P565" s="5">
        <v>1</v>
      </c>
      <c r="Q565" s="5">
        <v>1</v>
      </c>
      <c r="R565" s="5">
        <v>1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46" t="s">
        <v>842</v>
      </c>
    </row>
    <row r="566" spans="3:26" s="5" customFormat="1" ht="20.100000000000001" customHeight="1" x14ac:dyDescent="0.15">
      <c r="C566" s="5">
        <v>8000020</v>
      </c>
      <c r="D566" s="28" t="s">
        <v>843</v>
      </c>
      <c r="E566" s="5">
        <v>8</v>
      </c>
      <c r="F566" s="28">
        <v>10036020</v>
      </c>
      <c r="G566" s="5">
        <v>0</v>
      </c>
      <c r="H566" s="5">
        <v>19</v>
      </c>
      <c r="I566" s="5">
        <v>0</v>
      </c>
      <c r="J566" s="5">
        <v>0</v>
      </c>
      <c r="K566" s="5">
        <v>0</v>
      </c>
      <c r="L566" s="5">
        <v>1</v>
      </c>
      <c r="M566" s="5">
        <v>1</v>
      </c>
      <c r="N566" s="5">
        <v>0</v>
      </c>
      <c r="O566" s="5">
        <v>1</v>
      </c>
      <c r="P566" s="5">
        <v>1</v>
      </c>
      <c r="Q566" s="5">
        <v>1</v>
      </c>
      <c r="R566" s="5">
        <v>1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46" t="s">
        <v>844</v>
      </c>
    </row>
    <row r="567" spans="3:26" s="5" customFormat="1" ht="20.100000000000001" customHeight="1" x14ac:dyDescent="0.15">
      <c r="C567" s="5">
        <v>8000021</v>
      </c>
      <c r="D567" s="28" t="s">
        <v>845</v>
      </c>
      <c r="E567" s="5">
        <v>8</v>
      </c>
      <c r="F567" s="28">
        <v>10036021</v>
      </c>
      <c r="G567" s="5">
        <v>0</v>
      </c>
      <c r="H567" s="5">
        <v>19</v>
      </c>
      <c r="I567" s="5">
        <v>0</v>
      </c>
      <c r="J567" s="5">
        <v>0</v>
      </c>
      <c r="K567" s="5">
        <v>0</v>
      </c>
      <c r="L567" s="5">
        <v>1</v>
      </c>
      <c r="M567" s="5">
        <v>1</v>
      </c>
      <c r="N567" s="5">
        <v>0</v>
      </c>
      <c r="O567" s="5">
        <v>1</v>
      </c>
      <c r="P567" s="5">
        <v>1</v>
      </c>
      <c r="Q567" s="5">
        <v>1</v>
      </c>
      <c r="R567" s="5">
        <v>1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46" t="s">
        <v>846</v>
      </c>
    </row>
    <row r="568" spans="3:26" s="5" customFormat="1" ht="20.100000000000001" customHeight="1" x14ac:dyDescent="0.15">
      <c r="C568" s="5">
        <v>8000022</v>
      </c>
      <c r="D568" s="28" t="s">
        <v>847</v>
      </c>
      <c r="E568" s="5">
        <v>8</v>
      </c>
      <c r="F568" s="28">
        <v>10036022</v>
      </c>
      <c r="G568" s="5">
        <v>0</v>
      </c>
      <c r="H568" s="5">
        <v>21</v>
      </c>
      <c r="I568" s="5">
        <v>0</v>
      </c>
      <c r="J568" s="5">
        <v>0</v>
      </c>
      <c r="K568" s="5">
        <v>0</v>
      </c>
      <c r="L568" s="5">
        <v>1</v>
      </c>
      <c r="M568" s="5">
        <v>1</v>
      </c>
      <c r="N568" s="5">
        <v>0</v>
      </c>
      <c r="O568" s="5">
        <v>1</v>
      </c>
      <c r="P568" s="5">
        <v>1</v>
      </c>
      <c r="Q568" s="5">
        <v>1</v>
      </c>
      <c r="R568" s="5">
        <v>1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46" t="s">
        <v>848</v>
      </c>
    </row>
    <row r="569" spans="3:26" s="5" customFormat="1" ht="20.100000000000001" customHeight="1" x14ac:dyDescent="0.15">
      <c r="C569" s="5">
        <v>8000023</v>
      </c>
      <c r="D569" s="28" t="s">
        <v>849</v>
      </c>
      <c r="E569" s="5">
        <v>8</v>
      </c>
      <c r="F569" s="28">
        <v>10036023</v>
      </c>
      <c r="G569" s="5">
        <v>0</v>
      </c>
      <c r="H569" s="5">
        <v>21</v>
      </c>
      <c r="I569" s="5">
        <v>0</v>
      </c>
      <c r="J569" s="5">
        <v>0</v>
      </c>
      <c r="K569" s="5">
        <v>0</v>
      </c>
      <c r="L569" s="5">
        <v>1</v>
      </c>
      <c r="M569" s="5">
        <v>1</v>
      </c>
      <c r="N569" s="5">
        <v>0</v>
      </c>
      <c r="O569" s="5">
        <v>1</v>
      </c>
      <c r="P569" s="5">
        <v>1</v>
      </c>
      <c r="Q569" s="5">
        <v>1</v>
      </c>
      <c r="R569" s="5">
        <v>1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46" t="s">
        <v>850</v>
      </c>
    </row>
    <row r="570" spans="3:26" s="5" customFormat="1" ht="20.100000000000001" customHeight="1" x14ac:dyDescent="0.15">
      <c r="C570" s="5">
        <v>8000024</v>
      </c>
      <c r="D570" s="28" t="s">
        <v>851</v>
      </c>
      <c r="E570" s="5">
        <v>8</v>
      </c>
      <c r="F570" s="28">
        <v>10036024</v>
      </c>
      <c r="G570" s="5">
        <v>0</v>
      </c>
      <c r="H570" s="5">
        <v>23</v>
      </c>
      <c r="I570" s="5">
        <v>0</v>
      </c>
      <c r="J570" s="5">
        <v>0</v>
      </c>
      <c r="K570" s="5">
        <v>0</v>
      </c>
      <c r="L570" s="5">
        <v>1</v>
      </c>
      <c r="M570" s="5">
        <v>1</v>
      </c>
      <c r="N570" s="5">
        <v>0</v>
      </c>
      <c r="O570" s="5">
        <v>1</v>
      </c>
      <c r="P570" s="5">
        <v>1</v>
      </c>
      <c r="Q570" s="5">
        <v>1</v>
      </c>
      <c r="R570" s="5">
        <v>1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46" t="s">
        <v>852</v>
      </c>
    </row>
    <row r="571" spans="3:26" s="5" customFormat="1" ht="20.100000000000001" customHeight="1" x14ac:dyDescent="0.15">
      <c r="C571" s="5">
        <v>8000025</v>
      </c>
      <c r="D571" s="28" t="s">
        <v>853</v>
      </c>
      <c r="E571" s="5">
        <v>8</v>
      </c>
      <c r="F571" s="28">
        <v>10036025</v>
      </c>
      <c r="G571" s="5">
        <v>0</v>
      </c>
      <c r="H571" s="5">
        <v>23</v>
      </c>
      <c r="I571" s="5">
        <v>0</v>
      </c>
      <c r="J571" s="5">
        <v>0</v>
      </c>
      <c r="K571" s="5">
        <v>0</v>
      </c>
      <c r="L571" s="5">
        <v>1</v>
      </c>
      <c r="M571" s="5">
        <v>1</v>
      </c>
      <c r="N571" s="5">
        <v>0</v>
      </c>
      <c r="O571" s="5">
        <v>1</v>
      </c>
      <c r="P571" s="5">
        <v>1</v>
      </c>
      <c r="Q571" s="5">
        <v>1</v>
      </c>
      <c r="R571" s="5">
        <v>1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46" t="s">
        <v>854</v>
      </c>
    </row>
    <row r="572" spans="3:26" s="5" customFormat="1" ht="20.100000000000001" customHeight="1" x14ac:dyDescent="0.15">
      <c r="C572" s="5">
        <v>8000026</v>
      </c>
      <c r="D572" s="28" t="s">
        <v>855</v>
      </c>
      <c r="E572" s="5">
        <v>8</v>
      </c>
      <c r="F572" s="28">
        <v>10036026</v>
      </c>
      <c r="G572" s="5">
        <v>0</v>
      </c>
      <c r="H572" s="5">
        <v>25</v>
      </c>
      <c r="I572" s="5">
        <v>0</v>
      </c>
      <c r="J572" s="5">
        <v>0</v>
      </c>
      <c r="K572" s="5">
        <v>0</v>
      </c>
      <c r="L572" s="5">
        <v>1</v>
      </c>
      <c r="M572" s="5">
        <v>1</v>
      </c>
      <c r="N572" s="5">
        <v>0</v>
      </c>
      <c r="O572" s="5">
        <v>1</v>
      </c>
      <c r="P572" s="5">
        <v>1</v>
      </c>
      <c r="Q572" s="5">
        <v>1</v>
      </c>
      <c r="R572" s="5">
        <v>1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46" t="s">
        <v>856</v>
      </c>
    </row>
    <row r="573" spans="3:26" s="5" customFormat="1" ht="20.100000000000001" customHeight="1" x14ac:dyDescent="0.15">
      <c r="C573" s="5">
        <v>8000027</v>
      </c>
      <c r="D573" s="28" t="s">
        <v>857</v>
      </c>
      <c r="E573" s="5">
        <v>8</v>
      </c>
      <c r="F573" s="28">
        <v>10036027</v>
      </c>
      <c r="G573" s="5">
        <v>0</v>
      </c>
      <c r="H573" s="5">
        <v>25</v>
      </c>
      <c r="I573" s="5">
        <v>0</v>
      </c>
      <c r="J573" s="5">
        <v>0</v>
      </c>
      <c r="K573" s="5">
        <v>0</v>
      </c>
      <c r="L573" s="5">
        <v>1</v>
      </c>
      <c r="M573" s="5">
        <v>1</v>
      </c>
      <c r="N573" s="5">
        <v>0</v>
      </c>
      <c r="O573" s="5">
        <v>1</v>
      </c>
      <c r="P573" s="5">
        <v>1</v>
      </c>
      <c r="Q573" s="5">
        <v>1</v>
      </c>
      <c r="R573" s="5">
        <v>1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0</v>
      </c>
      <c r="Z573" s="46" t="s">
        <v>858</v>
      </c>
    </row>
    <row r="574" spans="3:26" s="5" customFormat="1" ht="20.100000000000001" customHeight="1" x14ac:dyDescent="0.15">
      <c r="C574" s="5">
        <v>8000028</v>
      </c>
      <c r="D574" s="28" t="s">
        <v>859</v>
      </c>
      <c r="E574" s="5">
        <v>8</v>
      </c>
      <c r="F574" s="28">
        <v>10036028</v>
      </c>
      <c r="G574" s="5">
        <v>0</v>
      </c>
      <c r="H574" s="5">
        <v>19</v>
      </c>
      <c r="I574" s="5">
        <v>0</v>
      </c>
      <c r="J574" s="5">
        <v>0</v>
      </c>
      <c r="K574" s="5">
        <v>0</v>
      </c>
      <c r="L574" s="5">
        <v>1</v>
      </c>
      <c r="M574" s="5">
        <v>1</v>
      </c>
      <c r="N574" s="5">
        <v>0</v>
      </c>
      <c r="O574" s="5">
        <v>1</v>
      </c>
      <c r="P574" s="5">
        <v>1</v>
      </c>
      <c r="Q574" s="5">
        <v>1</v>
      </c>
      <c r="R574" s="5">
        <v>1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46" t="s">
        <v>860</v>
      </c>
    </row>
    <row r="575" spans="3:26" s="5" customFormat="1" ht="20.100000000000001" customHeight="1" x14ac:dyDescent="0.15">
      <c r="C575" s="5">
        <v>8000029</v>
      </c>
      <c r="D575" s="28" t="s">
        <v>861</v>
      </c>
      <c r="E575" s="5">
        <v>8</v>
      </c>
      <c r="F575" s="28">
        <v>10036029</v>
      </c>
      <c r="G575" s="5">
        <v>0</v>
      </c>
      <c r="H575" s="5">
        <v>19</v>
      </c>
      <c r="I575" s="5">
        <v>0</v>
      </c>
      <c r="J575" s="5">
        <v>0</v>
      </c>
      <c r="K575" s="5">
        <v>0</v>
      </c>
      <c r="L575" s="5">
        <v>1</v>
      </c>
      <c r="M575" s="5">
        <v>1</v>
      </c>
      <c r="N575" s="5">
        <v>0</v>
      </c>
      <c r="O575" s="5">
        <v>1</v>
      </c>
      <c r="P575" s="5">
        <v>1</v>
      </c>
      <c r="Q575" s="5">
        <v>1</v>
      </c>
      <c r="R575" s="5">
        <v>1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46" t="s">
        <v>862</v>
      </c>
    </row>
    <row r="576" spans="3:26" s="5" customFormat="1" ht="20.100000000000001" customHeight="1" x14ac:dyDescent="0.15">
      <c r="C576" s="5">
        <v>8000030</v>
      </c>
      <c r="D576" s="28" t="s">
        <v>863</v>
      </c>
      <c r="E576" s="5">
        <v>8</v>
      </c>
      <c r="F576" s="28">
        <v>10036030</v>
      </c>
      <c r="G576" s="5">
        <v>0</v>
      </c>
      <c r="H576" s="5">
        <v>21</v>
      </c>
      <c r="I576" s="5">
        <v>0</v>
      </c>
      <c r="J576" s="5">
        <v>0</v>
      </c>
      <c r="K576" s="5">
        <v>0</v>
      </c>
      <c r="L576" s="5">
        <v>1</v>
      </c>
      <c r="M576" s="5">
        <v>1</v>
      </c>
      <c r="N576" s="5">
        <v>0</v>
      </c>
      <c r="O576" s="5">
        <v>1</v>
      </c>
      <c r="P576" s="5">
        <v>1</v>
      </c>
      <c r="Q576" s="5">
        <v>1</v>
      </c>
      <c r="R576" s="5">
        <v>1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46" t="s">
        <v>864</v>
      </c>
    </row>
    <row r="577" spans="3:26" s="5" customFormat="1" ht="20.100000000000001" customHeight="1" x14ac:dyDescent="0.15">
      <c r="C577" s="5">
        <v>8000031</v>
      </c>
      <c r="D577" s="28" t="s">
        <v>865</v>
      </c>
      <c r="E577" s="5">
        <v>8</v>
      </c>
      <c r="F577" s="28">
        <v>10036031</v>
      </c>
      <c r="G577" s="5">
        <v>0</v>
      </c>
      <c r="H577" s="5">
        <v>3</v>
      </c>
      <c r="I577" s="5">
        <v>0</v>
      </c>
      <c r="J577" s="5">
        <v>0</v>
      </c>
      <c r="K577" s="5">
        <v>0</v>
      </c>
      <c r="L577" s="5">
        <v>1</v>
      </c>
      <c r="M577" s="5">
        <v>1</v>
      </c>
      <c r="N577" s="5">
        <v>0</v>
      </c>
      <c r="O577" s="5">
        <v>1</v>
      </c>
      <c r="P577" s="5">
        <v>1</v>
      </c>
      <c r="Q577" s="5">
        <v>1</v>
      </c>
      <c r="R577" s="5">
        <v>1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46" t="s">
        <v>866</v>
      </c>
    </row>
    <row r="578" spans="3:26" s="5" customFormat="1" ht="20.100000000000001" customHeight="1" x14ac:dyDescent="0.15">
      <c r="C578" s="5">
        <v>8000032</v>
      </c>
      <c r="D578" s="28" t="s">
        <v>867</v>
      </c>
      <c r="E578" s="5">
        <v>8</v>
      </c>
      <c r="F578" s="28">
        <v>10036032</v>
      </c>
      <c r="G578" s="5">
        <v>0</v>
      </c>
      <c r="H578" s="5">
        <v>9</v>
      </c>
      <c r="I578" s="5">
        <v>0</v>
      </c>
      <c r="J578" s="5">
        <v>0</v>
      </c>
      <c r="K578" s="5">
        <v>0</v>
      </c>
      <c r="L578" s="5">
        <v>1</v>
      </c>
      <c r="M578" s="5">
        <v>1</v>
      </c>
      <c r="N578" s="5">
        <v>0</v>
      </c>
      <c r="O578" s="5">
        <v>1</v>
      </c>
      <c r="P578" s="5">
        <v>1</v>
      </c>
      <c r="Q578" s="5">
        <v>1</v>
      </c>
      <c r="R578" s="5">
        <v>1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46" t="s">
        <v>868</v>
      </c>
    </row>
    <row r="579" spans="3:26" s="5" customFormat="1" ht="20.100000000000001" customHeight="1" x14ac:dyDescent="0.15">
      <c r="C579" s="5">
        <v>8000033</v>
      </c>
      <c r="D579" s="28" t="s">
        <v>869</v>
      </c>
      <c r="E579" s="5">
        <v>8</v>
      </c>
      <c r="F579" s="28">
        <v>10036033</v>
      </c>
      <c r="G579" s="5">
        <v>0</v>
      </c>
      <c r="H579" s="5">
        <v>15</v>
      </c>
      <c r="I579" s="5">
        <v>0</v>
      </c>
      <c r="J579" s="5">
        <v>0</v>
      </c>
      <c r="K579" s="5">
        <v>0</v>
      </c>
      <c r="L579" s="5">
        <v>1</v>
      </c>
      <c r="M579" s="5">
        <v>1</v>
      </c>
      <c r="N579" s="5">
        <v>0</v>
      </c>
      <c r="O579" s="5">
        <v>1</v>
      </c>
      <c r="P579" s="5">
        <v>1</v>
      </c>
      <c r="Q579" s="5">
        <v>1</v>
      </c>
      <c r="R579" s="5">
        <v>1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46" t="s">
        <v>870</v>
      </c>
    </row>
    <row r="580" spans="3:26" s="5" customFormat="1" ht="20.100000000000001" customHeight="1" x14ac:dyDescent="0.15">
      <c r="C580" s="5">
        <v>8000034</v>
      </c>
      <c r="D580" s="28" t="s">
        <v>871</v>
      </c>
      <c r="E580" s="5">
        <v>8</v>
      </c>
      <c r="F580" s="28">
        <v>10036034</v>
      </c>
      <c r="G580" s="5">
        <v>0</v>
      </c>
      <c r="H580" s="5">
        <v>21</v>
      </c>
      <c r="I580" s="5">
        <v>0</v>
      </c>
      <c r="J580" s="5">
        <v>0</v>
      </c>
      <c r="K580" s="5">
        <v>0</v>
      </c>
      <c r="L580" s="5">
        <v>1</v>
      </c>
      <c r="M580" s="5">
        <v>1</v>
      </c>
      <c r="N580" s="5">
        <v>0</v>
      </c>
      <c r="O580" s="5">
        <v>1</v>
      </c>
      <c r="P580" s="5">
        <v>1</v>
      </c>
      <c r="Q580" s="5">
        <v>1</v>
      </c>
      <c r="R580" s="5">
        <v>1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46" t="s">
        <v>872</v>
      </c>
    </row>
    <row r="581" spans="3:26" s="5" customFormat="1" ht="20.100000000000001" customHeight="1" x14ac:dyDescent="0.15">
      <c r="C581" s="5">
        <v>8000035</v>
      </c>
      <c r="D581" s="28" t="s">
        <v>873</v>
      </c>
      <c r="E581" s="5">
        <v>8</v>
      </c>
      <c r="F581" s="28">
        <v>10036035</v>
      </c>
      <c r="G581" s="5">
        <v>0</v>
      </c>
      <c r="H581" s="5">
        <v>17</v>
      </c>
      <c r="I581" s="5">
        <v>0</v>
      </c>
      <c r="J581" s="5">
        <v>0</v>
      </c>
      <c r="K581" s="5">
        <v>0</v>
      </c>
      <c r="L581" s="5">
        <v>1</v>
      </c>
      <c r="M581" s="5">
        <v>1</v>
      </c>
      <c r="N581" s="5">
        <v>0</v>
      </c>
      <c r="O581" s="5">
        <v>1</v>
      </c>
      <c r="P581" s="5">
        <v>1</v>
      </c>
      <c r="Q581" s="5">
        <v>1</v>
      </c>
      <c r="R581" s="5">
        <v>1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46" t="s">
        <v>874</v>
      </c>
    </row>
    <row r="582" spans="3:26" s="5" customFormat="1" ht="20.100000000000001" customHeight="1" x14ac:dyDescent="0.15"/>
    <row r="583" spans="3:26" s="5" customFormat="1" ht="20.100000000000001" customHeight="1" x14ac:dyDescent="0.15"/>
    <row r="584" spans="3:26" s="5" customFormat="1" ht="20.100000000000001" customHeight="1" x14ac:dyDescent="0.15"/>
    <row r="585" spans="3:26" s="5" customFormat="1" ht="20.100000000000001" customHeight="1" x14ac:dyDescent="0.15"/>
    <row r="586" spans="3:26" s="5" customFormat="1" ht="20.100000000000001" customHeight="1" x14ac:dyDescent="0.15"/>
    <row r="587" spans="3:26" s="5" customFormat="1" ht="20.100000000000001" customHeight="1" x14ac:dyDescent="0.15"/>
    <row r="588" spans="3:26" s="5" customFormat="1" ht="20.100000000000001" customHeight="1" x14ac:dyDescent="0.15"/>
    <row r="589" spans="3:26" x14ac:dyDescent="0.3">
      <c r="E589" s="7"/>
      <c r="H589" s="7"/>
      <c r="I589" s="7"/>
      <c r="J589" s="7"/>
    </row>
    <row r="590" spans="3:26" x14ac:dyDescent="0.3">
      <c r="E590" s="7"/>
      <c r="H590" s="7"/>
      <c r="I590" s="7"/>
      <c r="J590" s="7"/>
    </row>
    <row r="591" spans="3:26" x14ac:dyDescent="0.3">
      <c r="E591" s="7"/>
      <c r="H591" s="7"/>
      <c r="I591" s="7"/>
      <c r="J591" s="7"/>
    </row>
    <row r="592" spans="3:26" x14ac:dyDescent="0.3">
      <c r="E592" s="7"/>
      <c r="H592" s="7"/>
      <c r="I592" s="7"/>
      <c r="J592" s="7"/>
    </row>
    <row r="593" spans="5:10" x14ac:dyDescent="0.3">
      <c r="E593" s="7"/>
      <c r="H593" s="7"/>
      <c r="I593" s="7"/>
      <c r="J593" s="7"/>
    </row>
    <row r="594" spans="5:10" x14ac:dyDescent="0.3">
      <c r="E594" s="7"/>
      <c r="H594" s="7"/>
      <c r="I594" s="7"/>
      <c r="J594" s="7"/>
    </row>
    <row r="595" spans="5:10" x14ac:dyDescent="0.3">
      <c r="E595" s="7"/>
      <c r="H595" s="7"/>
      <c r="I595" s="7"/>
      <c r="J595" s="7"/>
    </row>
    <row r="596" spans="5:10" x14ac:dyDescent="0.3">
      <c r="E596" s="7"/>
      <c r="H596" s="7"/>
      <c r="I596" s="7"/>
      <c r="J596" s="7"/>
    </row>
    <row r="597" spans="5:10" x14ac:dyDescent="0.3">
      <c r="E597" s="7"/>
      <c r="H597" s="7"/>
      <c r="I597" s="7"/>
      <c r="J597" s="7"/>
    </row>
    <row r="598" spans="5:10" x14ac:dyDescent="0.3">
      <c r="E598" s="7"/>
      <c r="H598" s="7"/>
      <c r="I598" s="7"/>
      <c r="J598" s="7"/>
    </row>
    <row r="599" spans="5:10" x14ac:dyDescent="0.3">
      <c r="E599" s="7"/>
      <c r="H599" s="7"/>
      <c r="I599" s="7"/>
      <c r="J599" s="7"/>
    </row>
    <row r="600" spans="5:10" x14ac:dyDescent="0.3">
      <c r="E600" s="7"/>
      <c r="H600" s="7"/>
      <c r="I600" s="7"/>
      <c r="J600" s="7"/>
    </row>
    <row r="601" spans="5:10" x14ac:dyDescent="0.3">
      <c r="E601" s="7"/>
      <c r="H601" s="7"/>
      <c r="I601" s="7"/>
      <c r="J601" s="7"/>
    </row>
    <row r="602" spans="5:10" x14ac:dyDescent="0.3">
      <c r="E602" s="7"/>
      <c r="H602" s="7"/>
      <c r="I602" s="7"/>
      <c r="J602" s="7"/>
    </row>
    <row r="603" spans="5:10" x14ac:dyDescent="0.3">
      <c r="E603" s="7"/>
      <c r="H603" s="7"/>
      <c r="I603" s="7"/>
      <c r="J603" s="7"/>
    </row>
    <row r="604" spans="5:10" x14ac:dyDescent="0.3">
      <c r="E604" s="7"/>
      <c r="H604" s="7"/>
      <c r="I604" s="7"/>
      <c r="J604" s="7"/>
    </row>
    <row r="605" spans="5:10" x14ac:dyDescent="0.3">
      <c r="E605" s="7"/>
      <c r="H605" s="7"/>
      <c r="I605" s="7"/>
      <c r="J605" s="7"/>
    </row>
    <row r="606" spans="5:10" x14ac:dyDescent="0.3">
      <c r="E606" s="7"/>
      <c r="H606" s="7"/>
      <c r="I606" s="7"/>
      <c r="J606" s="7"/>
    </row>
    <row r="607" spans="5:10" x14ac:dyDescent="0.3">
      <c r="E607" s="7"/>
      <c r="H607" s="7"/>
      <c r="I607" s="7"/>
      <c r="J607" s="7"/>
    </row>
    <row r="608" spans="5:10" x14ac:dyDescent="0.3">
      <c r="E608" s="7"/>
      <c r="H608" s="7"/>
      <c r="I608" s="7"/>
      <c r="J608" s="7"/>
    </row>
    <row r="609" spans="5:10" x14ac:dyDescent="0.3">
      <c r="E609" s="7"/>
      <c r="H609" s="7"/>
      <c r="I609" s="7"/>
      <c r="J609" s="7"/>
    </row>
    <row r="610" spans="5:10" x14ac:dyDescent="0.3">
      <c r="E610" s="7"/>
      <c r="H610" s="7"/>
      <c r="I610" s="7"/>
      <c r="J610" s="7"/>
    </row>
    <row r="611" spans="5:10" x14ac:dyDescent="0.3">
      <c r="E611" s="7"/>
      <c r="H611" s="7"/>
      <c r="I611" s="7"/>
      <c r="J611" s="7"/>
    </row>
    <row r="612" spans="5:10" x14ac:dyDescent="0.3">
      <c r="E612" s="7"/>
      <c r="H612" s="7"/>
      <c r="I612" s="7"/>
      <c r="J612" s="7"/>
    </row>
    <row r="613" spans="5:10" x14ac:dyDescent="0.3">
      <c r="E613" s="7"/>
      <c r="H613" s="7"/>
      <c r="I613" s="7"/>
      <c r="J613" s="7"/>
    </row>
    <row r="614" spans="5:10" x14ac:dyDescent="0.3">
      <c r="E614" s="7"/>
      <c r="H614" s="7"/>
      <c r="I614" s="7"/>
      <c r="J614" s="7"/>
    </row>
    <row r="615" spans="5:10" x14ac:dyDescent="0.3">
      <c r="E615" s="7"/>
      <c r="H615" s="7"/>
      <c r="I615" s="7"/>
      <c r="J615" s="7"/>
    </row>
    <row r="616" spans="5:10" x14ac:dyDescent="0.3">
      <c r="E616" s="7"/>
      <c r="H616" s="7"/>
      <c r="I616" s="7"/>
      <c r="J616" s="7"/>
    </row>
    <row r="617" spans="5:10" x14ac:dyDescent="0.3">
      <c r="E617" s="7"/>
      <c r="H617" s="7"/>
      <c r="I617" s="7"/>
      <c r="J617" s="7"/>
    </row>
    <row r="618" spans="5:10" x14ac:dyDescent="0.3">
      <c r="E618" s="7"/>
      <c r="H618" s="7"/>
      <c r="I618" s="7"/>
      <c r="J618" s="7"/>
    </row>
    <row r="619" spans="5:10" x14ac:dyDescent="0.3">
      <c r="E619" s="7"/>
      <c r="H619" s="7"/>
      <c r="I619" s="7"/>
      <c r="J619" s="7"/>
    </row>
    <row r="620" spans="5:10" x14ac:dyDescent="0.3">
      <c r="E620" s="7"/>
      <c r="H620" s="7"/>
      <c r="I620" s="7"/>
      <c r="J620" s="7"/>
    </row>
    <row r="621" spans="5:10" x14ac:dyDescent="0.3">
      <c r="E621" s="7"/>
      <c r="H621" s="7"/>
      <c r="I621" s="7"/>
      <c r="J621" s="7"/>
    </row>
    <row r="622" spans="5:10" x14ac:dyDescent="0.3">
      <c r="E622" s="7"/>
      <c r="H622" s="7"/>
      <c r="I622" s="7"/>
      <c r="J622" s="7"/>
    </row>
    <row r="623" spans="5:10" x14ac:dyDescent="0.3">
      <c r="E623" s="7"/>
      <c r="H623" s="7"/>
      <c r="I623" s="7"/>
      <c r="J623" s="7"/>
    </row>
    <row r="624" spans="5:10" x14ac:dyDescent="0.3">
      <c r="E624" s="7"/>
      <c r="H624" s="7"/>
      <c r="I624" s="7"/>
      <c r="J624" s="7"/>
    </row>
    <row r="625" spans="5:10" x14ac:dyDescent="0.3">
      <c r="E625" s="7"/>
      <c r="H625" s="7"/>
      <c r="I625" s="7"/>
      <c r="J625" s="7"/>
    </row>
    <row r="626" spans="5:10" x14ac:dyDescent="0.3">
      <c r="E626" s="7"/>
      <c r="H626" s="7"/>
      <c r="I626" s="7"/>
      <c r="J626" s="7"/>
    </row>
    <row r="627" spans="5:10" x14ac:dyDescent="0.3">
      <c r="E627" s="7"/>
      <c r="H627" s="7"/>
      <c r="I627" s="7"/>
      <c r="J627" s="7"/>
    </row>
    <row r="628" spans="5:10" x14ac:dyDescent="0.3">
      <c r="E628" s="7"/>
      <c r="H628" s="7"/>
      <c r="I628" s="7"/>
      <c r="J628" s="7"/>
    </row>
    <row r="629" spans="5:10" x14ac:dyDescent="0.3">
      <c r="E629" s="7"/>
      <c r="H629" s="7"/>
      <c r="I629" s="7"/>
      <c r="J629" s="7"/>
    </row>
    <row r="630" spans="5:10" x14ac:dyDescent="0.3">
      <c r="E630" s="7"/>
      <c r="H630" s="7"/>
      <c r="I630" s="7"/>
      <c r="J630" s="7"/>
    </row>
    <row r="631" spans="5:10" x14ac:dyDescent="0.3">
      <c r="E631" s="7"/>
      <c r="H631" s="7"/>
      <c r="I631" s="7"/>
      <c r="J631" s="7"/>
    </row>
    <row r="632" spans="5:10" x14ac:dyDescent="0.3">
      <c r="E632" s="7"/>
      <c r="H632" s="7"/>
      <c r="I632" s="7"/>
      <c r="J632" s="7"/>
    </row>
    <row r="633" spans="5:10" x14ac:dyDescent="0.3">
      <c r="E633" s="7"/>
      <c r="H633" s="7"/>
      <c r="I633" s="7"/>
      <c r="J633" s="7"/>
    </row>
    <row r="634" spans="5:10" x14ac:dyDescent="0.3">
      <c r="E634" s="7"/>
      <c r="H634" s="7"/>
      <c r="I634" s="7"/>
      <c r="J634" s="7"/>
    </row>
    <row r="635" spans="5:10" x14ac:dyDescent="0.3">
      <c r="E635" s="7"/>
      <c r="H635" s="7"/>
      <c r="I635" s="7"/>
      <c r="J635" s="7"/>
    </row>
    <row r="636" spans="5:10" x14ac:dyDescent="0.3">
      <c r="E636" s="7"/>
      <c r="H636" s="7"/>
      <c r="I636" s="7"/>
      <c r="J636" s="7"/>
    </row>
    <row r="637" spans="5:10" x14ac:dyDescent="0.3">
      <c r="E637" s="7"/>
      <c r="H637" s="7"/>
      <c r="I637" s="7"/>
      <c r="J637" s="7"/>
    </row>
    <row r="638" spans="5:10" x14ac:dyDescent="0.3">
      <c r="E638" s="7"/>
      <c r="H638" s="7"/>
      <c r="I638" s="7"/>
      <c r="J638" s="7"/>
    </row>
    <row r="639" spans="5:10" x14ac:dyDescent="0.3">
      <c r="E639" s="7"/>
      <c r="H639" s="7"/>
      <c r="I639" s="7"/>
      <c r="J639" s="7"/>
    </row>
    <row r="640" spans="5:10" x14ac:dyDescent="0.3">
      <c r="E640" s="7"/>
      <c r="H640" s="7"/>
      <c r="I640" s="7"/>
      <c r="J640" s="7"/>
    </row>
    <row r="641" spans="5:10" x14ac:dyDescent="0.3">
      <c r="E641" s="7"/>
      <c r="H641" s="7"/>
      <c r="I641" s="7"/>
      <c r="J641" s="7"/>
    </row>
    <row r="642" spans="5:10" x14ac:dyDescent="0.3">
      <c r="E642" s="7"/>
      <c r="H642" s="7"/>
      <c r="I642" s="7"/>
      <c r="J642" s="7"/>
    </row>
    <row r="643" spans="5:10" x14ac:dyDescent="0.3">
      <c r="E643" s="7"/>
      <c r="H643" s="7"/>
      <c r="I643" s="7"/>
      <c r="J643" s="7"/>
    </row>
    <row r="644" spans="5:10" x14ac:dyDescent="0.3">
      <c r="E644" s="7"/>
      <c r="H644" s="7"/>
      <c r="I644" s="7"/>
      <c r="J644" s="7"/>
    </row>
    <row r="645" spans="5:10" x14ac:dyDescent="0.3">
      <c r="E645" s="7"/>
      <c r="H645" s="7"/>
      <c r="I645" s="7"/>
      <c r="J645" s="7"/>
    </row>
    <row r="646" spans="5:10" x14ac:dyDescent="0.3">
      <c r="E646" s="7"/>
      <c r="H646" s="7"/>
      <c r="I646" s="7"/>
      <c r="J646" s="7"/>
    </row>
    <row r="647" spans="5:10" x14ac:dyDescent="0.3">
      <c r="E647" s="7"/>
      <c r="H647" s="7"/>
      <c r="I647" s="7"/>
      <c r="J647" s="7"/>
    </row>
    <row r="648" spans="5:10" x14ac:dyDescent="0.3">
      <c r="E648" s="7"/>
      <c r="H648" s="7"/>
      <c r="I648" s="7"/>
      <c r="J648" s="7"/>
    </row>
    <row r="649" spans="5:10" x14ac:dyDescent="0.3">
      <c r="E649" s="7"/>
      <c r="H649" s="7"/>
      <c r="I649" s="7"/>
      <c r="J649" s="7"/>
    </row>
    <row r="650" spans="5:10" x14ac:dyDescent="0.3">
      <c r="E650" s="7"/>
      <c r="H650" s="7"/>
      <c r="I650" s="7"/>
      <c r="J650" s="7"/>
    </row>
    <row r="651" spans="5:10" x14ac:dyDescent="0.3">
      <c r="E651" s="7"/>
      <c r="H651" s="7"/>
      <c r="I651" s="7"/>
      <c r="J651" s="7"/>
    </row>
    <row r="652" spans="5:10" x14ac:dyDescent="0.3">
      <c r="E652" s="7"/>
      <c r="H652" s="7"/>
      <c r="I652" s="7"/>
      <c r="J652" s="7"/>
    </row>
    <row r="653" spans="5:10" x14ac:dyDescent="0.3">
      <c r="E653" s="7"/>
      <c r="H653" s="7"/>
      <c r="I653" s="7"/>
      <c r="J653" s="7"/>
    </row>
    <row r="654" spans="5:10" x14ac:dyDescent="0.3">
      <c r="E654" s="7"/>
      <c r="H654" s="7"/>
      <c r="I654" s="7"/>
      <c r="J654" s="7"/>
    </row>
    <row r="655" spans="5:10" x14ac:dyDescent="0.3">
      <c r="E655" s="7"/>
      <c r="H655" s="7"/>
      <c r="I655" s="7"/>
      <c r="J655" s="7"/>
    </row>
    <row r="656" spans="5:10" x14ac:dyDescent="0.3">
      <c r="E656" s="7"/>
      <c r="H656" s="7"/>
      <c r="I656" s="7"/>
      <c r="J656" s="7"/>
    </row>
    <row r="657" spans="5:10" x14ac:dyDescent="0.3">
      <c r="E657" s="7"/>
      <c r="H657" s="7"/>
      <c r="I657" s="7"/>
      <c r="J657" s="7"/>
    </row>
    <row r="658" spans="5:10" x14ac:dyDescent="0.3">
      <c r="E658" s="7"/>
      <c r="H658" s="7"/>
      <c r="I658" s="7"/>
      <c r="J658" s="7"/>
    </row>
    <row r="659" spans="5:10" x14ac:dyDescent="0.3">
      <c r="E659" s="7"/>
      <c r="H659" s="7"/>
      <c r="I659" s="7"/>
      <c r="J659" s="7"/>
    </row>
    <row r="660" spans="5:10" x14ac:dyDescent="0.3">
      <c r="E660" s="7"/>
      <c r="H660" s="7"/>
      <c r="I660" s="7"/>
      <c r="J660" s="7"/>
    </row>
    <row r="661" spans="5:10" x14ac:dyDescent="0.3">
      <c r="E661" s="7"/>
      <c r="H661" s="7"/>
      <c r="I661" s="7"/>
      <c r="J661" s="7"/>
    </row>
    <row r="662" spans="5:10" x14ac:dyDescent="0.3">
      <c r="E662" s="7"/>
      <c r="H662" s="7"/>
      <c r="I662" s="7"/>
      <c r="J662" s="7"/>
    </row>
    <row r="663" spans="5:10" x14ac:dyDescent="0.3">
      <c r="E663" s="7"/>
      <c r="H663" s="7"/>
      <c r="I663" s="7"/>
      <c r="J663" s="7"/>
    </row>
    <row r="664" spans="5:10" x14ac:dyDescent="0.3">
      <c r="E664" s="7"/>
      <c r="H664" s="7"/>
      <c r="I664" s="7"/>
      <c r="J664" s="7"/>
    </row>
    <row r="665" spans="5:10" x14ac:dyDescent="0.3">
      <c r="E665" s="7"/>
      <c r="H665" s="7"/>
      <c r="I665" s="7"/>
      <c r="J665" s="7"/>
    </row>
    <row r="666" spans="5:10" x14ac:dyDescent="0.3">
      <c r="E666" s="7"/>
      <c r="H666" s="7"/>
      <c r="I666" s="7"/>
      <c r="J666" s="7"/>
    </row>
    <row r="667" spans="5:10" x14ac:dyDescent="0.3">
      <c r="E667" s="7"/>
      <c r="H667" s="7"/>
      <c r="I667" s="7"/>
      <c r="J667" s="7"/>
    </row>
    <row r="668" spans="5:10" x14ac:dyDescent="0.3">
      <c r="E668" s="7"/>
      <c r="H668" s="7"/>
      <c r="I668" s="7"/>
      <c r="J668" s="7"/>
    </row>
    <row r="669" spans="5:10" x14ac:dyDescent="0.3">
      <c r="E669" s="7"/>
      <c r="H669" s="7"/>
      <c r="I669" s="7"/>
      <c r="J669" s="7"/>
    </row>
    <row r="670" spans="5:10" x14ac:dyDescent="0.3">
      <c r="E670" s="7"/>
      <c r="H670" s="7"/>
      <c r="I670" s="7"/>
      <c r="J670" s="7"/>
    </row>
    <row r="671" spans="5:10" x14ac:dyDescent="0.3">
      <c r="E671" s="7"/>
      <c r="H671" s="7"/>
      <c r="I671" s="7"/>
      <c r="J671" s="7"/>
    </row>
    <row r="672" spans="5:10" x14ac:dyDescent="0.3">
      <c r="E672" s="7"/>
      <c r="H672" s="7"/>
      <c r="I672" s="7"/>
      <c r="J672" s="7"/>
    </row>
    <row r="673" spans="5:10" x14ac:dyDescent="0.3">
      <c r="E673" s="7"/>
      <c r="H673" s="7"/>
      <c r="I673" s="7"/>
      <c r="J673" s="7"/>
    </row>
    <row r="674" spans="5:10" x14ac:dyDescent="0.3">
      <c r="E674" s="7"/>
      <c r="H674" s="7"/>
      <c r="I674" s="7"/>
      <c r="J674" s="7"/>
    </row>
    <row r="675" spans="5:10" x14ac:dyDescent="0.3">
      <c r="E675" s="7"/>
      <c r="H675" s="7"/>
      <c r="I675" s="7"/>
      <c r="J675" s="7"/>
    </row>
    <row r="676" spans="5:10" x14ac:dyDescent="0.3">
      <c r="E676" s="7"/>
      <c r="H676" s="7"/>
      <c r="I676" s="7"/>
      <c r="J676" s="7"/>
    </row>
    <row r="677" spans="5:10" x14ac:dyDescent="0.3">
      <c r="E677" s="7"/>
      <c r="H677" s="7"/>
      <c r="I677" s="7"/>
      <c r="J677" s="7"/>
    </row>
    <row r="678" spans="5:10" x14ac:dyDescent="0.3">
      <c r="E678" s="7"/>
      <c r="H678" s="7"/>
      <c r="I678" s="7"/>
      <c r="J678" s="7"/>
    </row>
    <row r="679" spans="5:10" x14ac:dyDescent="0.3">
      <c r="E679" s="7"/>
      <c r="H679" s="7"/>
      <c r="I679" s="7"/>
      <c r="J679" s="7"/>
    </row>
    <row r="680" spans="5:10" x14ac:dyDescent="0.3">
      <c r="E680" s="7"/>
      <c r="H680" s="7"/>
      <c r="I680" s="7"/>
      <c r="J680" s="7"/>
    </row>
    <row r="681" spans="5:10" x14ac:dyDescent="0.3">
      <c r="E681" s="7"/>
      <c r="H681" s="7"/>
      <c r="I681" s="7"/>
      <c r="J681" s="7"/>
    </row>
    <row r="682" spans="5:10" x14ac:dyDescent="0.3">
      <c r="E682" s="7"/>
      <c r="H682" s="7"/>
      <c r="I682" s="7"/>
      <c r="J682" s="7"/>
    </row>
    <row r="683" spans="5:10" x14ac:dyDescent="0.3">
      <c r="E683" s="7"/>
      <c r="H683" s="7"/>
      <c r="I683" s="7"/>
      <c r="J683" s="7"/>
    </row>
    <row r="684" spans="5:10" x14ac:dyDescent="0.3">
      <c r="E684" s="7"/>
      <c r="H684" s="7"/>
      <c r="I684" s="7"/>
      <c r="J684" s="7"/>
    </row>
    <row r="685" spans="5:10" x14ac:dyDescent="0.3">
      <c r="E685" s="7"/>
      <c r="H685" s="7"/>
      <c r="I685" s="7"/>
      <c r="J685" s="7"/>
    </row>
    <row r="686" spans="5:10" x14ac:dyDescent="0.3">
      <c r="E686" s="7"/>
      <c r="H686" s="7"/>
      <c r="I686" s="7"/>
      <c r="J686" s="7"/>
    </row>
    <row r="687" spans="5:10" x14ac:dyDescent="0.3">
      <c r="E687" s="7"/>
      <c r="H687" s="7"/>
      <c r="I687" s="7"/>
      <c r="J687" s="7"/>
    </row>
    <row r="688" spans="5:10" x14ac:dyDescent="0.3">
      <c r="E688" s="7"/>
      <c r="H688" s="7"/>
      <c r="I688" s="7"/>
      <c r="J688" s="7"/>
    </row>
    <row r="689" spans="5:10" x14ac:dyDescent="0.3">
      <c r="E689" s="7"/>
      <c r="H689" s="7"/>
      <c r="I689" s="7"/>
      <c r="J689" s="7"/>
    </row>
    <row r="690" spans="5:10" x14ac:dyDescent="0.3">
      <c r="E690" s="7"/>
      <c r="H690" s="7"/>
      <c r="I690" s="7"/>
      <c r="J690" s="7"/>
    </row>
    <row r="691" spans="5:10" x14ac:dyDescent="0.3">
      <c r="E691" s="7"/>
      <c r="H691" s="7"/>
      <c r="I691" s="7"/>
      <c r="J691" s="7"/>
    </row>
    <row r="692" spans="5:10" x14ac:dyDescent="0.3">
      <c r="E692" s="7"/>
      <c r="H692" s="7"/>
      <c r="I692" s="7"/>
      <c r="J692" s="7"/>
    </row>
    <row r="693" spans="5:10" x14ac:dyDescent="0.3">
      <c r="E693" s="7"/>
      <c r="H693" s="7"/>
      <c r="I693" s="7"/>
      <c r="J693" s="7"/>
    </row>
    <row r="694" spans="5:10" x14ac:dyDescent="0.3">
      <c r="E694" s="7"/>
      <c r="H694" s="7"/>
      <c r="I694" s="7"/>
      <c r="J694" s="7"/>
    </row>
    <row r="695" spans="5:10" x14ac:dyDescent="0.3">
      <c r="E695" s="7"/>
      <c r="H695" s="7"/>
      <c r="I695" s="7"/>
      <c r="J695" s="7"/>
    </row>
    <row r="696" spans="5:10" x14ac:dyDescent="0.3">
      <c r="E696" s="7"/>
      <c r="H696" s="7"/>
      <c r="I696" s="7"/>
      <c r="J696" s="7"/>
    </row>
    <row r="697" spans="5:10" x14ac:dyDescent="0.3">
      <c r="E697" s="7"/>
      <c r="H697" s="7"/>
      <c r="I697" s="7"/>
      <c r="J697" s="7"/>
    </row>
    <row r="698" spans="5:10" x14ac:dyDescent="0.3">
      <c r="E698" s="7"/>
      <c r="H698" s="7"/>
      <c r="I698" s="7"/>
      <c r="J698" s="7"/>
    </row>
    <row r="699" spans="5:10" x14ac:dyDescent="0.3">
      <c r="E699" s="7"/>
      <c r="H699" s="7"/>
      <c r="I699" s="7"/>
      <c r="J699" s="7"/>
    </row>
    <row r="700" spans="5:10" x14ac:dyDescent="0.3">
      <c r="E700" s="7"/>
      <c r="H700" s="7"/>
      <c r="I700" s="7"/>
      <c r="J700" s="7"/>
    </row>
    <row r="701" spans="5:10" x14ac:dyDescent="0.3">
      <c r="E701" s="7"/>
      <c r="H701" s="7"/>
      <c r="I701" s="7"/>
      <c r="J701" s="7"/>
    </row>
    <row r="702" spans="5:10" x14ac:dyDescent="0.3">
      <c r="E702" s="7"/>
      <c r="H702" s="7"/>
      <c r="I702" s="7"/>
      <c r="J702" s="7"/>
    </row>
    <row r="703" spans="5:10" x14ac:dyDescent="0.3">
      <c r="E703" s="7"/>
      <c r="H703" s="7"/>
      <c r="I703" s="7"/>
      <c r="J703" s="7"/>
    </row>
    <row r="704" spans="5:10" x14ac:dyDescent="0.3">
      <c r="E704" s="7"/>
      <c r="H704" s="7"/>
      <c r="I704" s="7"/>
      <c r="J704" s="7"/>
    </row>
    <row r="705" spans="5:10" x14ac:dyDescent="0.3">
      <c r="E705" s="7"/>
      <c r="H705" s="7"/>
      <c r="I705" s="7"/>
      <c r="J705" s="7"/>
    </row>
    <row r="706" spans="5:10" x14ac:dyDescent="0.3">
      <c r="E706" s="7"/>
      <c r="H706" s="7"/>
      <c r="I706" s="7"/>
      <c r="J706" s="7"/>
    </row>
    <row r="707" spans="5:10" x14ac:dyDescent="0.3">
      <c r="E707" s="7"/>
      <c r="H707" s="7"/>
      <c r="I707" s="7"/>
      <c r="J707" s="7"/>
    </row>
    <row r="708" spans="5:10" x14ac:dyDescent="0.3">
      <c r="E708" s="7"/>
      <c r="H708" s="7"/>
      <c r="I708" s="7"/>
      <c r="J708" s="7"/>
    </row>
    <row r="709" spans="5:10" x14ac:dyDescent="0.3">
      <c r="E709" s="7"/>
      <c r="H709" s="7"/>
      <c r="I709" s="7"/>
      <c r="J709" s="7"/>
    </row>
    <row r="710" spans="5:10" x14ac:dyDescent="0.3">
      <c r="E710" s="7"/>
      <c r="H710" s="7"/>
      <c r="I710" s="7"/>
      <c r="J710" s="7"/>
    </row>
    <row r="711" spans="5:10" x14ac:dyDescent="0.3">
      <c r="E711" s="7"/>
      <c r="H711" s="7"/>
      <c r="I711" s="7"/>
      <c r="J711" s="7"/>
    </row>
    <row r="712" spans="5:10" x14ac:dyDescent="0.3">
      <c r="E712" s="7"/>
      <c r="H712" s="7"/>
      <c r="I712" s="7"/>
      <c r="J712" s="7"/>
    </row>
    <row r="713" spans="5:10" x14ac:dyDescent="0.3">
      <c r="E713" s="7"/>
      <c r="H713" s="7"/>
      <c r="I713" s="7"/>
      <c r="J713" s="7"/>
    </row>
    <row r="714" spans="5:10" x14ac:dyDescent="0.3">
      <c r="E714" s="7"/>
      <c r="H714" s="7"/>
      <c r="I714" s="7"/>
      <c r="J714" s="7"/>
    </row>
    <row r="715" spans="5:10" x14ac:dyDescent="0.3">
      <c r="E715" s="7"/>
      <c r="H715" s="7"/>
      <c r="I715" s="7"/>
      <c r="J715" s="7"/>
    </row>
    <row r="716" spans="5:10" x14ac:dyDescent="0.3">
      <c r="E716" s="7"/>
      <c r="H716" s="7"/>
      <c r="I716" s="7"/>
      <c r="J716" s="7"/>
    </row>
    <row r="717" spans="5:10" x14ac:dyDescent="0.3">
      <c r="E717" s="7"/>
      <c r="H717" s="7"/>
      <c r="I717" s="7"/>
      <c r="J717" s="7"/>
    </row>
    <row r="718" spans="5:10" x14ac:dyDescent="0.3">
      <c r="E718" s="7"/>
      <c r="H718" s="7"/>
      <c r="I718" s="7"/>
      <c r="J718" s="7"/>
    </row>
    <row r="719" spans="5:10" x14ac:dyDescent="0.3">
      <c r="E719" s="7"/>
      <c r="H719" s="7"/>
      <c r="I719" s="7"/>
      <c r="J719" s="7"/>
    </row>
    <row r="720" spans="5:10" x14ac:dyDescent="0.3">
      <c r="E720" s="7"/>
      <c r="H720" s="7"/>
      <c r="I720" s="7"/>
      <c r="J720" s="7"/>
    </row>
    <row r="721" spans="5:10" x14ac:dyDescent="0.3">
      <c r="E721" s="7"/>
      <c r="H721" s="7"/>
      <c r="I721" s="7"/>
      <c r="J721" s="7"/>
    </row>
    <row r="722" spans="5:10" x14ac:dyDescent="0.3">
      <c r="E722" s="7"/>
      <c r="H722" s="7"/>
      <c r="I722" s="7"/>
      <c r="J722" s="7"/>
    </row>
    <row r="723" spans="5:10" x14ac:dyDescent="0.3">
      <c r="E723" s="7"/>
      <c r="H723" s="7"/>
      <c r="I723" s="7"/>
      <c r="J723" s="7"/>
    </row>
    <row r="724" spans="5:10" x14ac:dyDescent="0.3">
      <c r="E724" s="7"/>
      <c r="H724" s="7"/>
      <c r="I724" s="7"/>
      <c r="J724" s="7"/>
    </row>
    <row r="725" spans="5:10" x14ac:dyDescent="0.3">
      <c r="E725" s="7"/>
      <c r="H725" s="7"/>
      <c r="I725" s="7"/>
      <c r="J725" s="7"/>
    </row>
    <row r="726" spans="5:10" x14ac:dyDescent="0.3">
      <c r="E726" s="7"/>
      <c r="H726" s="7"/>
      <c r="I726" s="7"/>
      <c r="J726" s="7"/>
    </row>
    <row r="727" spans="5:10" x14ac:dyDescent="0.3">
      <c r="E727" s="7"/>
      <c r="H727" s="7"/>
      <c r="I727" s="7"/>
      <c r="J727" s="7"/>
    </row>
    <row r="728" spans="5:10" x14ac:dyDescent="0.3">
      <c r="E728" s="7"/>
      <c r="H728" s="7"/>
      <c r="I728" s="7"/>
      <c r="J728" s="7"/>
    </row>
    <row r="729" spans="5:10" x14ac:dyDescent="0.3">
      <c r="E729" s="7"/>
      <c r="H729" s="7"/>
      <c r="I729" s="7"/>
      <c r="J729" s="7"/>
    </row>
    <row r="730" spans="5:10" x14ac:dyDescent="0.3">
      <c r="E730" s="7"/>
      <c r="H730" s="7"/>
      <c r="I730" s="7"/>
      <c r="J730" s="7"/>
    </row>
    <row r="731" spans="5:10" x14ac:dyDescent="0.3">
      <c r="E731" s="7"/>
      <c r="H731" s="7"/>
      <c r="I731" s="7"/>
      <c r="J731" s="7"/>
    </row>
    <row r="732" spans="5:10" x14ac:dyDescent="0.3">
      <c r="E732" s="7"/>
      <c r="H732" s="7"/>
      <c r="I732" s="7"/>
      <c r="J732" s="7"/>
    </row>
    <row r="733" spans="5:10" x14ac:dyDescent="0.3">
      <c r="E733" s="7"/>
      <c r="H733" s="7"/>
      <c r="I733" s="7"/>
      <c r="J733" s="7"/>
    </row>
    <row r="734" spans="5:10" x14ac:dyDescent="0.3">
      <c r="E734" s="7"/>
      <c r="H734" s="7"/>
      <c r="I734" s="7"/>
      <c r="J734" s="7"/>
    </row>
    <row r="735" spans="5:10" x14ac:dyDescent="0.3">
      <c r="E735" s="7"/>
      <c r="H735" s="7"/>
      <c r="I735" s="7"/>
      <c r="J735" s="7"/>
    </row>
    <row r="736" spans="5:10" x14ac:dyDescent="0.3">
      <c r="E736" s="7"/>
      <c r="H736" s="7"/>
      <c r="I736" s="7"/>
      <c r="J736" s="7"/>
    </row>
    <row r="737" spans="5:10" x14ac:dyDescent="0.3">
      <c r="E737" s="7"/>
      <c r="H737" s="7"/>
      <c r="I737" s="7"/>
      <c r="J737" s="7"/>
    </row>
    <row r="738" spans="5:10" x14ac:dyDescent="0.3">
      <c r="E738" s="7"/>
      <c r="H738" s="7"/>
      <c r="I738" s="7"/>
      <c r="J738" s="7"/>
    </row>
    <row r="739" spans="5:10" x14ac:dyDescent="0.3">
      <c r="E739" s="7"/>
      <c r="H739" s="7"/>
      <c r="I739" s="7"/>
      <c r="J739" s="7"/>
    </row>
    <row r="740" spans="5:10" x14ac:dyDescent="0.3">
      <c r="E740" s="7"/>
      <c r="H740" s="7"/>
      <c r="I740" s="7"/>
      <c r="J740" s="7"/>
    </row>
    <row r="741" spans="5:10" x14ac:dyDescent="0.3">
      <c r="E741" s="7"/>
      <c r="H741" s="7"/>
      <c r="I741" s="7"/>
      <c r="J741" s="7"/>
    </row>
    <row r="742" spans="5:10" x14ac:dyDescent="0.3">
      <c r="E742" s="7"/>
      <c r="H742" s="7"/>
      <c r="I742" s="7"/>
      <c r="J742" s="7"/>
    </row>
    <row r="743" spans="5:10" x14ac:dyDescent="0.3">
      <c r="E743" s="7"/>
      <c r="H743" s="7"/>
      <c r="I743" s="7"/>
      <c r="J743" s="7"/>
    </row>
    <row r="744" spans="5:10" x14ac:dyDescent="0.3">
      <c r="E744" s="7"/>
      <c r="H744" s="7"/>
      <c r="I744" s="7"/>
      <c r="J744" s="7"/>
    </row>
    <row r="745" spans="5:10" x14ac:dyDescent="0.3">
      <c r="E745" s="7"/>
      <c r="H745" s="7"/>
      <c r="I745" s="7"/>
      <c r="J745" s="7"/>
    </row>
    <row r="746" spans="5:10" x14ac:dyDescent="0.3">
      <c r="E746" s="7"/>
      <c r="H746" s="7"/>
      <c r="I746" s="7"/>
      <c r="J746" s="7"/>
    </row>
    <row r="747" spans="5:10" x14ac:dyDescent="0.3">
      <c r="E747" s="7"/>
      <c r="H747" s="7"/>
      <c r="I747" s="7"/>
      <c r="J747" s="7"/>
    </row>
    <row r="748" spans="5:10" x14ac:dyDescent="0.3">
      <c r="E748" s="7"/>
      <c r="H748" s="7"/>
      <c r="I748" s="7"/>
      <c r="J748" s="7"/>
    </row>
    <row r="749" spans="5:10" x14ac:dyDescent="0.3">
      <c r="E749" s="7"/>
      <c r="H749" s="7"/>
      <c r="I749" s="7"/>
      <c r="J749" s="7"/>
    </row>
    <row r="750" spans="5:10" x14ac:dyDescent="0.3">
      <c r="E750" s="7"/>
      <c r="H750" s="7"/>
      <c r="I750" s="7"/>
      <c r="J750" s="7"/>
    </row>
    <row r="751" spans="5:10" x14ac:dyDescent="0.3">
      <c r="E751" s="7"/>
      <c r="H751" s="7"/>
      <c r="I751" s="7"/>
      <c r="J751" s="7"/>
    </row>
    <row r="752" spans="5:10" x14ac:dyDescent="0.3">
      <c r="E752" s="7"/>
      <c r="H752" s="7"/>
      <c r="I752" s="7"/>
      <c r="J752" s="7"/>
    </row>
    <row r="753" spans="5:10" x14ac:dyDescent="0.3">
      <c r="E753" s="7"/>
      <c r="H753" s="7"/>
      <c r="I753" s="7"/>
      <c r="J753" s="7"/>
    </row>
    <row r="754" spans="5:10" x14ac:dyDescent="0.3">
      <c r="E754" s="7"/>
      <c r="H754" s="7"/>
      <c r="I754" s="7"/>
      <c r="J754" s="7"/>
    </row>
    <row r="755" spans="5:10" x14ac:dyDescent="0.3">
      <c r="E755" s="7"/>
      <c r="H755" s="7"/>
      <c r="I755" s="7"/>
      <c r="J755" s="7"/>
    </row>
    <row r="756" spans="5:10" x14ac:dyDescent="0.3">
      <c r="E756" s="7"/>
      <c r="H756" s="7"/>
      <c r="I756" s="7"/>
      <c r="J756" s="7"/>
    </row>
    <row r="757" spans="5:10" x14ac:dyDescent="0.3">
      <c r="E757" s="7"/>
      <c r="H757" s="7"/>
      <c r="I757" s="7"/>
      <c r="J757" s="7"/>
    </row>
    <row r="758" spans="5:10" x14ac:dyDescent="0.3">
      <c r="E758" s="7"/>
      <c r="H758" s="7"/>
      <c r="I758" s="7"/>
      <c r="J758" s="7"/>
    </row>
    <row r="759" spans="5:10" x14ac:dyDescent="0.3">
      <c r="E759" s="7"/>
      <c r="H759" s="7"/>
      <c r="I759" s="7"/>
      <c r="J759" s="7"/>
    </row>
    <row r="760" spans="5:10" x14ac:dyDescent="0.3">
      <c r="E760" s="7"/>
      <c r="H760" s="7"/>
      <c r="I760" s="7"/>
      <c r="J760" s="7"/>
    </row>
    <row r="761" spans="5:10" x14ac:dyDescent="0.3">
      <c r="E761" s="7"/>
      <c r="H761" s="7"/>
      <c r="I761" s="7"/>
      <c r="J761" s="7"/>
    </row>
    <row r="762" spans="5:10" x14ac:dyDescent="0.3">
      <c r="E762" s="7"/>
      <c r="H762" s="7"/>
      <c r="I762" s="7"/>
      <c r="J762" s="7"/>
    </row>
    <row r="763" spans="5:10" x14ac:dyDescent="0.3">
      <c r="E763" s="7"/>
      <c r="H763" s="7"/>
      <c r="I763" s="7"/>
      <c r="J763" s="7"/>
    </row>
    <row r="764" spans="5:10" x14ac:dyDescent="0.3">
      <c r="E764" s="7"/>
      <c r="H764" s="7"/>
      <c r="I764" s="7"/>
      <c r="J764" s="7"/>
    </row>
    <row r="765" spans="5:10" x14ac:dyDescent="0.3">
      <c r="E765" s="7"/>
      <c r="H765" s="7"/>
      <c r="I765" s="7"/>
      <c r="J765" s="7"/>
    </row>
    <row r="766" spans="5:10" x14ac:dyDescent="0.3">
      <c r="E766" s="7"/>
      <c r="H766" s="7"/>
      <c r="I766" s="7"/>
      <c r="J766" s="7"/>
    </row>
    <row r="767" spans="5:10" x14ac:dyDescent="0.3">
      <c r="E767" s="7"/>
      <c r="H767" s="7"/>
      <c r="I767" s="7"/>
      <c r="J767" s="7"/>
    </row>
    <row r="768" spans="5:10" x14ac:dyDescent="0.3">
      <c r="E768" s="7"/>
      <c r="H768" s="7"/>
      <c r="I768" s="7"/>
      <c r="J768" s="7"/>
    </row>
    <row r="769" spans="5:10" x14ac:dyDescent="0.3">
      <c r="E769" s="7"/>
      <c r="H769" s="7"/>
      <c r="I769" s="7"/>
      <c r="J769" s="7"/>
    </row>
    <row r="770" spans="5:10" x14ac:dyDescent="0.3">
      <c r="E770" s="7"/>
      <c r="H770" s="7"/>
      <c r="I770" s="7"/>
      <c r="J770" s="7"/>
    </row>
    <row r="771" spans="5:10" x14ac:dyDescent="0.3">
      <c r="E771" s="7"/>
      <c r="H771" s="7"/>
      <c r="I771" s="7"/>
      <c r="J771" s="7"/>
    </row>
    <row r="772" spans="5:10" x14ac:dyDescent="0.3">
      <c r="E772" s="7"/>
      <c r="H772" s="7"/>
      <c r="I772" s="7"/>
      <c r="J772" s="7"/>
    </row>
    <row r="773" spans="5:10" x14ac:dyDescent="0.3">
      <c r="E773" s="7"/>
      <c r="H773" s="7"/>
      <c r="I773" s="7"/>
      <c r="J773" s="7"/>
    </row>
    <row r="774" spans="5:10" x14ac:dyDescent="0.3">
      <c r="E774" s="7"/>
      <c r="H774" s="7"/>
      <c r="I774" s="7"/>
      <c r="J774" s="7"/>
    </row>
    <row r="775" spans="5:10" x14ac:dyDescent="0.3">
      <c r="E775" s="7"/>
      <c r="H775" s="7"/>
      <c r="I775" s="7"/>
      <c r="J775" s="7"/>
    </row>
    <row r="776" spans="5:10" x14ac:dyDescent="0.3">
      <c r="E776" s="7"/>
      <c r="H776" s="7"/>
      <c r="I776" s="7"/>
      <c r="J776" s="7"/>
    </row>
    <row r="777" spans="5:10" x14ac:dyDescent="0.3">
      <c r="E777" s="7"/>
      <c r="H777" s="7"/>
      <c r="I777" s="7"/>
      <c r="J777" s="7"/>
    </row>
    <row r="778" spans="5:10" x14ac:dyDescent="0.3">
      <c r="E778" s="7"/>
      <c r="H778" s="7"/>
      <c r="I778" s="7"/>
      <c r="J778" s="7"/>
    </row>
    <row r="779" spans="5:10" x14ac:dyDescent="0.3">
      <c r="E779" s="7"/>
      <c r="H779" s="7"/>
      <c r="I779" s="7"/>
      <c r="J779" s="7"/>
    </row>
    <row r="780" spans="5:10" x14ac:dyDescent="0.3">
      <c r="E780" s="7"/>
      <c r="H780" s="7"/>
      <c r="I780" s="7"/>
      <c r="J780" s="7"/>
    </row>
    <row r="781" spans="5:10" x14ac:dyDescent="0.3">
      <c r="E781" s="7"/>
      <c r="H781" s="7"/>
      <c r="I781" s="7"/>
      <c r="J781" s="7"/>
    </row>
    <row r="782" spans="5:10" x14ac:dyDescent="0.3">
      <c r="E782" s="7"/>
      <c r="H782" s="7"/>
      <c r="I782" s="7"/>
      <c r="J782" s="7"/>
    </row>
    <row r="783" spans="5:10" x14ac:dyDescent="0.3">
      <c r="E783" s="7"/>
      <c r="H783" s="7"/>
      <c r="I783" s="7"/>
      <c r="J783" s="7"/>
    </row>
    <row r="784" spans="5:10" x14ac:dyDescent="0.3">
      <c r="E784" s="7"/>
      <c r="H784" s="7"/>
      <c r="I784" s="7"/>
      <c r="J784" s="7"/>
    </row>
    <row r="785" spans="5:10" x14ac:dyDescent="0.3">
      <c r="E785" s="7"/>
      <c r="H785" s="7"/>
      <c r="I785" s="7"/>
      <c r="J785" s="7"/>
    </row>
    <row r="786" spans="5:10" x14ac:dyDescent="0.3">
      <c r="E786" s="7"/>
      <c r="H786" s="7"/>
      <c r="I786" s="7"/>
      <c r="J786" s="7"/>
    </row>
    <row r="787" spans="5:10" x14ac:dyDescent="0.3">
      <c r="E787" s="7"/>
      <c r="H787" s="7"/>
      <c r="I787" s="7"/>
      <c r="J787" s="7"/>
    </row>
    <row r="788" spans="5:10" x14ac:dyDescent="0.3">
      <c r="E788" s="7"/>
      <c r="H788" s="7"/>
      <c r="I788" s="7"/>
      <c r="J788" s="7"/>
    </row>
    <row r="789" spans="5:10" x14ac:dyDescent="0.3">
      <c r="E789" s="7"/>
      <c r="H789" s="7"/>
      <c r="I789" s="7"/>
      <c r="J789" s="7"/>
    </row>
    <row r="790" spans="5:10" x14ac:dyDescent="0.3">
      <c r="E790" s="7"/>
      <c r="H790" s="7"/>
      <c r="I790" s="7"/>
      <c r="J790" s="7"/>
    </row>
    <row r="791" spans="5:10" x14ac:dyDescent="0.3">
      <c r="E791" s="7"/>
      <c r="H791" s="7"/>
      <c r="I791" s="7"/>
      <c r="J791" s="7"/>
    </row>
    <row r="792" spans="5:10" x14ac:dyDescent="0.3">
      <c r="E792" s="7"/>
      <c r="H792" s="7"/>
      <c r="I792" s="7"/>
      <c r="J792" s="7"/>
    </row>
    <row r="793" spans="5:10" x14ac:dyDescent="0.3">
      <c r="E793" s="7"/>
      <c r="H793" s="7"/>
      <c r="I793" s="7"/>
      <c r="J793" s="7"/>
    </row>
    <row r="794" spans="5:10" x14ac:dyDescent="0.3">
      <c r="E794" s="7"/>
      <c r="H794" s="7"/>
      <c r="I794" s="7"/>
      <c r="J794" s="7"/>
    </row>
    <row r="795" spans="5:10" x14ac:dyDescent="0.3">
      <c r="E795" s="7"/>
      <c r="H795" s="7"/>
      <c r="I795" s="7"/>
      <c r="J795" s="7"/>
    </row>
    <row r="796" spans="5:10" x14ac:dyDescent="0.3">
      <c r="E796" s="7"/>
      <c r="H796" s="7"/>
      <c r="I796" s="7"/>
      <c r="J796" s="7"/>
    </row>
    <row r="797" spans="5:10" x14ac:dyDescent="0.3">
      <c r="E797" s="7"/>
      <c r="H797" s="7"/>
      <c r="I797" s="7"/>
      <c r="J797" s="7"/>
    </row>
    <row r="798" spans="5:10" x14ac:dyDescent="0.3">
      <c r="E798" s="7"/>
      <c r="H798" s="7"/>
      <c r="I798" s="7"/>
      <c r="J798" s="7"/>
    </row>
    <row r="799" spans="5:10" x14ac:dyDescent="0.3">
      <c r="E799" s="7"/>
      <c r="H799" s="7"/>
      <c r="I799" s="7"/>
      <c r="J799" s="7"/>
    </row>
    <row r="800" spans="5:10" x14ac:dyDescent="0.3">
      <c r="E800" s="7"/>
      <c r="H800" s="7"/>
      <c r="I800" s="7"/>
      <c r="J800" s="7"/>
    </row>
    <row r="801" spans="5:10" x14ac:dyDescent="0.3">
      <c r="E801" s="7"/>
      <c r="H801" s="7"/>
      <c r="I801" s="7"/>
      <c r="J801" s="7"/>
    </row>
    <row r="802" spans="5:10" x14ac:dyDescent="0.3">
      <c r="E802" s="7"/>
      <c r="H802" s="7"/>
      <c r="I802" s="7"/>
      <c r="J802" s="7"/>
    </row>
    <row r="803" spans="5:10" x14ac:dyDescent="0.3">
      <c r="E803" s="7"/>
      <c r="H803" s="7"/>
      <c r="I803" s="7"/>
      <c r="J803" s="7"/>
    </row>
    <row r="804" spans="5:10" x14ac:dyDescent="0.3">
      <c r="E804" s="7"/>
      <c r="H804" s="7"/>
      <c r="I804" s="7"/>
      <c r="J804" s="7"/>
    </row>
    <row r="805" spans="5:10" x14ac:dyDescent="0.3">
      <c r="E805" s="7"/>
      <c r="H805" s="7"/>
      <c r="I805" s="7"/>
      <c r="J805" s="7"/>
    </row>
    <row r="806" spans="5:10" x14ac:dyDescent="0.3">
      <c r="E806" s="7"/>
      <c r="H806" s="7"/>
      <c r="I806" s="7"/>
      <c r="J806" s="7"/>
    </row>
    <row r="807" spans="5:10" x14ac:dyDescent="0.3">
      <c r="E807" s="7"/>
      <c r="H807" s="7"/>
      <c r="I807" s="7"/>
      <c r="J807" s="7"/>
    </row>
    <row r="808" spans="5:10" x14ac:dyDescent="0.3">
      <c r="E808" s="7"/>
      <c r="H808" s="7"/>
      <c r="I808" s="7"/>
      <c r="J808" s="7"/>
    </row>
    <row r="809" spans="5:10" x14ac:dyDescent="0.3">
      <c r="E809" s="7"/>
      <c r="H809" s="7"/>
      <c r="I809" s="7"/>
      <c r="J809" s="7"/>
    </row>
    <row r="810" spans="5:10" x14ac:dyDescent="0.3">
      <c r="E810" s="7"/>
      <c r="H810" s="7"/>
      <c r="I810" s="7"/>
      <c r="J810" s="7"/>
    </row>
    <row r="811" spans="5:10" x14ac:dyDescent="0.3">
      <c r="E811" s="7"/>
      <c r="H811" s="7"/>
      <c r="I811" s="7"/>
      <c r="J811" s="7"/>
    </row>
    <row r="812" spans="5:10" x14ac:dyDescent="0.3">
      <c r="E812" s="7"/>
      <c r="H812" s="7"/>
      <c r="I812" s="7"/>
      <c r="J812" s="7"/>
    </row>
    <row r="813" spans="5:10" x14ac:dyDescent="0.3">
      <c r="E813" s="7"/>
      <c r="H813" s="7"/>
      <c r="I813" s="7"/>
      <c r="J813" s="7"/>
    </row>
    <row r="814" spans="5:10" x14ac:dyDescent="0.3">
      <c r="E814" s="7"/>
      <c r="H814" s="7"/>
      <c r="I814" s="7"/>
      <c r="J814" s="7"/>
    </row>
    <row r="815" spans="5:10" x14ac:dyDescent="0.3">
      <c r="E815" s="7"/>
      <c r="H815" s="7"/>
      <c r="I815" s="7"/>
      <c r="J815" s="7"/>
    </row>
    <row r="816" spans="5:10" x14ac:dyDescent="0.3">
      <c r="E816" s="7"/>
      <c r="H816" s="7"/>
      <c r="I816" s="7"/>
      <c r="J816" s="7"/>
    </row>
    <row r="817" spans="5:10" x14ac:dyDescent="0.3">
      <c r="E817" s="7"/>
      <c r="H817" s="7"/>
      <c r="I817" s="7"/>
      <c r="J817" s="7"/>
    </row>
    <row r="818" spans="5:10" x14ac:dyDescent="0.3">
      <c r="E818" s="7"/>
      <c r="H818" s="7"/>
      <c r="I818" s="7"/>
      <c r="J818" s="7"/>
    </row>
    <row r="819" spans="5:10" x14ac:dyDescent="0.3">
      <c r="E819" s="7"/>
      <c r="H819" s="7"/>
      <c r="I819" s="7"/>
      <c r="J819" s="7"/>
    </row>
    <row r="820" spans="5:10" x14ac:dyDescent="0.3">
      <c r="E820" s="7"/>
      <c r="H820" s="7"/>
      <c r="I820" s="7"/>
      <c r="J820" s="7"/>
    </row>
    <row r="821" spans="5:10" x14ac:dyDescent="0.3">
      <c r="E821" s="7"/>
      <c r="H821" s="7"/>
      <c r="I821" s="7"/>
      <c r="J821" s="7"/>
    </row>
    <row r="822" spans="5:10" x14ac:dyDescent="0.3">
      <c r="E822" s="7"/>
      <c r="H822" s="7"/>
      <c r="I822" s="7"/>
      <c r="J822" s="7"/>
    </row>
    <row r="823" spans="5:10" x14ac:dyDescent="0.3">
      <c r="E823" s="7"/>
      <c r="H823" s="7"/>
      <c r="I823" s="7"/>
      <c r="J823" s="7"/>
    </row>
    <row r="824" spans="5:10" x14ac:dyDescent="0.3">
      <c r="E824" s="7"/>
      <c r="H824" s="7"/>
      <c r="I824" s="7"/>
      <c r="J824" s="7"/>
    </row>
    <row r="825" spans="5:10" x14ac:dyDescent="0.3">
      <c r="E825" s="7"/>
      <c r="H825" s="7"/>
      <c r="I825" s="7"/>
      <c r="J825" s="7"/>
    </row>
    <row r="826" spans="5:10" x14ac:dyDescent="0.3">
      <c r="E826" s="7"/>
      <c r="H826" s="7"/>
      <c r="I826" s="7"/>
      <c r="J826" s="7"/>
    </row>
    <row r="827" spans="5:10" x14ac:dyDescent="0.3">
      <c r="E827" s="7"/>
      <c r="H827" s="7"/>
      <c r="I827" s="7"/>
      <c r="J827" s="7"/>
    </row>
    <row r="828" spans="5:10" x14ac:dyDescent="0.3">
      <c r="E828" s="7"/>
      <c r="H828" s="7"/>
      <c r="I828" s="7"/>
      <c r="J828" s="7"/>
    </row>
    <row r="829" spans="5:10" x14ac:dyDescent="0.3">
      <c r="E829" s="7"/>
      <c r="H829" s="7"/>
      <c r="I829" s="7"/>
      <c r="J829" s="7"/>
    </row>
    <row r="830" spans="5:10" x14ac:dyDescent="0.3">
      <c r="E830" s="7"/>
      <c r="H830" s="7"/>
      <c r="I830" s="7"/>
      <c r="J830" s="7"/>
    </row>
    <row r="831" spans="5:10" x14ac:dyDescent="0.3">
      <c r="E831" s="7"/>
      <c r="H831" s="7"/>
      <c r="I831" s="7"/>
      <c r="J831" s="7"/>
    </row>
    <row r="832" spans="5:10" x14ac:dyDescent="0.3">
      <c r="E832" s="7"/>
      <c r="H832" s="7"/>
      <c r="I832" s="7"/>
      <c r="J832" s="7"/>
    </row>
    <row r="833" spans="5:10" x14ac:dyDescent="0.3">
      <c r="E833" s="7"/>
      <c r="H833" s="7"/>
      <c r="I833" s="7"/>
      <c r="J833" s="7"/>
    </row>
    <row r="834" spans="5:10" x14ac:dyDescent="0.3">
      <c r="E834" s="7"/>
      <c r="H834" s="7"/>
      <c r="I834" s="7"/>
      <c r="J834" s="7"/>
    </row>
    <row r="835" spans="5:10" x14ac:dyDescent="0.3">
      <c r="E835" s="7"/>
      <c r="H835" s="7"/>
      <c r="I835" s="7"/>
      <c r="J835" s="7"/>
    </row>
    <row r="836" spans="5:10" x14ac:dyDescent="0.3">
      <c r="E836" s="7"/>
      <c r="H836" s="7"/>
      <c r="I836" s="7"/>
      <c r="J836" s="7"/>
    </row>
    <row r="837" spans="5:10" x14ac:dyDescent="0.3">
      <c r="E837" s="7"/>
      <c r="H837" s="7"/>
      <c r="I837" s="7"/>
      <c r="J837" s="7"/>
    </row>
    <row r="838" spans="5:10" x14ac:dyDescent="0.3">
      <c r="E838" s="7"/>
      <c r="H838" s="7"/>
      <c r="I838" s="7"/>
      <c r="J838" s="7"/>
    </row>
    <row r="839" spans="5:10" x14ac:dyDescent="0.3">
      <c r="E839" s="7"/>
      <c r="H839" s="7"/>
      <c r="I839" s="7"/>
      <c r="J839" s="7"/>
    </row>
    <row r="840" spans="5:10" x14ac:dyDescent="0.3">
      <c r="E840" s="7"/>
      <c r="H840" s="7"/>
      <c r="I840" s="7"/>
      <c r="J840" s="7"/>
    </row>
    <row r="841" spans="5:10" x14ac:dyDescent="0.3">
      <c r="E841" s="7"/>
      <c r="H841" s="7"/>
      <c r="I841" s="7"/>
      <c r="J841" s="7"/>
    </row>
    <row r="842" spans="5:10" x14ac:dyDescent="0.3">
      <c r="E842" s="7"/>
      <c r="H842" s="7"/>
      <c r="I842" s="7"/>
      <c r="J842" s="7"/>
    </row>
    <row r="843" spans="5:10" x14ac:dyDescent="0.3">
      <c r="E843" s="7"/>
      <c r="H843" s="7"/>
      <c r="I843" s="7"/>
      <c r="J843" s="7"/>
    </row>
    <row r="844" spans="5:10" x14ac:dyDescent="0.3">
      <c r="E844" s="7"/>
      <c r="H844" s="7"/>
      <c r="I844" s="7"/>
      <c r="J844" s="7"/>
    </row>
    <row r="845" spans="5:10" x14ac:dyDescent="0.3">
      <c r="E845" s="7"/>
      <c r="H845" s="7"/>
      <c r="I845" s="7"/>
      <c r="J845" s="7"/>
    </row>
    <row r="846" spans="5:10" x14ac:dyDescent="0.3">
      <c r="E846" s="7"/>
      <c r="H846" s="7"/>
      <c r="I846" s="7"/>
      <c r="J846" s="7"/>
    </row>
    <row r="847" spans="5:10" x14ac:dyDescent="0.3">
      <c r="E847" s="7"/>
      <c r="H847" s="7"/>
      <c r="I847" s="7"/>
      <c r="J847" s="7"/>
    </row>
    <row r="848" spans="5:10" x14ac:dyDescent="0.3">
      <c r="E848" s="7"/>
      <c r="H848" s="7"/>
      <c r="I848" s="7"/>
      <c r="J848" s="7"/>
    </row>
    <row r="849" spans="5:10" x14ac:dyDescent="0.3">
      <c r="E849" s="7"/>
      <c r="H849" s="7"/>
      <c r="I849" s="7"/>
      <c r="J849" s="7"/>
    </row>
    <row r="850" spans="5:10" x14ac:dyDescent="0.3">
      <c r="E850" s="7"/>
      <c r="H850" s="7"/>
      <c r="I850" s="7"/>
      <c r="J850" s="7"/>
    </row>
    <row r="851" spans="5:10" x14ac:dyDescent="0.3">
      <c r="E851" s="7"/>
      <c r="H851" s="7"/>
      <c r="I851" s="7"/>
      <c r="J851" s="7"/>
    </row>
    <row r="852" spans="5:10" x14ac:dyDescent="0.3">
      <c r="E852" s="7"/>
      <c r="H852" s="7"/>
      <c r="I852" s="7"/>
      <c r="J852" s="7"/>
    </row>
    <row r="853" spans="5:10" x14ac:dyDescent="0.3">
      <c r="E853" s="7"/>
      <c r="H853" s="7"/>
      <c r="I853" s="7"/>
      <c r="J853" s="7"/>
    </row>
    <row r="854" spans="5:10" x14ac:dyDescent="0.3">
      <c r="E854" s="7"/>
      <c r="H854" s="7"/>
      <c r="I854" s="7"/>
      <c r="J854" s="7"/>
    </row>
    <row r="855" spans="5:10" x14ac:dyDescent="0.3">
      <c r="E855" s="7"/>
      <c r="H855" s="7"/>
      <c r="I855" s="7"/>
      <c r="J855" s="7"/>
    </row>
    <row r="856" spans="5:10" x14ac:dyDescent="0.3">
      <c r="E856" s="7"/>
      <c r="H856" s="7"/>
      <c r="I856" s="7"/>
      <c r="J856" s="7"/>
    </row>
    <row r="857" spans="5:10" x14ac:dyDescent="0.3">
      <c r="E857" s="7"/>
      <c r="H857" s="7"/>
      <c r="I857" s="7"/>
      <c r="J857" s="7"/>
    </row>
    <row r="858" spans="5:10" x14ac:dyDescent="0.3">
      <c r="E858" s="7"/>
      <c r="H858" s="7"/>
      <c r="I858" s="7"/>
      <c r="J858" s="7"/>
    </row>
    <row r="859" spans="5:10" x14ac:dyDescent="0.3">
      <c r="E859" s="7"/>
      <c r="H859" s="7"/>
      <c r="I859" s="7"/>
      <c r="J859" s="7"/>
    </row>
    <row r="860" spans="5:10" x14ac:dyDescent="0.3">
      <c r="E860" s="7"/>
      <c r="H860" s="7"/>
      <c r="I860" s="7"/>
      <c r="J860" s="7"/>
    </row>
    <row r="861" spans="5:10" x14ac:dyDescent="0.3">
      <c r="E861" s="7"/>
      <c r="H861" s="7"/>
      <c r="I861" s="7"/>
      <c r="J861" s="7"/>
    </row>
    <row r="862" spans="5:10" x14ac:dyDescent="0.3">
      <c r="E862" s="7"/>
      <c r="H862" s="7"/>
      <c r="I862" s="7"/>
      <c r="J862" s="7"/>
    </row>
    <row r="863" spans="5:10" x14ac:dyDescent="0.3">
      <c r="E863" s="7"/>
      <c r="H863" s="7"/>
      <c r="I863" s="7"/>
      <c r="J863" s="7"/>
    </row>
    <row r="864" spans="5:10" x14ac:dyDescent="0.3">
      <c r="E864" s="7"/>
      <c r="H864" s="7"/>
      <c r="I864" s="7"/>
      <c r="J864" s="7"/>
    </row>
    <row r="865" spans="5:10" x14ac:dyDescent="0.3">
      <c r="E865" s="7"/>
      <c r="H865" s="7"/>
      <c r="I865" s="7"/>
      <c r="J865" s="7"/>
    </row>
    <row r="866" spans="5:10" x14ac:dyDescent="0.3">
      <c r="E866" s="7"/>
      <c r="H866" s="7"/>
      <c r="I866" s="7"/>
      <c r="J866" s="7"/>
    </row>
    <row r="867" spans="5:10" x14ac:dyDescent="0.3">
      <c r="E867" s="7"/>
      <c r="H867" s="7"/>
      <c r="I867" s="7"/>
      <c r="J867" s="7"/>
    </row>
    <row r="868" spans="5:10" x14ac:dyDescent="0.3">
      <c r="E868" s="7"/>
      <c r="H868" s="7"/>
      <c r="I868" s="7"/>
      <c r="J868" s="7"/>
    </row>
    <row r="869" spans="5:10" x14ac:dyDescent="0.3">
      <c r="E869" s="7"/>
      <c r="H869" s="7"/>
      <c r="I869" s="7"/>
      <c r="J869" s="7"/>
    </row>
    <row r="870" spans="5:10" x14ac:dyDescent="0.3">
      <c r="E870" s="7"/>
      <c r="H870" s="7"/>
      <c r="I870" s="7"/>
      <c r="J870" s="7"/>
    </row>
    <row r="871" spans="5:10" x14ac:dyDescent="0.3">
      <c r="E871" s="7"/>
      <c r="H871" s="7"/>
      <c r="I871" s="7"/>
      <c r="J871" s="7"/>
    </row>
    <row r="872" spans="5:10" x14ac:dyDescent="0.3">
      <c r="E872" s="7"/>
      <c r="H872" s="7"/>
      <c r="I872" s="7"/>
      <c r="J872" s="7"/>
    </row>
    <row r="873" spans="5:10" x14ac:dyDescent="0.3">
      <c r="E873" s="7"/>
      <c r="H873" s="7"/>
      <c r="I873" s="7"/>
      <c r="J873" s="7"/>
    </row>
    <row r="874" spans="5:10" x14ac:dyDescent="0.3">
      <c r="E874" s="7"/>
      <c r="H874" s="7"/>
      <c r="I874" s="7"/>
      <c r="J874" s="7"/>
    </row>
    <row r="875" spans="5:10" x14ac:dyDescent="0.3">
      <c r="E875" s="7"/>
      <c r="H875" s="7"/>
      <c r="I875" s="7"/>
      <c r="J875" s="7"/>
    </row>
    <row r="876" spans="5:10" x14ac:dyDescent="0.3">
      <c r="E876" s="7"/>
      <c r="H876" s="7"/>
      <c r="I876" s="7"/>
      <c r="J876" s="7"/>
    </row>
    <row r="877" spans="5:10" x14ac:dyDescent="0.3">
      <c r="E877" s="7"/>
      <c r="H877" s="7"/>
      <c r="I877" s="7"/>
      <c r="J877" s="7"/>
    </row>
    <row r="878" spans="5:10" x14ac:dyDescent="0.3">
      <c r="E878" s="7"/>
      <c r="H878" s="7"/>
      <c r="I878" s="7"/>
      <c r="J878" s="7"/>
    </row>
    <row r="879" spans="5:10" x14ac:dyDescent="0.3">
      <c r="E879" s="7"/>
      <c r="H879" s="7"/>
      <c r="I879" s="7"/>
      <c r="J879" s="7"/>
    </row>
    <row r="880" spans="5:10" x14ac:dyDescent="0.3">
      <c r="E880" s="7"/>
      <c r="H880" s="7"/>
      <c r="I880" s="7"/>
      <c r="J880" s="7"/>
    </row>
    <row r="881" spans="5:10" x14ac:dyDescent="0.3">
      <c r="E881" s="7"/>
      <c r="H881" s="7"/>
      <c r="I881" s="7"/>
      <c r="J881" s="7"/>
    </row>
    <row r="882" spans="5:10" x14ac:dyDescent="0.3">
      <c r="E882" s="7"/>
      <c r="H882" s="7"/>
      <c r="I882" s="7"/>
      <c r="J882" s="7"/>
    </row>
    <row r="883" spans="5:10" x14ac:dyDescent="0.3">
      <c r="E883" s="7"/>
      <c r="H883" s="7"/>
      <c r="I883" s="7"/>
      <c r="J883" s="7"/>
    </row>
    <row r="884" spans="5:10" x14ac:dyDescent="0.3">
      <c r="E884" s="7"/>
      <c r="H884" s="7"/>
      <c r="I884" s="7"/>
      <c r="J884" s="7"/>
    </row>
    <row r="885" spans="5:10" x14ac:dyDescent="0.3">
      <c r="E885" s="7"/>
      <c r="H885" s="7"/>
      <c r="I885" s="7"/>
      <c r="J885" s="7"/>
    </row>
    <row r="886" spans="5:10" x14ac:dyDescent="0.3">
      <c r="E886" s="7"/>
      <c r="H886" s="7"/>
      <c r="I886" s="7"/>
      <c r="J886" s="7"/>
    </row>
    <row r="887" spans="5:10" x14ac:dyDescent="0.3">
      <c r="E887" s="7"/>
      <c r="H887" s="7"/>
      <c r="I887" s="7"/>
      <c r="J887" s="7"/>
    </row>
    <row r="888" spans="5:10" x14ac:dyDescent="0.3">
      <c r="E888" s="7"/>
      <c r="H888" s="7"/>
      <c r="I888" s="7"/>
      <c r="J888" s="7"/>
    </row>
    <row r="889" spans="5:10" x14ac:dyDescent="0.3">
      <c r="E889" s="7"/>
      <c r="H889" s="7"/>
      <c r="I889" s="7"/>
      <c r="J889" s="7"/>
    </row>
    <row r="890" spans="5:10" x14ac:dyDescent="0.3">
      <c r="E890" s="7"/>
      <c r="H890" s="7"/>
      <c r="I890" s="7"/>
      <c r="J890" s="7"/>
    </row>
    <row r="891" spans="5:10" x14ac:dyDescent="0.3">
      <c r="E891" s="7"/>
      <c r="H891" s="7"/>
      <c r="I891" s="7"/>
      <c r="J891" s="7"/>
    </row>
    <row r="892" spans="5:10" x14ac:dyDescent="0.3">
      <c r="E892" s="7"/>
      <c r="H892" s="7"/>
      <c r="I892" s="7"/>
      <c r="J892" s="7"/>
    </row>
    <row r="893" spans="5:10" x14ac:dyDescent="0.3">
      <c r="E893" s="7"/>
      <c r="H893" s="7"/>
      <c r="I893" s="7"/>
      <c r="J893" s="7"/>
    </row>
    <row r="894" spans="5:10" x14ac:dyDescent="0.3">
      <c r="E894" s="7"/>
      <c r="H894" s="7"/>
      <c r="I894" s="7"/>
      <c r="J894" s="7"/>
    </row>
    <row r="895" spans="5:10" x14ac:dyDescent="0.3">
      <c r="E895" s="7"/>
      <c r="H895" s="7"/>
      <c r="I895" s="7"/>
      <c r="J895" s="7"/>
    </row>
    <row r="896" spans="5:10" x14ac:dyDescent="0.3">
      <c r="E896" s="7"/>
      <c r="H896" s="7"/>
      <c r="I896" s="7"/>
      <c r="J896" s="7"/>
    </row>
    <row r="897" spans="5:10" x14ac:dyDescent="0.3">
      <c r="E897" s="7"/>
      <c r="H897" s="7"/>
      <c r="I897" s="7"/>
      <c r="J897" s="7"/>
    </row>
    <row r="898" spans="5:10" x14ac:dyDescent="0.3">
      <c r="E898" s="7"/>
      <c r="H898" s="7"/>
      <c r="I898" s="7"/>
      <c r="J898" s="7"/>
    </row>
    <row r="899" spans="5:10" x14ac:dyDescent="0.3">
      <c r="E899" s="7"/>
      <c r="H899" s="7"/>
      <c r="I899" s="7"/>
      <c r="J899" s="7"/>
    </row>
    <row r="900" spans="5:10" x14ac:dyDescent="0.3">
      <c r="E900" s="7"/>
      <c r="H900" s="7"/>
      <c r="I900" s="7"/>
      <c r="J900" s="7"/>
    </row>
    <row r="901" spans="5:10" x14ac:dyDescent="0.3">
      <c r="E901" s="7"/>
      <c r="H901" s="7"/>
      <c r="I901" s="7"/>
      <c r="J901" s="7"/>
    </row>
    <row r="902" spans="5:10" x14ac:dyDescent="0.3">
      <c r="E902" s="7"/>
      <c r="H902" s="7"/>
      <c r="I902" s="7"/>
      <c r="J902" s="7"/>
    </row>
    <row r="903" spans="5:10" x14ac:dyDescent="0.3">
      <c r="E903" s="7"/>
      <c r="H903" s="7"/>
      <c r="I903" s="7"/>
      <c r="J903" s="7"/>
    </row>
    <row r="904" spans="5:10" x14ac:dyDescent="0.3">
      <c r="E904" s="7"/>
      <c r="H904" s="7"/>
      <c r="I904" s="7"/>
      <c r="J904" s="7"/>
    </row>
    <row r="905" spans="5:10" x14ac:dyDescent="0.3">
      <c r="E905" s="7"/>
      <c r="H905" s="7"/>
      <c r="I905" s="7"/>
      <c r="J905" s="7"/>
    </row>
    <row r="906" spans="5:10" x14ac:dyDescent="0.3">
      <c r="E906" s="7"/>
      <c r="H906" s="7"/>
      <c r="I906" s="7"/>
      <c r="J906" s="7"/>
    </row>
    <row r="907" spans="5:10" x14ac:dyDescent="0.3">
      <c r="E907" s="7"/>
      <c r="H907" s="7"/>
      <c r="I907" s="7"/>
      <c r="J907" s="7"/>
    </row>
    <row r="908" spans="5:10" x14ac:dyDescent="0.3">
      <c r="E908" s="7"/>
      <c r="H908" s="7"/>
      <c r="I908" s="7"/>
      <c r="J908" s="7"/>
    </row>
    <row r="909" spans="5:10" x14ac:dyDescent="0.3">
      <c r="E909" s="7"/>
      <c r="H909" s="7"/>
      <c r="I909" s="7"/>
      <c r="J909" s="7"/>
    </row>
    <row r="910" spans="5:10" x14ac:dyDescent="0.3">
      <c r="E910" s="7"/>
      <c r="H910" s="7"/>
      <c r="I910" s="7"/>
      <c r="J910" s="7"/>
    </row>
    <row r="911" spans="5:10" x14ac:dyDescent="0.3">
      <c r="E911" s="7"/>
      <c r="H911" s="7"/>
      <c r="I911" s="7"/>
      <c r="J911" s="7"/>
    </row>
    <row r="912" spans="5:10" x14ac:dyDescent="0.3">
      <c r="E912" s="7"/>
      <c r="H912" s="7"/>
      <c r="I912" s="7"/>
      <c r="J912" s="7"/>
    </row>
    <row r="913" spans="5:10" x14ac:dyDescent="0.3">
      <c r="E913" s="7"/>
      <c r="H913" s="7"/>
      <c r="I913" s="7"/>
      <c r="J913" s="7"/>
    </row>
    <row r="914" spans="5:10" x14ac:dyDescent="0.3">
      <c r="E914" s="7"/>
      <c r="H914" s="7"/>
      <c r="I914" s="7"/>
      <c r="J914" s="7"/>
    </row>
    <row r="915" spans="5:10" x14ac:dyDescent="0.3">
      <c r="E915" s="7"/>
      <c r="H915" s="7"/>
      <c r="I915" s="7"/>
      <c r="J915" s="7"/>
    </row>
    <row r="916" spans="5:10" x14ac:dyDescent="0.3">
      <c r="E916" s="7"/>
      <c r="H916" s="7"/>
      <c r="I916" s="7"/>
      <c r="J916" s="7"/>
    </row>
    <row r="917" spans="5:10" x14ac:dyDescent="0.3">
      <c r="E917" s="7"/>
      <c r="H917" s="7"/>
      <c r="I917" s="7"/>
      <c r="J917" s="7"/>
    </row>
    <row r="918" spans="5:10" x14ac:dyDescent="0.3">
      <c r="E918" s="7"/>
      <c r="H918" s="7"/>
      <c r="I918" s="7"/>
      <c r="J918" s="7"/>
    </row>
    <row r="919" spans="5:10" x14ac:dyDescent="0.3">
      <c r="E919" s="7"/>
      <c r="H919" s="7"/>
      <c r="I919" s="7"/>
      <c r="J919" s="7"/>
    </row>
    <row r="920" spans="5:10" x14ac:dyDescent="0.3">
      <c r="E920" s="7"/>
      <c r="H920" s="7"/>
      <c r="I920" s="7"/>
      <c r="J920" s="7"/>
    </row>
    <row r="921" spans="5:10" x14ac:dyDescent="0.3">
      <c r="E921" s="7"/>
      <c r="H921" s="7"/>
      <c r="I921" s="7"/>
      <c r="J921" s="7"/>
    </row>
    <row r="922" spans="5:10" x14ac:dyDescent="0.3">
      <c r="E922" s="7"/>
      <c r="H922" s="7"/>
      <c r="I922" s="7"/>
      <c r="J922" s="7"/>
    </row>
    <row r="923" spans="5:10" x14ac:dyDescent="0.3">
      <c r="E923" s="7"/>
      <c r="H923" s="7"/>
      <c r="I923" s="7"/>
      <c r="J923" s="7"/>
    </row>
    <row r="924" spans="5:10" x14ac:dyDescent="0.3">
      <c r="E924" s="7"/>
      <c r="H924" s="7"/>
      <c r="I924" s="7"/>
      <c r="J924" s="7"/>
    </row>
    <row r="925" spans="5:10" x14ac:dyDescent="0.3">
      <c r="E925" s="7"/>
      <c r="H925" s="7"/>
      <c r="I925" s="7"/>
      <c r="J925" s="7"/>
    </row>
    <row r="926" spans="5:10" x14ac:dyDescent="0.3">
      <c r="E926" s="7"/>
      <c r="H926" s="7"/>
      <c r="I926" s="7"/>
      <c r="J926" s="7"/>
    </row>
    <row r="927" spans="5:10" x14ac:dyDescent="0.3">
      <c r="E927" s="7"/>
      <c r="H927" s="7"/>
      <c r="I927" s="7"/>
      <c r="J927" s="7"/>
    </row>
    <row r="928" spans="5:10" x14ac:dyDescent="0.3">
      <c r="E928" s="7"/>
      <c r="H928" s="7"/>
      <c r="I928" s="7"/>
      <c r="J928" s="7"/>
    </row>
    <row r="929" spans="5:10" x14ac:dyDescent="0.3">
      <c r="E929" s="7"/>
      <c r="H929" s="7"/>
      <c r="I929" s="7"/>
      <c r="J929" s="7"/>
    </row>
    <row r="930" spans="5:10" x14ac:dyDescent="0.3">
      <c r="E930" s="7"/>
      <c r="H930" s="7"/>
      <c r="I930" s="7"/>
      <c r="J930" s="7"/>
    </row>
    <row r="931" spans="5:10" x14ac:dyDescent="0.3">
      <c r="E931" s="7"/>
      <c r="H931" s="7"/>
      <c r="I931" s="7"/>
      <c r="J931" s="7"/>
    </row>
    <row r="932" spans="5:10" x14ac:dyDescent="0.3">
      <c r="E932" s="7"/>
      <c r="H932" s="7"/>
      <c r="I932" s="7"/>
      <c r="J932" s="7"/>
    </row>
    <row r="933" spans="5:10" x14ac:dyDescent="0.3">
      <c r="E933" s="7"/>
      <c r="H933" s="7"/>
      <c r="I933" s="7"/>
      <c r="J933" s="7"/>
    </row>
    <row r="934" spans="5:10" x14ac:dyDescent="0.3">
      <c r="E934" s="7"/>
      <c r="H934" s="7"/>
      <c r="I934" s="7"/>
      <c r="J934" s="7"/>
    </row>
    <row r="935" spans="5:10" x14ac:dyDescent="0.3">
      <c r="E935" s="7"/>
      <c r="H935" s="7"/>
      <c r="I935" s="7"/>
      <c r="J935" s="7"/>
    </row>
    <row r="936" spans="5:10" x14ac:dyDescent="0.3">
      <c r="E936" s="7"/>
      <c r="H936" s="7"/>
      <c r="I936" s="7"/>
      <c r="J936" s="7"/>
    </row>
    <row r="937" spans="5:10" x14ac:dyDescent="0.3">
      <c r="E937" s="7"/>
      <c r="H937" s="7"/>
      <c r="I937" s="7"/>
      <c r="J937" s="7"/>
    </row>
    <row r="938" spans="5:10" x14ac:dyDescent="0.3">
      <c r="E938" s="7"/>
      <c r="H938" s="7"/>
      <c r="I938" s="7"/>
      <c r="J938" s="7"/>
    </row>
    <row r="939" spans="5:10" x14ac:dyDescent="0.3">
      <c r="E939" s="7"/>
      <c r="H939" s="7"/>
      <c r="I939" s="7"/>
      <c r="J939" s="7"/>
    </row>
    <row r="940" spans="5:10" x14ac:dyDescent="0.3">
      <c r="E940" s="7"/>
      <c r="H940" s="7"/>
      <c r="I940" s="7"/>
      <c r="J940" s="7"/>
    </row>
    <row r="941" spans="5:10" x14ac:dyDescent="0.3">
      <c r="E941" s="7"/>
      <c r="H941" s="7"/>
      <c r="I941" s="7"/>
      <c r="J941" s="7"/>
    </row>
    <row r="942" spans="5:10" x14ac:dyDescent="0.3">
      <c r="E942" s="7"/>
      <c r="H942" s="7"/>
      <c r="I942" s="7"/>
      <c r="J942" s="7"/>
    </row>
    <row r="943" spans="5:10" x14ac:dyDescent="0.3">
      <c r="E943" s="7"/>
      <c r="H943" s="7"/>
      <c r="I943" s="7"/>
      <c r="J943" s="7"/>
    </row>
    <row r="944" spans="5:10" x14ac:dyDescent="0.3">
      <c r="E944" s="7"/>
      <c r="H944" s="7"/>
      <c r="I944" s="7"/>
      <c r="J944" s="7"/>
    </row>
    <row r="945" spans="5:10" x14ac:dyDescent="0.3">
      <c r="E945" s="7"/>
      <c r="H945" s="7"/>
      <c r="I945" s="7"/>
      <c r="J945" s="7"/>
    </row>
    <row r="946" spans="5:10" x14ac:dyDescent="0.3">
      <c r="E946" s="7"/>
      <c r="H946" s="7"/>
      <c r="I946" s="7"/>
      <c r="J946" s="7"/>
    </row>
    <row r="947" spans="5:10" x14ac:dyDescent="0.3">
      <c r="E947" s="7"/>
      <c r="H947" s="7"/>
      <c r="I947" s="7"/>
      <c r="J947" s="7"/>
    </row>
    <row r="948" spans="5:10" x14ac:dyDescent="0.3">
      <c r="E948" s="7"/>
      <c r="H948" s="7"/>
      <c r="I948" s="7"/>
      <c r="J948" s="7"/>
    </row>
    <row r="949" spans="5:10" x14ac:dyDescent="0.3">
      <c r="E949" s="7"/>
      <c r="H949" s="7"/>
      <c r="I949" s="7"/>
      <c r="J949" s="7"/>
    </row>
    <row r="950" spans="5:10" x14ac:dyDescent="0.3">
      <c r="E950" s="7"/>
      <c r="H950" s="7"/>
      <c r="I950" s="7"/>
      <c r="J950" s="7"/>
    </row>
    <row r="951" spans="5:10" x14ac:dyDescent="0.3">
      <c r="E951" s="7"/>
      <c r="H951" s="7"/>
      <c r="I951" s="7"/>
      <c r="J951" s="7"/>
    </row>
    <row r="952" spans="5:10" x14ac:dyDescent="0.3">
      <c r="E952" s="7"/>
      <c r="H952" s="7"/>
      <c r="I952" s="7"/>
      <c r="J952" s="7"/>
    </row>
    <row r="953" spans="5:10" x14ac:dyDescent="0.3">
      <c r="E953" s="7"/>
      <c r="H953" s="7"/>
      <c r="I953" s="7"/>
      <c r="J953" s="7"/>
    </row>
    <row r="954" spans="5:10" x14ac:dyDescent="0.3">
      <c r="E954" s="7"/>
      <c r="H954" s="7"/>
      <c r="I954" s="7"/>
      <c r="J954" s="7"/>
    </row>
    <row r="955" spans="5:10" x14ac:dyDescent="0.3">
      <c r="E955" s="7"/>
      <c r="H955" s="7"/>
      <c r="I955" s="7"/>
      <c r="J955" s="7"/>
    </row>
    <row r="956" spans="5:10" x14ac:dyDescent="0.3">
      <c r="E956" s="7"/>
      <c r="H956" s="7"/>
      <c r="I956" s="7"/>
      <c r="J956" s="7"/>
    </row>
    <row r="957" spans="5:10" x14ac:dyDescent="0.3">
      <c r="E957" s="7"/>
      <c r="H957" s="7"/>
      <c r="I957" s="7"/>
      <c r="J957" s="7"/>
    </row>
    <row r="958" spans="5:10" x14ac:dyDescent="0.3">
      <c r="E958" s="7"/>
      <c r="H958" s="7"/>
      <c r="I958" s="7"/>
      <c r="J958" s="7"/>
    </row>
    <row r="959" spans="5:10" x14ac:dyDescent="0.3">
      <c r="E959" s="7"/>
      <c r="H959" s="7"/>
      <c r="I959" s="7"/>
      <c r="J959" s="7"/>
    </row>
    <row r="960" spans="5:10" x14ac:dyDescent="0.3">
      <c r="E960" s="7"/>
      <c r="H960" s="7"/>
      <c r="I960" s="7"/>
      <c r="J960" s="7"/>
    </row>
    <row r="961" spans="5:10" x14ac:dyDescent="0.3">
      <c r="E961" s="7"/>
      <c r="H961" s="7"/>
      <c r="I961" s="7"/>
      <c r="J961" s="7"/>
    </row>
    <row r="962" spans="5:10" x14ac:dyDescent="0.3">
      <c r="E962" s="7"/>
      <c r="H962" s="7"/>
      <c r="I962" s="7"/>
      <c r="J962" s="7"/>
    </row>
    <row r="963" spans="5:10" x14ac:dyDescent="0.3">
      <c r="E963" s="7"/>
      <c r="H963" s="7"/>
      <c r="I963" s="7"/>
      <c r="J963" s="7"/>
    </row>
    <row r="964" spans="5:10" x14ac:dyDescent="0.3">
      <c r="E964" s="7"/>
      <c r="H964" s="7"/>
      <c r="I964" s="7"/>
      <c r="J964" s="7"/>
    </row>
    <row r="965" spans="5:10" x14ac:dyDescent="0.3">
      <c r="E965" s="7"/>
      <c r="H965" s="7"/>
      <c r="I965" s="7"/>
      <c r="J965" s="7"/>
    </row>
    <row r="966" spans="5:10" x14ac:dyDescent="0.3">
      <c r="E966" s="7"/>
      <c r="H966" s="7"/>
      <c r="I966" s="7"/>
      <c r="J966" s="7"/>
    </row>
    <row r="967" spans="5:10" x14ac:dyDescent="0.3">
      <c r="E967" s="7"/>
      <c r="H967" s="7"/>
      <c r="I967" s="7"/>
      <c r="J967" s="7"/>
    </row>
    <row r="968" spans="5:10" x14ac:dyDescent="0.3">
      <c r="E968" s="7"/>
      <c r="H968" s="7"/>
      <c r="I968" s="7"/>
      <c r="J968" s="7"/>
    </row>
    <row r="969" spans="5:10" x14ac:dyDescent="0.3">
      <c r="E969" s="7"/>
      <c r="H969" s="7"/>
      <c r="I969" s="7"/>
      <c r="J969" s="7"/>
    </row>
    <row r="970" spans="5:10" x14ac:dyDescent="0.3">
      <c r="E970" s="7"/>
      <c r="H970" s="7"/>
      <c r="I970" s="7"/>
      <c r="J970" s="7"/>
    </row>
    <row r="971" spans="5:10" x14ac:dyDescent="0.3">
      <c r="E971" s="7"/>
      <c r="H971" s="7"/>
      <c r="I971" s="7"/>
      <c r="J971" s="7"/>
    </row>
    <row r="972" spans="5:10" x14ac:dyDescent="0.3">
      <c r="E972" s="7"/>
      <c r="H972" s="7"/>
      <c r="I972" s="7"/>
      <c r="J972" s="7"/>
    </row>
    <row r="973" spans="5:10" x14ac:dyDescent="0.3">
      <c r="E973" s="7"/>
      <c r="H973" s="7"/>
      <c r="I973" s="7"/>
      <c r="J973" s="7"/>
    </row>
    <row r="974" spans="5:10" x14ac:dyDescent="0.3">
      <c r="E974" s="7"/>
      <c r="H974" s="7"/>
      <c r="I974" s="7"/>
      <c r="J974" s="7"/>
    </row>
    <row r="975" spans="5:10" x14ac:dyDescent="0.3">
      <c r="E975" s="7"/>
      <c r="H975" s="7"/>
      <c r="I975" s="7"/>
      <c r="J975" s="7"/>
    </row>
    <row r="976" spans="5:10" x14ac:dyDescent="0.3">
      <c r="E976" s="7"/>
      <c r="H976" s="7"/>
      <c r="I976" s="7"/>
      <c r="J976" s="7"/>
    </row>
    <row r="977" spans="5:10" x14ac:dyDescent="0.3">
      <c r="E977" s="7"/>
      <c r="H977" s="7"/>
      <c r="I977" s="7"/>
      <c r="J977" s="7"/>
    </row>
    <row r="978" spans="5:10" x14ac:dyDescent="0.3">
      <c r="E978" s="7"/>
      <c r="H978" s="7"/>
      <c r="I978" s="7"/>
      <c r="J978" s="7"/>
    </row>
    <row r="979" spans="5:10" x14ac:dyDescent="0.3">
      <c r="E979" s="7"/>
      <c r="H979" s="7"/>
      <c r="I979" s="7"/>
      <c r="J979" s="7"/>
    </row>
    <row r="980" spans="5:10" x14ac:dyDescent="0.3">
      <c r="E980" s="7"/>
      <c r="H980" s="7"/>
      <c r="I980" s="7"/>
      <c r="J980" s="7"/>
    </row>
    <row r="981" spans="5:10" x14ac:dyDescent="0.3">
      <c r="E981" s="7"/>
      <c r="H981" s="7"/>
      <c r="I981" s="7"/>
      <c r="J981" s="7"/>
    </row>
    <row r="982" spans="5:10" x14ac:dyDescent="0.3">
      <c r="E982" s="7"/>
      <c r="H982" s="7"/>
      <c r="I982" s="7"/>
      <c r="J982" s="7"/>
    </row>
    <row r="983" spans="5:10" x14ac:dyDescent="0.3">
      <c r="E983" s="7"/>
      <c r="H983" s="7"/>
      <c r="I983" s="7"/>
      <c r="J983" s="7"/>
    </row>
    <row r="984" spans="5:10" x14ac:dyDescent="0.3">
      <c r="E984" s="7"/>
      <c r="H984" s="7"/>
      <c r="I984" s="7"/>
      <c r="J984" s="7"/>
    </row>
    <row r="985" spans="5:10" x14ac:dyDescent="0.3">
      <c r="E985" s="7"/>
      <c r="H985" s="7"/>
      <c r="I985" s="7"/>
      <c r="J985" s="7"/>
    </row>
    <row r="986" spans="5:10" x14ac:dyDescent="0.3">
      <c r="E986" s="7"/>
      <c r="H986" s="7"/>
      <c r="I986" s="7"/>
      <c r="J986" s="7"/>
    </row>
    <row r="987" spans="5:10" x14ac:dyDescent="0.3">
      <c r="E987" s="7"/>
      <c r="H987" s="7"/>
      <c r="I987" s="7"/>
      <c r="J987" s="7"/>
    </row>
    <row r="988" spans="5:10" x14ac:dyDescent="0.3">
      <c r="E988" s="7"/>
      <c r="H988" s="7"/>
      <c r="I988" s="7"/>
      <c r="J988" s="7"/>
    </row>
    <row r="989" spans="5:10" x14ac:dyDescent="0.3">
      <c r="E989" s="7"/>
      <c r="H989" s="7"/>
      <c r="I989" s="7"/>
      <c r="J989" s="7"/>
    </row>
    <row r="990" spans="5:10" x14ac:dyDescent="0.3">
      <c r="E990" s="7"/>
      <c r="H990" s="7"/>
      <c r="I990" s="7"/>
      <c r="J990" s="7"/>
    </row>
    <row r="991" spans="5:10" x14ac:dyDescent="0.3">
      <c r="E991" s="7"/>
      <c r="H991" s="7"/>
      <c r="I991" s="7"/>
      <c r="J991" s="7"/>
    </row>
    <row r="992" spans="5:10" x14ac:dyDescent="0.3">
      <c r="E992" s="7"/>
      <c r="H992" s="7"/>
      <c r="I992" s="7"/>
      <c r="J992" s="7"/>
    </row>
    <row r="993" spans="5:10" x14ac:dyDescent="0.3">
      <c r="E993" s="7"/>
      <c r="H993" s="7"/>
      <c r="I993" s="7"/>
      <c r="J993" s="7"/>
    </row>
    <row r="994" spans="5:10" x14ac:dyDescent="0.3">
      <c r="E994" s="7"/>
      <c r="H994" s="7"/>
      <c r="I994" s="7"/>
      <c r="J994" s="7"/>
    </row>
    <row r="995" spans="5:10" x14ac:dyDescent="0.3">
      <c r="E995" s="7"/>
      <c r="H995" s="7"/>
      <c r="I995" s="7"/>
      <c r="J995" s="7"/>
    </row>
    <row r="996" spans="5:10" x14ac:dyDescent="0.3">
      <c r="E996" s="7"/>
      <c r="H996" s="7"/>
      <c r="I996" s="7"/>
      <c r="J996" s="7"/>
    </row>
    <row r="997" spans="5:10" x14ac:dyDescent="0.3">
      <c r="E997" s="7"/>
      <c r="H997" s="7"/>
      <c r="I997" s="7"/>
      <c r="J997" s="7"/>
    </row>
    <row r="998" spans="5:10" x14ac:dyDescent="0.3">
      <c r="E998" s="7"/>
      <c r="H998" s="7"/>
      <c r="I998" s="7"/>
      <c r="J998" s="7"/>
    </row>
    <row r="999" spans="5:10" x14ac:dyDescent="0.3">
      <c r="E999" s="7"/>
      <c r="H999" s="7"/>
      <c r="I999" s="7"/>
      <c r="J999" s="7"/>
    </row>
    <row r="1000" spans="5:10" x14ac:dyDescent="0.3">
      <c r="E1000" s="7"/>
      <c r="H1000" s="7"/>
      <c r="I1000" s="7"/>
      <c r="J1000" s="7"/>
    </row>
    <row r="1001" spans="5:10" x14ac:dyDescent="0.3">
      <c r="E1001" s="7"/>
      <c r="H1001" s="7"/>
      <c r="I1001" s="7"/>
      <c r="J1001" s="7"/>
    </row>
    <row r="1002" spans="5:10" x14ac:dyDescent="0.3">
      <c r="E1002" s="7"/>
      <c r="H1002" s="7"/>
      <c r="I1002" s="7"/>
      <c r="J1002" s="7"/>
    </row>
    <row r="1003" spans="5:10" x14ac:dyDescent="0.3">
      <c r="E1003" s="7"/>
      <c r="H1003" s="7"/>
      <c r="I1003" s="7"/>
      <c r="J1003" s="7"/>
    </row>
    <row r="1004" spans="5:10" x14ac:dyDescent="0.3">
      <c r="E1004" s="7"/>
      <c r="H1004" s="7"/>
      <c r="I1004" s="7"/>
      <c r="J1004" s="7"/>
    </row>
    <row r="1005" spans="5:10" x14ac:dyDescent="0.3">
      <c r="E1005" s="7"/>
      <c r="H1005" s="7"/>
      <c r="I1005" s="7"/>
      <c r="J1005" s="7"/>
    </row>
    <row r="1006" spans="5:10" x14ac:dyDescent="0.3">
      <c r="E1006" s="7"/>
      <c r="H1006" s="7"/>
      <c r="I1006" s="7"/>
      <c r="J1006" s="7"/>
    </row>
    <row r="1007" spans="5:10" x14ac:dyDescent="0.3">
      <c r="E1007" s="7"/>
      <c r="H1007" s="7"/>
      <c r="I1007" s="7"/>
      <c r="J1007" s="7"/>
    </row>
    <row r="1008" spans="5:10" x14ac:dyDescent="0.3">
      <c r="E1008" s="7"/>
      <c r="H1008" s="7"/>
      <c r="I1008" s="7"/>
      <c r="J1008" s="7"/>
    </row>
    <row r="1009" spans="5:10" x14ac:dyDescent="0.3">
      <c r="E1009" s="7"/>
      <c r="H1009" s="7"/>
      <c r="I1009" s="7"/>
      <c r="J1009" s="7"/>
    </row>
    <row r="1010" spans="5:10" x14ac:dyDescent="0.3">
      <c r="E1010" s="7"/>
      <c r="H1010" s="7"/>
      <c r="I1010" s="7"/>
      <c r="J1010" s="7"/>
    </row>
    <row r="1011" spans="5:10" x14ac:dyDescent="0.3">
      <c r="E1011" s="7"/>
      <c r="H1011" s="7"/>
      <c r="I1011" s="7"/>
      <c r="J1011" s="7"/>
    </row>
    <row r="1012" spans="5:10" x14ac:dyDescent="0.3">
      <c r="E1012" s="7"/>
      <c r="H1012" s="7"/>
      <c r="I1012" s="7"/>
      <c r="J1012" s="7"/>
    </row>
    <row r="1013" spans="5:10" x14ac:dyDescent="0.3">
      <c r="E1013" s="7"/>
      <c r="H1013" s="7"/>
      <c r="I1013" s="7"/>
      <c r="J1013" s="7"/>
    </row>
    <row r="1014" spans="5:10" x14ac:dyDescent="0.3">
      <c r="E1014" s="7"/>
      <c r="H1014" s="7"/>
      <c r="I1014" s="7"/>
      <c r="J1014" s="7"/>
    </row>
    <row r="1015" spans="5:10" x14ac:dyDescent="0.3">
      <c r="E1015" s="7"/>
      <c r="H1015" s="7"/>
      <c r="I1015" s="7"/>
      <c r="J1015" s="7"/>
    </row>
    <row r="1016" spans="5:10" x14ac:dyDescent="0.3">
      <c r="E1016" s="7"/>
      <c r="H1016" s="7"/>
      <c r="I1016" s="7"/>
      <c r="J1016" s="7"/>
    </row>
    <row r="1017" spans="5:10" x14ac:dyDescent="0.3">
      <c r="E1017" s="7"/>
      <c r="H1017" s="7"/>
      <c r="I1017" s="7"/>
      <c r="J1017" s="7"/>
    </row>
    <row r="1018" spans="5:10" x14ac:dyDescent="0.3">
      <c r="E1018" s="7"/>
      <c r="H1018" s="7"/>
      <c r="I1018" s="7"/>
      <c r="J1018" s="7"/>
    </row>
    <row r="1019" spans="5:10" x14ac:dyDescent="0.3">
      <c r="E1019" s="7"/>
      <c r="H1019" s="7"/>
      <c r="I1019" s="7"/>
      <c r="J1019" s="7"/>
    </row>
    <row r="1020" spans="5:10" x14ac:dyDescent="0.3">
      <c r="E1020" s="7"/>
      <c r="H1020" s="7"/>
      <c r="I1020" s="7"/>
      <c r="J1020" s="7"/>
    </row>
    <row r="1021" spans="5:10" x14ac:dyDescent="0.3">
      <c r="E1021" s="7"/>
      <c r="H1021" s="7"/>
      <c r="I1021" s="7"/>
      <c r="J1021" s="7"/>
    </row>
    <row r="1022" spans="5:10" x14ac:dyDescent="0.3">
      <c r="E1022" s="7"/>
      <c r="H1022" s="7"/>
      <c r="I1022" s="7"/>
      <c r="J1022" s="7"/>
    </row>
    <row r="1023" spans="5:10" x14ac:dyDescent="0.3">
      <c r="E1023" s="7"/>
      <c r="H1023" s="7"/>
      <c r="I1023" s="7"/>
      <c r="J1023" s="7"/>
    </row>
    <row r="1024" spans="5:10" x14ac:dyDescent="0.3">
      <c r="E1024" s="7"/>
      <c r="H1024" s="7"/>
      <c r="I1024" s="7"/>
      <c r="J1024" s="7"/>
    </row>
    <row r="1025" spans="5:10" x14ac:dyDescent="0.3">
      <c r="E1025" s="7"/>
      <c r="H1025" s="7"/>
      <c r="I1025" s="7"/>
      <c r="J1025" s="7"/>
    </row>
    <row r="1026" spans="5:10" x14ac:dyDescent="0.3">
      <c r="E1026" s="7"/>
      <c r="H1026" s="7"/>
      <c r="I1026" s="7"/>
      <c r="J1026" s="7"/>
    </row>
    <row r="1027" spans="5:10" x14ac:dyDescent="0.3">
      <c r="E1027" s="7"/>
      <c r="H1027" s="7"/>
      <c r="I1027" s="7"/>
      <c r="J1027" s="7"/>
    </row>
    <row r="1028" spans="5:10" x14ac:dyDescent="0.3">
      <c r="E1028" s="7"/>
      <c r="H1028" s="7"/>
      <c r="I1028" s="7"/>
      <c r="J1028" s="7"/>
    </row>
    <row r="1029" spans="5:10" x14ac:dyDescent="0.3">
      <c r="E1029" s="7"/>
      <c r="H1029" s="7"/>
      <c r="I1029" s="7"/>
      <c r="J1029" s="7"/>
    </row>
    <row r="1030" spans="5:10" x14ac:dyDescent="0.3">
      <c r="E1030" s="7"/>
      <c r="H1030" s="7"/>
      <c r="I1030" s="7"/>
      <c r="J1030" s="7"/>
    </row>
    <row r="1031" spans="5:10" x14ac:dyDescent="0.3">
      <c r="E1031" s="7"/>
      <c r="H1031" s="7"/>
      <c r="I1031" s="7"/>
      <c r="J1031" s="7"/>
    </row>
    <row r="1032" spans="5:10" x14ac:dyDescent="0.3">
      <c r="E1032" s="7"/>
      <c r="H1032" s="7"/>
      <c r="I1032" s="7"/>
      <c r="J1032" s="7"/>
    </row>
    <row r="1033" spans="5:10" x14ac:dyDescent="0.3">
      <c r="E1033" s="7"/>
      <c r="H1033" s="7"/>
      <c r="I1033" s="7"/>
      <c r="J1033" s="7"/>
    </row>
    <row r="1034" spans="5:10" x14ac:dyDescent="0.3">
      <c r="E1034" s="7"/>
      <c r="H1034" s="7"/>
      <c r="I1034" s="7"/>
      <c r="J1034" s="7"/>
    </row>
    <row r="1035" spans="5:10" x14ac:dyDescent="0.3">
      <c r="E1035" s="7"/>
      <c r="H1035" s="7"/>
      <c r="I1035" s="7"/>
      <c r="J1035" s="7"/>
    </row>
    <row r="1036" spans="5:10" x14ac:dyDescent="0.3">
      <c r="E1036" s="7"/>
      <c r="H1036" s="7"/>
      <c r="I1036" s="7"/>
      <c r="J1036" s="7"/>
    </row>
    <row r="1037" spans="5:10" x14ac:dyDescent="0.3">
      <c r="E1037" s="7"/>
      <c r="H1037" s="7"/>
      <c r="I1037" s="7"/>
      <c r="J1037" s="7"/>
    </row>
    <row r="1038" spans="5:10" x14ac:dyDescent="0.3">
      <c r="E1038" s="7"/>
      <c r="H1038" s="7"/>
      <c r="I1038" s="7"/>
      <c r="J1038" s="7"/>
    </row>
    <row r="1039" spans="5:10" x14ac:dyDescent="0.3">
      <c r="E1039" s="7"/>
      <c r="H1039" s="7"/>
      <c r="I1039" s="7"/>
      <c r="J1039" s="7"/>
    </row>
    <row r="1040" spans="5:10" x14ac:dyDescent="0.3">
      <c r="E1040" s="7"/>
      <c r="H1040" s="7"/>
      <c r="I1040" s="7"/>
      <c r="J1040" s="7"/>
    </row>
    <row r="1041" spans="5:10" x14ac:dyDescent="0.3">
      <c r="E1041" s="7"/>
      <c r="H1041" s="7"/>
      <c r="I1041" s="7"/>
      <c r="J1041" s="7"/>
    </row>
    <row r="1042" spans="5:10" x14ac:dyDescent="0.3">
      <c r="E1042" s="7"/>
      <c r="H1042" s="7"/>
      <c r="I1042" s="7"/>
      <c r="J1042" s="7"/>
    </row>
    <row r="1043" spans="5:10" x14ac:dyDescent="0.3">
      <c r="E1043" s="7"/>
      <c r="H1043" s="7"/>
      <c r="I1043" s="7"/>
      <c r="J1043" s="7"/>
    </row>
    <row r="1044" spans="5:10" x14ac:dyDescent="0.3">
      <c r="E1044" s="7"/>
      <c r="H1044" s="7"/>
      <c r="I1044" s="7"/>
      <c r="J1044" s="7"/>
    </row>
    <row r="1045" spans="5:10" x14ac:dyDescent="0.3">
      <c r="E1045" s="7"/>
      <c r="H1045" s="7"/>
      <c r="I1045" s="7"/>
      <c r="J1045" s="7"/>
    </row>
    <row r="1046" spans="5:10" x14ac:dyDescent="0.3">
      <c r="E1046" s="7"/>
      <c r="H1046" s="7"/>
      <c r="I1046" s="7"/>
      <c r="J1046" s="7"/>
    </row>
    <row r="1047" spans="5:10" x14ac:dyDescent="0.3">
      <c r="E1047" s="7"/>
      <c r="H1047" s="7"/>
      <c r="I1047" s="7"/>
      <c r="J1047" s="7"/>
    </row>
    <row r="1048" spans="5:10" x14ac:dyDescent="0.3">
      <c r="E1048" s="7"/>
      <c r="H1048" s="7"/>
      <c r="I1048" s="7"/>
      <c r="J1048" s="7"/>
    </row>
    <row r="1049" spans="5:10" x14ac:dyDescent="0.3">
      <c r="E1049" s="7"/>
      <c r="H1049" s="7"/>
      <c r="I1049" s="7"/>
      <c r="J1049" s="7"/>
    </row>
    <row r="1050" spans="5:10" x14ac:dyDescent="0.3">
      <c r="E1050" s="7"/>
      <c r="H1050" s="7"/>
      <c r="I1050" s="7"/>
      <c r="J1050" s="7"/>
    </row>
    <row r="1051" spans="5:10" x14ac:dyDescent="0.3">
      <c r="E1051" s="7"/>
      <c r="H1051" s="7"/>
      <c r="I1051" s="7"/>
      <c r="J1051" s="7"/>
    </row>
    <row r="1052" spans="5:10" x14ac:dyDescent="0.3">
      <c r="E1052" s="7"/>
      <c r="H1052" s="7"/>
      <c r="I1052" s="7"/>
      <c r="J1052" s="7"/>
    </row>
    <row r="1053" spans="5:10" x14ac:dyDescent="0.3">
      <c r="E1053" s="7"/>
      <c r="H1053" s="7"/>
      <c r="I1053" s="7"/>
      <c r="J1053" s="7"/>
    </row>
    <row r="1054" spans="5:10" x14ac:dyDescent="0.3">
      <c r="E1054" s="7"/>
      <c r="H1054" s="7"/>
      <c r="I1054" s="7"/>
      <c r="J1054" s="7"/>
    </row>
    <row r="1055" spans="5:10" x14ac:dyDescent="0.3">
      <c r="E1055" s="7"/>
      <c r="H1055" s="7"/>
      <c r="I1055" s="7"/>
      <c r="J1055" s="7"/>
    </row>
    <row r="1056" spans="5:10" x14ac:dyDescent="0.3">
      <c r="E1056" s="7"/>
      <c r="H1056" s="7"/>
      <c r="I1056" s="7"/>
      <c r="J1056" s="7"/>
    </row>
    <row r="1057" spans="5:10" x14ac:dyDescent="0.3">
      <c r="E1057" s="7"/>
      <c r="H1057" s="7"/>
      <c r="I1057" s="7"/>
      <c r="J1057" s="7"/>
    </row>
    <row r="1058" spans="5:10" x14ac:dyDescent="0.3">
      <c r="E1058" s="7"/>
      <c r="H1058" s="7"/>
      <c r="I1058" s="7"/>
      <c r="J1058" s="7"/>
    </row>
    <row r="1059" spans="5:10" x14ac:dyDescent="0.3">
      <c r="E1059" s="7"/>
      <c r="H1059" s="7"/>
      <c r="I1059" s="7"/>
      <c r="J1059" s="7"/>
    </row>
    <row r="1060" spans="5:10" x14ac:dyDescent="0.3">
      <c r="E1060" s="7"/>
      <c r="H1060" s="7"/>
      <c r="I1060" s="7"/>
      <c r="J1060" s="7"/>
    </row>
    <row r="1061" spans="5:10" x14ac:dyDescent="0.3">
      <c r="E1061" s="7"/>
      <c r="H1061" s="7"/>
      <c r="I1061" s="7"/>
      <c r="J1061" s="7"/>
    </row>
    <row r="1062" spans="5:10" x14ac:dyDescent="0.3">
      <c r="E1062" s="7"/>
      <c r="H1062" s="7"/>
      <c r="I1062" s="7"/>
      <c r="J1062" s="7"/>
    </row>
    <row r="1063" spans="5:10" x14ac:dyDescent="0.3">
      <c r="E1063" s="7"/>
      <c r="H1063" s="7"/>
      <c r="I1063" s="7"/>
      <c r="J1063" s="7"/>
    </row>
    <row r="1064" spans="5:10" x14ac:dyDescent="0.3">
      <c r="E1064" s="7"/>
      <c r="H1064" s="7"/>
      <c r="I1064" s="7"/>
      <c r="J1064" s="7"/>
    </row>
    <row r="1065" spans="5:10" x14ac:dyDescent="0.3">
      <c r="E1065" s="7"/>
      <c r="H1065" s="7"/>
      <c r="I1065" s="7"/>
      <c r="J1065" s="7"/>
    </row>
    <row r="1066" spans="5:10" x14ac:dyDescent="0.3">
      <c r="E1066" s="7"/>
      <c r="H1066" s="7"/>
      <c r="I1066" s="7"/>
      <c r="J1066" s="7"/>
    </row>
    <row r="1067" spans="5:10" x14ac:dyDescent="0.3">
      <c r="E1067" s="7"/>
      <c r="H1067" s="7"/>
      <c r="I1067" s="7"/>
      <c r="J1067" s="7"/>
    </row>
    <row r="1068" spans="5:10" x14ac:dyDescent="0.3">
      <c r="E1068" s="7"/>
      <c r="H1068" s="7"/>
      <c r="I1068" s="7"/>
      <c r="J1068" s="7"/>
    </row>
    <row r="1069" spans="5:10" x14ac:dyDescent="0.3">
      <c r="E1069" s="7"/>
      <c r="H1069" s="7"/>
      <c r="I1069" s="7"/>
      <c r="J1069" s="7"/>
    </row>
    <row r="1070" spans="5:10" x14ac:dyDescent="0.3">
      <c r="E1070" s="7"/>
      <c r="H1070" s="7"/>
      <c r="I1070" s="7"/>
      <c r="J1070" s="7"/>
    </row>
    <row r="1071" spans="5:10" x14ac:dyDescent="0.3">
      <c r="E1071" s="7"/>
      <c r="H1071" s="7"/>
      <c r="I1071" s="7"/>
      <c r="J1071" s="7"/>
    </row>
    <row r="1072" spans="5:10" x14ac:dyDescent="0.3">
      <c r="E1072" s="7"/>
      <c r="H1072" s="7"/>
      <c r="I1072" s="7"/>
      <c r="J1072" s="7"/>
    </row>
    <row r="1073" spans="5:10" x14ac:dyDescent="0.3">
      <c r="E1073" s="7"/>
      <c r="H1073" s="7"/>
      <c r="I1073" s="7"/>
      <c r="J1073" s="7"/>
    </row>
    <row r="1074" spans="5:10" x14ac:dyDescent="0.3">
      <c r="E1074" s="7"/>
      <c r="H1074" s="7"/>
      <c r="I1074" s="7"/>
      <c r="J1074" s="7"/>
    </row>
    <row r="1075" spans="5:10" x14ac:dyDescent="0.3">
      <c r="E1075" s="7"/>
      <c r="H1075" s="7"/>
      <c r="I1075" s="7"/>
      <c r="J1075" s="7"/>
    </row>
    <row r="1076" spans="5:10" x14ac:dyDescent="0.3">
      <c r="E1076" s="7"/>
      <c r="H1076" s="7"/>
      <c r="I1076" s="7"/>
      <c r="J1076" s="7"/>
    </row>
    <row r="1077" spans="5:10" x14ac:dyDescent="0.3">
      <c r="E1077" s="7"/>
      <c r="H1077" s="7"/>
      <c r="I1077" s="7"/>
      <c r="J1077" s="7"/>
    </row>
    <row r="1078" spans="5:10" x14ac:dyDescent="0.3">
      <c r="E1078" s="7"/>
      <c r="H1078" s="7"/>
      <c r="I1078" s="7"/>
      <c r="J1078" s="7"/>
    </row>
    <row r="1079" spans="5:10" x14ac:dyDescent="0.3">
      <c r="E1079" s="7"/>
      <c r="H1079" s="7"/>
      <c r="I1079" s="7"/>
      <c r="J1079" s="7"/>
    </row>
    <row r="1080" spans="5:10" x14ac:dyDescent="0.3">
      <c r="E1080" s="7"/>
      <c r="H1080" s="7"/>
      <c r="I1080" s="7"/>
      <c r="J1080" s="7"/>
    </row>
    <row r="1081" spans="5:10" x14ac:dyDescent="0.3">
      <c r="E1081" s="7"/>
      <c r="H1081" s="7"/>
      <c r="I1081" s="7"/>
      <c r="J1081" s="7"/>
    </row>
    <row r="1082" spans="5:10" x14ac:dyDescent="0.3">
      <c r="E1082" s="7"/>
      <c r="H1082" s="7"/>
      <c r="I1082" s="7"/>
      <c r="J1082" s="7"/>
    </row>
    <row r="1083" spans="5:10" x14ac:dyDescent="0.3">
      <c r="E1083" s="7"/>
      <c r="H1083" s="7"/>
      <c r="I1083" s="7"/>
      <c r="J1083" s="7"/>
    </row>
    <row r="1084" spans="5:10" x14ac:dyDescent="0.3">
      <c r="E1084" s="7"/>
      <c r="H1084" s="7"/>
      <c r="I1084" s="7"/>
      <c r="J1084" s="7"/>
    </row>
    <row r="1085" spans="5:10" x14ac:dyDescent="0.3">
      <c r="E1085" s="7"/>
      <c r="H1085" s="7"/>
      <c r="I1085" s="7"/>
      <c r="J1085" s="7"/>
    </row>
    <row r="1086" spans="5:10" x14ac:dyDescent="0.3">
      <c r="E1086" s="7"/>
      <c r="H1086" s="7"/>
      <c r="I1086" s="7"/>
      <c r="J1086" s="7"/>
    </row>
    <row r="1087" spans="5:10" x14ac:dyDescent="0.3">
      <c r="E1087" s="7"/>
      <c r="H1087" s="7"/>
      <c r="I1087" s="7"/>
      <c r="J1087" s="7"/>
    </row>
    <row r="1088" spans="5:10" x14ac:dyDescent="0.3">
      <c r="E1088" s="7"/>
      <c r="H1088" s="7"/>
      <c r="I1088" s="7"/>
      <c r="J1088" s="7"/>
    </row>
    <row r="1089" spans="5:10" x14ac:dyDescent="0.3">
      <c r="E1089" s="7"/>
      <c r="H1089" s="7"/>
      <c r="I1089" s="7"/>
      <c r="J1089" s="7"/>
    </row>
    <row r="1090" spans="5:10" x14ac:dyDescent="0.3">
      <c r="E1090" s="7"/>
      <c r="H1090" s="7"/>
      <c r="I1090" s="7"/>
      <c r="J1090" s="7"/>
    </row>
    <row r="1091" spans="5:10" x14ac:dyDescent="0.3">
      <c r="E1091" s="7"/>
      <c r="H1091" s="7"/>
      <c r="I1091" s="7"/>
      <c r="J1091" s="7"/>
    </row>
    <row r="1092" spans="5:10" x14ac:dyDescent="0.3">
      <c r="E1092" s="7"/>
      <c r="H1092" s="7"/>
      <c r="I1092" s="7"/>
      <c r="J1092" s="7"/>
    </row>
    <row r="1093" spans="5:10" x14ac:dyDescent="0.3">
      <c r="E1093" s="7"/>
      <c r="H1093" s="7"/>
      <c r="I1093" s="7"/>
      <c r="J1093" s="7"/>
    </row>
    <row r="1094" spans="5:10" x14ac:dyDescent="0.3">
      <c r="E1094" s="7"/>
      <c r="H1094" s="7"/>
      <c r="I1094" s="7"/>
      <c r="J1094" s="7"/>
    </row>
    <row r="1095" spans="5:10" x14ac:dyDescent="0.3">
      <c r="E1095" s="7"/>
      <c r="H1095" s="7"/>
      <c r="I1095" s="7"/>
      <c r="J1095" s="7"/>
    </row>
    <row r="1096" spans="5:10" x14ac:dyDescent="0.3">
      <c r="E1096" s="7"/>
      <c r="H1096" s="7"/>
      <c r="I1096" s="7"/>
      <c r="J1096" s="7"/>
    </row>
    <row r="1097" spans="5:10" x14ac:dyDescent="0.3">
      <c r="E1097" s="7"/>
      <c r="H1097" s="7"/>
      <c r="I1097" s="7"/>
      <c r="J1097" s="7"/>
    </row>
    <row r="1098" spans="5:10" x14ac:dyDescent="0.3">
      <c r="E1098" s="7"/>
      <c r="H1098" s="7"/>
      <c r="I1098" s="7"/>
      <c r="J1098" s="7"/>
    </row>
    <row r="1099" spans="5:10" x14ac:dyDescent="0.3">
      <c r="E1099" s="7"/>
      <c r="H1099" s="7"/>
      <c r="I1099" s="7"/>
      <c r="J1099" s="7"/>
    </row>
    <row r="1100" spans="5:10" x14ac:dyDescent="0.3">
      <c r="E1100" s="7"/>
      <c r="H1100" s="7"/>
      <c r="I1100" s="7"/>
      <c r="J1100" s="7"/>
    </row>
    <row r="1101" spans="5:10" x14ac:dyDescent="0.3">
      <c r="E1101" s="7"/>
      <c r="H1101" s="7"/>
      <c r="I1101" s="7"/>
      <c r="J1101" s="7"/>
    </row>
    <row r="1102" spans="5:10" x14ac:dyDescent="0.3">
      <c r="E1102" s="7"/>
      <c r="H1102" s="7"/>
      <c r="I1102" s="7"/>
      <c r="J1102" s="7"/>
    </row>
    <row r="1103" spans="5:10" x14ac:dyDescent="0.3">
      <c r="E1103" s="7"/>
      <c r="H1103" s="7"/>
      <c r="I1103" s="7"/>
      <c r="J1103" s="7"/>
    </row>
    <row r="1104" spans="5:10" x14ac:dyDescent="0.3">
      <c r="E1104" s="7"/>
      <c r="H1104" s="7"/>
      <c r="I1104" s="7"/>
      <c r="J1104" s="7"/>
    </row>
    <row r="1105" spans="5:10" x14ac:dyDescent="0.3">
      <c r="E1105" s="7"/>
      <c r="H1105" s="7"/>
      <c r="I1105" s="7"/>
      <c r="J1105" s="7"/>
    </row>
    <row r="1106" spans="5:10" x14ac:dyDescent="0.3">
      <c r="E1106" s="7"/>
      <c r="H1106" s="7"/>
      <c r="I1106" s="7"/>
      <c r="J1106" s="7"/>
    </row>
    <row r="1107" spans="5:10" x14ac:dyDescent="0.3">
      <c r="E1107" s="7"/>
      <c r="H1107" s="7"/>
      <c r="I1107" s="7"/>
      <c r="J1107" s="7"/>
    </row>
    <row r="1108" spans="5:10" x14ac:dyDescent="0.3">
      <c r="E1108" s="7"/>
      <c r="H1108" s="7"/>
      <c r="I1108" s="7"/>
      <c r="J1108" s="7"/>
    </row>
    <row r="1109" spans="5:10" x14ac:dyDescent="0.3">
      <c r="E1109" s="7"/>
      <c r="H1109" s="7"/>
      <c r="I1109" s="7"/>
      <c r="J1109" s="7"/>
    </row>
    <row r="1110" spans="5:10" x14ac:dyDescent="0.3">
      <c r="E1110" s="7"/>
      <c r="H1110" s="7"/>
      <c r="I1110" s="7"/>
      <c r="J1110" s="7"/>
    </row>
    <row r="1111" spans="5:10" x14ac:dyDescent="0.3">
      <c r="E1111" s="7"/>
      <c r="H1111" s="7"/>
      <c r="I1111" s="7"/>
      <c r="J1111" s="7"/>
    </row>
    <row r="1112" spans="5:10" x14ac:dyDescent="0.3">
      <c r="E1112" s="7"/>
      <c r="H1112" s="7"/>
      <c r="I1112" s="7"/>
      <c r="J1112" s="7"/>
    </row>
    <row r="1113" spans="5:10" x14ac:dyDescent="0.3">
      <c r="E1113" s="7"/>
      <c r="H1113" s="7"/>
      <c r="I1113" s="7"/>
      <c r="J1113" s="7"/>
    </row>
    <row r="1114" spans="5:10" x14ac:dyDescent="0.3">
      <c r="E1114" s="7"/>
      <c r="H1114" s="7"/>
      <c r="I1114" s="7"/>
      <c r="J1114" s="7"/>
    </row>
    <row r="1115" spans="5:10" x14ac:dyDescent="0.3">
      <c r="E1115" s="7"/>
      <c r="H1115" s="7"/>
      <c r="I1115" s="7"/>
      <c r="J1115" s="7"/>
    </row>
    <row r="1116" spans="5:10" x14ac:dyDescent="0.3">
      <c r="E1116" s="7"/>
      <c r="H1116" s="7"/>
      <c r="I1116" s="7"/>
      <c r="J1116" s="7"/>
    </row>
    <row r="1117" spans="5:10" x14ac:dyDescent="0.3">
      <c r="E1117" s="7"/>
      <c r="H1117" s="7"/>
      <c r="I1117" s="7"/>
      <c r="J1117" s="7"/>
    </row>
    <row r="1118" spans="5:10" x14ac:dyDescent="0.3">
      <c r="E1118" s="7"/>
      <c r="H1118" s="7"/>
      <c r="I1118" s="7"/>
      <c r="J1118" s="7"/>
    </row>
    <row r="1119" spans="5:10" x14ac:dyDescent="0.3">
      <c r="E1119" s="7"/>
      <c r="H1119" s="7"/>
      <c r="I1119" s="7"/>
      <c r="J1119" s="7"/>
    </row>
    <row r="1120" spans="5:10" x14ac:dyDescent="0.3">
      <c r="E1120" s="7"/>
      <c r="H1120" s="7"/>
      <c r="I1120" s="7"/>
      <c r="J1120" s="7"/>
    </row>
    <row r="1121" spans="5:10" x14ac:dyDescent="0.3">
      <c r="E1121" s="7"/>
      <c r="H1121" s="7"/>
      <c r="I1121" s="7"/>
      <c r="J1121" s="7"/>
    </row>
    <row r="1122" spans="5:10" x14ac:dyDescent="0.3">
      <c r="E1122" s="7"/>
      <c r="H1122" s="7"/>
      <c r="I1122" s="7"/>
      <c r="J1122" s="7"/>
    </row>
    <row r="1123" spans="5:10" x14ac:dyDescent="0.3">
      <c r="E1123" s="7"/>
      <c r="H1123" s="7"/>
      <c r="I1123" s="7"/>
      <c r="J1123" s="7"/>
    </row>
    <row r="1124" spans="5:10" x14ac:dyDescent="0.3">
      <c r="E1124" s="7"/>
      <c r="H1124" s="7"/>
      <c r="I1124" s="7"/>
      <c r="J1124" s="7"/>
    </row>
    <row r="1125" spans="5:10" x14ac:dyDescent="0.3">
      <c r="E1125" s="7"/>
      <c r="H1125" s="7"/>
      <c r="I1125" s="7"/>
      <c r="J1125" s="7"/>
    </row>
    <row r="1126" spans="5:10" x14ac:dyDescent="0.3">
      <c r="E1126" s="7"/>
      <c r="H1126" s="7"/>
      <c r="I1126" s="7"/>
      <c r="J1126" s="7"/>
    </row>
    <row r="1127" spans="5:10" x14ac:dyDescent="0.3">
      <c r="E1127" s="7"/>
      <c r="H1127" s="7"/>
      <c r="I1127" s="7"/>
      <c r="J1127" s="7"/>
    </row>
    <row r="1128" spans="5:10" x14ac:dyDescent="0.3">
      <c r="E1128" s="7"/>
      <c r="H1128" s="7"/>
      <c r="I1128" s="7"/>
      <c r="J1128" s="7"/>
    </row>
    <row r="1129" spans="5:10" x14ac:dyDescent="0.3">
      <c r="E1129" s="7"/>
      <c r="H1129" s="7"/>
      <c r="I1129" s="7"/>
      <c r="J1129" s="7"/>
    </row>
    <row r="1130" spans="5:10" x14ac:dyDescent="0.3">
      <c r="E1130" s="7"/>
      <c r="H1130" s="7"/>
      <c r="I1130" s="7"/>
      <c r="J1130" s="7"/>
    </row>
    <row r="1131" spans="5:10" x14ac:dyDescent="0.3">
      <c r="E1131" s="7"/>
      <c r="H1131" s="7"/>
      <c r="I1131" s="7"/>
      <c r="J1131" s="7"/>
    </row>
    <row r="1132" spans="5:10" x14ac:dyDescent="0.3">
      <c r="E1132" s="7"/>
      <c r="H1132" s="7"/>
      <c r="I1132" s="7"/>
      <c r="J1132" s="7"/>
    </row>
    <row r="1133" spans="5:10" x14ac:dyDescent="0.3">
      <c r="E1133" s="7"/>
      <c r="H1133" s="7"/>
      <c r="I1133" s="7"/>
      <c r="J1133" s="7"/>
    </row>
    <row r="1134" spans="5:10" x14ac:dyDescent="0.3">
      <c r="E1134" s="7"/>
      <c r="H1134" s="7"/>
      <c r="I1134" s="7"/>
      <c r="J1134" s="7"/>
    </row>
    <row r="1135" spans="5:10" x14ac:dyDescent="0.3">
      <c r="E1135" s="7"/>
      <c r="H1135" s="7"/>
      <c r="I1135" s="7"/>
      <c r="J1135" s="7"/>
    </row>
    <row r="1136" spans="5:10" x14ac:dyDescent="0.3">
      <c r="E1136" s="7"/>
      <c r="H1136" s="7"/>
      <c r="I1136" s="7"/>
      <c r="J1136" s="7"/>
    </row>
    <row r="1137" spans="5:10" x14ac:dyDescent="0.3">
      <c r="E1137" s="7"/>
      <c r="H1137" s="7"/>
      <c r="I1137" s="7"/>
      <c r="J1137" s="7"/>
    </row>
    <row r="1138" spans="5:10" x14ac:dyDescent="0.3">
      <c r="E1138" s="7"/>
      <c r="H1138" s="7"/>
      <c r="I1138" s="7"/>
      <c r="J1138" s="7"/>
    </row>
    <row r="1139" spans="5:10" x14ac:dyDescent="0.3">
      <c r="E1139" s="7"/>
      <c r="H1139" s="7"/>
      <c r="I1139" s="7"/>
      <c r="J1139" s="7"/>
    </row>
    <row r="1140" spans="5:10" x14ac:dyDescent="0.3">
      <c r="E1140" s="7"/>
      <c r="H1140" s="7"/>
      <c r="I1140" s="7"/>
      <c r="J1140" s="7"/>
    </row>
    <row r="1141" spans="5:10" x14ac:dyDescent="0.3">
      <c r="E1141" s="7"/>
      <c r="H1141" s="7"/>
      <c r="I1141" s="7"/>
      <c r="J1141" s="7"/>
    </row>
    <row r="1142" spans="5:10" x14ac:dyDescent="0.3">
      <c r="E1142" s="7"/>
      <c r="H1142" s="7"/>
      <c r="I1142" s="7"/>
      <c r="J1142" s="7"/>
    </row>
    <row r="1143" spans="5:10" x14ac:dyDescent="0.3">
      <c r="E1143" s="7"/>
      <c r="H1143" s="7"/>
      <c r="I1143" s="7"/>
      <c r="J1143" s="7"/>
    </row>
    <row r="1144" spans="5:10" x14ac:dyDescent="0.3">
      <c r="E1144" s="7"/>
      <c r="H1144" s="7"/>
      <c r="I1144" s="7"/>
      <c r="J1144" s="7"/>
    </row>
    <row r="1145" spans="5:10" x14ac:dyDescent="0.3">
      <c r="E1145" s="7"/>
      <c r="H1145" s="7"/>
      <c r="I1145" s="7"/>
      <c r="J1145" s="7"/>
    </row>
    <row r="1146" spans="5:10" x14ac:dyDescent="0.3">
      <c r="E1146" s="7"/>
      <c r="H1146" s="7"/>
      <c r="I1146" s="7"/>
      <c r="J1146" s="7"/>
    </row>
    <row r="1147" spans="5:10" x14ac:dyDescent="0.3">
      <c r="E1147" s="7"/>
      <c r="H1147" s="7"/>
      <c r="I1147" s="7"/>
      <c r="J1147" s="7"/>
    </row>
    <row r="1148" spans="5:10" x14ac:dyDescent="0.3">
      <c r="E1148" s="7"/>
      <c r="H1148" s="7"/>
      <c r="I1148" s="7"/>
      <c r="J1148" s="7"/>
    </row>
    <row r="1149" spans="5:10" x14ac:dyDescent="0.3">
      <c r="E1149" s="7"/>
      <c r="H1149" s="7"/>
      <c r="I1149" s="7"/>
      <c r="J1149" s="7"/>
    </row>
    <row r="1150" spans="5:10" x14ac:dyDescent="0.3">
      <c r="E1150" s="7"/>
      <c r="H1150" s="7"/>
      <c r="I1150" s="7"/>
      <c r="J1150" s="7"/>
    </row>
    <row r="1151" spans="5:10" x14ac:dyDescent="0.3">
      <c r="E1151" s="7"/>
      <c r="H1151" s="7"/>
      <c r="I1151" s="7"/>
      <c r="J1151" s="7"/>
    </row>
    <row r="1152" spans="5:10" x14ac:dyDescent="0.3">
      <c r="E1152" s="7"/>
      <c r="H1152" s="7"/>
      <c r="I1152" s="7"/>
      <c r="J1152" s="7"/>
    </row>
    <row r="1153" spans="5:10" x14ac:dyDescent="0.3">
      <c r="E1153" s="7"/>
      <c r="H1153" s="7"/>
      <c r="I1153" s="7"/>
      <c r="J1153" s="7"/>
    </row>
    <row r="1154" spans="5:10" x14ac:dyDescent="0.3">
      <c r="E1154" s="7"/>
      <c r="H1154" s="7"/>
      <c r="I1154" s="7"/>
      <c r="J1154" s="7"/>
    </row>
    <row r="1155" spans="5:10" x14ac:dyDescent="0.3">
      <c r="E1155" s="7"/>
      <c r="H1155" s="7"/>
      <c r="I1155" s="7"/>
      <c r="J1155" s="7"/>
    </row>
    <row r="1156" spans="5:10" x14ac:dyDescent="0.3">
      <c r="E1156" s="7"/>
      <c r="H1156" s="7"/>
      <c r="I1156" s="7"/>
      <c r="J1156" s="7"/>
    </row>
    <row r="1157" spans="5:10" x14ac:dyDescent="0.3">
      <c r="E1157" s="7"/>
      <c r="H1157" s="7"/>
      <c r="I1157" s="7"/>
      <c r="J1157" s="7"/>
    </row>
    <row r="1158" spans="5:10" x14ac:dyDescent="0.3">
      <c r="E1158" s="7"/>
      <c r="H1158" s="7"/>
      <c r="I1158" s="7"/>
      <c r="J1158" s="7"/>
    </row>
    <row r="1159" spans="5:10" x14ac:dyDescent="0.3">
      <c r="E1159" s="7"/>
      <c r="H1159" s="7"/>
      <c r="I1159" s="7"/>
      <c r="J1159" s="7"/>
    </row>
    <row r="1160" spans="5:10" x14ac:dyDescent="0.3">
      <c r="E1160" s="7"/>
      <c r="H1160" s="7"/>
      <c r="I1160" s="7"/>
      <c r="J1160" s="7"/>
    </row>
    <row r="1161" spans="5:10" x14ac:dyDescent="0.3">
      <c r="E1161" s="7"/>
      <c r="H1161" s="7"/>
      <c r="I1161" s="7"/>
      <c r="J1161" s="7"/>
    </row>
    <row r="1162" spans="5:10" x14ac:dyDescent="0.3">
      <c r="E1162" s="7"/>
      <c r="H1162" s="7"/>
      <c r="I1162" s="7"/>
      <c r="J1162" s="7"/>
    </row>
    <row r="1163" spans="5:10" x14ac:dyDescent="0.3">
      <c r="E1163" s="7"/>
      <c r="H1163" s="7"/>
      <c r="I1163" s="7"/>
      <c r="J1163" s="7"/>
    </row>
    <row r="1164" spans="5:10" x14ac:dyDescent="0.3">
      <c r="E1164" s="7"/>
      <c r="H1164" s="7"/>
      <c r="I1164" s="7"/>
      <c r="J1164" s="7"/>
    </row>
    <row r="1165" spans="5:10" x14ac:dyDescent="0.3">
      <c r="E1165" s="7"/>
      <c r="H1165" s="7"/>
      <c r="I1165" s="7"/>
      <c r="J1165" s="7"/>
    </row>
    <row r="1166" spans="5:10" x14ac:dyDescent="0.3">
      <c r="E1166" s="7"/>
      <c r="H1166" s="7"/>
      <c r="I1166" s="7"/>
      <c r="J1166" s="7"/>
    </row>
    <row r="1167" spans="5:10" x14ac:dyDescent="0.3">
      <c r="E1167" s="7"/>
      <c r="H1167" s="7"/>
      <c r="I1167" s="7"/>
      <c r="J1167" s="7"/>
    </row>
    <row r="1168" spans="5:10" x14ac:dyDescent="0.3">
      <c r="E1168" s="7"/>
      <c r="H1168" s="7"/>
      <c r="I1168" s="7"/>
      <c r="J1168" s="7"/>
    </row>
    <row r="1169" spans="5:10" x14ac:dyDescent="0.3">
      <c r="E1169" s="7"/>
      <c r="H1169" s="7"/>
      <c r="I1169" s="7"/>
      <c r="J1169" s="7"/>
    </row>
    <row r="1170" spans="5:10" x14ac:dyDescent="0.3">
      <c r="E1170" s="7"/>
      <c r="H1170" s="7"/>
      <c r="I1170" s="7"/>
      <c r="J1170" s="7"/>
    </row>
    <row r="1171" spans="5:10" x14ac:dyDescent="0.3">
      <c r="E1171" s="7"/>
      <c r="H1171" s="7"/>
      <c r="I1171" s="7"/>
      <c r="J1171" s="7"/>
    </row>
    <row r="1172" spans="5:10" x14ac:dyDescent="0.3">
      <c r="E1172" s="7"/>
      <c r="H1172" s="7"/>
      <c r="I1172" s="7"/>
      <c r="J1172" s="7"/>
    </row>
    <row r="1173" spans="5:10" x14ac:dyDescent="0.3">
      <c r="E1173" s="7"/>
      <c r="H1173" s="7"/>
      <c r="I1173" s="7"/>
      <c r="J1173" s="7"/>
    </row>
    <row r="1174" spans="5:10" x14ac:dyDescent="0.3">
      <c r="E1174" s="7"/>
      <c r="H1174" s="7"/>
      <c r="I1174" s="7"/>
      <c r="J1174" s="7"/>
    </row>
    <row r="1175" spans="5:10" x14ac:dyDescent="0.3">
      <c r="E1175" s="7"/>
      <c r="H1175" s="7"/>
      <c r="I1175" s="7"/>
      <c r="J1175" s="7"/>
    </row>
    <row r="1176" spans="5:10" x14ac:dyDescent="0.3">
      <c r="E1176" s="7"/>
      <c r="H1176" s="7"/>
      <c r="I1176" s="7"/>
      <c r="J1176" s="7"/>
    </row>
    <row r="1177" spans="5:10" x14ac:dyDescent="0.3">
      <c r="E1177" s="7"/>
      <c r="H1177" s="7"/>
      <c r="I1177" s="7"/>
      <c r="J1177" s="7"/>
    </row>
    <row r="1178" spans="5:10" x14ac:dyDescent="0.3">
      <c r="E1178" s="7"/>
      <c r="H1178" s="7"/>
      <c r="I1178" s="7"/>
      <c r="J1178" s="7"/>
    </row>
    <row r="1179" spans="5:10" x14ac:dyDescent="0.3">
      <c r="E1179" s="7"/>
      <c r="H1179" s="7"/>
      <c r="I1179" s="7"/>
      <c r="J1179" s="7"/>
    </row>
    <row r="1180" spans="5:10" x14ac:dyDescent="0.3">
      <c r="E1180" s="7"/>
      <c r="H1180" s="7"/>
      <c r="I1180" s="7"/>
      <c r="J1180" s="7"/>
    </row>
    <row r="1181" spans="5:10" x14ac:dyDescent="0.3">
      <c r="E1181" s="7"/>
      <c r="H1181" s="7"/>
      <c r="I1181" s="7"/>
      <c r="J1181" s="7"/>
    </row>
    <row r="1182" spans="5:10" x14ac:dyDescent="0.3">
      <c r="E1182" s="7"/>
      <c r="H1182" s="7"/>
      <c r="I1182" s="7"/>
      <c r="J1182" s="7"/>
    </row>
    <row r="1183" spans="5:10" x14ac:dyDescent="0.3">
      <c r="E1183" s="7"/>
      <c r="H1183" s="7"/>
      <c r="I1183" s="7"/>
      <c r="J1183" s="7"/>
    </row>
    <row r="1184" spans="5:10" x14ac:dyDescent="0.3">
      <c r="E1184" s="7"/>
      <c r="H1184" s="7"/>
      <c r="I1184" s="7"/>
      <c r="J1184" s="7"/>
    </row>
    <row r="1185" spans="5:10" x14ac:dyDescent="0.3">
      <c r="E1185" s="7"/>
      <c r="H1185" s="7"/>
      <c r="I1185" s="7"/>
      <c r="J1185" s="7"/>
    </row>
    <row r="1186" spans="5:10" x14ac:dyDescent="0.3">
      <c r="E1186" s="7"/>
      <c r="H1186" s="7"/>
      <c r="I1186" s="7"/>
      <c r="J1186" s="7"/>
    </row>
    <row r="1187" spans="5:10" x14ac:dyDescent="0.3">
      <c r="E1187" s="7"/>
      <c r="H1187" s="7"/>
      <c r="I1187" s="7"/>
      <c r="J1187" s="7"/>
    </row>
    <row r="1188" spans="5:10" x14ac:dyDescent="0.3">
      <c r="E1188" s="7"/>
      <c r="H1188" s="7"/>
      <c r="I1188" s="7"/>
      <c r="J1188" s="7"/>
    </row>
    <row r="1189" spans="5:10" x14ac:dyDescent="0.3">
      <c r="E1189" s="7"/>
      <c r="H1189" s="7"/>
      <c r="I1189" s="7"/>
      <c r="J1189" s="7"/>
    </row>
    <row r="1190" spans="5:10" x14ac:dyDescent="0.3">
      <c r="E1190" s="7"/>
      <c r="H1190" s="7"/>
      <c r="I1190" s="7"/>
      <c r="J1190" s="7"/>
    </row>
    <row r="1191" spans="5:10" x14ac:dyDescent="0.3">
      <c r="E1191" s="7"/>
      <c r="H1191" s="7"/>
      <c r="I1191" s="7"/>
      <c r="J1191" s="7"/>
    </row>
    <row r="1192" spans="5:10" x14ac:dyDescent="0.3">
      <c r="E1192" s="7"/>
      <c r="H1192" s="7"/>
      <c r="I1192" s="7"/>
      <c r="J1192" s="7"/>
    </row>
    <row r="1193" spans="5:10" x14ac:dyDescent="0.3">
      <c r="E1193" s="7"/>
      <c r="H1193" s="7"/>
      <c r="I1193" s="7"/>
      <c r="J1193" s="7"/>
    </row>
    <row r="1194" spans="5:10" x14ac:dyDescent="0.3">
      <c r="E1194" s="7"/>
      <c r="H1194" s="7"/>
      <c r="I1194" s="7"/>
      <c r="J1194" s="7"/>
    </row>
  </sheetData>
  <autoFilter ref="G1:G1194" xr:uid="{00000000-0009-0000-0000-000000000000}"/>
  <phoneticPr fontId="17" type="noConversion"/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EquipMakeProto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2006-09-17T00:00:00Z</dcterms:created>
  <dcterms:modified xsi:type="dcterms:W3CDTF">2026-09-08T09:34:28Z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77DA6AB85E3B4F9ABEAA3DE395C514D5_12</vt:lpwstr>
  </property>
</Properties>
</file>