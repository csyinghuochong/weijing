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C4E1C530-9DBD-4BA5-B244-457437E49B5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EquipMakeProto!$G$1:$G$1181</definedName>
  </definedNames>
  <calcPr calcId="191029"/>
</workbook>
</file>

<file path=xl/calcChain.xml><?xml version="1.0" encoding="utf-8"?>
<calcChain xmlns="http://schemas.openxmlformats.org/spreadsheetml/2006/main">
  <c r="S508" i="1" l="1"/>
  <c r="S512" i="1" s="1"/>
  <c r="S507" i="1"/>
  <c r="S511" i="1" s="1"/>
  <c r="S506" i="1"/>
  <c r="S510" i="1" s="1"/>
  <c r="S505" i="1"/>
  <c r="S509" i="1" s="1"/>
  <c r="S496" i="1"/>
  <c r="S500" i="1" s="1"/>
  <c r="S495" i="1"/>
  <c r="S499" i="1" s="1"/>
  <c r="S494" i="1"/>
  <c r="S498" i="1" s="1"/>
  <c r="S493" i="1"/>
  <c r="S497" i="1" s="1"/>
  <c r="H486" i="1"/>
  <c r="H485" i="1"/>
  <c r="H482" i="1"/>
  <c r="H481" i="1"/>
  <c r="H478" i="1"/>
  <c r="H477" i="1"/>
  <c r="H475" i="1"/>
  <c r="H474" i="1"/>
  <c r="H472" i="1"/>
  <c r="H471" i="1"/>
  <c r="H470" i="1"/>
  <c r="H469" i="1"/>
  <c r="S447" i="1"/>
  <c r="S446" i="1"/>
  <c r="S444" i="1"/>
  <c r="S443" i="1"/>
  <c r="S442" i="1"/>
  <c r="S440" i="1"/>
  <c r="S439" i="1"/>
  <c r="S438" i="1"/>
  <c r="S436" i="1"/>
  <c r="S435" i="1"/>
  <c r="C435" i="1"/>
  <c r="C434" i="1"/>
  <c r="C437" i="1" s="1"/>
  <c r="S433" i="1"/>
  <c r="C433" i="1"/>
  <c r="C436" i="1" s="1"/>
  <c r="S432" i="1"/>
  <c r="C432" i="1"/>
  <c r="S430" i="1"/>
  <c r="S429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116" i="1"/>
  <c r="S152" i="1" s="1"/>
  <c r="S104" i="1"/>
  <c r="S140" i="1" s="1"/>
  <c r="S176" i="1" s="1"/>
  <c r="S94" i="1"/>
  <c r="S130" i="1" s="1"/>
  <c r="S166" i="1" s="1"/>
  <c r="S93" i="1"/>
  <c r="S129" i="1" s="1"/>
  <c r="S165" i="1" s="1"/>
  <c r="S92" i="1"/>
  <c r="S128" i="1" s="1"/>
  <c r="S164" i="1" s="1"/>
  <c r="S91" i="1"/>
  <c r="S127" i="1" s="1"/>
  <c r="S163" i="1" s="1"/>
  <c r="S90" i="1"/>
  <c r="S126" i="1" s="1"/>
  <c r="S162" i="1" s="1"/>
  <c r="S89" i="1"/>
  <c r="S125" i="1" s="1"/>
  <c r="S161" i="1" s="1"/>
  <c r="S82" i="1"/>
  <c r="S118" i="1" s="1"/>
  <c r="S154" i="1" s="1"/>
  <c r="S81" i="1"/>
  <c r="S117" i="1" s="1"/>
  <c r="S153" i="1" s="1"/>
  <c r="S80" i="1"/>
  <c r="S68" i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57" i="1"/>
  <c r="S56" i="1"/>
  <c r="S55" i="1"/>
  <c r="S54" i="1"/>
  <c r="S53" i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45" i="1"/>
  <c r="S44" i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<sst xmlns="http://schemas.openxmlformats.org/spreadsheetml/2006/main" count="1504" uniqueCount="904">
  <si>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</si>
  <si>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</si>
  <si>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</si>
  <si>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</si>
  <si>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</si>
  <si>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</si>
  <si>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</si>
  <si>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</si>
  <si>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</si>
  <si>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</si>
  <si>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</si>
  <si>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</si>
  <si>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</si>
  <si>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</si>
  <si>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</si>
  <si>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</si>
  <si>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</si>
  <si>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</si>
  <si>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</si>
  <si>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</si>
  <si>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</si>
  <si>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</si>
  <si>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</si>
  <si>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</si>
  <si>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</si>
  <si>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</si>
  <si>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</si>
  <si>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</si>
  <si>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</si>
  <si>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</si>
  <si>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</si>
  <si>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</si>
  <si>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</si>
  <si>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</si>
  <si>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</si>
  <si>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</si>
  <si>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</si>
  <si>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</si>
  <si>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</si>
  <si>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</si>
  <si>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</si>
  <si>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</si>
  <si>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</si>
  <si>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</si>
  <si>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</si>
  <si>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</si>
  <si>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</si>
  <si>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</si>
  <si>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</si>
  <si>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</si>
  <si>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</si>
  <si>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</si>
  <si>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</si>
  <si>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</si>
  <si>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</si>
  <si>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</si>
  <si>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</si>
  <si>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</si>
  <si>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</si>
  <si>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</si>
  <si>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</si>
  <si>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</si>
  <si>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</si>
  <si>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</si>
  <si>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</si>
  <si>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</si>
  <si>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</si>
  <si>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</si>
  <si>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</si>
  <si>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</si>
  <si>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</si>
  <si>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</si>
  <si>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</si>
  <si>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</si>
  <si>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</si>
  <si>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</si>
  <si>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</si>
  <si>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</si>
  <si>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</si>
  <si>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</si>
  <si>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</si>
  <si>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</si>
  <si>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</si>
  <si>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</si>
  <si>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</si>
  <si>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</si>
  <si>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</si>
  <si>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</si>
  <si>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</si>
  <si>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</si>
  <si>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</si>
  <si>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</si>
  <si>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</si>
  <si>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</si>
  <si>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</si>
  <si>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</si>
  <si>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</si>
  <si>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</si>
  <si>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</si>
  <si>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</si>
  <si>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</si>
  <si>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</si>
  <si>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</si>
  <si>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</si>
  <si>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</si>
  <si>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</si>
  <si>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</si>
  <si>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</si>
  <si>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</si>
  <si>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</si>
  <si>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</si>
  <si>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</si>
  <si>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</si>
  <si>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</si>
  <si>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</si>
  <si>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</si>
  <si>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</si>
  <si>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</si>
  <si>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</si>
  <si>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</si>
  <si>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</si>
  <si>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</si>
  <si>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</si>
  <si>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</si>
  <si>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</si>
  <si>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</si>
  <si>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</si>
  <si>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</si>
  <si>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</si>
  <si>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</si>
  <si>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</si>
  <si>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</si>
  <si>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</si>
  <si>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</si>
  <si>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</si>
  <si>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</si>
  <si>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</si>
  <si>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</si>
  <si>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</si>
  <si>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</si>
  <si>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</si>
  <si>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</si>
  <si>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</si>
  <si>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</si>
  <si>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</si>
  <si>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</si>
  <si>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</si>
  <si>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</si>
  <si>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</si>
  <si>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</si>
  <si>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</si>
  <si>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</si>
  <si>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</si>
  <si>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</si>
  <si>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</si>
  <si>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</si>
  <si>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</si>
  <si>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</si>
  <si>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</si>
  <si>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</si>
  <si>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</si>
  <si>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</si>
  <si>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</si>
  <si>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</si>
  <si>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</si>
  <si>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</si>
  <si>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</si>
  <si>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</si>
  <si>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</si>
  <si>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</si>
  <si>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</si>
  <si>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</si>
  <si>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</si>
  <si>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</si>
  <si>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</si>
  <si>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</si>
  <si>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</si>
  <si>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</si>
  <si>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</si>
  <si>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</si>
  <si>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</si>
  <si>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</si>
  <si>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</si>
  <si>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</si>
  <si>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</si>
  <si>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</si>
  <si>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</si>
  <si>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</si>
  <si>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</si>
  <si>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</si>
  <si>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</si>
  <si>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</si>
  <si>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</si>
  <si>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</si>
  <si>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</si>
  <si>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</si>
  <si>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</si>
  <si>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</si>
  <si>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</si>
  <si>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</si>
  <si>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</si>
  <si>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</si>
  <si>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</si>
  <si>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</si>
  <si>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</si>
  <si>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</si>
  <si>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</si>
  <si>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</si>
  <si>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</si>
  <si>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</si>
  <si>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</si>
  <si>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</si>
  <si>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</si>
  <si>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</si>
  <si>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</si>
  <si>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</si>
  <si>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</si>
  <si>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</si>
  <si>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</si>
  <si>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</si>
  <si>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</si>
  <si>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</si>
  <si>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</si>
  <si>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</si>
  <si>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</si>
  <si>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</si>
  <si>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</si>
  <si>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</si>
  <si>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</si>
  <si>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</si>
  <si>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</si>
  <si>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</si>
  <si>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</si>
  <si>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</si>
  <si>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</si>
  <si>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</si>
  <si>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</si>
  <si>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</si>
  <si>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</si>
  <si>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</si>
  <si>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</si>
  <si>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</si>
  <si>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</si>
  <si>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</si>
  <si>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</si>
  <si>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</si>
  <si>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</si>
  <si>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</si>
  <si>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</si>
  <si>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</si>
  <si>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</si>
  <si>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</si>
  <si>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</si>
  <si>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</si>
  <si>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</si>
  <si>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</si>
  <si>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</si>
  <si>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</si>
  <si>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</si>
  <si>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</si>
  <si>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</si>
  <si>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</si>
  <si>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</si>
  <si>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</si>
  <si>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</si>
  <si>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</si>
  <si>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</si>
  <si>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</si>
  <si>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</si>
  <si>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</si>
  <si>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</si>
  <si>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</si>
  <si>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</si>
  <si>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</si>
  <si>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</si>
  <si>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</si>
  <si>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</si>
  <si>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</si>
  <si>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</si>
  <si>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</si>
  <si>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</si>
  <si>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</si>
  <si>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</si>
  <si>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</si>
  <si>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</si>
  <si>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</si>
  <si>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</si>
  <si>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</si>
  <si>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</si>
  <si>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</si>
  <si>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</si>
  <si>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</si>
  <si>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</si>
  <si>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</si>
  <si>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</si>
  <si>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</si>
  <si>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</si>
  <si>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</si>
  <si>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</si>
  <si>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</si>
  <si>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</si>
  <si>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</si>
  <si>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</si>
  <si>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</si>
  <si>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</si>
  <si>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</si>
  <si>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</si>
  <si>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</si>
  <si>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</si>
  <si>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</si>
  <si>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</si>
  <si>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</si>
  <si>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</si>
  <si>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</si>
  <si>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</si>
  <si>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</si>
  <si>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</si>
  <si>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</si>
  <si>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</si>
  <si>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</si>
  <si>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</si>
  <si>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</si>
  <si>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</si>
  <si>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</si>
  <si>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</si>
  <si>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</si>
  <si>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</si>
  <si>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</si>
  <si>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</si>
  <si>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</si>
  <si>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</si>
  <si>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</si>
  <si>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</si>
  <si>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</si>
  <si>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</si>
  <si>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</si>
  <si>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</si>
  <si>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</si>
  <si>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</si>
  <si>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</si>
  <si>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</si>
  <si>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</si>
  <si>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</si>
  <si>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</si>
  <si>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</si>
  <si>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</si>
  <si>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</si>
  <si>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</si>
  <si>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</si>
  <si>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</si>
  <si>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</si>
  <si>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</si>
  <si>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</si>
  <si>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</si>
  <si>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</si>
  <si>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</si>
  <si>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</si>
  <si>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</si>
  <si>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</si>
  <si>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</si>
  <si>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</si>
  <si>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</si>
  <si>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</si>
  <si>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</si>
  <si>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</si>
  <si>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</si>
  <si>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</si>
  <si>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</si>
  <si>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</si>
  <si>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</si>
  <si>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</si>
  <si>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</si>
  <si>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</si>
  <si>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</si>
  <si>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</si>
  <si>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</si>
  <si>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</si>
  <si>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</si>
  <si>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</si>
  <si>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</si>
  <si>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</si>
  <si>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</si>
  <si>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</si>
  <si>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</si>
  <si>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</si>
  <si>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</si>
  <si>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</si>
  <si>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</si>
  <si>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</si>
  <si>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</si>
  <si>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</si>
  <si>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</si>
  <si>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</si>
  <si>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</si>
  <si>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</si>
  <si>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</si>
  <si>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</si>
  <si>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</si>
  <si>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</si>
  <si>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</si>
  <si>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</si>
  <si>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</si>
  <si>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</si>
  <si>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</si>
  <si>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</si>
  <si>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</si>
  <si>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</si>
  <si>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</si>
  <si>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</si>
  <si>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</si>
  <si>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</si>
  <si>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</si>
  <si>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</si>
  <si>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</si>
  <si>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</si>
  <si>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</si>
  <si>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</si>
  <si>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</si>
  <si>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</si>
  <si>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</si>
  <si>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</si>
  <si>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</si>
  <si>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</si>
  <si>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</si>
  <si>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</si>
  <si>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</si>
  <si>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</si>
  <si>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</si>
  <si>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</si>
  <si>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</si>
  <si>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</si>
  <si>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</si>
  <si>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</si>
  <si>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</si>
  <si>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</si>
  <si>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</si>
  <si>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</si>
  <si>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</si>
  <si>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</si>
  <si>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</si>
  <si>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</si>
  <si>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</si>
  <si>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</si>
  <si>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</si>
  <si>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</si>
  <si>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</si>
  <si>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</si>
  <si>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</si>
  <si>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</si>
  <si>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</si>
  <si>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</si>
  <si>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</si>
  <si>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</si>
  <si>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</si>
  <si>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</si>
  <si>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</si>
  <si>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</si>
  <si>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</si>
  <si>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</si>
  <si>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</si>
  <si>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</si>
  <si>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</si>
  <si>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</si>
  <si>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</si>
  <si>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</si>
  <si>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</si>
  <si>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</si>
  <si>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</si>
  <si>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</si>
  <si>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</si>
  <si>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</si>
  <si>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</si>
  <si>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</si>
  <si>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</si>
  <si>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</si>
  <si>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</si>
  <si>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</si>
  <si>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</si>
  <si>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</si>
  <si>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</si>
  <si>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</si>
  <si>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</si>
  <si>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</si>
  <si>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</si>
  <si>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</si>
  <si>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</si>
  <si>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</si>
  <si>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</si>
  <si>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</si>
  <si>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</si>
  <si>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</si>
  <si>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</si>
  <si>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</si>
  <si>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</si>
  <si>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</si>
  <si>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</si>
  <si>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</si>
  <si>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</si>
  <si>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</si>
  <si>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</si>
  <si>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</si>
  <si>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</si>
  <si>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</si>
  <si>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</si>
  <si>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</si>
  <si>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</si>
  <si>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</si>
  <si>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</si>
  <si>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</si>
  <si>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</si>
  <si>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</si>
  <si>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</si>
  <si>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</si>
  <si>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</si>
  <si>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</si>
  <si>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</si>
  <si>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</si>
  <si>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</si>
  <si>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</si>
  <si>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</si>
  <si>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</si>
  <si>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</si>
  <si>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</si>
  <si>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</si>
  <si>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</si>
  <si>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</si>
  <si>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</si>
  <si>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</si>
  <si>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</si>
  <si>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</si>
  <si>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</si>
  <si>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</si>
  <si>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</si>
  <si>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</si>
  <si>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</si>
  <si>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</si>
  <si>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</si>
  <si>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</si>
  <si>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</si>
  <si>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</si>
  <si>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</si>
  <si>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</si>
  <si>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</si>
  <si>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</si>
  <si>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</si>
  <si>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</si>
  <si>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</si>
  <si>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</si>
  <si>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</si>
  <si>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</si>
  <si>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</si>
  <si>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</si>
  <si>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</si>
  <si>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</si>
  <si>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</si>
  <si>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</si>
  <si>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</si>
  <si>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</si>
  <si>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</si>
  <si>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</si>
  <si>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</si>
  <si>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</si>
  <si>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</si>
  <si>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</si>
  <si>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</si>
  <si>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</si>
  <si>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</si>
  <si>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</si>
  <si>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</si>
  <si>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</si>
  <si>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</si>
  <si>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</si>
  <si>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</si>
  <si>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</si>
  <si>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</si>
  <si>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</si>
  <si>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</si>
  <si>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</si>
  <si>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</si>
  <si>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</si>
  <si>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</si>
  <si>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</si>
  <si>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</si>
  <si>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</si>
  <si>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</si>
  <si>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</si>
  <si>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</si>
  <si>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</si>
  <si>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</si>
  <si>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</si>
  <si>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</si>
  <si>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</si>
  <si>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</si>
  <si>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</si>
  <si>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</si>
  <si>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</si>
  <si>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</si>
  <si>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</si>
  <si>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</si>
  <si>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</si>
  <si>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</si>
  <si>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</si>
  <si>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</si>
  <si>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</si>
  <si>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</si>
  <si>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</si>
  <si>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</si>
  <si>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</si>
  <si>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</si>
  <si>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</si>
  <si>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</si>
  <si>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</si>
  <si>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</si>
  <si>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</si>
  <si>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</si>
  <si>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</si>
  <si>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</si>
  <si>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</si>
  <si>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</si>
  <si>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</si>
  <si>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</si>
  <si>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</si>
  <si>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</si>
  <si>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</si>
  <si>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</si>
  <si>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</si>
  <si>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</si>
  <si>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</si>
  <si>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</si>
  <si>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</si>
  <si>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</si>
  <si>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</si>
  <si>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</si>
  <si>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</si>
  <si>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</si>
  <si>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</si>
  <si>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</si>
  <si>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</si>
  <si>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</si>
  <si>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</si>
  <si>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</si>
  <si>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</si>
  <si>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</si>
  <si>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</si>
  <si>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</si>
  <si>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</si>
  <si>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</si>
  <si>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</si>
  <si>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</si>
  <si>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</si>
  <si>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</si>
  <si>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</si>
  <si>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</si>
  <si>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</si>
  <si>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</si>
  <si>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</si>
  <si>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</si>
  <si>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</si>
  <si>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</si>
  <si>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</si>
  <si>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</si>
  <si>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</si>
  <si>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</si>
  <si>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</si>
  <si>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</si>
  <si>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</si>
  <si>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</si>
  <si>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</si>
  <si>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</si>
  <si>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</si>
  <si>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</si>
  <si>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</si>
  <si>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</si>
  <si>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</si>
  <si>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</si>
  <si>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</si>
  <si>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</si>
  <si>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</si>
  <si>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</si>
  <si>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</si>
  <si>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</si>
  <si>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</si>
  <si>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</si>
  <si>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</si>
  <si>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</si>
  <si>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</si>
  <si>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</si>
  <si>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</si>
  <si>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</si>
  <si>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</si>
  <si>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</si>
  <si>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</si>
  <si>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</si>
  <si>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</si>
  <si>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</si>
  <si>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</si>
  <si>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</si>
  <si>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</si>
  <si>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</si>
  <si>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</si>
  <si>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</si>
  <si>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</si>
  <si>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</si>
  <si>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</si>
  <si>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</si>
  <si>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</si>
  <si>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</si>
  <si>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</si>
  <si>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</si>
  <si>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</si>
  <si>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</si>
  <si>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</si>
  <si>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</si>
  <si>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</si>
  <si>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</si>
  <si>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</si>
  <si>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</si>
  <si>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</si>
  <si>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</si>
  <si>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</si>
  <si>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</si>
  <si>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</si>
  <si>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</si>
  <si>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</si>
  <si>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</si>
  <si>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</si>
  <si>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</si>
  <si>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</si>
  <si>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</si>
  <si>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</si>
  <si>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</si>
  <si>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</si>
  <si>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</si>
  <si>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</si>
  <si>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</si>
  <si>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</si>
  <si>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</si>
  <si>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</si>
  <si>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</si>
  <si>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</si>
  <si>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</si>
  <si>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</si>
  <si>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</si>
  <si>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</si>
  <si>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</si>
  <si>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</si>
  <si>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</si>
  <si>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</si>
  <si>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</si>
  <si>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</si>
  <si>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</si>
  <si>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</si>
  <si>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</si>
  <si>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</si>
  <si>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</si>
  <si>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</si>
  <si>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</si>
  <si>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</si>
  <si>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</si>
  <si>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</si>
  <si>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</si>
  <si>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</si>
  <si>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</si>
  <si>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</si>
  <si>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</si>
  <si>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</si>
  <si>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</si>
  <si>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</si>
  <si>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</si>
  <si>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</si>
  <si>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</si>
  <si>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</si>
  <si>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</si>
  <si>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</si>
  <si>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</si>
  <si>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</si>
  <si>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</si>
  <si>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</si>
  <si>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</si>
  <si>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</si>
  <si>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</si>
  <si>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</si>
  <si>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</si>
  <si>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</si>
  <si>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</si>
  <si>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</si>
  <si>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</si>
  <si>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</si>
  <si>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</si>
  <si>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</si>
  <si>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</si>
  <si>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</si>
  <si>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</si>
  <si>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</si>
  <si>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</si>
  <si>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</si>
  <si>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</si>
  <si>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</si>
  <si>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</si>
  <si>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</si>
  <si>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</si>
  <si>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</si>
  <si>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</si>
  <si>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</si>
  <si>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</si>
  <si>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</si>
  <si>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</si>
  <si>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</si>
  <si>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</si>
  <si>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</si>
  <si>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</si>
  <si>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</si>
  <si>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</si>
  <si>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</si>
  <si>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</si>
  <si>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</si>
  <si>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</si>
  <si>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</si>
  <si>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</si>
  <si>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</si>
  <si>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</si>
  <si>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</si>
  <si>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</si>
  <si>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</si>
  <si>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</si>
  <si>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</si>
  <si>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</si>
  <si>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</si>
  <si>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</si>
  <si>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</si>
  <si>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</si>
  <si>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</si>
  <si>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</si>
  <si>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</si>
  <si>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</si>
  <si>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</si>
  <si>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</si>
  <si>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</si>
  <si>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</si>
  <si>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</si>
  <si>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</si>
  <si>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</si>
  <si>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</si>
  <si>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</si>
  <si>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</si>
  <si>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</si>
  <si>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</si>
  <si>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</si>
  <si>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</si>
  <si>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</si>
  <si>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</si>
  <si>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</si>
  <si>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</si>
  <si>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</si>
  <si>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</si>
  <si>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</si>
  <si>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</si>
  <si>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</si>
  <si>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</si>
  <si>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</si>
  <si>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</si>
  <si>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</si>
  <si>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</si>
  <si>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</si>
  <si>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</si>
  <si>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</si>
  <si>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</si>
  <si>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</si>
  <si>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</si>
  <si>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</si>
  <si>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</si>
  <si>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</si>
  <si>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</si>
  <si>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</si>
  <si>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</si>
  <si>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10000165;80@10000182;100@15810001;1@10010085;10000@10000152;150@10000143;150</t>
  </si>
  <si>
    <t>10000165;80@10000182;100@15810002;1@10010085;10000@10000152;150@10000143;150</t>
  </si>
  <si>
    <t>10000165;80@10000182;100@15810101;1@10010085;10000@10000152;150@10000143;150</t>
  </si>
  <si>
    <t>10000165;80@10000182;100@15810102;1@10010085;10000@10000152;150@10000143;150</t>
  </si>
  <si>
    <t>10000165;60@10000182;80@15811001;1@10010085;10000@10000152;100@10000143;100</t>
  </si>
  <si>
    <t>10000165;60@10000182;80@15811002;1@10010085;10000@10000152;100@10000143;100</t>
  </si>
  <si>
    <t>10000165;60@10000182;80@15811003;1@10010085;10000@10000152;100@10000143;100</t>
  </si>
  <si>
    <t>10000165;40@10000182;60@15806001;1@10010085;10000@10000152;75@10000143;75</t>
  </si>
  <si>
    <t>10000165;40@10000182;60@15807001;1@10010085;10000@10000152;75@10000143;75</t>
  </si>
  <si>
    <t>10000165;40@10000182;60@15808001;1@10010085;10000@10000152;75@10000143;75</t>
  </si>
  <si>
    <t>10000165;40@10000182;60@15809001;1@10010085;10000@10000152;75@10000143;75</t>
  </si>
  <si>
    <t>10000165;30@10000182;40@15801001;1@10010085;10000@10000152;50@10000143;50</t>
  </si>
  <si>
    <t>10000165;30@10000182;40@15801002;1@10010085;10000@10000152;50@10000143;50</t>
  </si>
  <si>
    <t>10000165;30@10000182;40@15801003;1@10010085;10000@10000152;50@10000143;50</t>
  </si>
  <si>
    <t>10000165;30@10000182;40@15802001;1@10010085;10000@10000152;50@10000143;50</t>
  </si>
  <si>
    <t>10000165;30@10000182;40@15802002;1@10010085;10000@10000152;50@10000143;50</t>
  </si>
  <si>
    <t>10000165;30@10000182;40@15802003;1@10010085;10000@10000152;50@10000143;50</t>
  </si>
  <si>
    <t>10000165;30@10000182;40@15803001;1@10010085;10000@10000152;50@10000143;50</t>
  </si>
  <si>
    <t>10000165;30@10000182;40@15803002;1@10010085;10000@10000152;50@10000143;50</t>
  </si>
  <si>
    <t>10000165;30@10000182;40@15803003;1@10010085;10000@10000152;50@10000143;50</t>
  </si>
  <si>
    <t>10000165;30@10000182;40@15804001;1@10010085;10000@10000152;50@10000143;50</t>
  </si>
  <si>
    <t>10000165;30@10000182;40@15804002;1@10010085;10000@10000152;50@10000143;50</t>
  </si>
  <si>
    <t>10000165;30@10000182;40@15804003;1@10010085;10000@10000152;50@10000143;50</t>
  </si>
  <si>
    <t>10000165;30@10000182;40@15805001;1@10010085;10000@10000152;50@10000143;50</t>
  </si>
  <si>
    <t>10000165;30@10000182;40@15805002;1@10010085;10000@10000152;50@10000143;50</t>
  </si>
  <si>
    <t>10000165;30@10000182;40@15805003;1@10010085;10000@10000152;50@10000143;50</t>
  </si>
  <si>
    <t>钻石钥匙</t>
    <phoneticPr fontId="17" type="noConversion"/>
  </si>
  <si>
    <t>10010033;3</t>
    <phoneticPr fontId="17" type="noConversion"/>
  </si>
  <si>
    <t>10000165;80@10000182;100@15810201;1@10010085;10000@10000152;150@10000143;150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</si>
</sst>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1"/>
  <sheetViews>
    <sheetView tabSelected="1" topLeftCell="O1" workbookViewId="0">
      <pane ySplit="5" topLeftCell="A400" activePane="bottomLeft" state="frozen"/>
      <selection pane="bottomLeft" activeCell="Z413" sqref="Z413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1" customFormat="1" ht="20.100000000000001" customHeight="1" x14ac:dyDescent="0.35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pans="3:26" s="1" customFormat="1" ht="20.100000000000001" customHeight="1" x14ac:dyDescent="0.35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pans="3:26" s="1" customFormat="1" ht="20.100000000000001" customHeight="1" x14ac:dyDescent="0.35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pans="3:26" s="1" customFormat="1" ht="20.100000000000001" customHeight="1" x14ac:dyDescent="0.35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pans="3:26" s="1" customFormat="1" ht="20.100000000000001" customHeight="1" x14ac:dyDescent="0.35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pans="3:26" s="1" customFormat="1" ht="20.100000000000001" customHeight="1" x14ac:dyDescent="0.35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spans="3:26" ht="20.100000000000001" customHeight="1" x14ac:dyDescent="0.35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spans="3:26" ht="20.100000000000001" customHeight="1" x14ac:dyDescent="0.35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spans="3:26" ht="20.100000000000001" customHeight="1" x14ac:dyDescent="0.35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pans="3:26" s="4" customFormat="1" ht="20.100000000000001" customHeight="1" x14ac:dyDescent="0.35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pans="3:26" s="4" customFormat="1" ht="20.100000000000001" customHeight="1" x14ac:dyDescent="0.35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pans="3:26" s="4" customFormat="1" ht="20.100000000000001" customHeight="1" x14ac:dyDescent="0.35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spans="3:26" ht="20.100000000000001" customHeight="1" x14ac:dyDescent="0.35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spans="3:26" ht="20.100000000000001" customHeight="1" x14ac:dyDescent="0.35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spans="3:26" ht="20.100000000000001" customHeight="1" x14ac:dyDescent="0.35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spans="3:26" ht="20.100000000000001" customHeight="1" x14ac:dyDescent="0.35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spans="3:26" ht="20.100000000000001" customHeight="1" x14ac:dyDescent="0.35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spans="3:26" ht="20.100000000000001" customHeight="1" x14ac:dyDescent="0.35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spans="3:26" ht="20.100000000000001" customHeight="1" x14ac:dyDescent="0.35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spans="3:26" ht="20.100000000000001" customHeight="1" x14ac:dyDescent="0.35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spans="3:26" ht="20.100000000000001" customHeight="1" x14ac:dyDescent="0.35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pans="3:26" s="4" customFormat="1" ht="20.100000000000001" customHeight="1" x14ac:dyDescent="0.35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pans="3:26" s="4" customFormat="1" ht="20.100000000000001" customHeight="1" x14ac:dyDescent="0.35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pans="3:26" s="4" customFormat="1" ht="20.100000000000001" customHeight="1" x14ac:dyDescent="0.35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spans="3:26" ht="20.100000000000001" customHeight="1" x14ac:dyDescent="0.35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spans="3:26" ht="20.100000000000001" customHeight="1" x14ac:dyDescent="0.35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spans="3:26" ht="20.100000000000001" customHeight="1" x14ac:dyDescent="0.35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spans="3:26" ht="20.100000000000001" customHeight="1" x14ac:dyDescent="0.35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spans="3:26" ht="20.100000000000001" customHeight="1" x14ac:dyDescent="0.35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spans="3:26" ht="20.100000000000001" customHeight="1" x14ac:dyDescent="0.35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spans="3:26" ht="20.100000000000001" customHeight="1" x14ac:dyDescent="0.35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spans="3:26" ht="20.100000000000001" customHeight="1" x14ac:dyDescent="0.35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spans="3:26" ht="20.100000000000001" customHeight="1" x14ac:dyDescent="0.35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pans="3:26" s="4" customFormat="1" ht="20.100000000000001" customHeight="1" x14ac:dyDescent="0.35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pans="3:26" s="4" customFormat="1" ht="20.100000000000001" customHeight="1" x14ac:dyDescent="0.35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pans="3:26" s="4" customFormat="1" ht="20.100000000000001" customHeight="1" x14ac:dyDescent="0.35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pans="3:26" s="5" customFormat="1" ht="20.100000000000001" customHeight="1" x14ac:dyDescent="0.3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pans="3:26" s="5" customFormat="1" ht="20.100000000000001" customHeight="1" x14ac:dyDescent="0.3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pans="3:26" s="5" customFormat="1" ht="20.100000000000001" customHeight="1" x14ac:dyDescent="0.3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pans="3:26" s="5" customFormat="1" ht="20.100000000000001" customHeight="1" x14ac:dyDescent="0.3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pans="3:26" s="5" customFormat="1" ht="20.100000000000001" customHeight="1" x14ac:dyDescent="0.3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pans="3:26" s="5" customFormat="1" ht="20.100000000000001" customHeight="1" x14ac:dyDescent="0.3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pans="3:26" s="5" customFormat="1" ht="20.100000000000001" customHeight="1" x14ac:dyDescent="0.3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pans="3:26" s="5" customFormat="1" ht="20.100000000000001" customHeight="1" x14ac:dyDescent="0.3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pans="3:26" s="5" customFormat="1" ht="20.100000000000001" customHeight="1" x14ac:dyDescent="0.3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pans="3:26" s="5" customFormat="1" ht="20.100000000000001" customHeight="1" x14ac:dyDescent="0.3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pans="3:26" s="5" customFormat="1" ht="20.100000000000001" customHeight="1" x14ac:dyDescent="0.3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pans="3:26" s="5" customFormat="1" ht="20.100000000000001" customHeight="1" x14ac:dyDescent="0.3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pans="3:26" s="5" customFormat="1" ht="20.100000000000001" customHeight="1" x14ac:dyDescent="0.3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pans="3:26" s="5" customFormat="1" ht="20.100000000000001" customHeight="1" x14ac:dyDescent="0.3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pans="3:26" s="5" customFormat="1" ht="20.100000000000001" customHeight="1" x14ac:dyDescent="0.3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pans="3:26" s="5" customFormat="1" ht="20.100000000000001" customHeight="1" x14ac:dyDescent="0.3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pans="3:26" s="5" customFormat="1" ht="20.100000000000001" customHeight="1" x14ac:dyDescent="0.3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pans="3:26" s="5" customFormat="1" ht="20.100000000000001" customHeight="1" x14ac:dyDescent="0.3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pans="3:26" s="5" customFormat="1" ht="20.100000000000001" customHeight="1" x14ac:dyDescent="0.3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pans="3:26" s="5" customFormat="1" ht="20.100000000000001" customHeight="1" x14ac:dyDescent="0.3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pans="3:26" s="5" customFormat="1" ht="20.100000000000001" customHeight="1" x14ac:dyDescent="0.3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pans="3:26" s="5" customFormat="1" ht="20.100000000000001" customHeight="1" x14ac:dyDescent="0.3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pans="3:26" s="5" customFormat="1" ht="20.100000000000001" customHeight="1" x14ac:dyDescent="0.3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pans="3:26" s="5" customFormat="1" ht="20.100000000000001" customHeight="1" x14ac:dyDescent="0.3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pans="3:26" s="5" customFormat="1" ht="20.100000000000001" customHeight="1" x14ac:dyDescent="0.3">
      <c r="C332" s="5">
        <v>5001101</v>
      </c>
      <c r="D332" s="39" t="s">
        <v>901</v>
      </c>
      <c r="E332" s="5">
        <v>5</v>
      </c>
      <c r="F332" s="31">
        <v>10010032</v>
      </c>
      <c r="G332" s="14">
        <v>0</v>
      </c>
      <c r="H332" s="36">
        <v>60</v>
      </c>
      <c r="I332" s="5">
        <v>0</v>
      </c>
      <c r="J332" s="5">
        <v>0</v>
      </c>
      <c r="K332" s="5">
        <v>0</v>
      </c>
      <c r="L332" s="5">
        <v>1</v>
      </c>
      <c r="M332" s="5">
        <v>0.5</v>
      </c>
      <c r="N332" s="5">
        <v>0</v>
      </c>
      <c r="O332" s="5">
        <v>1</v>
      </c>
      <c r="P332" s="5">
        <v>1</v>
      </c>
      <c r="Q332" s="5">
        <v>1</v>
      </c>
      <c r="R332" s="5">
        <v>1</v>
      </c>
      <c r="S332" s="5">
        <v>0</v>
      </c>
      <c r="T332" s="5">
        <v>0</v>
      </c>
      <c r="U332" s="5">
        <v>0</v>
      </c>
      <c r="V332" s="5">
        <v>0</v>
      </c>
      <c r="W332" s="5">
        <v>1</v>
      </c>
      <c r="X332" s="22">
        <v>0</v>
      </c>
      <c r="Y332" s="5">
        <v>60000</v>
      </c>
      <c r="Z332" s="5" t="s">
        <v>902</v>
      </c>
    </row>
    <row r="333" spans="3:26" s="6" customFormat="1" ht="20.100000000000001" customHeight="1" x14ac:dyDescent="0.3">
      <c r="C333" s="6">
        <v>5002001</v>
      </c>
      <c r="D333" s="15" t="s">
        <v>541</v>
      </c>
      <c r="E333" s="6">
        <v>0</v>
      </c>
      <c r="F333" s="15">
        <v>15701001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580</v>
      </c>
    </row>
    <row r="334" spans="3:26" s="6" customFormat="1" ht="20.100000000000001" customHeight="1" x14ac:dyDescent="0.3">
      <c r="C334" s="6">
        <v>5002002</v>
      </c>
      <c r="D334" s="15" t="s">
        <v>543</v>
      </c>
      <c r="E334" s="6">
        <v>0</v>
      </c>
      <c r="F334" s="15">
        <v>15701002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581</v>
      </c>
    </row>
    <row r="335" spans="3:26" s="6" customFormat="1" ht="20.100000000000001" customHeight="1" x14ac:dyDescent="0.3">
      <c r="C335" s="6">
        <v>5002003</v>
      </c>
      <c r="D335" s="15" t="s">
        <v>544</v>
      </c>
      <c r="E335" s="6">
        <v>0</v>
      </c>
      <c r="F335" s="15">
        <v>15701003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582</v>
      </c>
    </row>
    <row r="336" spans="3:26" s="6" customFormat="1" ht="20.100000000000001" customHeight="1" x14ac:dyDescent="0.3">
      <c r="C336" s="6">
        <v>5002011</v>
      </c>
      <c r="D336" s="15" t="s">
        <v>545</v>
      </c>
      <c r="E336" s="6">
        <v>0</v>
      </c>
      <c r="F336" s="15">
        <v>15702001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583</v>
      </c>
    </row>
    <row r="337" spans="3:26" s="6" customFormat="1" ht="20.100000000000001" customHeight="1" x14ac:dyDescent="0.3">
      <c r="C337" s="6">
        <v>5002012</v>
      </c>
      <c r="D337" s="15" t="s">
        <v>546</v>
      </c>
      <c r="E337" s="6">
        <v>0</v>
      </c>
      <c r="F337" s="15">
        <v>15702002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584</v>
      </c>
    </row>
    <row r="338" spans="3:26" s="6" customFormat="1" ht="20.100000000000001" customHeight="1" x14ac:dyDescent="0.3">
      <c r="C338" s="6">
        <v>5002013</v>
      </c>
      <c r="D338" s="15" t="s">
        <v>547</v>
      </c>
      <c r="E338" s="6">
        <v>0</v>
      </c>
      <c r="F338" s="15">
        <v>15702003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585</v>
      </c>
    </row>
    <row r="339" spans="3:26" s="6" customFormat="1" ht="20.100000000000001" customHeight="1" x14ac:dyDescent="0.3">
      <c r="C339" s="6">
        <v>5002021</v>
      </c>
      <c r="D339" s="15" t="s">
        <v>548</v>
      </c>
      <c r="E339" s="6">
        <v>0</v>
      </c>
      <c r="F339" s="15">
        <v>15703001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586</v>
      </c>
    </row>
    <row r="340" spans="3:26" s="6" customFormat="1" ht="20.100000000000001" customHeight="1" x14ac:dyDescent="0.3">
      <c r="C340" s="6">
        <v>5002022</v>
      </c>
      <c r="D340" s="15" t="s">
        <v>549</v>
      </c>
      <c r="E340" s="6">
        <v>0</v>
      </c>
      <c r="F340" s="15">
        <v>15703002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587</v>
      </c>
    </row>
    <row r="341" spans="3:26" s="6" customFormat="1" ht="20.100000000000001" customHeight="1" x14ac:dyDescent="0.3">
      <c r="C341" s="6">
        <v>5002023</v>
      </c>
      <c r="D341" s="15" t="s">
        <v>550</v>
      </c>
      <c r="E341" s="6">
        <v>0</v>
      </c>
      <c r="F341" s="15">
        <v>15703003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588</v>
      </c>
    </row>
    <row r="342" spans="3:26" s="6" customFormat="1" ht="20.100000000000001" customHeight="1" x14ac:dyDescent="0.3">
      <c r="C342" s="6">
        <v>5002031</v>
      </c>
      <c r="D342" s="15" t="s">
        <v>551</v>
      </c>
      <c r="E342" s="6">
        <v>0</v>
      </c>
      <c r="F342" s="15">
        <v>15704001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589</v>
      </c>
    </row>
    <row r="343" spans="3:26" s="6" customFormat="1" ht="20.100000000000001" customHeight="1" x14ac:dyDescent="0.3">
      <c r="C343" s="6">
        <v>5002032</v>
      </c>
      <c r="D343" s="15" t="s">
        <v>552</v>
      </c>
      <c r="E343" s="6">
        <v>0</v>
      </c>
      <c r="F343" s="15">
        <v>15704002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590</v>
      </c>
    </row>
    <row r="344" spans="3:26" s="6" customFormat="1" ht="20.100000000000001" customHeight="1" x14ac:dyDescent="0.3">
      <c r="C344" s="6">
        <v>5002033</v>
      </c>
      <c r="D344" s="15" t="s">
        <v>553</v>
      </c>
      <c r="E344" s="6">
        <v>0</v>
      </c>
      <c r="F344" s="15">
        <v>15704003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591</v>
      </c>
    </row>
    <row r="345" spans="3:26" s="6" customFormat="1" ht="20.100000000000001" customHeight="1" x14ac:dyDescent="0.3">
      <c r="C345" s="6">
        <v>5002041</v>
      </c>
      <c r="D345" s="15" t="s">
        <v>554</v>
      </c>
      <c r="E345" s="6">
        <v>0</v>
      </c>
      <c r="F345" s="15">
        <v>15705001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592</v>
      </c>
    </row>
    <row r="346" spans="3:26" s="6" customFormat="1" ht="20.100000000000001" customHeight="1" x14ac:dyDescent="0.3">
      <c r="C346" s="6">
        <v>5002042</v>
      </c>
      <c r="D346" s="15" t="s">
        <v>555</v>
      </c>
      <c r="E346" s="6">
        <v>0</v>
      </c>
      <c r="F346" s="15">
        <v>15705002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593</v>
      </c>
    </row>
    <row r="347" spans="3:26" s="6" customFormat="1" ht="20.100000000000001" customHeight="1" x14ac:dyDescent="0.3">
      <c r="C347" s="6">
        <v>5002043</v>
      </c>
      <c r="D347" s="15" t="s">
        <v>556</v>
      </c>
      <c r="E347" s="6">
        <v>0</v>
      </c>
      <c r="F347" s="15">
        <v>15705003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594</v>
      </c>
    </row>
    <row r="348" spans="3:26" s="6" customFormat="1" ht="20.100000000000001" customHeight="1" x14ac:dyDescent="0.3">
      <c r="C348" s="6">
        <v>5002051</v>
      </c>
      <c r="D348" s="15" t="s">
        <v>557</v>
      </c>
      <c r="E348" s="6">
        <v>0</v>
      </c>
      <c r="F348" s="15">
        <v>15706001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595</v>
      </c>
    </row>
    <row r="349" spans="3:26" s="6" customFormat="1" ht="20.100000000000001" customHeight="1" x14ac:dyDescent="0.3">
      <c r="C349" s="6">
        <v>5002052</v>
      </c>
      <c r="D349" s="15" t="s">
        <v>559</v>
      </c>
      <c r="E349" s="6">
        <v>0</v>
      </c>
      <c r="F349" s="15">
        <v>15707001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596</v>
      </c>
    </row>
    <row r="350" spans="3:26" s="6" customFormat="1" ht="20.100000000000001" customHeight="1" x14ac:dyDescent="0.3">
      <c r="C350" s="6">
        <v>5002061</v>
      </c>
      <c r="D350" s="15" t="s">
        <v>560</v>
      </c>
      <c r="E350" s="6">
        <v>0</v>
      </c>
      <c r="F350" s="15">
        <v>15708001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597</v>
      </c>
    </row>
    <row r="351" spans="3:26" s="6" customFormat="1" ht="20.100000000000001" customHeight="1" x14ac:dyDescent="0.3">
      <c r="C351" s="6">
        <v>5002062</v>
      </c>
      <c r="D351" s="15" t="s">
        <v>561</v>
      </c>
      <c r="E351" s="6">
        <v>0</v>
      </c>
      <c r="F351" s="15">
        <v>15709001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598</v>
      </c>
    </row>
    <row r="352" spans="3:26" s="6" customFormat="1" ht="20.100000000000001" customHeight="1" x14ac:dyDescent="0.3">
      <c r="C352" s="6">
        <v>5002071</v>
      </c>
      <c r="D352" s="15" t="s">
        <v>562</v>
      </c>
      <c r="E352" s="6">
        <v>0</v>
      </c>
      <c r="F352" s="15">
        <v>15710001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599</v>
      </c>
    </row>
    <row r="353" spans="3:26" s="6" customFormat="1" ht="20.100000000000001" customHeight="1" x14ac:dyDescent="0.3">
      <c r="C353" s="6">
        <v>5002072</v>
      </c>
      <c r="D353" s="15" t="s">
        <v>564</v>
      </c>
      <c r="E353" s="6">
        <v>0</v>
      </c>
      <c r="F353" s="15">
        <v>15710002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600</v>
      </c>
    </row>
    <row r="354" spans="3:26" s="6" customFormat="1" ht="20.100000000000001" customHeight="1" x14ac:dyDescent="0.3">
      <c r="C354" s="6">
        <v>5002081</v>
      </c>
      <c r="D354" s="15" t="s">
        <v>565</v>
      </c>
      <c r="E354" s="6">
        <v>0</v>
      </c>
      <c r="F354" s="15">
        <v>15710101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601</v>
      </c>
    </row>
    <row r="355" spans="3:26" s="6" customFormat="1" ht="20.100000000000001" customHeight="1" x14ac:dyDescent="0.3">
      <c r="C355" s="6">
        <v>5002082</v>
      </c>
      <c r="D355" s="15" t="s">
        <v>566</v>
      </c>
      <c r="E355" s="6">
        <v>0</v>
      </c>
      <c r="F355" s="15">
        <v>15710102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602</v>
      </c>
    </row>
    <row r="356" spans="3:26" s="6" customFormat="1" ht="20.100000000000001" customHeight="1" x14ac:dyDescent="0.3">
      <c r="C356" s="6">
        <v>5002091</v>
      </c>
      <c r="D356" s="15" t="s">
        <v>567</v>
      </c>
      <c r="E356" s="6">
        <v>0</v>
      </c>
      <c r="F356" s="15">
        <v>15711001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603</v>
      </c>
    </row>
    <row r="357" spans="3:26" s="6" customFormat="1" ht="20.100000000000001" customHeight="1" x14ac:dyDescent="0.3">
      <c r="C357" s="6">
        <v>5002092</v>
      </c>
      <c r="D357" s="15" t="s">
        <v>569</v>
      </c>
      <c r="E357" s="6">
        <v>0</v>
      </c>
      <c r="F357" s="15">
        <v>15711002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604</v>
      </c>
    </row>
    <row r="358" spans="3:26" s="6" customFormat="1" ht="20.100000000000001" customHeight="1" x14ac:dyDescent="0.3">
      <c r="C358" s="6">
        <v>5002093</v>
      </c>
      <c r="D358" s="15" t="s">
        <v>570</v>
      </c>
      <c r="E358" s="6">
        <v>0</v>
      </c>
      <c r="F358" s="15">
        <v>15711003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605</v>
      </c>
    </row>
    <row r="359" spans="3:26" s="6" customFormat="1" ht="20.100000000000001" customHeight="1" x14ac:dyDescent="0.3">
      <c r="C359" s="6">
        <v>5002101</v>
      </c>
      <c r="D359" s="15" t="s">
        <v>606</v>
      </c>
      <c r="E359" s="6">
        <v>0</v>
      </c>
      <c r="F359" s="15">
        <v>15710201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607</v>
      </c>
    </row>
    <row r="360" spans="3:26" s="6" customFormat="1" ht="20.100000000000001" customHeight="1" x14ac:dyDescent="0.3">
      <c r="C360" s="6">
        <v>5003001</v>
      </c>
      <c r="D360" s="15" t="s">
        <v>541</v>
      </c>
      <c r="E360" s="6">
        <v>0</v>
      </c>
      <c r="F360" s="15">
        <v>15801001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608</v>
      </c>
    </row>
    <row r="361" spans="3:26" s="6" customFormat="1" ht="20.100000000000001" customHeight="1" x14ac:dyDescent="0.3">
      <c r="C361" s="6">
        <v>5003002</v>
      </c>
      <c r="D361" s="15" t="s">
        <v>543</v>
      </c>
      <c r="E361" s="6">
        <v>0</v>
      </c>
      <c r="F361" s="15">
        <v>15801002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609</v>
      </c>
    </row>
    <row r="362" spans="3:26" s="6" customFormat="1" ht="20.100000000000001" customHeight="1" x14ac:dyDescent="0.3">
      <c r="C362" s="6">
        <v>5003003</v>
      </c>
      <c r="D362" s="15" t="s">
        <v>544</v>
      </c>
      <c r="E362" s="6">
        <v>0</v>
      </c>
      <c r="F362" s="15">
        <v>15801003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610</v>
      </c>
    </row>
    <row r="363" spans="3:26" s="6" customFormat="1" ht="20.100000000000001" customHeight="1" x14ac:dyDescent="0.3">
      <c r="C363" s="6">
        <v>5003011</v>
      </c>
      <c r="D363" s="15" t="s">
        <v>545</v>
      </c>
      <c r="E363" s="6">
        <v>0</v>
      </c>
      <c r="F363" s="15">
        <v>15802001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611</v>
      </c>
    </row>
    <row r="364" spans="3:26" s="6" customFormat="1" ht="20.100000000000001" customHeight="1" x14ac:dyDescent="0.3">
      <c r="C364" s="6">
        <v>5003012</v>
      </c>
      <c r="D364" s="15" t="s">
        <v>546</v>
      </c>
      <c r="E364" s="6">
        <v>0</v>
      </c>
      <c r="F364" s="15">
        <v>15802002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612</v>
      </c>
    </row>
    <row r="365" spans="3:26" s="6" customFormat="1" ht="20.100000000000001" customHeight="1" x14ac:dyDescent="0.3">
      <c r="C365" s="6">
        <v>5003013</v>
      </c>
      <c r="D365" s="15" t="s">
        <v>547</v>
      </c>
      <c r="E365" s="6">
        <v>0</v>
      </c>
      <c r="F365" s="15">
        <v>15802003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613</v>
      </c>
    </row>
    <row r="366" spans="3:26" s="6" customFormat="1" ht="20.100000000000001" customHeight="1" x14ac:dyDescent="0.3">
      <c r="C366" s="6">
        <v>5003021</v>
      </c>
      <c r="D366" s="15" t="s">
        <v>548</v>
      </c>
      <c r="E366" s="6">
        <v>0</v>
      </c>
      <c r="F366" s="15">
        <v>15803001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614</v>
      </c>
    </row>
    <row r="367" spans="3:26" s="6" customFormat="1" ht="20.100000000000001" customHeight="1" x14ac:dyDescent="0.3">
      <c r="C367" s="6">
        <v>5003022</v>
      </c>
      <c r="D367" s="15" t="s">
        <v>549</v>
      </c>
      <c r="E367" s="6">
        <v>0</v>
      </c>
      <c r="F367" s="15">
        <v>15803002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615</v>
      </c>
    </row>
    <row r="368" spans="3:26" s="6" customFormat="1" ht="20.100000000000001" customHeight="1" x14ac:dyDescent="0.3">
      <c r="C368" s="6">
        <v>5003023</v>
      </c>
      <c r="D368" s="15" t="s">
        <v>550</v>
      </c>
      <c r="E368" s="6">
        <v>0</v>
      </c>
      <c r="F368" s="15">
        <v>15803003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616</v>
      </c>
    </row>
    <row r="369" spans="3:26" s="6" customFormat="1" ht="20.100000000000001" customHeight="1" x14ac:dyDescent="0.3">
      <c r="C369" s="6">
        <v>5003031</v>
      </c>
      <c r="D369" s="15" t="s">
        <v>551</v>
      </c>
      <c r="E369" s="6">
        <v>0</v>
      </c>
      <c r="F369" s="15">
        <v>15804001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617</v>
      </c>
    </row>
    <row r="370" spans="3:26" s="6" customFormat="1" ht="20.100000000000001" customHeight="1" x14ac:dyDescent="0.3">
      <c r="C370" s="6">
        <v>5003032</v>
      </c>
      <c r="D370" s="15" t="s">
        <v>552</v>
      </c>
      <c r="E370" s="6">
        <v>0</v>
      </c>
      <c r="F370" s="15">
        <v>15804002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618</v>
      </c>
    </row>
    <row r="371" spans="3:26" s="6" customFormat="1" ht="20.100000000000001" customHeight="1" x14ac:dyDescent="0.3">
      <c r="C371" s="6">
        <v>5003033</v>
      </c>
      <c r="D371" s="15" t="s">
        <v>553</v>
      </c>
      <c r="E371" s="6">
        <v>0</v>
      </c>
      <c r="F371" s="15">
        <v>15804003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619</v>
      </c>
    </row>
    <row r="372" spans="3:26" s="6" customFormat="1" ht="20.100000000000001" customHeight="1" x14ac:dyDescent="0.3">
      <c r="C372" s="6">
        <v>5003041</v>
      </c>
      <c r="D372" s="15" t="s">
        <v>554</v>
      </c>
      <c r="E372" s="6">
        <v>0</v>
      </c>
      <c r="F372" s="15">
        <v>15805001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620</v>
      </c>
    </row>
    <row r="373" spans="3:26" s="6" customFormat="1" ht="20.100000000000001" customHeight="1" x14ac:dyDescent="0.3">
      <c r="C373" s="6">
        <v>5003042</v>
      </c>
      <c r="D373" s="15" t="s">
        <v>555</v>
      </c>
      <c r="E373" s="6">
        <v>0</v>
      </c>
      <c r="F373" s="15">
        <v>15805002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621</v>
      </c>
    </row>
    <row r="374" spans="3:26" s="6" customFormat="1" ht="20.100000000000001" customHeight="1" x14ac:dyDescent="0.3">
      <c r="C374" s="6">
        <v>5003043</v>
      </c>
      <c r="D374" s="15" t="s">
        <v>556</v>
      </c>
      <c r="E374" s="6">
        <v>0</v>
      </c>
      <c r="F374" s="15">
        <v>15805003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622</v>
      </c>
    </row>
    <row r="375" spans="3:26" s="6" customFormat="1" ht="20.100000000000001" customHeight="1" x14ac:dyDescent="0.3">
      <c r="C375" s="6">
        <v>5003051</v>
      </c>
      <c r="D375" s="15" t="s">
        <v>557</v>
      </c>
      <c r="E375" s="6">
        <v>0</v>
      </c>
      <c r="F375" s="15">
        <v>15806001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623</v>
      </c>
    </row>
    <row r="376" spans="3:26" s="6" customFormat="1" ht="20.100000000000001" customHeight="1" x14ac:dyDescent="0.3">
      <c r="C376" s="6">
        <v>5003052</v>
      </c>
      <c r="D376" s="15" t="s">
        <v>559</v>
      </c>
      <c r="E376" s="6">
        <v>0</v>
      </c>
      <c r="F376" s="15">
        <v>15807001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624</v>
      </c>
    </row>
    <row r="377" spans="3:26" s="6" customFormat="1" ht="20.100000000000001" customHeight="1" x14ac:dyDescent="0.3">
      <c r="C377" s="6">
        <v>5003061</v>
      </c>
      <c r="D377" s="15" t="s">
        <v>560</v>
      </c>
      <c r="E377" s="6">
        <v>0</v>
      </c>
      <c r="F377" s="15">
        <v>15808001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625</v>
      </c>
    </row>
    <row r="378" spans="3:26" s="6" customFormat="1" ht="20.100000000000001" customHeight="1" x14ac:dyDescent="0.3">
      <c r="C378" s="6">
        <v>5003062</v>
      </c>
      <c r="D378" s="15" t="s">
        <v>561</v>
      </c>
      <c r="E378" s="6">
        <v>0</v>
      </c>
      <c r="F378" s="15">
        <v>15809001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626</v>
      </c>
    </row>
    <row r="379" spans="3:26" s="6" customFormat="1" ht="20.100000000000001" customHeight="1" x14ac:dyDescent="0.3">
      <c r="C379" s="6">
        <v>5003071</v>
      </c>
      <c r="D379" s="15" t="s">
        <v>562</v>
      </c>
      <c r="E379" s="6">
        <v>0</v>
      </c>
      <c r="F379" s="15">
        <v>15810001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627</v>
      </c>
    </row>
    <row r="380" spans="3:26" s="6" customFormat="1" ht="20.100000000000001" customHeight="1" x14ac:dyDescent="0.3">
      <c r="C380" s="6">
        <v>5003072</v>
      </c>
      <c r="D380" s="15" t="s">
        <v>564</v>
      </c>
      <c r="E380" s="6">
        <v>0</v>
      </c>
      <c r="F380" s="15">
        <v>15810002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628</v>
      </c>
    </row>
    <row r="381" spans="3:26" s="6" customFormat="1" ht="20.100000000000001" customHeight="1" x14ac:dyDescent="0.3">
      <c r="C381" s="6">
        <v>5003081</v>
      </c>
      <c r="D381" s="15" t="s">
        <v>565</v>
      </c>
      <c r="E381" s="6">
        <v>0</v>
      </c>
      <c r="F381" s="15">
        <v>15810101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629</v>
      </c>
    </row>
    <row r="382" spans="3:26" s="6" customFormat="1" ht="20.100000000000001" customHeight="1" x14ac:dyDescent="0.3">
      <c r="C382" s="6">
        <v>5003082</v>
      </c>
      <c r="D382" s="15" t="s">
        <v>566</v>
      </c>
      <c r="E382" s="6">
        <v>0</v>
      </c>
      <c r="F382" s="15">
        <v>15810102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630</v>
      </c>
    </row>
    <row r="383" spans="3:26" s="6" customFormat="1" ht="20.100000000000001" customHeight="1" x14ac:dyDescent="0.3">
      <c r="C383" s="6">
        <v>5003091</v>
      </c>
      <c r="D383" s="15" t="s">
        <v>567</v>
      </c>
      <c r="E383" s="6">
        <v>0</v>
      </c>
      <c r="F383" s="15">
        <v>15811001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631</v>
      </c>
    </row>
    <row r="384" spans="3:26" s="6" customFormat="1" ht="20.100000000000001" customHeight="1" x14ac:dyDescent="0.3">
      <c r="C384" s="6">
        <v>5003092</v>
      </c>
      <c r="D384" s="15" t="s">
        <v>569</v>
      </c>
      <c r="E384" s="6">
        <v>0</v>
      </c>
      <c r="F384" s="15">
        <v>15811002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632</v>
      </c>
    </row>
    <row r="385" spans="3:26" s="6" customFormat="1" ht="20.100000000000001" customHeight="1" x14ac:dyDescent="0.3">
      <c r="C385" s="6">
        <v>5003093</v>
      </c>
      <c r="D385" s="15" t="s">
        <v>570</v>
      </c>
      <c r="E385" s="6">
        <v>0</v>
      </c>
      <c r="F385" s="15">
        <v>15811003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633</v>
      </c>
    </row>
    <row r="386" spans="3:26" s="6" customFormat="1" ht="20.100000000000001" customHeight="1" x14ac:dyDescent="0.3">
      <c r="C386" s="6">
        <v>5003101</v>
      </c>
      <c r="D386" s="15" t="s">
        <v>606</v>
      </c>
      <c r="E386" s="6">
        <v>0</v>
      </c>
      <c r="F386" s="15">
        <v>15810201</v>
      </c>
      <c r="G386" s="14">
        <v>0</v>
      </c>
      <c r="H386" s="15">
        <v>60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634</v>
      </c>
    </row>
    <row r="387" spans="3:26" s="48" customFormat="1" ht="20.100000000000001" customHeight="1" x14ac:dyDescent="0.3">
      <c r="C387" s="48">
        <v>5004001</v>
      </c>
      <c r="D387" s="29" t="s">
        <v>541</v>
      </c>
      <c r="E387" s="48">
        <v>0</v>
      </c>
      <c r="F387" s="29">
        <v>15901001</v>
      </c>
      <c r="G387" s="35">
        <v>0</v>
      </c>
      <c r="H387" s="29">
        <v>70</v>
      </c>
      <c r="I387" s="48">
        <v>0</v>
      </c>
      <c r="J387" s="48">
        <v>0</v>
      </c>
      <c r="K387" s="48">
        <v>0</v>
      </c>
      <c r="L387" s="48">
        <v>1</v>
      </c>
      <c r="M387" s="48">
        <v>1</v>
      </c>
      <c r="N387" s="48">
        <v>0</v>
      </c>
      <c r="O387" s="48">
        <v>1</v>
      </c>
      <c r="P387" s="48">
        <v>1</v>
      </c>
      <c r="Q387" s="48">
        <v>1</v>
      </c>
      <c r="R387" s="48">
        <v>1</v>
      </c>
      <c r="S387" s="48">
        <v>0</v>
      </c>
      <c r="T387" s="48">
        <v>0</v>
      </c>
      <c r="U387" s="48">
        <v>0</v>
      </c>
      <c r="V387" s="48">
        <v>0</v>
      </c>
      <c r="W387" s="48">
        <v>1</v>
      </c>
      <c r="X387" s="49">
        <v>0</v>
      </c>
      <c r="Y387" s="48">
        <v>0</v>
      </c>
      <c r="Z387" s="50" t="s">
        <v>886</v>
      </c>
    </row>
    <row r="388" spans="3:26" s="48" customFormat="1" ht="20.100000000000001" customHeight="1" x14ac:dyDescent="0.3">
      <c r="C388" s="48">
        <v>5004002</v>
      </c>
      <c r="D388" s="29" t="s">
        <v>543</v>
      </c>
      <c r="E388" s="48">
        <v>0</v>
      </c>
      <c r="F388" s="29">
        <v>15901002</v>
      </c>
      <c r="G388" s="35">
        <v>0</v>
      </c>
      <c r="H388" s="29">
        <v>70</v>
      </c>
      <c r="I388" s="48">
        <v>0</v>
      </c>
      <c r="J388" s="48">
        <v>0</v>
      </c>
      <c r="K388" s="48">
        <v>0</v>
      </c>
      <c r="L388" s="48">
        <v>1</v>
      </c>
      <c r="M388" s="48">
        <v>1</v>
      </c>
      <c r="N388" s="48">
        <v>0</v>
      </c>
      <c r="O388" s="48">
        <v>1</v>
      </c>
      <c r="P388" s="48">
        <v>1</v>
      </c>
      <c r="Q388" s="48">
        <v>1</v>
      </c>
      <c r="R388" s="48">
        <v>1</v>
      </c>
      <c r="S388" s="48">
        <v>0</v>
      </c>
      <c r="T388" s="48">
        <v>0</v>
      </c>
      <c r="U388" s="48">
        <v>0</v>
      </c>
      <c r="V388" s="48">
        <v>0</v>
      </c>
      <c r="W388" s="48">
        <v>1</v>
      </c>
      <c r="X388" s="49">
        <v>0</v>
      </c>
      <c r="Y388" s="48">
        <v>0</v>
      </c>
      <c r="Z388" s="50" t="s">
        <v>887</v>
      </c>
    </row>
    <row r="389" spans="3:26" s="48" customFormat="1" ht="20.100000000000001" customHeight="1" x14ac:dyDescent="0.3">
      <c r="C389" s="48">
        <v>5004003</v>
      </c>
      <c r="D389" s="29" t="s">
        <v>544</v>
      </c>
      <c r="E389" s="48">
        <v>0</v>
      </c>
      <c r="F389" s="29">
        <v>15901003</v>
      </c>
      <c r="G389" s="35">
        <v>0</v>
      </c>
      <c r="H389" s="29">
        <v>70</v>
      </c>
      <c r="I389" s="48">
        <v>0</v>
      </c>
      <c r="J389" s="48">
        <v>0</v>
      </c>
      <c r="K389" s="48">
        <v>0</v>
      </c>
      <c r="L389" s="48">
        <v>1</v>
      </c>
      <c r="M389" s="48">
        <v>1</v>
      </c>
      <c r="N389" s="48">
        <v>0</v>
      </c>
      <c r="O389" s="48">
        <v>1</v>
      </c>
      <c r="P389" s="48">
        <v>1</v>
      </c>
      <c r="Q389" s="48">
        <v>1</v>
      </c>
      <c r="R389" s="48">
        <v>1</v>
      </c>
      <c r="S389" s="48">
        <v>0</v>
      </c>
      <c r="T389" s="48">
        <v>0</v>
      </c>
      <c r="U389" s="48">
        <v>0</v>
      </c>
      <c r="V389" s="48">
        <v>0</v>
      </c>
      <c r="W389" s="48">
        <v>1</v>
      </c>
      <c r="X389" s="49">
        <v>0</v>
      </c>
      <c r="Y389" s="48">
        <v>0</v>
      </c>
      <c r="Z389" s="50" t="s">
        <v>888</v>
      </c>
    </row>
    <row r="390" spans="3:26" s="48" customFormat="1" ht="20.100000000000001" customHeight="1" x14ac:dyDescent="0.3">
      <c r="C390" s="48">
        <v>5004011</v>
      </c>
      <c r="D390" s="29" t="s">
        <v>545</v>
      </c>
      <c r="E390" s="48">
        <v>0</v>
      </c>
      <c r="F390" s="29">
        <v>15902001</v>
      </c>
      <c r="G390" s="35">
        <v>0</v>
      </c>
      <c r="H390" s="29">
        <v>70</v>
      </c>
      <c r="I390" s="48">
        <v>0</v>
      </c>
      <c r="J390" s="48">
        <v>0</v>
      </c>
      <c r="K390" s="48">
        <v>0</v>
      </c>
      <c r="L390" s="48">
        <v>1</v>
      </c>
      <c r="M390" s="48">
        <v>1</v>
      </c>
      <c r="N390" s="48">
        <v>0</v>
      </c>
      <c r="O390" s="48">
        <v>1</v>
      </c>
      <c r="P390" s="48">
        <v>1</v>
      </c>
      <c r="Q390" s="48">
        <v>1</v>
      </c>
      <c r="R390" s="48">
        <v>1</v>
      </c>
      <c r="S390" s="48">
        <v>0</v>
      </c>
      <c r="T390" s="48">
        <v>0</v>
      </c>
      <c r="U390" s="48">
        <v>0</v>
      </c>
      <c r="V390" s="48">
        <v>0</v>
      </c>
      <c r="W390" s="48">
        <v>1</v>
      </c>
      <c r="X390" s="49">
        <v>0</v>
      </c>
      <c r="Y390" s="48">
        <v>0</v>
      </c>
      <c r="Z390" s="50" t="s">
        <v>889</v>
      </c>
    </row>
    <row r="391" spans="3:26" s="48" customFormat="1" ht="20.100000000000001" customHeight="1" x14ac:dyDescent="0.3">
      <c r="C391" s="48">
        <v>5004012</v>
      </c>
      <c r="D391" s="29" t="s">
        <v>546</v>
      </c>
      <c r="E391" s="48">
        <v>0</v>
      </c>
      <c r="F391" s="29">
        <v>15902002</v>
      </c>
      <c r="G391" s="35">
        <v>0</v>
      </c>
      <c r="H391" s="29">
        <v>70</v>
      </c>
      <c r="I391" s="48">
        <v>0</v>
      </c>
      <c r="J391" s="48">
        <v>0</v>
      </c>
      <c r="K391" s="48">
        <v>0</v>
      </c>
      <c r="L391" s="48">
        <v>1</v>
      </c>
      <c r="M391" s="48">
        <v>1</v>
      </c>
      <c r="N391" s="48">
        <v>0</v>
      </c>
      <c r="O391" s="48">
        <v>1</v>
      </c>
      <c r="P391" s="48">
        <v>1</v>
      </c>
      <c r="Q391" s="48">
        <v>1</v>
      </c>
      <c r="R391" s="48">
        <v>1</v>
      </c>
      <c r="S391" s="48">
        <v>0</v>
      </c>
      <c r="T391" s="48">
        <v>0</v>
      </c>
      <c r="U391" s="48">
        <v>0</v>
      </c>
      <c r="V391" s="48">
        <v>0</v>
      </c>
      <c r="W391" s="48">
        <v>1</v>
      </c>
      <c r="X391" s="49">
        <v>0</v>
      </c>
      <c r="Y391" s="48">
        <v>0</v>
      </c>
      <c r="Z391" s="50" t="s">
        <v>890</v>
      </c>
    </row>
    <row r="392" spans="3:26" s="48" customFormat="1" ht="20.100000000000001" customHeight="1" x14ac:dyDescent="0.3">
      <c r="C392" s="48">
        <v>5004013</v>
      </c>
      <c r="D392" s="29" t="s">
        <v>547</v>
      </c>
      <c r="E392" s="48">
        <v>0</v>
      </c>
      <c r="F392" s="29">
        <v>15902003</v>
      </c>
      <c r="G392" s="35">
        <v>0</v>
      </c>
      <c r="H392" s="29">
        <v>70</v>
      </c>
      <c r="I392" s="48">
        <v>0</v>
      </c>
      <c r="J392" s="48">
        <v>0</v>
      </c>
      <c r="K392" s="48">
        <v>0</v>
      </c>
      <c r="L392" s="48">
        <v>1</v>
      </c>
      <c r="M392" s="48">
        <v>1</v>
      </c>
      <c r="N392" s="48">
        <v>0</v>
      </c>
      <c r="O392" s="48">
        <v>1</v>
      </c>
      <c r="P392" s="48">
        <v>1</v>
      </c>
      <c r="Q392" s="48">
        <v>1</v>
      </c>
      <c r="R392" s="48">
        <v>1</v>
      </c>
      <c r="S392" s="48">
        <v>0</v>
      </c>
      <c r="T392" s="48">
        <v>0</v>
      </c>
      <c r="U392" s="48">
        <v>0</v>
      </c>
      <c r="V392" s="48">
        <v>0</v>
      </c>
      <c r="W392" s="48">
        <v>1</v>
      </c>
      <c r="X392" s="49">
        <v>0</v>
      </c>
      <c r="Y392" s="48">
        <v>0</v>
      </c>
      <c r="Z392" s="50" t="s">
        <v>891</v>
      </c>
    </row>
    <row r="393" spans="3:26" s="48" customFormat="1" ht="20.100000000000001" customHeight="1" x14ac:dyDescent="0.3">
      <c r="C393" s="48">
        <v>5004021</v>
      </c>
      <c r="D393" s="29" t="s">
        <v>548</v>
      </c>
      <c r="E393" s="48">
        <v>0</v>
      </c>
      <c r="F393" s="29">
        <v>15903001</v>
      </c>
      <c r="G393" s="35">
        <v>0</v>
      </c>
      <c r="H393" s="29">
        <v>70</v>
      </c>
      <c r="I393" s="48">
        <v>0</v>
      </c>
      <c r="J393" s="48">
        <v>0</v>
      </c>
      <c r="K393" s="48">
        <v>0</v>
      </c>
      <c r="L393" s="48">
        <v>1</v>
      </c>
      <c r="M393" s="48">
        <v>1</v>
      </c>
      <c r="N393" s="48">
        <v>0</v>
      </c>
      <c r="O393" s="48">
        <v>1</v>
      </c>
      <c r="P393" s="48">
        <v>1</v>
      </c>
      <c r="Q393" s="48">
        <v>1</v>
      </c>
      <c r="R393" s="48">
        <v>1</v>
      </c>
      <c r="S393" s="48">
        <v>0</v>
      </c>
      <c r="T393" s="48">
        <v>0</v>
      </c>
      <c r="U393" s="48">
        <v>0</v>
      </c>
      <c r="V393" s="48">
        <v>0</v>
      </c>
      <c r="W393" s="48">
        <v>1</v>
      </c>
      <c r="X393" s="49">
        <v>0</v>
      </c>
      <c r="Y393" s="48">
        <v>0</v>
      </c>
      <c r="Z393" s="50" t="s">
        <v>892</v>
      </c>
    </row>
    <row r="394" spans="3:26" s="48" customFormat="1" ht="20.100000000000001" customHeight="1" x14ac:dyDescent="0.3">
      <c r="C394" s="48">
        <v>5004022</v>
      </c>
      <c r="D394" s="29" t="s">
        <v>549</v>
      </c>
      <c r="E394" s="48">
        <v>0</v>
      </c>
      <c r="F394" s="29">
        <v>15903002</v>
      </c>
      <c r="G394" s="35">
        <v>0</v>
      </c>
      <c r="H394" s="29">
        <v>70</v>
      </c>
      <c r="I394" s="48">
        <v>0</v>
      </c>
      <c r="J394" s="48">
        <v>0</v>
      </c>
      <c r="K394" s="48">
        <v>0</v>
      </c>
      <c r="L394" s="48">
        <v>1</v>
      </c>
      <c r="M394" s="48">
        <v>1</v>
      </c>
      <c r="N394" s="48">
        <v>0</v>
      </c>
      <c r="O394" s="48">
        <v>1</v>
      </c>
      <c r="P394" s="48">
        <v>1</v>
      </c>
      <c r="Q394" s="48">
        <v>1</v>
      </c>
      <c r="R394" s="48">
        <v>1</v>
      </c>
      <c r="S394" s="48">
        <v>0</v>
      </c>
      <c r="T394" s="48">
        <v>0</v>
      </c>
      <c r="U394" s="48">
        <v>0</v>
      </c>
      <c r="V394" s="48">
        <v>0</v>
      </c>
      <c r="W394" s="48">
        <v>1</v>
      </c>
      <c r="X394" s="49">
        <v>0</v>
      </c>
      <c r="Y394" s="48">
        <v>0</v>
      </c>
      <c r="Z394" s="50" t="s">
        <v>893</v>
      </c>
    </row>
    <row r="395" spans="3:26" s="48" customFormat="1" ht="20.100000000000001" customHeight="1" x14ac:dyDescent="0.3">
      <c r="C395" s="48">
        <v>5004023</v>
      </c>
      <c r="D395" s="29" t="s">
        <v>550</v>
      </c>
      <c r="E395" s="48">
        <v>0</v>
      </c>
      <c r="F395" s="29">
        <v>15903003</v>
      </c>
      <c r="G395" s="35">
        <v>0</v>
      </c>
      <c r="H395" s="29">
        <v>70</v>
      </c>
      <c r="I395" s="48">
        <v>0</v>
      </c>
      <c r="J395" s="48">
        <v>0</v>
      </c>
      <c r="K395" s="48">
        <v>0</v>
      </c>
      <c r="L395" s="48">
        <v>1</v>
      </c>
      <c r="M395" s="48">
        <v>1</v>
      </c>
      <c r="N395" s="48">
        <v>0</v>
      </c>
      <c r="O395" s="48">
        <v>1</v>
      </c>
      <c r="P395" s="48">
        <v>1</v>
      </c>
      <c r="Q395" s="48">
        <v>1</v>
      </c>
      <c r="R395" s="48">
        <v>1</v>
      </c>
      <c r="S395" s="48">
        <v>0</v>
      </c>
      <c r="T395" s="48">
        <v>0</v>
      </c>
      <c r="U395" s="48">
        <v>0</v>
      </c>
      <c r="V395" s="48">
        <v>0</v>
      </c>
      <c r="W395" s="48">
        <v>1</v>
      </c>
      <c r="X395" s="49">
        <v>0</v>
      </c>
      <c r="Y395" s="48">
        <v>0</v>
      </c>
      <c r="Z395" s="50" t="s">
        <v>894</v>
      </c>
    </row>
    <row r="396" spans="3:26" s="48" customFormat="1" ht="20.100000000000001" customHeight="1" x14ac:dyDescent="0.3">
      <c r="C396" s="48">
        <v>5004031</v>
      </c>
      <c r="D396" s="29" t="s">
        <v>551</v>
      </c>
      <c r="E396" s="48">
        <v>0</v>
      </c>
      <c r="F396" s="29">
        <v>15904001</v>
      </c>
      <c r="G396" s="35">
        <v>0</v>
      </c>
      <c r="H396" s="29">
        <v>70</v>
      </c>
      <c r="I396" s="48">
        <v>0</v>
      </c>
      <c r="J396" s="48">
        <v>0</v>
      </c>
      <c r="K396" s="48">
        <v>0</v>
      </c>
      <c r="L396" s="48">
        <v>1</v>
      </c>
      <c r="M396" s="48">
        <v>1</v>
      </c>
      <c r="N396" s="48">
        <v>0</v>
      </c>
      <c r="O396" s="48">
        <v>1</v>
      </c>
      <c r="P396" s="48">
        <v>1</v>
      </c>
      <c r="Q396" s="48">
        <v>1</v>
      </c>
      <c r="R396" s="48">
        <v>1</v>
      </c>
      <c r="S396" s="48">
        <v>0</v>
      </c>
      <c r="T396" s="48">
        <v>0</v>
      </c>
      <c r="U396" s="48">
        <v>0</v>
      </c>
      <c r="V396" s="48">
        <v>0</v>
      </c>
      <c r="W396" s="48">
        <v>1</v>
      </c>
      <c r="X396" s="49">
        <v>0</v>
      </c>
      <c r="Y396" s="48">
        <v>0</v>
      </c>
      <c r="Z396" s="50" t="s">
        <v>895</v>
      </c>
    </row>
    <row r="397" spans="3:26" s="48" customFormat="1" ht="20.100000000000001" customHeight="1" x14ac:dyDescent="0.3">
      <c r="C397" s="48">
        <v>5004032</v>
      </c>
      <c r="D397" s="29" t="s">
        <v>552</v>
      </c>
      <c r="E397" s="48">
        <v>0</v>
      </c>
      <c r="F397" s="29">
        <v>15904002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896</v>
      </c>
    </row>
    <row r="398" spans="3:26" s="48" customFormat="1" ht="20.100000000000001" customHeight="1" x14ac:dyDescent="0.3">
      <c r="C398" s="48">
        <v>5004033</v>
      </c>
      <c r="D398" s="29" t="s">
        <v>553</v>
      </c>
      <c r="E398" s="48">
        <v>0</v>
      </c>
      <c r="F398" s="29">
        <v>15904003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897</v>
      </c>
    </row>
    <row r="399" spans="3:26" s="48" customFormat="1" ht="20.100000000000001" customHeight="1" x14ac:dyDescent="0.3">
      <c r="C399" s="48">
        <v>5004041</v>
      </c>
      <c r="D399" s="29" t="s">
        <v>554</v>
      </c>
      <c r="E399" s="48">
        <v>0</v>
      </c>
      <c r="F399" s="29">
        <v>15905001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898</v>
      </c>
    </row>
    <row r="400" spans="3:26" s="48" customFormat="1" ht="20.100000000000001" customHeight="1" x14ac:dyDescent="0.3">
      <c r="C400" s="48">
        <v>5004042</v>
      </c>
      <c r="D400" s="29" t="s">
        <v>555</v>
      </c>
      <c r="E400" s="48">
        <v>0</v>
      </c>
      <c r="F400" s="29">
        <v>15905002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899</v>
      </c>
    </row>
    <row r="401" spans="3:26" s="48" customFormat="1" ht="20.100000000000001" customHeight="1" x14ac:dyDescent="0.3">
      <c r="C401" s="48">
        <v>5004043</v>
      </c>
      <c r="D401" s="29" t="s">
        <v>556</v>
      </c>
      <c r="E401" s="48">
        <v>0</v>
      </c>
      <c r="F401" s="29">
        <v>15905003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900</v>
      </c>
    </row>
    <row r="402" spans="3:26" s="48" customFormat="1" ht="20.100000000000001" customHeight="1" x14ac:dyDescent="0.3">
      <c r="C402" s="48">
        <v>5004051</v>
      </c>
      <c r="D402" s="29" t="s">
        <v>557</v>
      </c>
      <c r="E402" s="48">
        <v>0</v>
      </c>
      <c r="F402" s="29">
        <v>15906001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882</v>
      </c>
    </row>
    <row r="403" spans="3:26" s="48" customFormat="1" ht="20.100000000000001" customHeight="1" x14ac:dyDescent="0.3">
      <c r="C403" s="48">
        <v>5004052</v>
      </c>
      <c r="D403" s="29" t="s">
        <v>559</v>
      </c>
      <c r="E403" s="48">
        <v>0</v>
      </c>
      <c r="F403" s="29">
        <v>15907001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883</v>
      </c>
    </row>
    <row r="404" spans="3:26" s="48" customFormat="1" ht="20.100000000000001" customHeight="1" x14ac:dyDescent="0.3">
      <c r="C404" s="48">
        <v>5004061</v>
      </c>
      <c r="D404" s="29" t="s">
        <v>560</v>
      </c>
      <c r="E404" s="48">
        <v>0</v>
      </c>
      <c r="F404" s="29">
        <v>15908001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884</v>
      </c>
    </row>
    <row r="405" spans="3:26" s="48" customFormat="1" ht="20.100000000000001" customHeight="1" x14ac:dyDescent="0.3">
      <c r="C405" s="48">
        <v>5004062</v>
      </c>
      <c r="D405" s="29" t="s">
        <v>561</v>
      </c>
      <c r="E405" s="48">
        <v>0</v>
      </c>
      <c r="F405" s="29">
        <v>15909001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885</v>
      </c>
    </row>
    <row r="406" spans="3:26" s="48" customFormat="1" ht="20.100000000000001" customHeight="1" x14ac:dyDescent="0.3">
      <c r="C406" s="48">
        <v>5004071</v>
      </c>
      <c r="D406" s="29" t="s">
        <v>562</v>
      </c>
      <c r="E406" s="48">
        <v>0</v>
      </c>
      <c r="F406" s="29">
        <v>15910001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875</v>
      </c>
    </row>
    <row r="407" spans="3:26" s="48" customFormat="1" ht="20.100000000000001" customHeight="1" x14ac:dyDescent="0.3">
      <c r="C407" s="48">
        <v>5004072</v>
      </c>
      <c r="D407" s="29" t="s">
        <v>564</v>
      </c>
      <c r="E407" s="48">
        <v>0</v>
      </c>
      <c r="F407" s="29">
        <v>15910002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876</v>
      </c>
    </row>
    <row r="408" spans="3:26" s="48" customFormat="1" ht="20.100000000000001" customHeight="1" x14ac:dyDescent="0.3">
      <c r="C408" s="48">
        <v>5004081</v>
      </c>
      <c r="D408" s="29" t="s">
        <v>565</v>
      </c>
      <c r="E408" s="48">
        <v>0</v>
      </c>
      <c r="F408" s="29">
        <v>15910101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877</v>
      </c>
    </row>
    <row r="409" spans="3:26" s="48" customFormat="1" ht="20.100000000000001" customHeight="1" x14ac:dyDescent="0.3">
      <c r="C409" s="48">
        <v>5004082</v>
      </c>
      <c r="D409" s="29" t="s">
        <v>566</v>
      </c>
      <c r="E409" s="48">
        <v>0</v>
      </c>
      <c r="F409" s="29">
        <v>15910102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878</v>
      </c>
    </row>
    <row r="410" spans="3:26" s="48" customFormat="1" ht="20.100000000000001" customHeight="1" x14ac:dyDescent="0.3">
      <c r="C410" s="48">
        <v>5004091</v>
      </c>
      <c r="D410" s="29" t="s">
        <v>567</v>
      </c>
      <c r="E410" s="48">
        <v>0</v>
      </c>
      <c r="F410" s="29">
        <v>15911001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879</v>
      </c>
    </row>
    <row r="411" spans="3:26" s="48" customFormat="1" ht="20.100000000000001" customHeight="1" x14ac:dyDescent="0.3">
      <c r="C411" s="48">
        <v>5004092</v>
      </c>
      <c r="D411" s="29" t="s">
        <v>569</v>
      </c>
      <c r="E411" s="48">
        <v>0</v>
      </c>
      <c r="F411" s="29">
        <v>15911002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880</v>
      </c>
    </row>
    <row r="412" spans="3:26" s="48" customFormat="1" ht="20.100000000000001" customHeight="1" x14ac:dyDescent="0.3">
      <c r="C412" s="48">
        <v>5004093</v>
      </c>
      <c r="D412" s="29" t="s">
        <v>570</v>
      </c>
      <c r="E412" s="48">
        <v>0</v>
      </c>
      <c r="F412" s="29">
        <v>15911003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881</v>
      </c>
    </row>
    <row r="413" spans="3:26" s="48" customFormat="1" ht="20.100000000000001" customHeight="1" x14ac:dyDescent="0.3">
      <c r="C413" s="48">
        <v>5004101</v>
      </c>
      <c r="D413" s="29" t="s">
        <v>606</v>
      </c>
      <c r="E413" s="48">
        <v>0</v>
      </c>
      <c r="F413" s="29">
        <v>15910201</v>
      </c>
      <c r="G413" s="35">
        <v>0</v>
      </c>
      <c r="H413" s="29">
        <v>70</v>
      </c>
      <c r="I413" s="48">
        <v>0</v>
      </c>
      <c r="J413" s="48">
        <v>0</v>
      </c>
      <c r="K413" s="48">
        <v>0</v>
      </c>
      <c r="L413" s="48">
        <v>1</v>
      </c>
      <c r="M413" s="48">
        <v>1</v>
      </c>
      <c r="N413" s="48">
        <v>0</v>
      </c>
      <c r="O413" s="48">
        <v>1</v>
      </c>
      <c r="P413" s="48">
        <v>1</v>
      </c>
      <c r="Q413" s="48">
        <v>1</v>
      </c>
      <c r="R413" s="48">
        <v>1</v>
      </c>
      <c r="S413" s="48">
        <v>0</v>
      </c>
      <c r="T413" s="48">
        <v>0</v>
      </c>
      <c r="U413" s="48">
        <v>0</v>
      </c>
      <c r="V413" s="48">
        <v>0</v>
      </c>
      <c r="W413" s="48">
        <v>1</v>
      </c>
      <c r="X413" s="49">
        <v>0</v>
      </c>
      <c r="Y413" s="48">
        <v>0</v>
      </c>
      <c r="Z413" s="50" t="s">
        <v>903</v>
      </c>
    </row>
    <row r="414" spans="3:26" s="6" customFormat="1" ht="20.100000000000001" customHeight="1" x14ac:dyDescent="0.3">
      <c r="C414" s="6">
        <v>6000101</v>
      </c>
      <c r="D414" s="6" t="s">
        <v>635</v>
      </c>
      <c r="E414" s="6">
        <v>9</v>
      </c>
      <c r="F414" s="6">
        <v>11500101</v>
      </c>
      <c r="G414" s="41">
        <v>0</v>
      </c>
      <c r="H414" s="15">
        <v>12</v>
      </c>
      <c r="I414" s="6">
        <v>0</v>
      </c>
      <c r="J414" s="6">
        <v>0</v>
      </c>
      <c r="K414" s="6">
        <v>0</v>
      </c>
      <c r="L414" s="6">
        <v>1</v>
      </c>
      <c r="M414" s="6">
        <v>1</v>
      </c>
      <c r="N414" s="6">
        <v>0</v>
      </c>
      <c r="O414" s="6">
        <v>1</v>
      </c>
      <c r="P414" s="6">
        <v>1</v>
      </c>
      <c r="Q414" s="6">
        <v>1</v>
      </c>
      <c r="R414" s="6">
        <v>1</v>
      </c>
      <c r="S414" s="6">
        <v>0</v>
      </c>
      <c r="T414" s="6">
        <v>0</v>
      </c>
      <c r="U414" s="6">
        <v>0</v>
      </c>
      <c r="V414" s="6">
        <v>0</v>
      </c>
      <c r="W414" s="6">
        <v>1</v>
      </c>
      <c r="X414" s="24">
        <v>0</v>
      </c>
      <c r="Y414" s="6">
        <v>0</v>
      </c>
      <c r="Z414" s="40" t="s">
        <v>636</v>
      </c>
    </row>
    <row r="415" spans="3:26" s="6" customFormat="1" ht="20.100000000000001" customHeight="1" x14ac:dyDescent="0.3">
      <c r="C415" s="6">
        <v>6000102</v>
      </c>
      <c r="D415" s="6" t="s">
        <v>637</v>
      </c>
      <c r="E415" s="6">
        <v>9</v>
      </c>
      <c r="F415" s="6">
        <v>11500102</v>
      </c>
      <c r="G415" s="41">
        <v>0</v>
      </c>
      <c r="H415" s="15">
        <v>12</v>
      </c>
      <c r="I415" s="6">
        <v>0</v>
      </c>
      <c r="J415" s="6">
        <v>0</v>
      </c>
      <c r="K415" s="6">
        <v>0</v>
      </c>
      <c r="L415" s="6">
        <v>1</v>
      </c>
      <c r="M415" s="6">
        <v>1</v>
      </c>
      <c r="N415" s="6">
        <v>0</v>
      </c>
      <c r="O415" s="6">
        <v>1</v>
      </c>
      <c r="P415" s="6">
        <v>1</v>
      </c>
      <c r="Q415" s="6">
        <v>1</v>
      </c>
      <c r="R415" s="6">
        <v>1</v>
      </c>
      <c r="S415" s="6">
        <v>0</v>
      </c>
      <c r="T415" s="6">
        <v>0</v>
      </c>
      <c r="U415" s="6">
        <v>0</v>
      </c>
      <c r="V415" s="6">
        <v>0</v>
      </c>
      <c r="W415" s="6">
        <v>1</v>
      </c>
      <c r="X415" s="24">
        <v>0</v>
      </c>
      <c r="Y415" s="6">
        <v>0</v>
      </c>
      <c r="Z415" s="40" t="s">
        <v>636</v>
      </c>
    </row>
    <row r="416" spans="3:26" s="6" customFormat="1" ht="20.100000000000001" customHeight="1" x14ac:dyDescent="0.3">
      <c r="C416" s="6">
        <v>6000103</v>
      </c>
      <c r="D416" s="6" t="s">
        <v>638</v>
      </c>
      <c r="E416" s="6">
        <v>9</v>
      </c>
      <c r="F416" s="6">
        <v>11500103</v>
      </c>
      <c r="G416" s="41">
        <v>0</v>
      </c>
      <c r="H416" s="15">
        <v>12</v>
      </c>
      <c r="I416" s="6">
        <v>0</v>
      </c>
      <c r="J416" s="6">
        <v>0</v>
      </c>
      <c r="K416" s="6">
        <v>0</v>
      </c>
      <c r="L416" s="6">
        <v>1</v>
      </c>
      <c r="M416" s="6">
        <v>1</v>
      </c>
      <c r="N416" s="6">
        <v>0</v>
      </c>
      <c r="O416" s="6">
        <v>1</v>
      </c>
      <c r="P416" s="6">
        <v>1</v>
      </c>
      <c r="Q416" s="6">
        <v>1</v>
      </c>
      <c r="R416" s="6">
        <v>1</v>
      </c>
      <c r="S416" s="6">
        <v>0</v>
      </c>
      <c r="T416" s="6">
        <v>0</v>
      </c>
      <c r="U416" s="6">
        <v>0</v>
      </c>
      <c r="V416" s="6">
        <v>0</v>
      </c>
      <c r="W416" s="6">
        <v>1</v>
      </c>
      <c r="X416" s="24">
        <v>0</v>
      </c>
      <c r="Y416" s="6">
        <v>0</v>
      </c>
      <c r="Z416" s="40" t="s">
        <v>636</v>
      </c>
    </row>
    <row r="417" spans="3:26" s="6" customFormat="1" ht="20.100000000000001" customHeight="1" x14ac:dyDescent="0.3">
      <c r="C417" s="6">
        <v>6000201</v>
      </c>
      <c r="D417" s="6" t="s">
        <v>639</v>
      </c>
      <c r="E417" s="6">
        <v>9</v>
      </c>
      <c r="F417" s="6">
        <v>11500201</v>
      </c>
      <c r="G417" s="41">
        <v>0</v>
      </c>
      <c r="H417" s="15">
        <v>30</v>
      </c>
      <c r="I417" s="6">
        <v>0</v>
      </c>
      <c r="J417" s="6">
        <v>0</v>
      </c>
      <c r="K417" s="6">
        <v>0</v>
      </c>
      <c r="L417" s="6">
        <v>1</v>
      </c>
      <c r="M417" s="6">
        <v>1</v>
      </c>
      <c r="N417" s="6">
        <v>0</v>
      </c>
      <c r="O417" s="6">
        <v>1</v>
      </c>
      <c r="P417" s="6">
        <v>1</v>
      </c>
      <c r="Q417" s="6">
        <v>1</v>
      </c>
      <c r="R417" s="6">
        <v>1</v>
      </c>
      <c r="S417" s="6">
        <v>0</v>
      </c>
      <c r="T417" s="6">
        <v>0</v>
      </c>
      <c r="U417" s="6">
        <v>0</v>
      </c>
      <c r="V417" s="6">
        <v>0</v>
      </c>
      <c r="W417" s="6">
        <v>1</v>
      </c>
      <c r="X417" s="24">
        <v>0</v>
      </c>
      <c r="Y417" s="6">
        <v>0</v>
      </c>
      <c r="Z417" s="40" t="s">
        <v>640</v>
      </c>
    </row>
    <row r="418" spans="3:26" s="6" customFormat="1" ht="20.100000000000001" customHeight="1" x14ac:dyDescent="0.3">
      <c r="C418" s="6">
        <v>6000202</v>
      </c>
      <c r="D418" s="6" t="s">
        <v>641</v>
      </c>
      <c r="E418" s="6">
        <v>9</v>
      </c>
      <c r="F418" s="6">
        <v>11500202</v>
      </c>
      <c r="G418" s="41">
        <v>0</v>
      </c>
      <c r="H418" s="15">
        <v>30</v>
      </c>
      <c r="I418" s="6">
        <v>0</v>
      </c>
      <c r="J418" s="6">
        <v>0</v>
      </c>
      <c r="K418" s="6">
        <v>0</v>
      </c>
      <c r="L418" s="6">
        <v>1</v>
      </c>
      <c r="M418" s="6">
        <v>1</v>
      </c>
      <c r="N418" s="6">
        <v>0</v>
      </c>
      <c r="O418" s="6">
        <v>1</v>
      </c>
      <c r="P418" s="6">
        <v>1</v>
      </c>
      <c r="Q418" s="6">
        <v>1</v>
      </c>
      <c r="R418" s="6">
        <v>1</v>
      </c>
      <c r="S418" s="6">
        <v>0</v>
      </c>
      <c r="T418" s="6">
        <v>0</v>
      </c>
      <c r="U418" s="6">
        <v>0</v>
      </c>
      <c r="V418" s="6">
        <v>0</v>
      </c>
      <c r="W418" s="6">
        <v>1</v>
      </c>
      <c r="X418" s="24">
        <v>0</v>
      </c>
      <c r="Y418" s="6">
        <v>0</v>
      </c>
      <c r="Z418" s="40" t="s">
        <v>640</v>
      </c>
    </row>
    <row r="419" spans="3:26" s="6" customFormat="1" ht="20.100000000000001" customHeight="1" x14ac:dyDescent="0.3">
      <c r="C419" s="6">
        <v>6000203</v>
      </c>
      <c r="D419" s="6" t="s">
        <v>642</v>
      </c>
      <c r="E419" s="6">
        <v>9</v>
      </c>
      <c r="F419" s="6">
        <v>11500203</v>
      </c>
      <c r="G419" s="41">
        <v>0</v>
      </c>
      <c r="H419" s="15">
        <v>30</v>
      </c>
      <c r="I419" s="6">
        <v>0</v>
      </c>
      <c r="J419" s="6">
        <v>0</v>
      </c>
      <c r="K419" s="6">
        <v>0</v>
      </c>
      <c r="L419" s="6">
        <v>1</v>
      </c>
      <c r="M419" s="6">
        <v>1</v>
      </c>
      <c r="N419" s="6">
        <v>0</v>
      </c>
      <c r="O419" s="6">
        <v>1</v>
      </c>
      <c r="P419" s="6">
        <v>1</v>
      </c>
      <c r="Q419" s="6">
        <v>1</v>
      </c>
      <c r="R419" s="6">
        <v>1</v>
      </c>
      <c r="S419" s="6">
        <v>0</v>
      </c>
      <c r="T419" s="6">
        <v>0</v>
      </c>
      <c r="U419" s="6">
        <v>0</v>
      </c>
      <c r="V419" s="6">
        <v>0</v>
      </c>
      <c r="W419" s="6">
        <v>1</v>
      </c>
      <c r="X419" s="24">
        <v>0</v>
      </c>
      <c r="Y419" s="6">
        <v>0</v>
      </c>
      <c r="Z419" s="40" t="s">
        <v>640</v>
      </c>
    </row>
    <row r="420" spans="3:26" s="6" customFormat="1" ht="20.100000000000001" customHeight="1" x14ac:dyDescent="0.3">
      <c r="C420" s="6">
        <v>6000301</v>
      </c>
      <c r="D420" s="6" t="s">
        <v>643</v>
      </c>
      <c r="E420" s="6">
        <v>9</v>
      </c>
      <c r="F420" s="6">
        <v>11500301</v>
      </c>
      <c r="G420" s="41">
        <v>0</v>
      </c>
      <c r="H420" s="15">
        <v>40</v>
      </c>
      <c r="I420" s="6">
        <v>0</v>
      </c>
      <c r="J420" s="6">
        <v>0</v>
      </c>
      <c r="K420" s="6">
        <v>0</v>
      </c>
      <c r="L420" s="6">
        <v>1</v>
      </c>
      <c r="M420" s="6">
        <v>1</v>
      </c>
      <c r="N420" s="6">
        <v>0</v>
      </c>
      <c r="O420" s="6">
        <v>1</v>
      </c>
      <c r="P420" s="6">
        <v>1</v>
      </c>
      <c r="Q420" s="6">
        <v>1</v>
      </c>
      <c r="R420" s="6">
        <v>1</v>
      </c>
      <c r="S420" s="6">
        <v>0</v>
      </c>
      <c r="T420" s="6">
        <v>0</v>
      </c>
      <c r="U420" s="6">
        <v>0</v>
      </c>
      <c r="V420" s="6">
        <v>0</v>
      </c>
      <c r="W420" s="6">
        <v>1</v>
      </c>
      <c r="X420" s="24">
        <v>0</v>
      </c>
      <c r="Y420" s="6">
        <v>0</v>
      </c>
      <c r="Z420" s="40" t="s">
        <v>644</v>
      </c>
    </row>
    <row r="421" spans="3:26" s="6" customFormat="1" ht="20.100000000000001" customHeight="1" x14ac:dyDescent="0.3">
      <c r="C421" s="6">
        <v>6000302</v>
      </c>
      <c r="D421" s="6" t="s">
        <v>645</v>
      </c>
      <c r="E421" s="6">
        <v>9</v>
      </c>
      <c r="F421" s="6">
        <v>11500302</v>
      </c>
      <c r="G421" s="41">
        <v>0</v>
      </c>
      <c r="H421" s="15">
        <v>40</v>
      </c>
      <c r="I421" s="6">
        <v>0</v>
      </c>
      <c r="J421" s="6">
        <v>0</v>
      </c>
      <c r="K421" s="6">
        <v>0</v>
      </c>
      <c r="L421" s="6">
        <v>1</v>
      </c>
      <c r="M421" s="6">
        <v>1</v>
      </c>
      <c r="N421" s="6">
        <v>0</v>
      </c>
      <c r="O421" s="6">
        <v>1</v>
      </c>
      <c r="P421" s="6">
        <v>1</v>
      </c>
      <c r="Q421" s="6">
        <v>1</v>
      </c>
      <c r="R421" s="6">
        <v>1</v>
      </c>
      <c r="S421" s="6">
        <v>0</v>
      </c>
      <c r="T421" s="6">
        <v>0</v>
      </c>
      <c r="U421" s="6">
        <v>0</v>
      </c>
      <c r="V421" s="6">
        <v>0</v>
      </c>
      <c r="W421" s="6">
        <v>1</v>
      </c>
      <c r="X421" s="24">
        <v>0</v>
      </c>
      <c r="Y421" s="6">
        <v>0</v>
      </c>
      <c r="Z421" s="40" t="s">
        <v>644</v>
      </c>
    </row>
    <row r="422" spans="3:26" s="6" customFormat="1" ht="20.100000000000001" customHeight="1" x14ac:dyDescent="0.3">
      <c r="C422" s="6">
        <v>6000303</v>
      </c>
      <c r="D422" s="6" t="s">
        <v>646</v>
      </c>
      <c r="E422" s="6">
        <v>9</v>
      </c>
      <c r="F422" s="6">
        <v>11500303</v>
      </c>
      <c r="G422" s="41">
        <v>0</v>
      </c>
      <c r="H422" s="15">
        <v>40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644</v>
      </c>
    </row>
    <row r="423" spans="3:26" s="6" customFormat="1" ht="20.100000000000001" customHeight="1" x14ac:dyDescent="0.3">
      <c r="C423" s="6">
        <v>6000401</v>
      </c>
      <c r="D423" s="6" t="s">
        <v>647</v>
      </c>
      <c r="E423" s="6">
        <v>9</v>
      </c>
      <c r="F423" s="6">
        <v>11500401</v>
      </c>
      <c r="G423" s="41">
        <v>0</v>
      </c>
      <c r="H423" s="15">
        <v>50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648</v>
      </c>
    </row>
    <row r="424" spans="3:26" s="6" customFormat="1" ht="20.100000000000001" customHeight="1" x14ac:dyDescent="0.3">
      <c r="C424" s="6">
        <v>6000402</v>
      </c>
      <c r="D424" s="6" t="s">
        <v>649</v>
      </c>
      <c r="E424" s="6">
        <v>9</v>
      </c>
      <c r="F424" s="6">
        <v>11500402</v>
      </c>
      <c r="G424" s="41">
        <v>0</v>
      </c>
      <c r="H424" s="15">
        <v>50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648</v>
      </c>
    </row>
    <row r="425" spans="3:26" s="6" customFormat="1" ht="20.100000000000001" customHeight="1" x14ac:dyDescent="0.3">
      <c r="C425" s="6">
        <v>6000403</v>
      </c>
      <c r="D425" s="6" t="s">
        <v>650</v>
      </c>
      <c r="E425" s="6">
        <v>9</v>
      </c>
      <c r="F425" s="6">
        <v>11500403</v>
      </c>
      <c r="G425" s="41">
        <v>0</v>
      </c>
      <c r="H425" s="15">
        <v>50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648</v>
      </c>
    </row>
    <row r="426" spans="3:26" s="6" customFormat="1" ht="20.100000000000001" customHeight="1" x14ac:dyDescent="0.3">
      <c r="C426" s="6">
        <v>6000501</v>
      </c>
      <c r="D426" s="6" t="s">
        <v>651</v>
      </c>
      <c r="E426" s="6">
        <v>9</v>
      </c>
      <c r="F426" s="6">
        <v>11500501</v>
      </c>
      <c r="G426" s="41">
        <v>0</v>
      </c>
      <c r="H426" s="15">
        <v>55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652</v>
      </c>
    </row>
    <row r="427" spans="3:26" s="6" customFormat="1" ht="20.100000000000001" customHeight="1" x14ac:dyDescent="0.3">
      <c r="C427" s="6">
        <v>6000502</v>
      </c>
      <c r="D427" s="6" t="s">
        <v>653</v>
      </c>
      <c r="E427" s="6">
        <v>9</v>
      </c>
      <c r="F427" s="6">
        <v>11500502</v>
      </c>
      <c r="G427" s="41">
        <v>0</v>
      </c>
      <c r="H427" s="15">
        <v>55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652</v>
      </c>
    </row>
    <row r="428" spans="3:26" s="6" customFormat="1" ht="20.100000000000001" customHeight="1" x14ac:dyDescent="0.3">
      <c r="C428" s="6">
        <v>6000503</v>
      </c>
      <c r="D428" s="6" t="s">
        <v>654</v>
      </c>
      <c r="E428" s="6">
        <v>9</v>
      </c>
      <c r="F428" s="6">
        <v>11500503</v>
      </c>
      <c r="G428" s="41">
        <v>0</v>
      </c>
      <c r="H428" s="15">
        <v>55</v>
      </c>
      <c r="I428" s="6">
        <v>0</v>
      </c>
      <c r="J428" s="6">
        <v>0</v>
      </c>
      <c r="K428" s="6">
        <v>0</v>
      </c>
      <c r="L428" s="6">
        <v>1</v>
      </c>
      <c r="M428" s="6">
        <v>1</v>
      </c>
      <c r="N428" s="6">
        <v>0</v>
      </c>
      <c r="O428" s="6">
        <v>1</v>
      </c>
      <c r="P428" s="6">
        <v>1</v>
      </c>
      <c r="Q428" s="6">
        <v>1</v>
      </c>
      <c r="R428" s="6">
        <v>1</v>
      </c>
      <c r="S428" s="6">
        <v>0</v>
      </c>
      <c r="T428" s="6">
        <v>0</v>
      </c>
      <c r="U428" s="6">
        <v>0</v>
      </c>
      <c r="V428" s="6">
        <v>0</v>
      </c>
      <c r="W428" s="6">
        <v>1</v>
      </c>
      <c r="X428" s="24">
        <v>0</v>
      </c>
      <c r="Y428" s="6">
        <v>0</v>
      </c>
      <c r="Z428" s="40" t="s">
        <v>652</v>
      </c>
    </row>
    <row r="429" spans="3:26" s="5" customFormat="1" ht="20.100000000000001" customHeight="1" x14ac:dyDescent="0.3">
      <c r="C429" s="42">
        <v>6101001</v>
      </c>
      <c r="D429" s="43" t="s">
        <v>655</v>
      </c>
      <c r="E429" s="5">
        <v>6</v>
      </c>
      <c r="F429" s="42">
        <v>10101101</v>
      </c>
      <c r="G429" s="5">
        <v>0</v>
      </c>
      <c r="H429" s="36">
        <v>1</v>
      </c>
      <c r="I429" s="5">
        <v>5000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f>S449-150</f>
        <v>0</v>
      </c>
      <c r="T429" s="5">
        <v>175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656</v>
      </c>
    </row>
    <row r="430" spans="3:26" s="5" customFormat="1" ht="20.100000000000001" customHeight="1" x14ac:dyDescent="0.3">
      <c r="C430" s="42">
        <v>6101002</v>
      </c>
      <c r="D430" s="43" t="s">
        <v>657</v>
      </c>
      <c r="E430" s="5">
        <v>6</v>
      </c>
      <c r="F430" s="42">
        <v>10101102</v>
      </c>
      <c r="G430" s="5">
        <v>0</v>
      </c>
      <c r="H430" s="36">
        <v>11</v>
      </c>
      <c r="I430" s="5">
        <v>5000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f t="shared" ref="S430:S447" si="10">S450-150</f>
        <v>100</v>
      </c>
      <c r="T430" s="5">
        <v>175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658</v>
      </c>
    </row>
    <row r="431" spans="3:26" s="5" customFormat="1" ht="20.100000000000001" customHeight="1" x14ac:dyDescent="0.3">
      <c r="C431" s="42">
        <v>6101003</v>
      </c>
      <c r="D431" s="43" t="s">
        <v>659</v>
      </c>
      <c r="E431" s="5">
        <v>6</v>
      </c>
      <c r="F431" s="42">
        <v>10101103</v>
      </c>
      <c r="G431" s="5">
        <v>1</v>
      </c>
      <c r="H431" s="36">
        <v>1</v>
      </c>
      <c r="I431" s="5">
        <v>5000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v>0</v>
      </c>
      <c r="T431" s="5">
        <v>175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660</v>
      </c>
    </row>
    <row r="432" spans="3:26" s="5" customFormat="1" ht="20.100000000000001" customHeight="1" x14ac:dyDescent="0.3">
      <c r="C432" s="42">
        <f>C429+1000</f>
        <v>6102001</v>
      </c>
      <c r="D432" s="43" t="s">
        <v>661</v>
      </c>
      <c r="E432" s="5">
        <v>6</v>
      </c>
      <c r="F432" s="42">
        <v>10101201</v>
      </c>
      <c r="G432" s="5">
        <v>0</v>
      </c>
      <c r="H432" s="36">
        <v>3</v>
      </c>
      <c r="I432" s="5">
        <v>5000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f t="shared" si="10"/>
        <v>20</v>
      </c>
      <c r="T432" s="5">
        <v>175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656</v>
      </c>
    </row>
    <row r="433" spans="3:26" s="5" customFormat="1" ht="20.100000000000001" customHeight="1" x14ac:dyDescent="0.3">
      <c r="C433" s="42">
        <f t="shared" ref="C433:C437" si="11">C430+1000</f>
        <v>6102002</v>
      </c>
      <c r="D433" s="43" t="s">
        <v>662</v>
      </c>
      <c r="E433" s="5">
        <v>6</v>
      </c>
      <c r="F433" s="42">
        <v>10101202</v>
      </c>
      <c r="G433" s="5">
        <v>0</v>
      </c>
      <c r="H433" s="36">
        <v>12</v>
      </c>
      <c r="I433" s="5">
        <v>5000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f t="shared" si="10"/>
        <v>110</v>
      </c>
      <c r="T433" s="5">
        <v>175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663</v>
      </c>
    </row>
    <row r="434" spans="3:26" s="5" customFormat="1" ht="20.100000000000001" customHeight="1" x14ac:dyDescent="0.3">
      <c r="C434" s="42">
        <f t="shared" si="11"/>
        <v>6102003</v>
      </c>
      <c r="D434" s="43" t="s">
        <v>664</v>
      </c>
      <c r="E434" s="5">
        <v>6</v>
      </c>
      <c r="F434" s="42">
        <v>10101203</v>
      </c>
      <c r="G434" s="5">
        <v>1</v>
      </c>
      <c r="H434" s="36">
        <v>1</v>
      </c>
      <c r="I434" s="5">
        <v>5000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v>0</v>
      </c>
      <c r="T434" s="5">
        <v>175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665</v>
      </c>
    </row>
    <row r="435" spans="3:26" s="5" customFormat="1" ht="20.100000000000001" customHeight="1" x14ac:dyDescent="0.3">
      <c r="C435" s="42">
        <f t="shared" si="11"/>
        <v>6103001</v>
      </c>
      <c r="D435" s="43" t="s">
        <v>666</v>
      </c>
      <c r="E435" s="5">
        <v>6</v>
      </c>
      <c r="F435" s="42">
        <v>10101301</v>
      </c>
      <c r="G435" s="5">
        <v>0</v>
      </c>
      <c r="H435" s="36">
        <v>5</v>
      </c>
      <c r="I435" s="5">
        <v>5000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f t="shared" si="10"/>
        <v>10</v>
      </c>
      <c r="T435" s="5">
        <v>175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667</v>
      </c>
    </row>
    <row r="436" spans="3:26" s="5" customFormat="1" ht="20.100000000000001" customHeight="1" x14ac:dyDescent="0.3">
      <c r="C436" s="42">
        <f t="shared" si="11"/>
        <v>6103002</v>
      </c>
      <c r="D436" s="43" t="s">
        <v>668</v>
      </c>
      <c r="E436" s="5">
        <v>6</v>
      </c>
      <c r="F436" s="42">
        <v>10101302</v>
      </c>
      <c r="G436" s="5">
        <v>0</v>
      </c>
      <c r="H436" s="36">
        <v>13</v>
      </c>
      <c r="I436" s="5">
        <v>5000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f t="shared" si="10"/>
        <v>120</v>
      </c>
      <c r="T436" s="5">
        <v>175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669</v>
      </c>
    </row>
    <row r="437" spans="3:26" s="5" customFormat="1" ht="19.5" customHeight="1" x14ac:dyDescent="0.3">
      <c r="C437" s="42">
        <f t="shared" si="11"/>
        <v>6103003</v>
      </c>
      <c r="D437" s="43" t="s">
        <v>670</v>
      </c>
      <c r="E437" s="5">
        <v>6</v>
      </c>
      <c r="F437" s="42">
        <v>10101303</v>
      </c>
      <c r="G437" s="5">
        <v>1</v>
      </c>
      <c r="H437" s="36">
        <v>1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v>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671</v>
      </c>
    </row>
    <row r="438" spans="3:26" s="5" customFormat="1" ht="20.100000000000001" customHeight="1" x14ac:dyDescent="0.3">
      <c r="C438" s="42">
        <v>6104001</v>
      </c>
      <c r="D438" s="43" t="s">
        <v>672</v>
      </c>
      <c r="E438" s="5">
        <v>6</v>
      </c>
      <c r="F438" s="42">
        <v>10101401</v>
      </c>
      <c r="G438" s="5">
        <v>0</v>
      </c>
      <c r="H438" s="36">
        <v>7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si="10"/>
        <v>30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673</v>
      </c>
    </row>
    <row r="439" spans="3:26" s="5" customFormat="1" ht="20.100000000000001" customHeight="1" x14ac:dyDescent="0.3">
      <c r="C439" s="42">
        <v>6104002</v>
      </c>
      <c r="D439" s="43" t="s">
        <v>674</v>
      </c>
      <c r="E439" s="5">
        <v>6</v>
      </c>
      <c r="F439" s="42">
        <v>10101402</v>
      </c>
      <c r="G439" s="5">
        <v>0</v>
      </c>
      <c r="H439" s="36">
        <v>14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 t="shared" si="10"/>
        <v>60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663</v>
      </c>
    </row>
    <row r="440" spans="3:26" s="5" customFormat="1" ht="20.100000000000001" customHeight="1" x14ac:dyDescent="0.3">
      <c r="C440" s="42">
        <v>6104003</v>
      </c>
      <c r="D440" s="43" t="s">
        <v>675</v>
      </c>
      <c r="E440" s="5">
        <v>6</v>
      </c>
      <c r="F440" s="42">
        <v>10101403</v>
      </c>
      <c r="G440" s="5">
        <v>0</v>
      </c>
      <c r="H440" s="36">
        <v>14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f t="shared" si="10"/>
        <v>90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676</v>
      </c>
    </row>
    <row r="441" spans="3:26" ht="20.100000000000001" customHeight="1" x14ac:dyDescent="0.3">
      <c r="C441" s="42">
        <v>6104004</v>
      </c>
      <c r="D441" s="43" t="s">
        <v>677</v>
      </c>
      <c r="E441" s="5">
        <v>6</v>
      </c>
      <c r="F441" s="42">
        <v>10101404</v>
      </c>
      <c r="G441" s="44">
        <v>1</v>
      </c>
      <c r="H441" s="36">
        <v>1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v>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671</v>
      </c>
    </row>
    <row r="442" spans="3:26" ht="20.100000000000001" customHeight="1" x14ac:dyDescent="0.3">
      <c r="C442" s="42">
        <v>6105001</v>
      </c>
      <c r="D442" s="43" t="s">
        <v>678</v>
      </c>
      <c r="E442" s="5">
        <v>6</v>
      </c>
      <c r="F442" s="42">
        <v>10101501</v>
      </c>
      <c r="G442" s="44">
        <v>0</v>
      </c>
      <c r="H442" s="36">
        <v>8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30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673</v>
      </c>
    </row>
    <row r="443" spans="3:26" ht="20.100000000000001" customHeight="1" x14ac:dyDescent="0.3">
      <c r="C443" s="42">
        <v>6105002</v>
      </c>
      <c r="D443" s="43" t="s">
        <v>679</v>
      </c>
      <c r="E443" s="5">
        <v>6</v>
      </c>
      <c r="F443" s="42">
        <v>10101502</v>
      </c>
      <c r="G443" s="44">
        <v>0</v>
      </c>
      <c r="H443" s="36">
        <v>15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60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663</v>
      </c>
    </row>
    <row r="444" spans="3:26" ht="20.100000000000001" customHeight="1" x14ac:dyDescent="0.3">
      <c r="C444" s="42">
        <v>6105003</v>
      </c>
      <c r="D444" s="43" t="s">
        <v>680</v>
      </c>
      <c r="E444" s="5">
        <v>6</v>
      </c>
      <c r="F444" s="42">
        <v>10101503</v>
      </c>
      <c r="G444" s="44">
        <v>0</v>
      </c>
      <c r="H444" s="36">
        <v>15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f t="shared" si="10"/>
        <v>90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676</v>
      </c>
    </row>
    <row r="445" spans="3:26" ht="20.100000000000001" customHeight="1" x14ac:dyDescent="0.3">
      <c r="C445" s="42">
        <v>6105004</v>
      </c>
      <c r="D445" s="43" t="s">
        <v>681</v>
      </c>
      <c r="E445" s="5">
        <v>6</v>
      </c>
      <c r="F445" s="42">
        <v>10101504</v>
      </c>
      <c r="G445" s="44">
        <v>1</v>
      </c>
      <c r="H445" s="36">
        <v>1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v>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671</v>
      </c>
    </row>
    <row r="446" spans="3:26" ht="20.100000000000001" customHeight="1" x14ac:dyDescent="0.3">
      <c r="C446" s="42">
        <v>6106001</v>
      </c>
      <c r="D446" s="43" t="s">
        <v>682</v>
      </c>
      <c r="E446" s="5">
        <v>6</v>
      </c>
      <c r="F446" s="42">
        <v>10101601</v>
      </c>
      <c r="G446" s="44">
        <v>0</v>
      </c>
      <c r="H446" s="36">
        <v>10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80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683</v>
      </c>
    </row>
    <row r="447" spans="3:26" ht="20.100000000000001" customHeight="1" x14ac:dyDescent="0.3">
      <c r="C447" s="42">
        <v>6106002</v>
      </c>
      <c r="D447" s="43" t="s">
        <v>684</v>
      </c>
      <c r="E447" s="5">
        <v>6</v>
      </c>
      <c r="F447" s="42">
        <v>10101602</v>
      </c>
      <c r="G447" s="44">
        <v>0</v>
      </c>
      <c r="H447" s="36">
        <v>16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f t="shared" si="10"/>
        <v>140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669</v>
      </c>
    </row>
    <row r="448" spans="3:26" ht="20.100000000000001" customHeight="1" x14ac:dyDescent="0.3">
      <c r="C448" s="42">
        <v>6106003</v>
      </c>
      <c r="D448" s="43" t="s">
        <v>685</v>
      </c>
      <c r="E448" s="5">
        <v>6</v>
      </c>
      <c r="F448" s="42">
        <v>10101603</v>
      </c>
      <c r="G448" s="44">
        <v>1</v>
      </c>
      <c r="H448" s="36">
        <v>1</v>
      </c>
      <c r="I448" s="5">
        <v>5000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0</v>
      </c>
      <c r="T448" s="5">
        <v>175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671</v>
      </c>
    </row>
    <row r="449" spans="3:26" ht="20.100000000000001" customHeight="1" x14ac:dyDescent="0.3">
      <c r="C449" s="42">
        <v>6201001</v>
      </c>
      <c r="D449" s="43" t="s">
        <v>686</v>
      </c>
      <c r="E449" s="5">
        <v>6</v>
      </c>
      <c r="F449" s="42">
        <v>10102101</v>
      </c>
      <c r="G449" s="5">
        <v>0</v>
      </c>
      <c r="H449" s="36">
        <v>30</v>
      </c>
      <c r="I449" s="5">
        <v>10000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150</v>
      </c>
      <c r="T449" s="5">
        <v>350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687</v>
      </c>
    </row>
    <row r="450" spans="3:26" ht="20.100000000000001" customHeight="1" x14ac:dyDescent="0.3">
      <c r="C450" s="42">
        <v>6201002</v>
      </c>
      <c r="D450" s="43" t="s">
        <v>688</v>
      </c>
      <c r="E450" s="5">
        <v>6</v>
      </c>
      <c r="F450" s="42">
        <v>10102102</v>
      </c>
      <c r="G450" s="5">
        <v>0</v>
      </c>
      <c r="H450" s="36">
        <v>40</v>
      </c>
      <c r="I450" s="5">
        <v>10000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250</v>
      </c>
      <c r="T450" s="5">
        <v>350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689</v>
      </c>
    </row>
    <row r="451" spans="3:26" ht="20.100000000000001" customHeight="1" x14ac:dyDescent="0.3">
      <c r="C451" s="42">
        <v>6201003</v>
      </c>
      <c r="D451" s="43" t="s">
        <v>690</v>
      </c>
      <c r="E451" s="5">
        <v>6</v>
      </c>
      <c r="F451" s="42">
        <v>10102103</v>
      </c>
      <c r="G451" s="5">
        <v>1</v>
      </c>
      <c r="H451" s="36">
        <v>30</v>
      </c>
      <c r="I451" s="5">
        <v>10000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0</v>
      </c>
      <c r="T451" s="5">
        <v>350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691</v>
      </c>
    </row>
    <row r="452" spans="3:26" ht="20.100000000000001" customHeight="1" x14ac:dyDescent="0.3">
      <c r="C452" s="42">
        <v>6202001</v>
      </c>
      <c r="D452" s="43" t="s">
        <v>692</v>
      </c>
      <c r="E452" s="5">
        <v>6</v>
      </c>
      <c r="F452" s="42">
        <v>10102201</v>
      </c>
      <c r="G452" s="5">
        <v>0</v>
      </c>
      <c r="H452" s="36">
        <v>32</v>
      </c>
      <c r="I452" s="5">
        <v>10000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170</v>
      </c>
      <c r="T452" s="5">
        <v>350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687</v>
      </c>
    </row>
    <row r="453" spans="3:26" ht="20.100000000000001" customHeight="1" x14ac:dyDescent="0.3">
      <c r="C453" s="42">
        <v>6202002</v>
      </c>
      <c r="D453" s="43" t="s">
        <v>693</v>
      </c>
      <c r="E453" s="5">
        <v>6</v>
      </c>
      <c r="F453" s="42">
        <v>10102202</v>
      </c>
      <c r="G453" s="5">
        <v>0</v>
      </c>
      <c r="H453" s="36">
        <v>41</v>
      </c>
      <c r="I453" s="5">
        <v>10000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260</v>
      </c>
      <c r="T453" s="5">
        <v>350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694</v>
      </c>
    </row>
    <row r="454" spans="3:26" ht="20.100000000000001" customHeight="1" x14ac:dyDescent="0.3">
      <c r="C454" s="42">
        <v>6202003</v>
      </c>
      <c r="D454" s="43" t="s">
        <v>695</v>
      </c>
      <c r="E454" s="5">
        <v>6</v>
      </c>
      <c r="F454" s="42">
        <v>10102203</v>
      </c>
      <c r="G454" s="5">
        <v>1</v>
      </c>
      <c r="H454" s="36">
        <v>30</v>
      </c>
      <c r="I454" s="5">
        <v>10000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0</v>
      </c>
      <c r="T454" s="5">
        <v>350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696</v>
      </c>
    </row>
    <row r="455" spans="3:26" ht="20.100000000000001" customHeight="1" x14ac:dyDescent="0.3">
      <c r="C455" s="42">
        <v>6203001</v>
      </c>
      <c r="D455" s="43" t="s">
        <v>697</v>
      </c>
      <c r="E455" s="5">
        <v>6</v>
      </c>
      <c r="F455" s="42">
        <v>10102301</v>
      </c>
      <c r="G455" s="5">
        <v>0</v>
      </c>
      <c r="H455" s="36">
        <v>34</v>
      </c>
      <c r="I455" s="5">
        <v>10000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160</v>
      </c>
      <c r="T455" s="5">
        <v>350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698</v>
      </c>
    </row>
    <row r="456" spans="3:26" ht="20.100000000000001" customHeight="1" x14ac:dyDescent="0.3">
      <c r="C456" s="42">
        <v>6203002</v>
      </c>
      <c r="D456" s="43" t="s">
        <v>699</v>
      </c>
      <c r="E456" s="5">
        <v>6</v>
      </c>
      <c r="F456" s="42">
        <v>10102302</v>
      </c>
      <c r="G456" s="5">
        <v>0</v>
      </c>
      <c r="H456" s="36">
        <v>42</v>
      </c>
      <c r="I456" s="5">
        <v>10000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270</v>
      </c>
      <c r="T456" s="5">
        <v>350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700</v>
      </c>
    </row>
    <row r="457" spans="3:26" ht="20.100000000000001" customHeight="1" x14ac:dyDescent="0.3">
      <c r="C457" s="42">
        <v>6203003</v>
      </c>
      <c r="D457" s="43" t="s">
        <v>701</v>
      </c>
      <c r="E457" s="5">
        <v>6</v>
      </c>
      <c r="F457" s="42">
        <v>10102303</v>
      </c>
      <c r="G457" s="5">
        <v>1</v>
      </c>
      <c r="H457" s="36">
        <v>30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702</v>
      </c>
    </row>
    <row r="458" spans="3:26" ht="20.100000000000001" customHeight="1" x14ac:dyDescent="0.3">
      <c r="C458" s="42">
        <v>6204001</v>
      </c>
      <c r="D458" s="43" t="s">
        <v>703</v>
      </c>
      <c r="E458" s="5">
        <v>6</v>
      </c>
      <c r="F458" s="42">
        <v>10102401</v>
      </c>
      <c r="G458" s="5">
        <v>0</v>
      </c>
      <c r="H458" s="36">
        <v>36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180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704</v>
      </c>
    </row>
    <row r="459" spans="3:26" ht="20.100000000000001" customHeight="1" x14ac:dyDescent="0.3">
      <c r="C459" s="42">
        <v>6204002</v>
      </c>
      <c r="D459" s="43" t="s">
        <v>705</v>
      </c>
      <c r="E459" s="5">
        <v>6</v>
      </c>
      <c r="F459" s="42">
        <v>10102402</v>
      </c>
      <c r="G459" s="5">
        <v>0</v>
      </c>
      <c r="H459" s="36">
        <v>43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210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694</v>
      </c>
    </row>
    <row r="460" spans="3:26" ht="20.100000000000001" customHeight="1" x14ac:dyDescent="0.3">
      <c r="C460" s="42">
        <v>6204003</v>
      </c>
      <c r="D460" s="43" t="s">
        <v>706</v>
      </c>
      <c r="E460" s="5">
        <v>6</v>
      </c>
      <c r="F460" s="42">
        <v>10102403</v>
      </c>
      <c r="G460" s="5">
        <v>0</v>
      </c>
      <c r="H460" s="36">
        <v>43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240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707</v>
      </c>
    </row>
    <row r="461" spans="3:26" ht="20.100000000000001" customHeight="1" x14ac:dyDescent="0.3">
      <c r="C461" s="42">
        <v>6204004</v>
      </c>
      <c r="D461" s="43" t="s">
        <v>708</v>
      </c>
      <c r="E461" s="5">
        <v>6</v>
      </c>
      <c r="F461" s="42">
        <v>10102404</v>
      </c>
      <c r="G461" s="44">
        <v>1</v>
      </c>
      <c r="H461" s="36">
        <v>30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702</v>
      </c>
    </row>
    <row r="462" spans="3:26" ht="20.100000000000001" customHeight="1" x14ac:dyDescent="0.3">
      <c r="C462" s="42">
        <v>6205001</v>
      </c>
      <c r="D462" s="43" t="s">
        <v>709</v>
      </c>
      <c r="E462" s="5">
        <v>6</v>
      </c>
      <c r="F462" s="42">
        <v>10102501</v>
      </c>
      <c r="G462" s="44">
        <v>0</v>
      </c>
      <c r="H462" s="36">
        <v>37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180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704</v>
      </c>
    </row>
    <row r="463" spans="3:26" ht="20.100000000000001" customHeight="1" x14ac:dyDescent="0.3">
      <c r="C463" s="42">
        <v>6205002</v>
      </c>
      <c r="D463" s="43" t="s">
        <v>710</v>
      </c>
      <c r="E463" s="5">
        <v>6</v>
      </c>
      <c r="F463" s="42">
        <v>10102502</v>
      </c>
      <c r="G463" s="44">
        <v>0</v>
      </c>
      <c r="H463" s="36">
        <v>44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210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694</v>
      </c>
    </row>
    <row r="464" spans="3:26" ht="20.100000000000001" customHeight="1" x14ac:dyDescent="0.3">
      <c r="C464" s="42">
        <v>6205003</v>
      </c>
      <c r="D464" s="43" t="s">
        <v>711</v>
      </c>
      <c r="E464" s="5">
        <v>6</v>
      </c>
      <c r="F464" s="42">
        <v>10102503</v>
      </c>
      <c r="G464" s="44">
        <v>0</v>
      </c>
      <c r="H464" s="36">
        <v>44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240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707</v>
      </c>
    </row>
    <row r="465" spans="3:26" ht="20.100000000000001" customHeight="1" x14ac:dyDescent="0.3">
      <c r="C465" s="42">
        <v>6205004</v>
      </c>
      <c r="D465" s="43" t="s">
        <v>712</v>
      </c>
      <c r="E465" s="5">
        <v>6</v>
      </c>
      <c r="F465" s="42">
        <v>10102504</v>
      </c>
      <c r="G465" s="44">
        <v>1</v>
      </c>
      <c r="H465" s="36">
        <v>30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702</v>
      </c>
    </row>
    <row r="466" spans="3:26" ht="20.100000000000001" customHeight="1" x14ac:dyDescent="0.3">
      <c r="C466" s="42">
        <v>6206001</v>
      </c>
      <c r="D466" s="43" t="s">
        <v>713</v>
      </c>
      <c r="E466" s="5">
        <v>6</v>
      </c>
      <c r="F466" s="42">
        <v>10102601</v>
      </c>
      <c r="G466" s="44">
        <v>0</v>
      </c>
      <c r="H466" s="36">
        <v>39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230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714</v>
      </c>
    </row>
    <row r="467" spans="3:26" ht="20.100000000000001" customHeight="1" x14ac:dyDescent="0.3">
      <c r="C467" s="42">
        <v>6206002</v>
      </c>
      <c r="D467" s="43" t="s">
        <v>715</v>
      </c>
      <c r="E467" s="5">
        <v>6</v>
      </c>
      <c r="F467" s="42">
        <v>10102602</v>
      </c>
      <c r="G467" s="44">
        <v>0</v>
      </c>
      <c r="H467" s="36">
        <v>45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290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707</v>
      </c>
    </row>
    <row r="468" spans="3:26" ht="20.100000000000001" customHeight="1" x14ac:dyDescent="0.3">
      <c r="C468" s="42">
        <v>6206003</v>
      </c>
      <c r="D468" s="43" t="s">
        <v>716</v>
      </c>
      <c r="E468" s="5">
        <v>6</v>
      </c>
      <c r="F468" s="42">
        <v>10102603</v>
      </c>
      <c r="G468" s="44">
        <v>1</v>
      </c>
      <c r="H468" s="36">
        <v>48</v>
      </c>
      <c r="I468" s="5">
        <v>10000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0</v>
      </c>
      <c r="T468" s="5">
        <v>350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702</v>
      </c>
    </row>
    <row r="469" spans="3:26" ht="20.100000000000001" customHeight="1" x14ac:dyDescent="0.3">
      <c r="C469" s="42">
        <v>6301001</v>
      </c>
      <c r="D469" s="43" t="s">
        <v>717</v>
      </c>
      <c r="E469" s="5">
        <v>6</v>
      </c>
      <c r="F469" s="42">
        <v>10103101</v>
      </c>
      <c r="G469" s="5">
        <v>0</v>
      </c>
      <c r="H469" s="36">
        <f>H449+20</f>
        <v>50</v>
      </c>
      <c r="I469" s="5">
        <v>12500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300</v>
      </c>
      <c r="T469" s="5">
        <v>500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718</v>
      </c>
    </row>
    <row r="470" spans="3:26" ht="20.100000000000001" customHeight="1" x14ac:dyDescent="0.3">
      <c r="C470" s="42">
        <v>6301002</v>
      </c>
      <c r="D470" s="43" t="s">
        <v>719</v>
      </c>
      <c r="E470" s="5">
        <v>6</v>
      </c>
      <c r="F470" s="42">
        <v>10103102</v>
      </c>
      <c r="G470" s="5">
        <v>0</v>
      </c>
      <c r="H470" s="36">
        <f t="shared" ref="H470:H486" si="12">H450+20</f>
        <v>60</v>
      </c>
      <c r="I470" s="5">
        <v>12500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400</v>
      </c>
      <c r="T470" s="5">
        <v>500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720</v>
      </c>
    </row>
    <row r="471" spans="3:26" ht="20.100000000000001" customHeight="1" x14ac:dyDescent="0.3">
      <c r="C471" s="42">
        <v>6301003</v>
      </c>
      <c r="D471" s="43" t="s">
        <v>721</v>
      </c>
      <c r="E471" s="5">
        <v>6</v>
      </c>
      <c r="F471" s="42">
        <v>10103103</v>
      </c>
      <c r="G471" s="5">
        <v>1</v>
      </c>
      <c r="H471" s="36">
        <f t="shared" si="12"/>
        <v>50</v>
      </c>
      <c r="I471" s="5">
        <v>12500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0</v>
      </c>
      <c r="T471" s="5">
        <v>500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722</v>
      </c>
    </row>
    <row r="472" spans="3:26" ht="20.100000000000001" customHeight="1" x14ac:dyDescent="0.3">
      <c r="C472" s="42">
        <v>6302001</v>
      </c>
      <c r="D472" s="43" t="s">
        <v>723</v>
      </c>
      <c r="E472" s="5">
        <v>6</v>
      </c>
      <c r="F472" s="42">
        <v>10103201</v>
      </c>
      <c r="G472" s="5">
        <v>0</v>
      </c>
      <c r="H472" s="36">
        <f t="shared" si="12"/>
        <v>52</v>
      </c>
      <c r="I472" s="5">
        <v>12500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320</v>
      </c>
      <c r="T472" s="5">
        <v>500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718</v>
      </c>
    </row>
    <row r="473" spans="3:26" ht="20.100000000000001" customHeight="1" x14ac:dyDescent="0.3">
      <c r="C473" s="42">
        <v>6302002</v>
      </c>
      <c r="D473" s="43" t="s">
        <v>724</v>
      </c>
      <c r="E473" s="5">
        <v>6</v>
      </c>
      <c r="F473" s="42">
        <v>10103202</v>
      </c>
      <c r="G473" s="5">
        <v>0</v>
      </c>
      <c r="H473" s="36">
        <v>51</v>
      </c>
      <c r="I473" s="5">
        <v>12500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410</v>
      </c>
      <c r="T473" s="5">
        <v>500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725</v>
      </c>
    </row>
    <row r="474" spans="3:26" ht="20.100000000000001" customHeight="1" x14ac:dyDescent="0.3">
      <c r="C474" s="42">
        <v>6302003</v>
      </c>
      <c r="D474" s="43" t="s">
        <v>726</v>
      </c>
      <c r="E474" s="5">
        <v>6</v>
      </c>
      <c r="F474" s="42">
        <v>10103203</v>
      </c>
      <c r="G474" s="5">
        <v>1</v>
      </c>
      <c r="H474" s="36">
        <f t="shared" si="12"/>
        <v>50</v>
      </c>
      <c r="I474" s="5">
        <v>12500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0</v>
      </c>
      <c r="T474" s="5">
        <v>500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727</v>
      </c>
    </row>
    <row r="475" spans="3:26" ht="20.100000000000001" customHeight="1" x14ac:dyDescent="0.3">
      <c r="C475" s="42">
        <v>6303001</v>
      </c>
      <c r="D475" s="43" t="s">
        <v>728</v>
      </c>
      <c r="E475" s="5">
        <v>6</v>
      </c>
      <c r="F475" s="42">
        <v>10103301</v>
      </c>
      <c r="G475" s="5">
        <v>0</v>
      </c>
      <c r="H475" s="36">
        <f t="shared" si="12"/>
        <v>54</v>
      </c>
      <c r="I475" s="5">
        <v>12500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310</v>
      </c>
      <c r="T475" s="5">
        <v>500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729</v>
      </c>
    </row>
    <row r="476" spans="3:26" ht="20.100000000000001" customHeight="1" x14ac:dyDescent="0.3">
      <c r="C476" s="42">
        <v>6303002</v>
      </c>
      <c r="D476" s="43" t="s">
        <v>730</v>
      </c>
      <c r="E476" s="5">
        <v>6</v>
      </c>
      <c r="F476" s="42">
        <v>10103302</v>
      </c>
      <c r="G476" s="5">
        <v>0</v>
      </c>
      <c r="H476" s="36">
        <v>56</v>
      </c>
      <c r="I476" s="5">
        <v>12500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420</v>
      </c>
      <c r="T476" s="5">
        <v>500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731</v>
      </c>
    </row>
    <row r="477" spans="3:26" ht="20.100000000000001" customHeight="1" x14ac:dyDescent="0.3">
      <c r="C477" s="42">
        <v>6303003</v>
      </c>
      <c r="D477" s="43" t="s">
        <v>732</v>
      </c>
      <c r="E477" s="5">
        <v>6</v>
      </c>
      <c r="F477" s="42">
        <v>10103303</v>
      </c>
      <c r="G477" s="5">
        <v>1</v>
      </c>
      <c r="H477" s="36">
        <f t="shared" si="12"/>
        <v>50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733</v>
      </c>
    </row>
    <row r="478" spans="3:26" ht="20.100000000000001" customHeight="1" x14ac:dyDescent="0.3">
      <c r="C478" s="42">
        <v>6304001</v>
      </c>
      <c r="D478" s="43" t="s">
        <v>734</v>
      </c>
      <c r="E478" s="5">
        <v>6</v>
      </c>
      <c r="F478" s="42">
        <v>10103401</v>
      </c>
      <c r="G478" s="5">
        <v>0</v>
      </c>
      <c r="H478" s="36">
        <f t="shared" si="12"/>
        <v>56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330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735</v>
      </c>
    </row>
    <row r="479" spans="3:26" ht="20.100000000000001" customHeight="1" x14ac:dyDescent="0.3">
      <c r="C479" s="42">
        <v>6304002</v>
      </c>
      <c r="D479" s="43" t="s">
        <v>736</v>
      </c>
      <c r="E479" s="5">
        <v>6</v>
      </c>
      <c r="F479" s="42">
        <v>10103402</v>
      </c>
      <c r="G479" s="5">
        <v>0</v>
      </c>
      <c r="H479" s="36">
        <v>53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360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725</v>
      </c>
    </row>
    <row r="480" spans="3:26" ht="20.100000000000001" customHeight="1" x14ac:dyDescent="0.3">
      <c r="C480" s="42">
        <v>6304003</v>
      </c>
      <c r="D480" s="43" t="s">
        <v>737</v>
      </c>
      <c r="E480" s="5">
        <v>6</v>
      </c>
      <c r="F480" s="42">
        <v>10103403</v>
      </c>
      <c r="G480" s="5">
        <v>0</v>
      </c>
      <c r="H480" s="36">
        <v>53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390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738</v>
      </c>
    </row>
    <row r="481" spans="3:26" ht="20.100000000000001" customHeight="1" x14ac:dyDescent="0.3">
      <c r="C481" s="42">
        <v>6304004</v>
      </c>
      <c r="D481" s="43" t="s">
        <v>739</v>
      </c>
      <c r="E481" s="5">
        <v>6</v>
      </c>
      <c r="F481" s="42">
        <v>10103404</v>
      </c>
      <c r="G481" s="44">
        <v>1</v>
      </c>
      <c r="H481" s="36">
        <f t="shared" si="12"/>
        <v>50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733</v>
      </c>
    </row>
    <row r="482" spans="3:26" ht="20.100000000000001" customHeight="1" x14ac:dyDescent="0.3">
      <c r="C482" s="42">
        <v>6305001</v>
      </c>
      <c r="D482" s="43" t="s">
        <v>740</v>
      </c>
      <c r="E482" s="5">
        <v>6</v>
      </c>
      <c r="F482" s="42">
        <v>10103501</v>
      </c>
      <c r="G482" s="44">
        <v>0</v>
      </c>
      <c r="H482" s="36">
        <f t="shared" si="12"/>
        <v>57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330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735</v>
      </c>
    </row>
    <row r="483" spans="3:26" ht="20.100000000000001" customHeight="1" x14ac:dyDescent="0.3">
      <c r="C483" s="42">
        <v>6305002</v>
      </c>
      <c r="D483" s="43" t="s">
        <v>741</v>
      </c>
      <c r="E483" s="5">
        <v>6</v>
      </c>
      <c r="F483" s="42">
        <v>10103502</v>
      </c>
      <c r="G483" s="44">
        <v>0</v>
      </c>
      <c r="H483" s="36">
        <v>54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360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725</v>
      </c>
    </row>
    <row r="484" spans="3:26" ht="20.100000000000001" customHeight="1" x14ac:dyDescent="0.3">
      <c r="C484" s="42">
        <v>6305003</v>
      </c>
      <c r="D484" s="43" t="s">
        <v>742</v>
      </c>
      <c r="E484" s="5">
        <v>6</v>
      </c>
      <c r="F484" s="42">
        <v>10103503</v>
      </c>
      <c r="G484" s="44">
        <v>0</v>
      </c>
      <c r="H484" s="36">
        <v>55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390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738</v>
      </c>
    </row>
    <row r="485" spans="3:26" ht="20.100000000000001" customHeight="1" x14ac:dyDescent="0.3">
      <c r="C485" s="42">
        <v>6305004</v>
      </c>
      <c r="D485" s="43" t="s">
        <v>743</v>
      </c>
      <c r="E485" s="5">
        <v>6</v>
      </c>
      <c r="F485" s="42">
        <v>10103504</v>
      </c>
      <c r="G485" s="44">
        <v>1</v>
      </c>
      <c r="H485" s="36">
        <f t="shared" si="12"/>
        <v>50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733</v>
      </c>
    </row>
    <row r="486" spans="3:26" ht="20.100000000000001" customHeight="1" x14ac:dyDescent="0.3">
      <c r="C486" s="42">
        <v>6306001</v>
      </c>
      <c r="D486" s="43" t="s">
        <v>744</v>
      </c>
      <c r="E486" s="5">
        <v>6</v>
      </c>
      <c r="F486" s="42">
        <v>10103601</v>
      </c>
      <c r="G486" s="44">
        <v>0</v>
      </c>
      <c r="H486" s="36">
        <f t="shared" si="12"/>
        <v>59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380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745</v>
      </c>
    </row>
    <row r="487" spans="3:26" ht="20.100000000000001" customHeight="1" x14ac:dyDescent="0.3">
      <c r="C487" s="42">
        <v>6306002</v>
      </c>
      <c r="D487" s="43" t="s">
        <v>746</v>
      </c>
      <c r="E487" s="5">
        <v>6</v>
      </c>
      <c r="F487" s="42">
        <v>10103602</v>
      </c>
      <c r="G487" s="44">
        <v>0</v>
      </c>
      <c r="H487" s="36">
        <v>55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440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731</v>
      </c>
    </row>
    <row r="488" spans="3:26" ht="20.100000000000001" customHeight="1" x14ac:dyDescent="0.3">
      <c r="C488" s="42">
        <v>6306003</v>
      </c>
      <c r="D488" s="43" t="s">
        <v>747</v>
      </c>
      <c r="E488" s="5">
        <v>6</v>
      </c>
      <c r="F488" s="42">
        <v>10103603</v>
      </c>
      <c r="G488" s="44">
        <v>1</v>
      </c>
      <c r="H488" s="36">
        <v>50</v>
      </c>
      <c r="I488" s="5">
        <v>12500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0</v>
      </c>
      <c r="T488" s="5">
        <v>500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733</v>
      </c>
    </row>
    <row r="489" spans="3:26" s="5" customFormat="1" ht="20.100000000000001" customHeight="1" x14ac:dyDescent="0.3">
      <c r="C489" s="42">
        <v>7101001</v>
      </c>
      <c r="D489" s="43" t="s">
        <v>748</v>
      </c>
      <c r="E489" s="5">
        <v>1</v>
      </c>
      <c r="F489" s="42">
        <v>10070101</v>
      </c>
      <c r="G489" s="5">
        <v>0</v>
      </c>
      <c r="H489" s="36">
        <v>10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125</v>
      </c>
      <c r="T489" s="5">
        <v>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45" t="s">
        <v>749</v>
      </c>
    </row>
    <row r="490" spans="3:26" ht="20.100000000000001" customHeight="1" x14ac:dyDescent="0.3">
      <c r="C490" s="42">
        <v>7101002</v>
      </c>
      <c r="D490" s="43" t="s">
        <v>750</v>
      </c>
      <c r="E490" s="5">
        <v>1</v>
      </c>
      <c r="F490" s="42">
        <v>10070102</v>
      </c>
      <c r="G490" s="5">
        <v>0</v>
      </c>
      <c r="H490" s="5">
        <v>12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100</v>
      </c>
      <c r="T490" s="5">
        <v>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749</v>
      </c>
    </row>
    <row r="491" spans="3:26" ht="20.100000000000001" customHeight="1" x14ac:dyDescent="0.3">
      <c r="C491" s="42">
        <v>7101003</v>
      </c>
      <c r="D491" s="43" t="s">
        <v>751</v>
      </c>
      <c r="E491" s="5">
        <v>1</v>
      </c>
      <c r="F491" s="42">
        <v>10070103</v>
      </c>
      <c r="G491" s="5">
        <v>0</v>
      </c>
      <c r="H491" s="5">
        <v>14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75</v>
      </c>
      <c r="T491" s="5">
        <v>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749</v>
      </c>
    </row>
    <row r="492" spans="3:26" ht="20.100000000000001" customHeight="1" x14ac:dyDescent="0.3">
      <c r="C492" s="42">
        <v>7101004</v>
      </c>
      <c r="D492" s="43" t="s">
        <v>752</v>
      </c>
      <c r="E492" s="5">
        <v>1</v>
      </c>
      <c r="F492" s="42">
        <v>10070104</v>
      </c>
      <c r="G492" s="5">
        <v>0</v>
      </c>
      <c r="H492" s="5">
        <v>16</v>
      </c>
      <c r="I492" s="5">
        <v>5000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v>50</v>
      </c>
      <c r="T492" s="5">
        <v>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749</v>
      </c>
    </row>
    <row r="493" spans="3:26" ht="20.100000000000001" customHeight="1" x14ac:dyDescent="0.3">
      <c r="C493" s="42">
        <v>7102001</v>
      </c>
      <c r="D493" s="43" t="s">
        <v>753</v>
      </c>
      <c r="E493" s="5">
        <v>1</v>
      </c>
      <c r="F493" s="42">
        <v>10070201</v>
      </c>
      <c r="G493" s="5">
        <v>1</v>
      </c>
      <c r="H493" s="5">
        <v>30</v>
      </c>
      <c r="I493" s="5">
        <v>7500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f t="shared" ref="S493:S500" si="13">S489+150</f>
        <v>275</v>
      </c>
      <c r="T493" s="5">
        <v>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754</v>
      </c>
    </row>
    <row r="494" spans="3:26" ht="20.100000000000001" customHeight="1" x14ac:dyDescent="0.3">
      <c r="C494" s="42">
        <v>7102002</v>
      </c>
      <c r="D494" s="43" t="s">
        <v>755</v>
      </c>
      <c r="E494" s="5">
        <v>1</v>
      </c>
      <c r="F494" s="42">
        <v>10070202</v>
      </c>
      <c r="G494" s="5">
        <v>1</v>
      </c>
      <c r="H494" s="5">
        <v>30</v>
      </c>
      <c r="I494" s="5">
        <v>7500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f t="shared" si="13"/>
        <v>250</v>
      </c>
      <c r="T494" s="5">
        <v>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754</v>
      </c>
    </row>
    <row r="495" spans="3:26" ht="20.100000000000001" customHeight="1" x14ac:dyDescent="0.3">
      <c r="C495" s="42">
        <v>7102003</v>
      </c>
      <c r="D495" s="43" t="s">
        <v>756</v>
      </c>
      <c r="E495" s="5">
        <v>1</v>
      </c>
      <c r="F495" s="42">
        <v>10070203</v>
      </c>
      <c r="G495" s="5">
        <v>1</v>
      </c>
      <c r="H495" s="5">
        <v>30</v>
      </c>
      <c r="I495" s="5">
        <v>7500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f t="shared" si="13"/>
        <v>225</v>
      </c>
      <c r="T495" s="5">
        <v>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754</v>
      </c>
    </row>
    <row r="496" spans="3:26" ht="20.100000000000001" customHeight="1" x14ac:dyDescent="0.3">
      <c r="C496" s="42">
        <v>7102004</v>
      </c>
      <c r="D496" s="43" t="s">
        <v>757</v>
      </c>
      <c r="E496" s="5">
        <v>1</v>
      </c>
      <c r="F496" s="42">
        <v>10070204</v>
      </c>
      <c r="G496" s="5">
        <v>1</v>
      </c>
      <c r="H496" s="5">
        <v>30</v>
      </c>
      <c r="I496" s="5">
        <v>7500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f t="shared" si="13"/>
        <v>200</v>
      </c>
      <c r="T496" s="5">
        <v>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754</v>
      </c>
    </row>
    <row r="497" spans="3:26" ht="20.100000000000001" customHeight="1" x14ac:dyDescent="0.3">
      <c r="C497" s="42">
        <v>7103001</v>
      </c>
      <c r="D497" s="43" t="s">
        <v>758</v>
      </c>
      <c r="E497" s="5">
        <v>1</v>
      </c>
      <c r="F497" s="42">
        <v>10070301</v>
      </c>
      <c r="G497" s="5">
        <v>1</v>
      </c>
      <c r="H497" s="5">
        <v>50</v>
      </c>
      <c r="I497" s="5">
        <v>10000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f t="shared" si="13"/>
        <v>425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759</v>
      </c>
    </row>
    <row r="498" spans="3:26" ht="20.100000000000001" customHeight="1" x14ac:dyDescent="0.3">
      <c r="C498" s="42">
        <v>7103002</v>
      </c>
      <c r="D498" s="43" t="s">
        <v>760</v>
      </c>
      <c r="E498" s="5">
        <v>1</v>
      </c>
      <c r="F498" s="42">
        <v>10070302</v>
      </c>
      <c r="G498" s="5">
        <v>1</v>
      </c>
      <c r="H498" s="5">
        <v>50</v>
      </c>
      <c r="I498" s="5">
        <v>10000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f t="shared" si="13"/>
        <v>400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759</v>
      </c>
    </row>
    <row r="499" spans="3:26" ht="20.100000000000001" customHeight="1" x14ac:dyDescent="0.3">
      <c r="C499" s="42">
        <v>7103003</v>
      </c>
      <c r="D499" s="43" t="s">
        <v>761</v>
      </c>
      <c r="E499" s="5">
        <v>1</v>
      </c>
      <c r="F499" s="42">
        <v>10070303</v>
      </c>
      <c r="G499" s="5">
        <v>1</v>
      </c>
      <c r="H499" s="5">
        <v>50</v>
      </c>
      <c r="I499" s="5">
        <v>10000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f t="shared" si="13"/>
        <v>375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759</v>
      </c>
    </row>
    <row r="500" spans="3:26" ht="20.100000000000001" customHeight="1" x14ac:dyDescent="0.3">
      <c r="C500" s="42">
        <v>7103004</v>
      </c>
      <c r="D500" s="43" t="s">
        <v>762</v>
      </c>
      <c r="E500" s="5">
        <v>1</v>
      </c>
      <c r="F500" s="42">
        <v>10070304</v>
      </c>
      <c r="G500" s="5">
        <v>1</v>
      </c>
      <c r="H500" s="5">
        <v>50</v>
      </c>
      <c r="I500" s="5">
        <v>10000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f t="shared" si="13"/>
        <v>350</v>
      </c>
      <c r="T500" s="5">
        <v>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759</v>
      </c>
    </row>
    <row r="501" spans="3:26" ht="20.100000000000001" customHeight="1" x14ac:dyDescent="0.3">
      <c r="C501" s="42">
        <v>7201001</v>
      </c>
      <c r="D501" s="28" t="s">
        <v>763</v>
      </c>
      <c r="E501" s="5">
        <v>2</v>
      </c>
      <c r="F501" s="42">
        <v>10080101</v>
      </c>
      <c r="G501" s="5">
        <v>0</v>
      </c>
      <c r="H501" s="36">
        <v>10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125</v>
      </c>
      <c r="T501" s="5">
        <v>200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764</v>
      </c>
    </row>
    <row r="502" spans="3:26" ht="20.100000000000001" customHeight="1" x14ac:dyDescent="0.3">
      <c r="C502" s="42">
        <v>7201002</v>
      </c>
      <c r="D502" s="28" t="s">
        <v>765</v>
      </c>
      <c r="E502" s="5">
        <v>2</v>
      </c>
      <c r="F502" s="42">
        <v>10080102</v>
      </c>
      <c r="G502" s="5">
        <v>0</v>
      </c>
      <c r="H502" s="5">
        <v>12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100</v>
      </c>
      <c r="T502" s="5">
        <v>200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764</v>
      </c>
    </row>
    <row r="503" spans="3:26" ht="20.100000000000001" customHeight="1" x14ac:dyDescent="0.3">
      <c r="C503" s="42">
        <v>7201003</v>
      </c>
      <c r="D503" s="28" t="s">
        <v>766</v>
      </c>
      <c r="E503" s="5">
        <v>2</v>
      </c>
      <c r="F503" s="42">
        <v>10080103</v>
      </c>
      <c r="G503" s="5">
        <v>0</v>
      </c>
      <c r="H503" s="5">
        <v>14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75</v>
      </c>
      <c r="T503" s="5">
        <v>200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764</v>
      </c>
    </row>
    <row r="504" spans="3:26" ht="20.100000000000001" customHeight="1" x14ac:dyDescent="0.3">
      <c r="C504" s="42">
        <v>7201004</v>
      </c>
      <c r="D504" s="28" t="s">
        <v>767</v>
      </c>
      <c r="E504" s="5">
        <v>2</v>
      </c>
      <c r="F504" s="42">
        <v>10080104</v>
      </c>
      <c r="G504" s="5">
        <v>0</v>
      </c>
      <c r="H504" s="5">
        <v>16</v>
      </c>
      <c r="I504" s="5">
        <v>5000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v>50</v>
      </c>
      <c r="T504" s="5">
        <v>200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764</v>
      </c>
    </row>
    <row r="505" spans="3:26" ht="20.100000000000001" customHeight="1" x14ac:dyDescent="0.3">
      <c r="C505" s="42">
        <v>7202001</v>
      </c>
      <c r="D505" s="28" t="s">
        <v>768</v>
      </c>
      <c r="E505" s="5">
        <v>2</v>
      </c>
      <c r="F505" s="42">
        <v>10080201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ref="S505:S512" si="14">S501+150</f>
        <v>275</v>
      </c>
      <c r="T505" s="5">
        <v>350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769</v>
      </c>
    </row>
    <row r="506" spans="3:26" ht="20.100000000000001" customHeight="1" x14ac:dyDescent="0.3">
      <c r="C506" s="42">
        <v>7202002</v>
      </c>
      <c r="D506" s="28" t="s">
        <v>770</v>
      </c>
      <c r="E506" s="5">
        <v>2</v>
      </c>
      <c r="F506" s="42">
        <v>10080202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4"/>
        <v>250</v>
      </c>
      <c r="T506" s="5">
        <v>350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769</v>
      </c>
    </row>
    <row r="507" spans="3:26" ht="20.100000000000001" customHeight="1" x14ac:dyDescent="0.3">
      <c r="C507" s="42">
        <v>7202003</v>
      </c>
      <c r="D507" s="28" t="s">
        <v>771</v>
      </c>
      <c r="E507" s="5">
        <v>2</v>
      </c>
      <c r="F507" s="42">
        <v>10080203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4"/>
        <v>225</v>
      </c>
      <c r="T507" s="5">
        <v>350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769</v>
      </c>
    </row>
    <row r="508" spans="3:26" ht="20.100000000000001" customHeight="1" x14ac:dyDescent="0.3">
      <c r="C508" s="42">
        <v>7202004</v>
      </c>
      <c r="D508" s="28" t="s">
        <v>772</v>
      </c>
      <c r="E508" s="5">
        <v>2</v>
      </c>
      <c r="F508" s="42">
        <v>10080204</v>
      </c>
      <c r="G508" s="5">
        <v>1</v>
      </c>
      <c r="H508" s="5">
        <v>30</v>
      </c>
      <c r="I508" s="5">
        <v>7500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4"/>
        <v>200</v>
      </c>
      <c r="T508" s="5">
        <v>350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769</v>
      </c>
    </row>
    <row r="509" spans="3:26" ht="20.100000000000001" customHeight="1" x14ac:dyDescent="0.3">
      <c r="C509" s="42">
        <v>7203001</v>
      </c>
      <c r="D509" s="28" t="s">
        <v>773</v>
      </c>
      <c r="E509" s="5">
        <v>2</v>
      </c>
      <c r="F509" s="42">
        <v>10080301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4"/>
        <v>425</v>
      </c>
      <c r="T509" s="5">
        <v>500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774</v>
      </c>
    </row>
    <row r="510" spans="3:26" ht="20.100000000000001" customHeight="1" x14ac:dyDescent="0.3">
      <c r="C510" s="42">
        <v>7203002</v>
      </c>
      <c r="D510" s="28" t="s">
        <v>775</v>
      </c>
      <c r="E510" s="5">
        <v>2</v>
      </c>
      <c r="F510" s="42">
        <v>10080302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4"/>
        <v>400</v>
      </c>
      <c r="T510" s="5">
        <v>500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774</v>
      </c>
    </row>
    <row r="511" spans="3:26" ht="20.100000000000001" customHeight="1" x14ac:dyDescent="0.3">
      <c r="C511" s="42">
        <v>7203003</v>
      </c>
      <c r="D511" s="28" t="s">
        <v>776</v>
      </c>
      <c r="E511" s="5">
        <v>2</v>
      </c>
      <c r="F511" s="42">
        <v>10080303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4"/>
        <v>375</v>
      </c>
      <c r="T511" s="5">
        <v>500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774</v>
      </c>
    </row>
    <row r="512" spans="3:26" ht="20.100000000000001" customHeight="1" x14ac:dyDescent="0.3">
      <c r="C512" s="42">
        <v>7203004</v>
      </c>
      <c r="D512" s="28" t="s">
        <v>777</v>
      </c>
      <c r="E512" s="5">
        <v>2</v>
      </c>
      <c r="F512" s="42">
        <v>10080304</v>
      </c>
      <c r="G512" s="5">
        <v>1</v>
      </c>
      <c r="H512" s="5">
        <v>50</v>
      </c>
      <c r="I512" s="5">
        <v>10000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f t="shared" si="14"/>
        <v>350</v>
      </c>
      <c r="T512" s="5">
        <v>500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774</v>
      </c>
    </row>
    <row r="513" spans="3:26" ht="20.100000000000001" customHeight="1" x14ac:dyDescent="0.3">
      <c r="C513" s="42">
        <v>7204101</v>
      </c>
      <c r="D513" s="28" t="s">
        <v>778</v>
      </c>
      <c r="E513" s="5">
        <v>2</v>
      </c>
      <c r="F513" s="42">
        <v>10080401</v>
      </c>
      <c r="G513" s="5">
        <v>0</v>
      </c>
      <c r="H513" s="5">
        <v>10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150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779</v>
      </c>
    </row>
    <row r="514" spans="3:26" ht="20.100000000000001" customHeight="1" x14ac:dyDescent="0.3">
      <c r="C514" s="42">
        <v>7204102</v>
      </c>
      <c r="D514" s="28" t="s">
        <v>780</v>
      </c>
      <c r="E514" s="5">
        <v>2</v>
      </c>
      <c r="F514" s="42">
        <v>10080402</v>
      </c>
      <c r="G514" s="5">
        <v>0</v>
      </c>
      <c r="H514" s="5">
        <v>30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300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781</v>
      </c>
    </row>
    <row r="515" spans="3:26" ht="20.100000000000001" customHeight="1" x14ac:dyDescent="0.3">
      <c r="C515" s="42">
        <v>7204103</v>
      </c>
      <c r="D515" s="28" t="s">
        <v>782</v>
      </c>
      <c r="E515" s="5">
        <v>2</v>
      </c>
      <c r="F515" s="42">
        <v>10080403</v>
      </c>
      <c r="G515" s="5">
        <v>0</v>
      </c>
      <c r="H515" s="5">
        <v>50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450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783</v>
      </c>
    </row>
    <row r="516" spans="3:26" ht="20.100000000000001" customHeight="1" x14ac:dyDescent="0.3">
      <c r="C516" s="42">
        <v>7204201</v>
      </c>
      <c r="D516" s="28" t="s">
        <v>784</v>
      </c>
      <c r="E516" s="5">
        <v>2</v>
      </c>
      <c r="F516" s="42">
        <v>10080501</v>
      </c>
      <c r="G516" s="5">
        <v>0</v>
      </c>
      <c r="H516" s="5">
        <v>11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150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779</v>
      </c>
    </row>
    <row r="517" spans="3:26" ht="20.100000000000001" customHeight="1" x14ac:dyDescent="0.3">
      <c r="C517" s="42">
        <v>7204202</v>
      </c>
      <c r="D517" s="28" t="s">
        <v>785</v>
      </c>
      <c r="E517" s="5">
        <v>2</v>
      </c>
      <c r="F517" s="42">
        <v>10080502</v>
      </c>
      <c r="G517" s="5">
        <v>0</v>
      </c>
      <c r="H517" s="5">
        <v>31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300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781</v>
      </c>
    </row>
    <row r="518" spans="3:26" ht="20.100000000000001" customHeight="1" x14ac:dyDescent="0.3">
      <c r="C518" s="42">
        <v>7204203</v>
      </c>
      <c r="D518" s="28" t="s">
        <v>786</v>
      </c>
      <c r="E518" s="5">
        <v>2</v>
      </c>
      <c r="F518" s="42">
        <v>10080503</v>
      </c>
      <c r="G518" s="5">
        <v>0</v>
      </c>
      <c r="H518" s="5">
        <v>51</v>
      </c>
      <c r="I518" s="5">
        <v>5000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v>450</v>
      </c>
      <c r="T518" s="5">
        <v>200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783</v>
      </c>
    </row>
    <row r="519" spans="3:26" ht="20.100000000000001" customHeight="1" x14ac:dyDescent="0.3">
      <c r="C519" s="42">
        <v>7204301</v>
      </c>
      <c r="D519" s="28" t="s">
        <v>787</v>
      </c>
      <c r="E519" s="5">
        <v>2</v>
      </c>
      <c r="F519" s="42">
        <v>10080601</v>
      </c>
      <c r="G519" s="5">
        <v>0</v>
      </c>
      <c r="H519" s="5">
        <v>12</v>
      </c>
      <c r="I519" s="5">
        <v>5000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v>150</v>
      </c>
      <c r="T519" s="5">
        <v>200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779</v>
      </c>
    </row>
    <row r="520" spans="3:26" ht="20.100000000000001" customHeight="1" x14ac:dyDescent="0.3">
      <c r="C520" s="42">
        <v>7204302</v>
      </c>
      <c r="D520" s="28" t="s">
        <v>788</v>
      </c>
      <c r="E520" s="5">
        <v>2</v>
      </c>
      <c r="F520" s="42">
        <v>10080602</v>
      </c>
      <c r="G520" s="5">
        <v>0</v>
      </c>
      <c r="H520" s="5">
        <v>32</v>
      </c>
      <c r="I520" s="5">
        <v>5000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v>300</v>
      </c>
      <c r="T520" s="5">
        <v>200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781</v>
      </c>
    </row>
    <row r="521" spans="3:26" ht="20.100000000000001" customHeight="1" x14ac:dyDescent="0.3">
      <c r="C521" s="42">
        <v>7204303</v>
      </c>
      <c r="D521" s="28" t="s">
        <v>789</v>
      </c>
      <c r="E521" s="5">
        <v>2</v>
      </c>
      <c r="F521" s="42">
        <v>10080603</v>
      </c>
      <c r="G521" s="5">
        <v>0</v>
      </c>
      <c r="H521" s="5">
        <v>52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450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783</v>
      </c>
    </row>
    <row r="522" spans="3:26" ht="20.100000000000001" customHeight="1" x14ac:dyDescent="0.3">
      <c r="C522" s="42">
        <v>7204401</v>
      </c>
      <c r="D522" s="28" t="s">
        <v>790</v>
      </c>
      <c r="E522" s="5">
        <v>2</v>
      </c>
      <c r="F522" s="42">
        <v>10080701</v>
      </c>
      <c r="G522" s="5">
        <v>0</v>
      </c>
      <c r="H522" s="5">
        <v>13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150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779</v>
      </c>
    </row>
    <row r="523" spans="3:26" ht="20.100000000000001" customHeight="1" x14ac:dyDescent="0.3">
      <c r="C523" s="42">
        <v>7204402</v>
      </c>
      <c r="D523" s="28" t="s">
        <v>791</v>
      </c>
      <c r="E523" s="5">
        <v>2</v>
      </c>
      <c r="F523" s="42">
        <v>10080702</v>
      </c>
      <c r="G523" s="5">
        <v>0</v>
      </c>
      <c r="H523" s="5">
        <v>33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300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781</v>
      </c>
    </row>
    <row r="524" spans="3:26" ht="20.100000000000001" customHeight="1" x14ac:dyDescent="0.3">
      <c r="C524" s="42">
        <v>7204403</v>
      </c>
      <c r="D524" s="28" t="s">
        <v>792</v>
      </c>
      <c r="E524" s="5">
        <v>2</v>
      </c>
      <c r="F524" s="42">
        <v>10080703</v>
      </c>
      <c r="G524" s="5">
        <v>0</v>
      </c>
      <c r="H524" s="5">
        <v>53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450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783</v>
      </c>
    </row>
    <row r="525" spans="3:26" ht="20.100000000000001" customHeight="1" x14ac:dyDescent="0.3">
      <c r="C525" s="42">
        <v>7204501</v>
      </c>
      <c r="D525" s="28" t="s">
        <v>793</v>
      </c>
      <c r="E525" s="5">
        <v>2</v>
      </c>
      <c r="F525" s="42">
        <v>10080801</v>
      </c>
      <c r="G525" s="5">
        <v>0</v>
      </c>
      <c r="H525" s="5">
        <v>14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150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779</v>
      </c>
    </row>
    <row r="526" spans="3:26" ht="20.100000000000001" customHeight="1" x14ac:dyDescent="0.3">
      <c r="C526" s="42">
        <v>7204502</v>
      </c>
      <c r="D526" s="28" t="s">
        <v>794</v>
      </c>
      <c r="E526" s="5">
        <v>2</v>
      </c>
      <c r="F526" s="42">
        <v>10080802</v>
      </c>
      <c r="G526" s="5">
        <v>0</v>
      </c>
      <c r="H526" s="5">
        <v>34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300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781</v>
      </c>
    </row>
    <row r="527" spans="3:26" ht="20.100000000000001" customHeight="1" x14ac:dyDescent="0.3">
      <c r="C527" s="42">
        <v>7204503</v>
      </c>
      <c r="D527" s="28" t="s">
        <v>795</v>
      </c>
      <c r="E527" s="5">
        <v>2</v>
      </c>
      <c r="F527" s="42">
        <v>10080803</v>
      </c>
      <c r="G527" s="5">
        <v>0</v>
      </c>
      <c r="H527" s="5">
        <v>54</v>
      </c>
      <c r="I527" s="5">
        <v>5000</v>
      </c>
      <c r="J527" s="5">
        <v>5</v>
      </c>
      <c r="K527" s="5">
        <v>0</v>
      </c>
      <c r="L527" s="5">
        <v>1</v>
      </c>
      <c r="M527" s="5">
        <v>1</v>
      </c>
      <c r="N527" s="5">
        <v>0.02</v>
      </c>
      <c r="O527" s="5">
        <v>0</v>
      </c>
      <c r="P527" s="5">
        <v>1</v>
      </c>
      <c r="Q527" s="5">
        <v>1</v>
      </c>
      <c r="R527" s="5">
        <v>1</v>
      </c>
      <c r="S527" s="5">
        <v>450</v>
      </c>
      <c r="T527" s="5">
        <v>200</v>
      </c>
      <c r="U527" s="5" t="s">
        <v>339</v>
      </c>
      <c r="V527" s="5">
        <v>0</v>
      </c>
      <c r="W527" s="5">
        <v>1</v>
      </c>
      <c r="X527" s="22">
        <v>0</v>
      </c>
      <c r="Y527" s="5">
        <v>0</v>
      </c>
      <c r="Z527" s="7" t="s">
        <v>783</v>
      </c>
    </row>
    <row r="528" spans="3:26" ht="20.100000000000001" customHeight="1" x14ac:dyDescent="0.3">
      <c r="C528" s="42">
        <v>7301001</v>
      </c>
      <c r="D528" s="28" t="s">
        <v>796</v>
      </c>
      <c r="E528" s="5">
        <v>3</v>
      </c>
      <c r="F528" s="42">
        <v>10090101</v>
      </c>
      <c r="G528" s="5">
        <v>0</v>
      </c>
      <c r="H528" s="5">
        <v>12</v>
      </c>
      <c r="I528" s="5">
        <v>5000</v>
      </c>
      <c r="J528" s="5">
        <v>20</v>
      </c>
      <c r="K528" s="5">
        <v>0</v>
      </c>
      <c r="L528" s="5">
        <v>1</v>
      </c>
      <c r="M528" s="5">
        <v>1</v>
      </c>
      <c r="N528" s="5">
        <v>0.02</v>
      </c>
      <c r="O528" s="5">
        <v>1</v>
      </c>
      <c r="P528" s="5">
        <v>1</v>
      </c>
      <c r="Q528" s="5">
        <v>1</v>
      </c>
      <c r="R528" s="5">
        <v>1</v>
      </c>
      <c r="S528" s="5">
        <v>150</v>
      </c>
      <c r="T528" s="5">
        <v>200</v>
      </c>
      <c r="U528" s="5" t="s">
        <v>52</v>
      </c>
      <c r="V528" s="5">
        <v>0</v>
      </c>
      <c r="W528" s="5">
        <v>1</v>
      </c>
      <c r="X528" s="22">
        <v>0</v>
      </c>
      <c r="Y528" s="5">
        <v>0</v>
      </c>
      <c r="Z528" s="7" t="s">
        <v>797</v>
      </c>
    </row>
    <row r="529" spans="3:26" ht="20.100000000000001" customHeight="1" x14ac:dyDescent="0.3">
      <c r="C529" s="42">
        <v>7301002</v>
      </c>
      <c r="D529" s="28" t="s">
        <v>798</v>
      </c>
      <c r="E529" s="5">
        <v>3</v>
      </c>
      <c r="F529" s="42">
        <v>10090102</v>
      </c>
      <c r="G529" s="5">
        <v>0</v>
      </c>
      <c r="H529" s="5">
        <v>15</v>
      </c>
      <c r="I529" s="5">
        <v>5000</v>
      </c>
      <c r="J529" s="5">
        <v>20</v>
      </c>
      <c r="K529" s="5">
        <v>0</v>
      </c>
      <c r="L529" s="5">
        <v>1</v>
      </c>
      <c r="M529" s="5">
        <v>1</v>
      </c>
      <c r="N529" s="5">
        <v>0.02</v>
      </c>
      <c r="O529" s="5">
        <v>1</v>
      </c>
      <c r="P529" s="5">
        <v>1</v>
      </c>
      <c r="Q529" s="5">
        <v>1</v>
      </c>
      <c r="R529" s="5">
        <v>1</v>
      </c>
      <c r="S529" s="5">
        <v>175</v>
      </c>
      <c r="T529" s="5">
        <v>200</v>
      </c>
      <c r="U529" s="5" t="s">
        <v>52</v>
      </c>
      <c r="V529" s="5">
        <v>0</v>
      </c>
      <c r="W529" s="5">
        <v>1</v>
      </c>
      <c r="X529" s="22">
        <v>0</v>
      </c>
      <c r="Y529" s="5">
        <v>0</v>
      </c>
      <c r="Z529" s="7" t="s">
        <v>797</v>
      </c>
    </row>
    <row r="530" spans="3:26" ht="20.100000000000001" customHeight="1" x14ac:dyDescent="0.3">
      <c r="C530" s="42">
        <v>7302001</v>
      </c>
      <c r="D530" s="28" t="s">
        <v>799</v>
      </c>
      <c r="E530" s="5">
        <v>3</v>
      </c>
      <c r="F530" s="42">
        <v>10090201</v>
      </c>
      <c r="G530" s="5">
        <v>1</v>
      </c>
      <c r="H530" s="5">
        <v>30</v>
      </c>
      <c r="I530" s="5">
        <v>12500</v>
      </c>
      <c r="J530" s="5">
        <v>20</v>
      </c>
      <c r="K530" s="5">
        <v>0</v>
      </c>
      <c r="L530" s="5">
        <v>1</v>
      </c>
      <c r="M530" s="5">
        <v>1</v>
      </c>
      <c r="N530" s="5">
        <v>0.02</v>
      </c>
      <c r="O530" s="5">
        <v>1</v>
      </c>
      <c r="P530" s="5">
        <v>1</v>
      </c>
      <c r="Q530" s="5">
        <v>1</v>
      </c>
      <c r="R530" s="5">
        <v>1</v>
      </c>
      <c r="S530" s="5">
        <v>275</v>
      </c>
      <c r="T530" s="5">
        <v>350</v>
      </c>
      <c r="U530" s="5" t="s">
        <v>52</v>
      </c>
      <c r="V530" s="5">
        <v>0</v>
      </c>
      <c r="W530" s="5">
        <v>1</v>
      </c>
      <c r="X530" s="22">
        <v>0</v>
      </c>
      <c r="Y530" s="5">
        <v>0</v>
      </c>
      <c r="Z530" s="7" t="s">
        <v>800</v>
      </c>
    </row>
    <row r="531" spans="3:26" ht="20.100000000000001" customHeight="1" x14ac:dyDescent="0.3">
      <c r="C531" s="42">
        <v>7302002</v>
      </c>
      <c r="D531" s="28" t="s">
        <v>801</v>
      </c>
      <c r="E531" s="5">
        <v>3</v>
      </c>
      <c r="F531" s="42">
        <v>10090202</v>
      </c>
      <c r="G531" s="5">
        <v>1</v>
      </c>
      <c r="H531" s="5">
        <v>30</v>
      </c>
      <c r="I531" s="5">
        <v>12500</v>
      </c>
      <c r="J531" s="5">
        <v>20</v>
      </c>
      <c r="K531" s="5">
        <v>0</v>
      </c>
      <c r="L531" s="5">
        <v>1</v>
      </c>
      <c r="M531" s="5">
        <v>1</v>
      </c>
      <c r="N531" s="5">
        <v>0.02</v>
      </c>
      <c r="O531" s="5">
        <v>1</v>
      </c>
      <c r="P531" s="5">
        <v>1</v>
      </c>
      <c r="Q531" s="5">
        <v>1</v>
      </c>
      <c r="R531" s="5">
        <v>1</v>
      </c>
      <c r="S531" s="5">
        <v>300</v>
      </c>
      <c r="T531" s="5">
        <v>350</v>
      </c>
      <c r="U531" s="5" t="s">
        <v>52</v>
      </c>
      <c r="V531" s="5">
        <v>0</v>
      </c>
      <c r="W531" s="5">
        <v>1</v>
      </c>
      <c r="X531" s="22">
        <v>0</v>
      </c>
      <c r="Y531" s="5">
        <v>0</v>
      </c>
      <c r="Z531" s="7" t="s">
        <v>800</v>
      </c>
    </row>
    <row r="532" spans="3:26" ht="20.100000000000001" customHeight="1" x14ac:dyDescent="0.3">
      <c r="C532" s="42">
        <v>7303001</v>
      </c>
      <c r="D532" s="28" t="s">
        <v>802</v>
      </c>
      <c r="E532" s="5">
        <v>3</v>
      </c>
      <c r="F532" s="42">
        <v>10090301</v>
      </c>
      <c r="G532" s="5">
        <v>1</v>
      </c>
      <c r="H532" s="5">
        <v>50</v>
      </c>
      <c r="I532" s="5">
        <v>20000</v>
      </c>
      <c r="J532" s="5">
        <v>20</v>
      </c>
      <c r="K532" s="5">
        <v>0</v>
      </c>
      <c r="L532" s="5">
        <v>1</v>
      </c>
      <c r="M532" s="5">
        <v>1</v>
      </c>
      <c r="N532" s="5">
        <v>0.02</v>
      </c>
      <c r="O532" s="5">
        <v>1</v>
      </c>
      <c r="P532" s="5">
        <v>1</v>
      </c>
      <c r="Q532" s="5">
        <v>1</v>
      </c>
      <c r="R532" s="5">
        <v>1</v>
      </c>
      <c r="S532" s="5">
        <v>400</v>
      </c>
      <c r="T532" s="5">
        <v>500</v>
      </c>
      <c r="U532" s="5" t="s">
        <v>52</v>
      </c>
      <c r="V532" s="5">
        <v>0</v>
      </c>
      <c r="W532" s="5">
        <v>1</v>
      </c>
      <c r="X532" s="22">
        <v>0</v>
      </c>
      <c r="Y532" s="5">
        <v>0</v>
      </c>
      <c r="Z532" s="7" t="s">
        <v>803</v>
      </c>
    </row>
    <row r="533" spans="3:26" ht="20.100000000000001" customHeight="1" x14ac:dyDescent="0.3">
      <c r="C533" s="42">
        <v>7303002</v>
      </c>
      <c r="D533" s="28" t="s">
        <v>804</v>
      </c>
      <c r="E533" s="5">
        <v>3</v>
      </c>
      <c r="F533" s="42">
        <v>10090302</v>
      </c>
      <c r="G533" s="5">
        <v>1</v>
      </c>
      <c r="H533" s="5">
        <v>50</v>
      </c>
      <c r="I533" s="5">
        <v>20000</v>
      </c>
      <c r="J533" s="5">
        <v>20</v>
      </c>
      <c r="K533" s="5">
        <v>0</v>
      </c>
      <c r="L533" s="5">
        <v>1</v>
      </c>
      <c r="M533" s="5">
        <v>1</v>
      </c>
      <c r="N533" s="5">
        <v>0.02</v>
      </c>
      <c r="O533" s="5">
        <v>1</v>
      </c>
      <c r="P533" s="5">
        <v>1</v>
      </c>
      <c r="Q533" s="5">
        <v>1</v>
      </c>
      <c r="R533" s="5">
        <v>1</v>
      </c>
      <c r="S533" s="5">
        <v>425</v>
      </c>
      <c r="T533" s="5">
        <v>500</v>
      </c>
      <c r="U533" s="5" t="s">
        <v>52</v>
      </c>
      <c r="V533" s="5">
        <v>0</v>
      </c>
      <c r="W533" s="5">
        <v>1</v>
      </c>
      <c r="X533" s="22">
        <v>0</v>
      </c>
      <c r="Y533" s="5">
        <v>0</v>
      </c>
      <c r="Z533" s="7" t="s">
        <v>803</v>
      </c>
    </row>
    <row r="534" spans="3:26" s="5" customFormat="1" ht="20.100000000000001" customHeight="1" x14ac:dyDescent="0.15">
      <c r="C534" s="5">
        <v>8000001</v>
      </c>
      <c r="D534" s="28" t="s">
        <v>805</v>
      </c>
      <c r="E534" s="5">
        <v>8</v>
      </c>
      <c r="F534" s="28">
        <v>10036001</v>
      </c>
      <c r="G534" s="5">
        <v>0</v>
      </c>
      <c r="H534" s="5">
        <v>1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806</v>
      </c>
    </row>
    <row r="535" spans="3:26" s="5" customFormat="1" ht="20.100000000000001" customHeight="1" x14ac:dyDescent="0.15">
      <c r="C535" s="5">
        <v>8000002</v>
      </c>
      <c r="D535" s="28" t="s">
        <v>807</v>
      </c>
      <c r="E535" s="5">
        <v>8</v>
      </c>
      <c r="F535" s="28">
        <v>10036002</v>
      </c>
      <c r="G535" s="5">
        <v>0</v>
      </c>
      <c r="H535" s="5">
        <v>2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808</v>
      </c>
    </row>
    <row r="536" spans="3:26" s="5" customFormat="1" ht="20.100000000000001" customHeight="1" x14ac:dyDescent="0.15">
      <c r="C536" s="5">
        <v>8000003</v>
      </c>
      <c r="D536" s="28" t="s">
        <v>809</v>
      </c>
      <c r="E536" s="5">
        <v>8</v>
      </c>
      <c r="F536" s="28">
        <v>10036003</v>
      </c>
      <c r="G536" s="5">
        <v>0</v>
      </c>
      <c r="H536" s="5">
        <v>2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810</v>
      </c>
    </row>
    <row r="537" spans="3:26" s="5" customFormat="1" ht="20.100000000000001" customHeight="1" x14ac:dyDescent="0.15">
      <c r="C537" s="5">
        <v>8000004</v>
      </c>
      <c r="D537" s="28" t="s">
        <v>811</v>
      </c>
      <c r="E537" s="5">
        <v>8</v>
      </c>
      <c r="F537" s="28">
        <v>10036004</v>
      </c>
      <c r="G537" s="5">
        <v>0</v>
      </c>
      <c r="H537" s="5">
        <v>2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812</v>
      </c>
    </row>
    <row r="538" spans="3:26" s="5" customFormat="1" ht="20.100000000000001" customHeight="1" x14ac:dyDescent="0.15">
      <c r="C538" s="5">
        <v>8000005</v>
      </c>
      <c r="D538" s="28" t="s">
        <v>813</v>
      </c>
      <c r="E538" s="5">
        <v>8</v>
      </c>
      <c r="F538" s="28">
        <v>10036005</v>
      </c>
      <c r="G538" s="5">
        <v>0</v>
      </c>
      <c r="H538" s="5">
        <v>1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814</v>
      </c>
    </row>
    <row r="539" spans="3:26" s="5" customFormat="1" ht="20.100000000000001" customHeight="1" x14ac:dyDescent="0.15">
      <c r="C539" s="5">
        <v>8000006</v>
      </c>
      <c r="D539" s="28" t="s">
        <v>815</v>
      </c>
      <c r="E539" s="5">
        <v>8</v>
      </c>
      <c r="F539" s="28">
        <v>10036006</v>
      </c>
      <c r="G539" s="5">
        <v>0</v>
      </c>
      <c r="H539" s="5">
        <v>3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816</v>
      </c>
    </row>
    <row r="540" spans="3:26" s="5" customFormat="1" ht="20.100000000000001" customHeight="1" x14ac:dyDescent="0.15">
      <c r="C540" s="5">
        <v>8000007</v>
      </c>
      <c r="D540" s="28" t="s">
        <v>817</v>
      </c>
      <c r="E540" s="5">
        <v>8</v>
      </c>
      <c r="F540" s="28">
        <v>10036007</v>
      </c>
      <c r="G540" s="5">
        <v>0</v>
      </c>
      <c r="H540" s="5">
        <v>5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818</v>
      </c>
    </row>
    <row r="541" spans="3:26" s="5" customFormat="1" ht="20.100000000000001" customHeight="1" x14ac:dyDescent="0.15">
      <c r="C541" s="5">
        <v>8000008</v>
      </c>
      <c r="D541" s="28" t="s">
        <v>819</v>
      </c>
      <c r="E541" s="5">
        <v>8</v>
      </c>
      <c r="F541" s="28">
        <v>10036008</v>
      </c>
      <c r="G541" s="5">
        <v>0</v>
      </c>
      <c r="H541" s="5">
        <v>5</v>
      </c>
      <c r="I541" s="5">
        <v>0</v>
      </c>
      <c r="J541" s="5">
        <v>0</v>
      </c>
      <c r="K541" s="5">
        <v>0</v>
      </c>
      <c r="L541" s="5">
        <v>1</v>
      </c>
      <c r="M541" s="5">
        <v>1</v>
      </c>
      <c r="N541" s="5">
        <v>0</v>
      </c>
      <c r="O541" s="5">
        <v>1</v>
      </c>
      <c r="P541" s="5">
        <v>1</v>
      </c>
      <c r="Q541" s="5">
        <v>1</v>
      </c>
      <c r="R541" s="5">
        <v>1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46" t="s">
        <v>820</v>
      </c>
    </row>
    <row r="542" spans="3:26" s="5" customFormat="1" ht="20.100000000000001" customHeight="1" x14ac:dyDescent="0.15">
      <c r="C542" s="5">
        <v>8000009</v>
      </c>
      <c r="D542" s="28" t="s">
        <v>821</v>
      </c>
      <c r="E542" s="5">
        <v>8</v>
      </c>
      <c r="F542" s="28">
        <v>10036009</v>
      </c>
      <c r="G542" s="5">
        <v>0</v>
      </c>
      <c r="H542" s="5">
        <v>7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822</v>
      </c>
    </row>
    <row r="543" spans="3:26" s="5" customFormat="1" ht="20.100000000000001" customHeight="1" x14ac:dyDescent="0.15">
      <c r="C543" s="5">
        <v>8000010</v>
      </c>
      <c r="D543" s="28" t="s">
        <v>823</v>
      </c>
      <c r="E543" s="5">
        <v>8</v>
      </c>
      <c r="F543" s="28">
        <v>10036010</v>
      </c>
      <c r="G543" s="5">
        <v>0</v>
      </c>
      <c r="H543" s="5">
        <v>9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824</v>
      </c>
    </row>
    <row r="544" spans="3:26" s="5" customFormat="1" ht="20.100000000000001" customHeight="1" x14ac:dyDescent="0.15">
      <c r="C544" s="5">
        <v>8000011</v>
      </c>
      <c r="D544" s="28" t="s">
        <v>825</v>
      </c>
      <c r="E544" s="5">
        <v>8</v>
      </c>
      <c r="F544" s="28">
        <v>10036011</v>
      </c>
      <c r="G544" s="5">
        <v>0</v>
      </c>
      <c r="H544" s="5">
        <v>9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826</v>
      </c>
    </row>
    <row r="545" spans="3:26" s="5" customFormat="1" ht="20.100000000000001" customHeight="1" x14ac:dyDescent="0.15">
      <c r="C545" s="5">
        <v>8000012</v>
      </c>
      <c r="D545" s="28" t="s">
        <v>827</v>
      </c>
      <c r="E545" s="5">
        <v>8</v>
      </c>
      <c r="F545" s="28">
        <v>10036012</v>
      </c>
      <c r="G545" s="5">
        <v>0</v>
      </c>
      <c r="H545" s="5">
        <v>11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828</v>
      </c>
    </row>
    <row r="546" spans="3:26" s="5" customFormat="1" ht="20.100000000000001" customHeight="1" x14ac:dyDescent="0.15">
      <c r="C546" s="5">
        <v>8000013</v>
      </c>
      <c r="D546" s="28" t="s">
        <v>829</v>
      </c>
      <c r="E546" s="5">
        <v>8</v>
      </c>
      <c r="F546" s="28">
        <v>10036013</v>
      </c>
      <c r="G546" s="5">
        <v>0</v>
      </c>
      <c r="H546" s="5">
        <v>13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830</v>
      </c>
    </row>
    <row r="547" spans="3:26" s="5" customFormat="1" ht="20.100000000000001" customHeight="1" x14ac:dyDescent="0.15">
      <c r="C547" s="5">
        <v>8000014</v>
      </c>
      <c r="D547" s="28" t="s">
        <v>831</v>
      </c>
      <c r="E547" s="5">
        <v>8</v>
      </c>
      <c r="F547" s="28">
        <v>10036014</v>
      </c>
      <c r="G547" s="5">
        <v>0</v>
      </c>
      <c r="H547" s="5">
        <v>11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832</v>
      </c>
    </row>
    <row r="548" spans="3:26" s="5" customFormat="1" ht="20.100000000000001" customHeight="1" x14ac:dyDescent="0.15">
      <c r="C548" s="5">
        <v>8000015</v>
      </c>
      <c r="D548" s="28" t="s">
        <v>833</v>
      </c>
      <c r="E548" s="5">
        <v>8</v>
      </c>
      <c r="F548" s="28">
        <v>10036015</v>
      </c>
      <c r="G548" s="5">
        <v>0</v>
      </c>
      <c r="H548" s="5">
        <v>13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834</v>
      </c>
    </row>
    <row r="549" spans="3:26" s="5" customFormat="1" ht="20.100000000000001" customHeight="1" x14ac:dyDescent="0.15">
      <c r="C549" s="5">
        <v>8000016</v>
      </c>
      <c r="D549" s="28" t="s">
        <v>835</v>
      </c>
      <c r="E549" s="5">
        <v>8</v>
      </c>
      <c r="F549" s="28">
        <v>10036016</v>
      </c>
      <c r="G549" s="5">
        <v>0</v>
      </c>
      <c r="H549" s="5">
        <v>15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836</v>
      </c>
    </row>
    <row r="550" spans="3:26" s="5" customFormat="1" ht="20.100000000000001" customHeight="1" x14ac:dyDescent="0.15">
      <c r="C550" s="5">
        <v>8000017</v>
      </c>
      <c r="D550" s="28" t="s">
        <v>837</v>
      </c>
      <c r="E550" s="5">
        <v>8</v>
      </c>
      <c r="F550" s="28">
        <v>10036017</v>
      </c>
      <c r="G550" s="5">
        <v>0</v>
      </c>
      <c r="H550" s="5">
        <v>15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838</v>
      </c>
    </row>
    <row r="551" spans="3:26" s="5" customFormat="1" ht="20.100000000000001" customHeight="1" x14ac:dyDescent="0.15">
      <c r="C551" s="5">
        <v>8000018</v>
      </c>
      <c r="D551" s="28" t="s">
        <v>839</v>
      </c>
      <c r="E551" s="5">
        <v>8</v>
      </c>
      <c r="F551" s="28">
        <v>10036018</v>
      </c>
      <c r="G551" s="5">
        <v>0</v>
      </c>
      <c r="H551" s="5">
        <v>17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840</v>
      </c>
    </row>
    <row r="552" spans="3:26" s="5" customFormat="1" ht="20.100000000000001" customHeight="1" x14ac:dyDescent="0.15">
      <c r="C552" s="5">
        <v>8000019</v>
      </c>
      <c r="D552" s="28" t="s">
        <v>841</v>
      </c>
      <c r="E552" s="5">
        <v>8</v>
      </c>
      <c r="F552" s="28">
        <v>10036019</v>
      </c>
      <c r="G552" s="5">
        <v>0</v>
      </c>
      <c r="H552" s="5">
        <v>17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842</v>
      </c>
    </row>
    <row r="553" spans="3:26" s="5" customFormat="1" ht="20.100000000000001" customHeight="1" x14ac:dyDescent="0.15">
      <c r="C553" s="5">
        <v>8000020</v>
      </c>
      <c r="D553" s="28" t="s">
        <v>843</v>
      </c>
      <c r="E553" s="5">
        <v>8</v>
      </c>
      <c r="F553" s="28">
        <v>10036020</v>
      </c>
      <c r="G553" s="5">
        <v>0</v>
      </c>
      <c r="H553" s="5">
        <v>19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844</v>
      </c>
    </row>
    <row r="554" spans="3:26" s="5" customFormat="1" ht="20.100000000000001" customHeight="1" x14ac:dyDescent="0.15">
      <c r="C554" s="5">
        <v>8000021</v>
      </c>
      <c r="D554" s="28" t="s">
        <v>845</v>
      </c>
      <c r="E554" s="5">
        <v>8</v>
      </c>
      <c r="F554" s="28">
        <v>10036021</v>
      </c>
      <c r="G554" s="5">
        <v>0</v>
      </c>
      <c r="H554" s="5">
        <v>19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846</v>
      </c>
    </row>
    <row r="555" spans="3:26" s="5" customFormat="1" ht="20.100000000000001" customHeight="1" x14ac:dyDescent="0.15">
      <c r="C555" s="5">
        <v>8000022</v>
      </c>
      <c r="D555" s="28" t="s">
        <v>847</v>
      </c>
      <c r="E555" s="5">
        <v>8</v>
      </c>
      <c r="F555" s="28">
        <v>10036022</v>
      </c>
      <c r="G555" s="5">
        <v>0</v>
      </c>
      <c r="H555" s="5">
        <v>21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848</v>
      </c>
    </row>
    <row r="556" spans="3:26" s="5" customFormat="1" ht="20.100000000000001" customHeight="1" x14ac:dyDescent="0.15">
      <c r="C556" s="5">
        <v>8000023</v>
      </c>
      <c r="D556" s="28" t="s">
        <v>849</v>
      </c>
      <c r="E556" s="5">
        <v>8</v>
      </c>
      <c r="F556" s="28">
        <v>10036023</v>
      </c>
      <c r="G556" s="5">
        <v>0</v>
      </c>
      <c r="H556" s="5">
        <v>21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850</v>
      </c>
    </row>
    <row r="557" spans="3:26" s="5" customFormat="1" ht="20.100000000000001" customHeight="1" x14ac:dyDescent="0.15">
      <c r="C557" s="5">
        <v>8000024</v>
      </c>
      <c r="D557" s="28" t="s">
        <v>851</v>
      </c>
      <c r="E557" s="5">
        <v>8</v>
      </c>
      <c r="F557" s="28">
        <v>10036024</v>
      </c>
      <c r="G557" s="5">
        <v>0</v>
      </c>
      <c r="H557" s="5">
        <v>23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852</v>
      </c>
    </row>
    <row r="558" spans="3:26" s="5" customFormat="1" ht="20.100000000000001" customHeight="1" x14ac:dyDescent="0.15">
      <c r="C558" s="5">
        <v>8000025</v>
      </c>
      <c r="D558" s="28" t="s">
        <v>853</v>
      </c>
      <c r="E558" s="5">
        <v>8</v>
      </c>
      <c r="F558" s="28">
        <v>10036025</v>
      </c>
      <c r="G558" s="5">
        <v>0</v>
      </c>
      <c r="H558" s="5">
        <v>23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854</v>
      </c>
    </row>
    <row r="559" spans="3:26" s="5" customFormat="1" ht="20.100000000000001" customHeight="1" x14ac:dyDescent="0.15">
      <c r="C559" s="5">
        <v>8000026</v>
      </c>
      <c r="D559" s="28" t="s">
        <v>855</v>
      </c>
      <c r="E559" s="5">
        <v>8</v>
      </c>
      <c r="F559" s="28">
        <v>10036026</v>
      </c>
      <c r="G559" s="5">
        <v>0</v>
      </c>
      <c r="H559" s="5">
        <v>25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856</v>
      </c>
    </row>
    <row r="560" spans="3:26" s="5" customFormat="1" ht="20.100000000000001" customHeight="1" x14ac:dyDescent="0.15">
      <c r="C560" s="5">
        <v>8000027</v>
      </c>
      <c r="D560" s="28" t="s">
        <v>857</v>
      </c>
      <c r="E560" s="5">
        <v>8</v>
      </c>
      <c r="F560" s="28">
        <v>10036027</v>
      </c>
      <c r="G560" s="5">
        <v>0</v>
      </c>
      <c r="H560" s="5">
        <v>25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858</v>
      </c>
    </row>
    <row r="561" spans="3:26" s="5" customFormat="1" ht="20.100000000000001" customHeight="1" x14ac:dyDescent="0.15">
      <c r="C561" s="5">
        <v>8000028</v>
      </c>
      <c r="D561" s="28" t="s">
        <v>859</v>
      </c>
      <c r="E561" s="5">
        <v>8</v>
      </c>
      <c r="F561" s="28">
        <v>10036028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860</v>
      </c>
    </row>
    <row r="562" spans="3:26" s="5" customFormat="1" ht="20.100000000000001" customHeight="1" x14ac:dyDescent="0.15">
      <c r="C562" s="5">
        <v>8000029</v>
      </c>
      <c r="D562" s="28" t="s">
        <v>861</v>
      </c>
      <c r="E562" s="5">
        <v>8</v>
      </c>
      <c r="F562" s="28">
        <v>10036029</v>
      </c>
      <c r="G562" s="5">
        <v>0</v>
      </c>
      <c r="H562" s="5">
        <v>19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862</v>
      </c>
    </row>
    <row r="563" spans="3:26" s="5" customFormat="1" ht="20.100000000000001" customHeight="1" x14ac:dyDescent="0.15">
      <c r="C563" s="5">
        <v>8000030</v>
      </c>
      <c r="D563" s="28" t="s">
        <v>863</v>
      </c>
      <c r="E563" s="5">
        <v>8</v>
      </c>
      <c r="F563" s="28">
        <v>10036030</v>
      </c>
      <c r="G563" s="5">
        <v>0</v>
      </c>
      <c r="H563" s="5">
        <v>21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864</v>
      </c>
    </row>
    <row r="564" spans="3:26" s="5" customFormat="1" ht="20.100000000000001" customHeight="1" x14ac:dyDescent="0.15">
      <c r="C564" s="5">
        <v>8000031</v>
      </c>
      <c r="D564" s="28" t="s">
        <v>865</v>
      </c>
      <c r="E564" s="5">
        <v>8</v>
      </c>
      <c r="F564" s="28">
        <v>10036031</v>
      </c>
      <c r="G564" s="5">
        <v>0</v>
      </c>
      <c r="H564" s="5">
        <v>3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866</v>
      </c>
    </row>
    <row r="565" spans="3:26" s="5" customFormat="1" ht="20.100000000000001" customHeight="1" x14ac:dyDescent="0.15">
      <c r="C565" s="5">
        <v>8000032</v>
      </c>
      <c r="D565" s="28" t="s">
        <v>867</v>
      </c>
      <c r="E565" s="5">
        <v>8</v>
      </c>
      <c r="F565" s="28">
        <v>10036032</v>
      </c>
      <c r="G565" s="5">
        <v>0</v>
      </c>
      <c r="H565" s="5">
        <v>9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868</v>
      </c>
    </row>
    <row r="566" spans="3:26" s="5" customFormat="1" ht="20.100000000000001" customHeight="1" x14ac:dyDescent="0.15">
      <c r="C566" s="5">
        <v>8000033</v>
      </c>
      <c r="D566" s="28" t="s">
        <v>869</v>
      </c>
      <c r="E566" s="5">
        <v>8</v>
      </c>
      <c r="F566" s="28">
        <v>10036033</v>
      </c>
      <c r="G566" s="5">
        <v>0</v>
      </c>
      <c r="H566" s="5">
        <v>15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870</v>
      </c>
    </row>
    <row r="567" spans="3:26" s="5" customFormat="1" ht="20.100000000000001" customHeight="1" x14ac:dyDescent="0.15">
      <c r="C567" s="5">
        <v>8000034</v>
      </c>
      <c r="D567" s="28" t="s">
        <v>871</v>
      </c>
      <c r="E567" s="5">
        <v>8</v>
      </c>
      <c r="F567" s="28">
        <v>10036034</v>
      </c>
      <c r="G567" s="5">
        <v>0</v>
      </c>
      <c r="H567" s="5">
        <v>21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872</v>
      </c>
    </row>
    <row r="568" spans="3:26" s="5" customFormat="1" ht="20.100000000000001" customHeight="1" x14ac:dyDescent="0.15">
      <c r="C568" s="5">
        <v>8000035</v>
      </c>
      <c r="D568" s="28" t="s">
        <v>873</v>
      </c>
      <c r="E568" s="5">
        <v>8</v>
      </c>
      <c r="F568" s="28">
        <v>10036035</v>
      </c>
      <c r="G568" s="5">
        <v>0</v>
      </c>
      <c r="H568" s="5">
        <v>17</v>
      </c>
      <c r="I568" s="5">
        <v>0</v>
      </c>
      <c r="J568" s="5">
        <v>0</v>
      </c>
      <c r="K568" s="5">
        <v>0</v>
      </c>
      <c r="L568" s="5">
        <v>1</v>
      </c>
      <c r="M568" s="5">
        <v>1</v>
      </c>
      <c r="N568" s="5">
        <v>0</v>
      </c>
      <c r="O568" s="5">
        <v>1</v>
      </c>
      <c r="P568" s="5">
        <v>1</v>
      </c>
      <c r="Q568" s="5">
        <v>1</v>
      </c>
      <c r="R568" s="5">
        <v>1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46" t="s">
        <v>874</v>
      </c>
    </row>
    <row r="569" spans="3:26" s="5" customFormat="1" ht="20.100000000000001" customHeight="1" x14ac:dyDescent="0.15"/>
    <row r="570" spans="3:26" s="5" customFormat="1" ht="20.100000000000001" customHeight="1" x14ac:dyDescent="0.15"/>
    <row r="571" spans="3:26" s="5" customFormat="1" ht="20.100000000000001" customHeight="1" x14ac:dyDescent="0.15"/>
    <row r="572" spans="3:26" s="5" customFormat="1" ht="20.100000000000001" customHeight="1" x14ac:dyDescent="0.15"/>
    <row r="573" spans="3:26" s="5" customFormat="1" ht="20.100000000000001" customHeight="1" x14ac:dyDescent="0.15"/>
    <row r="574" spans="3:26" s="5" customFormat="1" ht="20.100000000000001" customHeight="1" x14ac:dyDescent="0.15"/>
    <row r="575" spans="3:26" s="5" customFormat="1" ht="20.100000000000001" customHeight="1" x14ac:dyDescent="0.15"/>
    <row r="576" spans="3:26" x14ac:dyDescent="0.3">
      <c r="E576" s="7"/>
      <c r="H576" s="7"/>
      <c r="I576" s="7"/>
      <c r="J576" s="7"/>
    </row>
    <row r="577" spans="5:10" x14ac:dyDescent="0.3">
      <c r="E577" s="7"/>
      <c r="H577" s="7"/>
      <c r="I577" s="7"/>
      <c r="J577" s="7"/>
    </row>
    <row r="578" spans="5:10" x14ac:dyDescent="0.3">
      <c r="E578" s="7"/>
      <c r="H578" s="7"/>
      <c r="I578" s="7"/>
      <c r="J578" s="7"/>
    </row>
    <row r="579" spans="5:10" x14ac:dyDescent="0.3">
      <c r="E579" s="7"/>
      <c r="H579" s="7"/>
      <c r="I579" s="7"/>
      <c r="J579" s="7"/>
    </row>
    <row r="580" spans="5:10" x14ac:dyDescent="0.3">
      <c r="E580" s="7"/>
      <c r="H580" s="7"/>
      <c r="I580" s="7"/>
      <c r="J580" s="7"/>
    </row>
    <row r="581" spans="5:10" x14ac:dyDescent="0.3">
      <c r="E581" s="7"/>
      <c r="H581" s="7"/>
      <c r="I581" s="7"/>
      <c r="J581" s="7"/>
    </row>
    <row r="582" spans="5:10" x14ac:dyDescent="0.3">
      <c r="E582" s="7"/>
      <c r="H582" s="7"/>
      <c r="I582" s="7"/>
      <c r="J582" s="7"/>
    </row>
    <row r="583" spans="5:10" x14ac:dyDescent="0.3">
      <c r="E583" s="7"/>
      <c r="H583" s="7"/>
      <c r="I583" s="7"/>
      <c r="J583" s="7"/>
    </row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  <row r="1181" spans="5:10" x14ac:dyDescent="0.3">
      <c r="E1181" s="7"/>
      <c r="H1181" s="7"/>
      <c r="I1181" s="7"/>
      <c r="J1181" s="7"/>
    </row>
  </sheetData>
  <autoFilter ref="G1:G1181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2026-03-29T13:39:50Z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