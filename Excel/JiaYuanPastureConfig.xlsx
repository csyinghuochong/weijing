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A7165BC3-1722-472B-B6B1-3835E50D87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iaYuanPastureProto" sheetId="1" r:id="rId1"/>
  </sheets>
  <calcPr calcId="191029"/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3" authorId="0" shapeId="0" xr:uid="{874F2130-3ADA-411C-A78F-71CE4E6A1D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对应不同时期
成长期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成熟期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衰老期</t>
        </r>
      </text>
    </comment>
    <comment ref="M3" authorId="0" shapeId="0" xr:uid="{2D59419F-9BC0-4EF7-ADBE-5C8FAEB5035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每隔一段时间会自动掉落道具</t>
        </r>
      </text>
    </comment>
  </commentList>
</comments>
</file>

<file path=xl/sharedStrings.xml><?xml version="1.0" encoding="utf-8"?>
<sst xmlns="http://schemas.openxmlformats.org/spreadsheetml/2006/main" count="152" uniqueCount="106">
  <si>
    <t>Id</t>
  </si>
  <si>
    <t>int</t>
  </si>
  <si>
    <t>名称</t>
    <phoneticPr fontId="9" type="noConversion"/>
  </si>
  <si>
    <t>string</t>
    <phoneticPr fontId="9" type="noConversion"/>
  </si>
  <si>
    <t>Name</t>
    <phoneticPr fontId="8" type="noConversion"/>
  </si>
  <si>
    <t>等级</t>
    <phoneticPr fontId="8" type="noConversion"/>
  </si>
  <si>
    <t>Lv</t>
    <phoneticPr fontId="8" type="noConversion"/>
  </si>
  <si>
    <t>鸭子</t>
  </si>
  <si>
    <t>公鸡</t>
  </si>
  <si>
    <t>兔子</t>
  </si>
  <si>
    <t>猪</t>
  </si>
  <si>
    <t>奶牛</t>
  </si>
  <si>
    <t>int[]</t>
    <phoneticPr fontId="8" type="noConversion"/>
  </si>
  <si>
    <t>掉落概率</t>
    <phoneticPr fontId="9" type="noConversion"/>
  </si>
  <si>
    <t>double</t>
    <phoneticPr fontId="8" type="noConversion"/>
  </si>
  <si>
    <t>咕咕咕……</t>
    <phoneticPr fontId="9" type="noConversion"/>
  </si>
  <si>
    <t>嘎嘎嘎……</t>
    <phoneticPr fontId="9" type="noConversion"/>
  </si>
  <si>
    <t>咯咯哒……咯咯哒……</t>
    <phoneticPr fontId="9" type="noConversion"/>
  </si>
  <si>
    <t>你看见我的耳朵了嘛？</t>
    <phoneticPr fontId="9" type="noConversion"/>
  </si>
  <si>
    <t>在哪里有吃的呢</t>
    <phoneticPr fontId="9" type="noConversion"/>
  </si>
  <si>
    <t>别打扰我,我要睡一会儿</t>
    <phoneticPr fontId="9" type="noConversion"/>
  </si>
  <si>
    <t>哞哞……</t>
    <phoneticPr fontId="9" type="noConversion"/>
  </si>
  <si>
    <t>咩……</t>
    <phoneticPr fontId="9" type="noConversion"/>
  </si>
  <si>
    <t>我们来比赛赛跑吧?</t>
    <phoneticPr fontId="9" type="noConversion"/>
  </si>
  <si>
    <t>收获道具ID</t>
    <phoneticPr fontId="8" type="noConversion"/>
  </si>
  <si>
    <t>GetItemID</t>
    <phoneticPr fontId="8" type="noConversion"/>
  </si>
  <si>
    <t>int</t>
    <phoneticPr fontId="8" type="noConversion"/>
  </si>
  <si>
    <t>GetPro</t>
    <phoneticPr fontId="8" type="noConversion"/>
  </si>
  <si>
    <t>购买价格</t>
    <phoneticPr fontId="8" type="noConversion"/>
  </si>
  <si>
    <t>出售价格</t>
    <phoneticPr fontId="8" type="noConversion"/>
  </si>
  <si>
    <t>掉落间隔时间</t>
    <phoneticPr fontId="8" type="noConversion"/>
  </si>
  <si>
    <t>BuyGold</t>
    <phoneticPr fontId="8" type="noConversion"/>
  </si>
  <si>
    <t>SellGold</t>
    <phoneticPr fontId="8" type="noConversion"/>
  </si>
  <si>
    <t>DropTime</t>
    <phoneticPr fontId="8" type="noConversion"/>
  </si>
  <si>
    <t>描述</t>
    <phoneticPr fontId="8" type="noConversion"/>
  </si>
  <si>
    <t>Speak</t>
    <phoneticPr fontId="8" type="noConversion"/>
  </si>
  <si>
    <t>Des</t>
    <phoneticPr fontId="8" type="noConversion"/>
  </si>
  <si>
    <t>UpTime</t>
    <phoneticPr fontId="8" type="noConversion"/>
  </si>
  <si>
    <t>PeopleNum</t>
    <phoneticPr fontId="8" type="noConversion"/>
  </si>
  <si>
    <t>成长时间</t>
    <phoneticPr fontId="8" type="noConversion"/>
  </si>
  <si>
    <t>人口数量</t>
    <phoneticPr fontId="8" type="noConversion"/>
  </si>
  <si>
    <t>鸡</t>
  </si>
  <si>
    <t>小猫</t>
  </si>
  <si>
    <t>狗</t>
  </si>
  <si>
    <t>牛</t>
  </si>
  <si>
    <t>羊</t>
  </si>
  <si>
    <t>驴</t>
  </si>
  <si>
    <t>鸵鸟</t>
  </si>
  <si>
    <t>骆驼</t>
  </si>
  <si>
    <t>16200,40500,97200,194400</t>
  </si>
  <si>
    <t>19440,48600,116640,233280</t>
  </si>
  <si>
    <t>22680,56700,136080,272160</t>
  </si>
  <si>
    <t>25920,64800,155520,311040</t>
  </si>
  <si>
    <t>29160,72900,174960,349920</t>
  </si>
  <si>
    <t>32400,81000,194400,388800</t>
  </si>
  <si>
    <t>我们产的牛奶可远销很多地方喔</t>
    <phoneticPr fontId="9" type="noConversion"/>
  </si>
  <si>
    <t>我不渴,我还可以走很久</t>
    <phoneticPr fontId="9" type="noConversion"/>
  </si>
  <si>
    <t>购买家园限制</t>
    <phoneticPr fontId="8" type="noConversion"/>
  </si>
  <si>
    <t>BuyJiaYuanLv</t>
    <phoneticPr fontId="8" type="noConversion"/>
  </si>
  <si>
    <t>int</t>
    <phoneticPr fontId="8" type="noConversion"/>
  </si>
  <si>
    <t>购买家园权重</t>
    <phoneticPr fontId="8" type="noConversion"/>
  </si>
  <si>
    <t>BuyJiaYuanPro</t>
    <phoneticPr fontId="8" type="noConversion"/>
  </si>
  <si>
    <t>你看到哪里有骨头嘛</t>
    <phoneticPr fontId="9" type="noConversion"/>
  </si>
  <si>
    <t>每天都是这样过，不知道下一顿是不是该吃我了</t>
    <phoneticPr fontId="9" type="noConversion"/>
  </si>
  <si>
    <t>这里的草地太小了,我想出去看看</t>
    <phoneticPr fontId="9" type="noConversion"/>
  </si>
  <si>
    <t>模型资源</t>
    <phoneticPr fontId="8" type="noConversion"/>
  </si>
  <si>
    <t>Assets</t>
    <phoneticPr fontId="8" type="noConversion"/>
  </si>
  <si>
    <t>string</t>
    <phoneticPr fontId="8" type="noConversion"/>
  </si>
  <si>
    <t>9720,24300,58320,116640</t>
  </si>
  <si>
    <t>11340,28350,68040,136080</t>
  </si>
  <si>
    <t>12960,32400,77760,155520</t>
  </si>
  <si>
    <t>14580,36450,87480,174960</t>
  </si>
  <si>
    <t>17820,44550,106920,213840</t>
  </si>
  <si>
    <t>21060,52650,126360,252720</t>
  </si>
  <si>
    <t>24300,60750,145800,291600</t>
  </si>
  <si>
    <t>27540,68850,165240,330480</t>
  </si>
  <si>
    <t>Chicken</t>
  </si>
  <si>
    <t>Duck</t>
  </si>
  <si>
    <t>Rooster</t>
  </si>
  <si>
    <t>Rabbit</t>
  </si>
  <si>
    <t>Kitten</t>
  </si>
  <si>
    <t>Dog</t>
  </si>
  <si>
    <t>Pig</t>
  </si>
  <si>
    <t>Cattle</t>
  </si>
  <si>
    <t>Sheep</t>
  </si>
  <si>
    <t>Donkey</t>
  </si>
  <si>
    <t>Cow</t>
  </si>
  <si>
    <t>Ostrich</t>
  </si>
  <si>
    <t>Camel</t>
  </si>
  <si>
    <t>Name_EN</t>
    <phoneticPr fontId="8" type="noConversion"/>
  </si>
  <si>
    <t>Goo-goo-goo...</t>
  </si>
  <si>
    <t>Ga ga ga...</t>
  </si>
  <si>
    <t>Cluck... Cluck...</t>
  </si>
  <si>
    <t>Did you see my ears?</t>
  </si>
  <si>
    <t>Where can I find something to eat?</t>
  </si>
  <si>
    <t>Have you seen any bones anywhere?</t>
  </si>
  <si>
    <t>Don't disturb me, I need to take a nap</t>
  </si>
  <si>
    <t xml:space="preserve">Moo... </t>
  </si>
  <si>
    <t xml:space="preserve">Meow... </t>
  </si>
  <si>
    <t>Every day is like this. I don't know if I'll be the one to eat next time.</t>
  </si>
  <si>
    <t>The grass here is too small. I want to go outside and have a look.</t>
  </si>
  <si>
    <t>The milk we produce is sold in many distant places!</t>
  </si>
  <si>
    <t>Let's have a race!</t>
  </si>
  <si>
    <t>I'm not thirsty. I can walk for a long time.</t>
  </si>
  <si>
    <t>Speak_EN</t>
    <phoneticPr fontId="8" type="noConversion"/>
  </si>
  <si>
    <t>Des_EN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</si>
</sst>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47965941343425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</borders>
  <cellStyleXfs count="315">
    <xf numFmtId="0" fontId="0" fillId="0" borderId="0"/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6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7" applyFont="1" applyFill="1" applyBorder="1" applyAlignment="1">
      <alignment horizontal="center" vertical="center"/>
    </xf>
    <xf numFmtId="0" fontId="4" fillId="3" borderId="1" xfId="7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49" fontId="5" fillId="17" borderId="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7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49" fontId="5" fillId="17" borderId="6" xfId="0" quotePrefix="1" applyNumberFormat="1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</cellXfs>
  <cellStyles count="315">
    <cellStyle name="20% - 强调文字颜色 1 2" xfId="1" xr:uid="{00000000-0005-0000-0000-000002000000}"/>
    <cellStyle name="20% - 强调文字颜色 1 2 2" xfId="45" xr:uid="{00000000-0005-0000-0000-00005D000000}"/>
    <cellStyle name="20% - 强调文字颜色 1 2 2 2" xfId="5" xr:uid="{00000000-0005-0000-0000-00000D000000}"/>
    <cellStyle name="20% - 强调文字颜色 1 2 2 3" xfId="17" xr:uid="{00000000-0005-0000-0000-000027000000}"/>
    <cellStyle name="20% - 强调文字颜色 1 2 3" xfId="27" xr:uid="{00000000-0005-0000-0000-00003A000000}"/>
    <cellStyle name="20% - 强调文字颜色 1 2 3 2" xfId="42" xr:uid="{00000000-0005-0000-0000-000058000000}"/>
    <cellStyle name="20% - 强调文字颜色 1 2 4" xfId="48" xr:uid="{00000000-0005-0000-0000-000060000000}"/>
    <cellStyle name="20% - 强调文字颜色 1 2 4 2" xfId="39" xr:uid="{00000000-0005-0000-0000-000051000000}"/>
    <cellStyle name="20% - 强调文字颜色 1 2 5" xfId="51" xr:uid="{00000000-0005-0000-0000-000063000000}"/>
    <cellStyle name="20% - 强调文字颜色 1 2 6" xfId="54" xr:uid="{00000000-0005-0000-0000-000066000000}"/>
    <cellStyle name="20% - 强调文字颜色 1 3" xfId="36" xr:uid="{00000000-0005-0000-0000-00004C000000}"/>
    <cellStyle name="20% - 强调文字颜色 1 3 2" xfId="56" xr:uid="{00000000-0005-0000-0000-000068000000}"/>
    <cellStyle name="20% - 强调文字颜色 1 3 3" xfId="59" xr:uid="{00000000-0005-0000-0000-00006B000000}"/>
    <cellStyle name="20% - 强调文字颜色 1 4" xfId="29" xr:uid="{00000000-0005-0000-0000-00003D000000}"/>
    <cellStyle name="20% - 强调文字颜色 1 4 2" xfId="61" xr:uid="{00000000-0005-0000-0000-00006D000000}"/>
    <cellStyle name="20% - 强调文字颜色 1 5" xfId="21" xr:uid="{00000000-0005-0000-0000-00002F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8" xr:uid="{00000000-0005-0000-0000-000074000000}"/>
    <cellStyle name="20% - 强调文字颜色 2 2 2 3" xfId="70" xr:uid="{00000000-0005-0000-0000-000076000000}"/>
    <cellStyle name="20% - 强调文字颜色 2 2 3" xfId="71" xr:uid="{00000000-0005-0000-0000-000077000000}"/>
    <cellStyle name="20% - 强调文字颜色 2 2 3 2" xfId="73" xr:uid="{00000000-0005-0000-0000-000079000000}"/>
    <cellStyle name="20% - 强调文字颜色 2 2 4" xfId="74" xr:uid="{00000000-0005-0000-0000-00007A000000}"/>
    <cellStyle name="20% - 强调文字颜色 2 2 4 2" xfId="76" xr:uid="{00000000-0005-0000-0000-00007C000000}"/>
    <cellStyle name="20% - 强调文字颜色 2 2 5" xfId="77" xr:uid="{00000000-0005-0000-0000-00007D000000}"/>
    <cellStyle name="20% - 强调文字颜色 2 2 6" xfId="79" xr:uid="{00000000-0005-0000-0000-00007F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7" xr:uid="{00000000-0005-0000-0000-000073000000}"/>
    <cellStyle name="20% - 强调文字颜色 2 7" xfId="69" xr:uid="{00000000-0005-0000-0000-000075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8" xr:uid="{00000000-0005-0000-0000-00003B000000}"/>
    <cellStyle name="20% - 强调文字颜色 3 3 2" xfId="43" xr:uid="{00000000-0005-0000-0000-000059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2" xr:uid="{00000000-0005-0000-0000-000078000000}"/>
    <cellStyle name="20% - 强调文字颜色 3 7" xfId="101" xr:uid="{00000000-0005-0000-0000-000095000000}"/>
    <cellStyle name="20% - 强调文字颜色 4 2" xfId="103" xr:uid="{00000000-0005-0000-0000-000097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4" xr:uid="{00000000-0005-0000-0000-0000A2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8" xr:uid="{00000000-0005-0000-0000-0000A6000000}"/>
    <cellStyle name="20% - 强调文字颜色 4 4 2" xfId="11" xr:uid="{00000000-0005-0000-0000-00001B000000}"/>
    <cellStyle name="20% - 强调文字颜色 4 5" xfId="8" xr:uid="{00000000-0005-0000-0000-000014000000}"/>
    <cellStyle name="20% - 强调文字颜色 4 5 2" xfId="120" xr:uid="{00000000-0005-0000-0000-0000A8000000}"/>
    <cellStyle name="20% - 强调文字颜色 4 6" xfId="75" xr:uid="{00000000-0005-0000-0000-00007B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5" xr:uid="{00000000-0005-0000-0000-0000AD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9" xr:uid="{00000000-0005-0000-0000-0000B1000000}"/>
    <cellStyle name="20% - 强调文字颜色 5 2 4" xfId="130" xr:uid="{00000000-0005-0000-0000-0000B2000000}"/>
    <cellStyle name="20% - 强调文字颜色 5 2 4 2" xfId="133" xr:uid="{00000000-0005-0000-0000-0000B5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E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6" xr:uid="{00000000-0005-0000-0000-0000C2000000}"/>
    <cellStyle name="20% - 强调文字颜色 6 2 2 2" xfId="148" xr:uid="{00000000-0005-0000-0000-0000C4000000}"/>
    <cellStyle name="20% - 强调文字颜色 6 2 2 3" xfId="149" xr:uid="{00000000-0005-0000-0000-0000C5000000}"/>
    <cellStyle name="20% - 强调文字颜色 6 2 3" xfId="151" xr:uid="{00000000-0005-0000-0000-0000C7000000}"/>
    <cellStyle name="20% - 强调文字颜色 6 2 3 2" xfId="153" xr:uid="{00000000-0005-0000-0000-0000C9000000}"/>
    <cellStyle name="20% - 强调文字颜色 6 2 4" xfId="155" xr:uid="{00000000-0005-0000-0000-0000CB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60" xr:uid="{00000000-0005-0000-0000-0000D0000000}"/>
    <cellStyle name="20% - 强调文字颜色 6 3 3" xfId="162" xr:uid="{00000000-0005-0000-0000-0000D2000000}"/>
    <cellStyle name="20% - 强调文字颜色 6 4" xfId="163" xr:uid="{00000000-0005-0000-0000-0000D3000000}"/>
    <cellStyle name="20% - 强调文字颜色 6 4 2" xfId="165" xr:uid="{00000000-0005-0000-0000-0000D5000000}"/>
    <cellStyle name="20% - 强调文字颜色 6 5" xfId="167" xr:uid="{00000000-0005-0000-0000-0000D7000000}"/>
    <cellStyle name="20% - 强调文字颜色 6 5 2" xfId="169" xr:uid="{00000000-0005-0000-0000-0000D9000000}"/>
    <cellStyle name="20% - 强调文字颜色 6 6" xfId="171" xr:uid="{00000000-0005-0000-0000-0000DB000000}"/>
    <cellStyle name="20% - 强调文字颜色 6 7" xfId="173" xr:uid="{00000000-0005-0000-0000-0000DD000000}"/>
    <cellStyle name="40% - 强调文字颜色 1 2" xfId="174" xr:uid="{00000000-0005-0000-0000-0000DE000000}"/>
    <cellStyle name="40% - 强调文字颜色 1 2 2" xfId="177" xr:uid="{00000000-0005-0000-0000-0000E1000000}"/>
    <cellStyle name="40% - 强调文字颜色 1 2 2 2" xfId="178" xr:uid="{00000000-0005-0000-0000-0000E2000000}"/>
    <cellStyle name="40% - 强调文字颜色 1 2 2 3" xfId="180" xr:uid="{00000000-0005-0000-0000-0000E4000000}"/>
    <cellStyle name="40% - 强调文字颜色 1 2 3" xfId="181" xr:uid="{00000000-0005-0000-0000-0000E5000000}"/>
    <cellStyle name="40% - 强调文字颜色 1 2 3 2" xfId="78" xr:uid="{00000000-0005-0000-0000-00007E000000}"/>
    <cellStyle name="40% - 强调文字颜色 1 2 4" xfId="182" xr:uid="{00000000-0005-0000-0000-0000E6000000}"/>
    <cellStyle name="40% - 强调文字颜色 1 2 4 2" xfId="2" xr:uid="{00000000-0005-0000-0000-000005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26" xr:uid="{00000000-0005-0000-0000-000039000000}"/>
    <cellStyle name="40% - 强调文字颜色 2 2 2" xfId="41" xr:uid="{00000000-0005-0000-0000-000057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9" xr:uid="{00000000-0005-0000-0000-0000F7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3" xr:uid="{00000000-0005-0000-0000-0000FB000000}"/>
    <cellStyle name="40% - 强调文字颜色 2 3" xfId="47" xr:uid="{00000000-0005-0000-0000-00005F000000}"/>
    <cellStyle name="40% - 强调文字颜色 2 3 2" xfId="38" xr:uid="{00000000-0005-0000-0000-000050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4" xr:uid="{00000000-0005-0000-0000-0000AC000000}"/>
    <cellStyle name="40% - 强调文字颜色 3 2" xfId="58" xr:uid="{00000000-0005-0000-0000-00006A000000}"/>
    <cellStyle name="40% - 强调文字颜色 3 2 2" xfId="209" xr:uid="{00000000-0005-0000-0000-000001010000}"/>
    <cellStyle name="40% - 强调文字颜色 3 2 2 2" xfId="211" xr:uid="{00000000-0005-0000-0000-000003010000}"/>
    <cellStyle name="40% - 强调文字颜色 3 2 2 3" xfId="213" xr:uid="{00000000-0005-0000-0000-000005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0" xr:uid="{00000000-0005-0000-0000-000002010000}"/>
    <cellStyle name="40% - 强调文字颜色 3 2 4 2" xfId="216" xr:uid="{00000000-0005-0000-0000-000008010000}"/>
    <cellStyle name="40% - 强调文字颜色 3 2 5" xfId="212" xr:uid="{00000000-0005-0000-0000-000004010000}"/>
    <cellStyle name="40% - 强调文字颜色 3 2 6" xfId="217" xr:uid="{00000000-0005-0000-0000-000009010000}"/>
    <cellStyle name="40% - 强调文字颜色 3 3" xfId="219" xr:uid="{00000000-0005-0000-0000-00000B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2" xr:uid="{00000000-0005-0000-0000-00000E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8" xr:uid="{00000000-0005-0000-0000-0000B0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30" xr:uid="{00000000-0005-0000-0000-00003F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33" xr:uid="{00000000-0005-0000-0000-000044000000}"/>
    <cellStyle name="40% - 强调文字颜色 4 3 3" xfId="35" xr:uid="{00000000-0005-0000-0000-000048000000}"/>
    <cellStyle name="40% - 强调文字颜色 4 4" xfId="145" xr:uid="{00000000-0005-0000-0000-0000C1000000}"/>
    <cellStyle name="40% - 强调文字颜色 4 4 2" xfId="147" xr:uid="{00000000-0005-0000-0000-0000C3000000}"/>
    <cellStyle name="40% - 强调文字颜色 4 5" xfId="150" xr:uid="{00000000-0005-0000-0000-0000C6000000}"/>
    <cellStyle name="40% - 强调文字颜色 4 5 2" xfId="152" xr:uid="{00000000-0005-0000-0000-0000C8000000}"/>
    <cellStyle name="40% - 强调文字颜色 4 6" xfId="154" xr:uid="{00000000-0005-0000-0000-0000CA000000}"/>
    <cellStyle name="40% - 强调文字颜色 4 7" xfId="131" xr:uid="{00000000-0005-0000-0000-0000B3000000}"/>
    <cellStyle name="40% - 强调文字颜色 5 2" xfId="236" xr:uid="{00000000-0005-0000-0000-00001C010000}"/>
    <cellStyle name="40% - 强调文字颜色 5 2 2" xfId="166" xr:uid="{00000000-0005-0000-0000-0000D6000000}"/>
    <cellStyle name="40% - 强调文字颜色 5 2 2 2" xfId="168" xr:uid="{00000000-0005-0000-0000-0000D8000000}"/>
    <cellStyle name="40% - 强调文字颜色 5 2 2 3" xfId="237" xr:uid="{00000000-0005-0000-0000-00001D010000}"/>
    <cellStyle name="40% - 强调文字颜色 5 2 3" xfId="170" xr:uid="{00000000-0005-0000-0000-0000DA000000}"/>
    <cellStyle name="40% - 强调文字颜色 5 2 3 2" xfId="238" xr:uid="{00000000-0005-0000-0000-00001E010000}"/>
    <cellStyle name="40% - 强调文字颜色 5 2 4" xfId="172" xr:uid="{00000000-0005-0000-0000-0000DC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59" xr:uid="{00000000-0005-0000-0000-0000CF000000}"/>
    <cellStyle name="40% - 强调文字颜色 5 4 2" xfId="245" xr:uid="{00000000-0005-0000-0000-000025010000}"/>
    <cellStyle name="40% - 强调文字颜色 5 5" xfId="161" xr:uid="{00000000-0005-0000-0000-0000D1000000}"/>
    <cellStyle name="40% - 强调文字颜色 5 5 2" xfId="246" xr:uid="{00000000-0005-0000-0000-000026010000}"/>
    <cellStyle name="40% - 强调文字颜色 5 6" xfId="248" xr:uid="{00000000-0005-0000-0000-000028010000}"/>
    <cellStyle name="40% - 强调文字颜色 5 7" xfId="23" xr:uid="{00000000-0005-0000-0000-000033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2" xr:uid="{00000000-0005-0000-0000-00002C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4" xr:uid="{00000000-0005-0000-0000-0000D4000000}"/>
    <cellStyle name="40% - 强调文字颜色 6 4 2" xfId="6" xr:uid="{00000000-0005-0000-0000-000011000000}"/>
    <cellStyle name="40% - 强调文字颜色 6 5" xfId="24" xr:uid="{00000000-0005-0000-0000-000035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12" xfId="314" xr:uid="{45A75A3B-444D-4B3C-83D3-EEB65B50C6BE}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2" xr:uid="{00000000-0005-0000-0000-0000FA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5" xr:uid="{00000000-0005-0000-0000-000043010000}"/>
    <cellStyle name="常规 2 3 2 2 4 2" xfId="276" xr:uid="{00000000-0005-0000-0000-000044010000}"/>
    <cellStyle name="常规 2 3 2 2 5" xfId="32" xr:uid="{00000000-0005-0000-0000-000042000000}"/>
    <cellStyle name="常规 2 3 2 2 6" xfId="34" xr:uid="{00000000-0005-0000-0000-000046000000}"/>
    <cellStyle name="常规 2 3 2 3" xfId="44" xr:uid="{00000000-0005-0000-0000-00005C000000}"/>
    <cellStyle name="常规 2 3 2 3 2" xfId="4" xr:uid="{00000000-0005-0000-0000-00000C000000}"/>
    <cellStyle name="常规 2 3 2 3 3" xfId="16" xr:uid="{00000000-0005-0000-0000-000026000000}"/>
    <cellStyle name="常规 2 3 2 4" xfId="25" xr:uid="{00000000-0005-0000-0000-000038000000}"/>
    <cellStyle name="常规 2 3 2 4 2" xfId="40" xr:uid="{00000000-0005-0000-0000-000056000000}"/>
    <cellStyle name="常规 2 3 2 5" xfId="46" xr:uid="{00000000-0005-0000-0000-00005E000000}"/>
    <cellStyle name="常规 2 3 2 5 2" xfId="37" xr:uid="{00000000-0005-0000-0000-00004F000000}"/>
    <cellStyle name="常规 2 3 2 6" xfId="49" xr:uid="{00000000-0005-0000-0000-000061000000}"/>
    <cellStyle name="常规 2 3 2 7" xfId="52" xr:uid="{00000000-0005-0000-0000-000064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5" xr:uid="{00000000-0005-0000-0000-000067000000}"/>
    <cellStyle name="常规 2 3 3 3 2" xfId="282" xr:uid="{00000000-0005-0000-0000-00004A010000}"/>
    <cellStyle name="常规 2 3 3 4" xfId="57" xr:uid="{00000000-0005-0000-0000-000069000000}"/>
    <cellStyle name="常规 2 3 3 4 2" xfId="208" xr:uid="{00000000-0005-0000-0000-000000010000}"/>
    <cellStyle name="常规 2 3 3 5" xfId="218" xr:uid="{00000000-0005-0000-0000-00000A010000}"/>
    <cellStyle name="常规 2 3 3 6" xfId="221" xr:uid="{00000000-0005-0000-0000-00000D010000}"/>
    <cellStyle name="常规 2 3 4" xfId="283" xr:uid="{00000000-0005-0000-0000-00004B010000}"/>
    <cellStyle name="常规 2 3 4 2" xfId="284" xr:uid="{00000000-0005-0000-0000-00004C010000}"/>
    <cellStyle name="常规 2 3 4 3" xfId="60" xr:uid="{00000000-0005-0000-0000-00006C000000}"/>
    <cellStyle name="常规 2 3 5" xfId="285" xr:uid="{00000000-0005-0000-0000-00004D010000}"/>
    <cellStyle name="常规 2 3 5 2" xfId="286" xr:uid="{00000000-0005-0000-0000-00004E010000}"/>
    <cellStyle name="常规 2 3 6" xfId="288" xr:uid="{00000000-0005-0000-0000-000050010000}"/>
    <cellStyle name="常规 2 3 6 2" xfId="289" xr:uid="{00000000-0005-0000-0000-000051010000}"/>
    <cellStyle name="常规 2 3 7" xfId="291" xr:uid="{00000000-0005-0000-0000-000053010000}"/>
    <cellStyle name="常规 2 3 8" xfId="292" xr:uid="{00000000-0005-0000-0000-000054010000}"/>
    <cellStyle name="常规 3" xfId="102" xr:uid="{00000000-0005-0000-0000-000096000000}"/>
    <cellStyle name="常规 4" xfId="113" xr:uid="{00000000-0005-0000-0000-0000A1000000}"/>
    <cellStyle name="常规 5" xfId="117" xr:uid="{00000000-0005-0000-0000-0000A5000000}"/>
    <cellStyle name="常规 5 2" xfId="10" xr:uid="{00000000-0005-0000-0000-00001A000000}"/>
    <cellStyle name="常规 5 2 2" xfId="13" xr:uid="{00000000-0005-0000-0000-000020000000}"/>
    <cellStyle name="常规 5 2 2 2" xfId="287" xr:uid="{00000000-0005-0000-0000-00004F010000}"/>
    <cellStyle name="常规 5 2 2 3" xfId="290" xr:uid="{00000000-0005-0000-0000-000052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5" xr:uid="{00000000-0005-0000-0000-000025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1" xr:uid="{00000000-0005-0000-0000-00002B010000}"/>
    <cellStyle name="常规 5 7" xfId="175" xr:uid="{00000000-0005-0000-0000-0000DF000000}"/>
    <cellStyle name="常规 6" xfId="7" xr:uid="{00000000-0005-0000-0000-000013000000}"/>
    <cellStyle name="注释 2" xfId="119" xr:uid="{00000000-0005-0000-0000-0000A7000000}"/>
    <cellStyle name="注释 2 2" xfId="247" xr:uid="{00000000-0005-0000-0000-000027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79" xr:uid="{00000000-0005-0000-0000-0000E3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2" xr:uid="{00000000-0005-0000-0000-000032000000}"/>
    <cellStyle name="注释 2 3 2" xfId="274" xr:uid="{00000000-0005-0000-0000-000042010000}"/>
    <cellStyle name="注释 2 3 3" xfId="31" xr:uid="{00000000-0005-0000-0000-000041000000}"/>
    <cellStyle name="注释 2 4" xfId="310" xr:uid="{00000000-0005-0000-0000-000066010000}"/>
    <cellStyle name="注释 2 4 2" xfId="311" xr:uid="{00000000-0005-0000-0000-000067010000}"/>
    <cellStyle name="注释 2 5" xfId="281" xr:uid="{00000000-0005-0000-0000-000049010000}"/>
    <cellStyle name="注释 2 5 2" xfId="198" xr:uid="{00000000-0005-0000-0000-0000F6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T24"/>
  <sheetViews>
    <sheetView tabSelected="1" topLeftCell="G1" workbookViewId="0">
      <selection activeCell="R5" sqref="R5"/>
    </sheetView>
  </sheetViews>
  <sheetFormatPr defaultColWidth="9" defaultRowHeight="14.25" x14ac:dyDescent="0.2"/>
  <cols>
    <col min="3" max="3" width="14" customWidth="1"/>
    <col min="4" max="7" width="17.875" customWidth="1"/>
    <col min="8" max="8" width="25.75" bestFit="1" customWidth="1"/>
    <col min="9" max="9" width="14" customWidth="1"/>
    <col min="10" max="16" width="16.75" customWidth="1"/>
    <col min="17" max="18" width="16" customWidth="1"/>
    <col min="19" max="20" width="14" customWidth="1"/>
  </cols>
  <sheetData>
    <row r="1" spans="3:20" s="1" customFormat="1" ht="20.100000000000001" customHeight="1" x14ac:dyDescent="0.3">
      <c r="H1"/>
      <c r="J1"/>
      <c r="K1"/>
      <c r="N1"/>
    </row>
    <row r="2" spans="3:20" ht="20.100000000000001" customHeight="1" x14ac:dyDescent="0.2"/>
    <row r="3" spans="3:20" ht="20.100000000000001" customHeight="1" x14ac:dyDescent="0.2">
      <c r="C3" s="2" t="s">
        <v>0</v>
      </c>
      <c r="D3" s="7" t="s">
        <v>2</v>
      </c>
      <c r="E3" s="7" t="s">
        <v>2</v>
      </c>
      <c r="F3" s="3" t="s">
        <v>5</v>
      </c>
      <c r="G3" s="3" t="s">
        <v>65</v>
      </c>
      <c r="H3" s="3" t="s">
        <v>39</v>
      </c>
      <c r="I3" s="3" t="s">
        <v>40</v>
      </c>
      <c r="J3" s="3" t="s">
        <v>28</v>
      </c>
      <c r="K3" s="3" t="s">
        <v>29</v>
      </c>
      <c r="L3" s="3" t="s">
        <v>30</v>
      </c>
      <c r="M3" s="7" t="s">
        <v>13</v>
      </c>
      <c r="N3" s="7" t="s">
        <v>24</v>
      </c>
      <c r="O3" s="3" t="s">
        <v>34</v>
      </c>
      <c r="P3" s="3" t="s">
        <v>34</v>
      </c>
      <c r="Q3" s="3" t="s">
        <v>34</v>
      </c>
      <c r="R3" s="3" t="s">
        <v>34</v>
      </c>
      <c r="S3" s="3" t="s">
        <v>57</v>
      </c>
      <c r="T3" s="3" t="s">
        <v>60</v>
      </c>
    </row>
    <row r="4" spans="3:20" ht="20.100000000000001" customHeight="1" x14ac:dyDescent="0.2">
      <c r="C4" s="2" t="s">
        <v>0</v>
      </c>
      <c r="D4" s="8" t="s">
        <v>4</v>
      </c>
      <c r="E4" s="8" t="s">
        <v>89</v>
      </c>
      <c r="F4" s="8" t="s">
        <v>6</v>
      </c>
      <c r="G4" s="8" t="s">
        <v>66</v>
      </c>
      <c r="H4" s="8" t="s">
        <v>37</v>
      </c>
      <c r="I4" s="8" t="s">
        <v>38</v>
      </c>
      <c r="J4" s="3" t="s">
        <v>31</v>
      </c>
      <c r="K4" s="3" t="s">
        <v>32</v>
      </c>
      <c r="L4" s="3" t="s">
        <v>33</v>
      </c>
      <c r="M4" s="3" t="s">
        <v>27</v>
      </c>
      <c r="N4" s="3" t="s">
        <v>25</v>
      </c>
      <c r="O4" s="3" t="s">
        <v>35</v>
      </c>
      <c r="P4" s="3" t="s">
        <v>104</v>
      </c>
      <c r="Q4" s="3" t="s">
        <v>36</v>
      </c>
      <c r="R4" s="3" t="s">
        <v>105</v>
      </c>
      <c r="S4" s="8" t="s">
        <v>58</v>
      </c>
      <c r="T4" s="8" t="s">
        <v>61</v>
      </c>
    </row>
    <row r="5" spans="3:20" ht="20.100000000000001" customHeight="1" x14ac:dyDescent="0.2">
      <c r="C5" s="2" t="s">
        <v>1</v>
      </c>
      <c r="D5" s="7" t="s">
        <v>3</v>
      </c>
      <c r="E5" s="7" t="s">
        <v>3</v>
      </c>
      <c r="F5" s="3" t="s">
        <v>1</v>
      </c>
      <c r="G5" s="3" t="s">
        <v>67</v>
      </c>
      <c r="H5" s="4" t="s">
        <v>12</v>
      </c>
      <c r="I5" s="4" t="s">
        <v>26</v>
      </c>
      <c r="J5" s="4" t="s">
        <v>1</v>
      </c>
      <c r="K5" s="4" t="s">
        <v>1</v>
      </c>
      <c r="L5" s="3" t="s">
        <v>26</v>
      </c>
      <c r="M5" s="3" t="s">
        <v>14</v>
      </c>
      <c r="N5" s="3" t="s">
        <v>26</v>
      </c>
      <c r="O5" s="7" t="s">
        <v>3</v>
      </c>
      <c r="P5" s="7" t="s">
        <v>3</v>
      </c>
      <c r="Q5" s="7" t="s">
        <v>3</v>
      </c>
      <c r="R5" s="7" t="s">
        <v>3</v>
      </c>
      <c r="S5" s="3" t="s">
        <v>59</v>
      </c>
      <c r="T5" s="3" t="s">
        <v>59</v>
      </c>
    </row>
    <row r="6" spans="3:20" ht="20.100000000000001" customHeight="1" x14ac:dyDescent="0.2">
      <c r="C6" s="5">
        <v>10001</v>
      </c>
      <c r="D6" s="10" t="s">
        <v>41</v>
      </c>
      <c r="E6" s="10" t="s">
        <v>76</v>
      </c>
      <c r="F6" s="9">
        <v>1</v>
      </c>
      <c r="G6" s="5">
        <v>10001</v>
      </c>
      <c r="H6" s="11" t="s">
        <v>68</v>
      </c>
      <c r="I6" s="10">
        <v>1</v>
      </c>
      <c r="J6" s="10">
        <v>900</v>
      </c>
      <c r="K6" s="10">
        <f>J6/2</f>
        <v>450</v>
      </c>
      <c r="L6" s="10">
        <v>2160.0000000000005</v>
      </c>
      <c r="M6" s="10">
        <v>0.25</v>
      </c>
      <c r="N6" s="12">
        <v>10035001</v>
      </c>
      <c r="O6" s="6" t="s">
        <v>15</v>
      </c>
      <c r="P6" s="6" t="s">
        <v>90</v>
      </c>
      <c r="Q6" s="6" t="s">
        <v>15</v>
      </c>
      <c r="R6" s="6" t="s">
        <v>90</v>
      </c>
      <c r="S6" s="10">
        <v>1</v>
      </c>
      <c r="T6" s="10">
        <v>100</v>
      </c>
    </row>
    <row r="7" spans="3:20" ht="20.100000000000001" customHeight="1" x14ac:dyDescent="0.2">
      <c r="C7" s="5">
        <v>10002</v>
      </c>
      <c r="D7" s="10" t="s">
        <v>7</v>
      </c>
      <c r="E7" s="10" t="s">
        <v>77</v>
      </c>
      <c r="F7" s="9">
        <v>2</v>
      </c>
      <c r="G7" s="5">
        <v>10002</v>
      </c>
      <c r="H7" s="11" t="s">
        <v>69</v>
      </c>
      <c r="I7" s="10">
        <v>1</v>
      </c>
      <c r="J7" s="10">
        <v>1350</v>
      </c>
      <c r="K7" s="10">
        <f t="shared" ref="K7:K19" si="0">J7/2</f>
        <v>675</v>
      </c>
      <c r="L7" s="10">
        <v>2700</v>
      </c>
      <c r="M7" s="10">
        <v>0.25</v>
      </c>
      <c r="N7" s="12">
        <v>10035002</v>
      </c>
      <c r="O7" s="6" t="s">
        <v>16</v>
      </c>
      <c r="P7" s="6" t="s">
        <v>91</v>
      </c>
      <c r="Q7" s="6" t="s">
        <v>16</v>
      </c>
      <c r="R7" s="6" t="s">
        <v>91</v>
      </c>
      <c r="S7" s="10">
        <v>2</v>
      </c>
      <c r="T7" s="10">
        <v>100</v>
      </c>
    </row>
    <row r="8" spans="3:20" ht="20.100000000000001" customHeight="1" x14ac:dyDescent="0.2">
      <c r="C8" s="5">
        <v>10003</v>
      </c>
      <c r="D8" s="10" t="s">
        <v>8</v>
      </c>
      <c r="E8" s="10" t="s">
        <v>78</v>
      </c>
      <c r="F8" s="9">
        <v>3</v>
      </c>
      <c r="G8" s="5">
        <v>10003</v>
      </c>
      <c r="H8" s="11" t="s">
        <v>70</v>
      </c>
      <c r="I8" s="10">
        <v>1</v>
      </c>
      <c r="J8" s="10">
        <v>1800</v>
      </c>
      <c r="K8" s="10">
        <f t="shared" si="0"/>
        <v>900</v>
      </c>
      <c r="L8" s="10">
        <v>3239.9999999999991</v>
      </c>
      <c r="M8" s="10">
        <v>0.25</v>
      </c>
      <c r="N8" s="12">
        <v>10035003</v>
      </c>
      <c r="O8" s="6" t="s">
        <v>17</v>
      </c>
      <c r="P8" s="6" t="s">
        <v>92</v>
      </c>
      <c r="Q8" s="6" t="s">
        <v>17</v>
      </c>
      <c r="R8" s="6" t="s">
        <v>92</v>
      </c>
      <c r="S8" s="10">
        <v>3</v>
      </c>
      <c r="T8" s="10">
        <v>100</v>
      </c>
    </row>
    <row r="9" spans="3:20" ht="20.100000000000001" customHeight="1" x14ac:dyDescent="0.2">
      <c r="C9" s="5">
        <v>10004</v>
      </c>
      <c r="D9" s="10" t="s">
        <v>9</v>
      </c>
      <c r="E9" s="10" t="s">
        <v>79</v>
      </c>
      <c r="F9" s="9">
        <v>4</v>
      </c>
      <c r="G9" s="5">
        <v>10004</v>
      </c>
      <c r="H9" s="11" t="s">
        <v>71</v>
      </c>
      <c r="I9" s="10">
        <v>2</v>
      </c>
      <c r="J9" s="10">
        <v>4500</v>
      </c>
      <c r="K9" s="10">
        <f t="shared" si="0"/>
        <v>2250</v>
      </c>
      <c r="L9" s="10">
        <v>3779.9999999999991</v>
      </c>
      <c r="M9" s="10">
        <v>0.25</v>
      </c>
      <c r="N9" s="12">
        <v>10035004</v>
      </c>
      <c r="O9" s="6" t="s">
        <v>18</v>
      </c>
      <c r="P9" s="6" t="s">
        <v>93</v>
      </c>
      <c r="Q9" s="6" t="s">
        <v>18</v>
      </c>
      <c r="R9" s="6" t="s">
        <v>93</v>
      </c>
      <c r="S9" s="10">
        <v>5</v>
      </c>
      <c r="T9" s="10">
        <v>100</v>
      </c>
    </row>
    <row r="10" spans="3:20" ht="20.100000000000001" customHeight="1" x14ac:dyDescent="0.2">
      <c r="C10" s="5">
        <v>10005</v>
      </c>
      <c r="D10" s="10" t="s">
        <v>42</v>
      </c>
      <c r="E10" s="10" t="s">
        <v>80</v>
      </c>
      <c r="F10" s="9">
        <v>5</v>
      </c>
      <c r="G10" s="5">
        <v>10005</v>
      </c>
      <c r="H10" s="11" t="s">
        <v>49</v>
      </c>
      <c r="I10" s="10">
        <v>2</v>
      </c>
      <c r="J10" s="10">
        <v>5400</v>
      </c>
      <c r="K10" s="10">
        <f t="shared" si="0"/>
        <v>2700</v>
      </c>
      <c r="L10" s="10">
        <v>4320.0000000000009</v>
      </c>
      <c r="M10" s="10">
        <v>0.25</v>
      </c>
      <c r="N10" s="12">
        <v>10035005</v>
      </c>
      <c r="O10" s="6" t="s">
        <v>19</v>
      </c>
      <c r="P10" s="6" t="s">
        <v>94</v>
      </c>
      <c r="Q10" s="6" t="s">
        <v>19</v>
      </c>
      <c r="R10" s="6" t="s">
        <v>94</v>
      </c>
      <c r="S10" s="10">
        <v>7</v>
      </c>
      <c r="T10" s="10">
        <v>100</v>
      </c>
    </row>
    <row r="11" spans="3:20" ht="20.100000000000001" customHeight="1" x14ac:dyDescent="0.2">
      <c r="C11" s="5">
        <v>10006</v>
      </c>
      <c r="D11" s="10" t="s">
        <v>43</v>
      </c>
      <c r="E11" s="10" t="s">
        <v>81</v>
      </c>
      <c r="F11" s="9">
        <v>6</v>
      </c>
      <c r="G11" s="5">
        <v>10006</v>
      </c>
      <c r="H11" s="11" t="s">
        <v>72</v>
      </c>
      <c r="I11" s="10">
        <v>2</v>
      </c>
      <c r="J11" s="10">
        <v>6000</v>
      </c>
      <c r="K11" s="10">
        <f t="shared" si="0"/>
        <v>3000</v>
      </c>
      <c r="L11" s="10">
        <v>4860</v>
      </c>
      <c r="M11" s="10">
        <v>0.25</v>
      </c>
      <c r="N11" s="12">
        <v>10035006</v>
      </c>
      <c r="O11" s="6" t="s">
        <v>62</v>
      </c>
      <c r="P11" s="6" t="s">
        <v>95</v>
      </c>
      <c r="Q11" s="6" t="s">
        <v>62</v>
      </c>
      <c r="R11" s="6" t="s">
        <v>95</v>
      </c>
      <c r="S11" s="10">
        <v>9</v>
      </c>
      <c r="T11" s="10">
        <v>100</v>
      </c>
    </row>
    <row r="12" spans="3:20" ht="20.100000000000001" customHeight="1" x14ac:dyDescent="0.2">
      <c r="C12" s="5">
        <v>10007</v>
      </c>
      <c r="D12" s="10" t="s">
        <v>10</v>
      </c>
      <c r="E12" s="10" t="s">
        <v>82</v>
      </c>
      <c r="F12" s="9">
        <v>7</v>
      </c>
      <c r="G12" s="5">
        <v>10007</v>
      </c>
      <c r="H12" s="11" t="s">
        <v>50</v>
      </c>
      <c r="I12" s="10">
        <v>3</v>
      </c>
      <c r="J12" s="10">
        <v>10350</v>
      </c>
      <c r="K12" s="10">
        <f t="shared" si="0"/>
        <v>5175</v>
      </c>
      <c r="L12" s="10">
        <v>5400</v>
      </c>
      <c r="M12" s="10">
        <v>0.25</v>
      </c>
      <c r="N12" s="12">
        <v>10035007</v>
      </c>
      <c r="O12" s="6" t="s">
        <v>20</v>
      </c>
      <c r="P12" s="6" t="s">
        <v>96</v>
      </c>
      <c r="Q12" s="6" t="s">
        <v>20</v>
      </c>
      <c r="R12" s="6" t="s">
        <v>96</v>
      </c>
      <c r="S12" s="10">
        <v>11</v>
      </c>
      <c r="T12" s="10">
        <v>100</v>
      </c>
    </row>
    <row r="13" spans="3:20" ht="20.100000000000001" customHeight="1" x14ac:dyDescent="0.2">
      <c r="C13" s="5">
        <v>10008</v>
      </c>
      <c r="D13" s="10" t="s">
        <v>44</v>
      </c>
      <c r="E13" s="10" t="s">
        <v>83</v>
      </c>
      <c r="F13" s="9">
        <v>8</v>
      </c>
      <c r="G13" s="5">
        <v>10008</v>
      </c>
      <c r="H13" s="11" t="s">
        <v>73</v>
      </c>
      <c r="I13" s="10">
        <v>3</v>
      </c>
      <c r="J13" s="10">
        <v>11700</v>
      </c>
      <c r="K13" s="10">
        <f t="shared" si="0"/>
        <v>5850</v>
      </c>
      <c r="L13" s="10">
        <v>5940.0000000000009</v>
      </c>
      <c r="M13" s="10">
        <v>0.25</v>
      </c>
      <c r="N13" s="12">
        <v>10035008</v>
      </c>
      <c r="O13" s="6" t="s">
        <v>21</v>
      </c>
      <c r="P13" s="6" t="s">
        <v>97</v>
      </c>
      <c r="Q13" s="6" t="s">
        <v>21</v>
      </c>
      <c r="R13" s="6" t="s">
        <v>97</v>
      </c>
      <c r="S13" s="10">
        <v>13</v>
      </c>
      <c r="T13" s="10">
        <v>100</v>
      </c>
    </row>
    <row r="14" spans="3:20" ht="20.100000000000001" customHeight="1" x14ac:dyDescent="0.2">
      <c r="C14" s="5">
        <v>10009</v>
      </c>
      <c r="D14" s="10" t="s">
        <v>45</v>
      </c>
      <c r="E14" s="10" t="s">
        <v>84</v>
      </c>
      <c r="F14" s="9">
        <v>9</v>
      </c>
      <c r="G14" s="5">
        <v>10009</v>
      </c>
      <c r="H14" s="11" t="s">
        <v>51</v>
      </c>
      <c r="I14" s="10">
        <v>3</v>
      </c>
      <c r="J14" s="10">
        <v>13500</v>
      </c>
      <c r="K14" s="10">
        <f t="shared" si="0"/>
        <v>6750</v>
      </c>
      <c r="L14" s="10">
        <v>5940.0000000000009</v>
      </c>
      <c r="M14" s="10">
        <v>0.25</v>
      </c>
      <c r="N14" s="12">
        <v>10035009</v>
      </c>
      <c r="O14" s="6" t="s">
        <v>22</v>
      </c>
      <c r="P14" s="6" t="s">
        <v>98</v>
      </c>
      <c r="Q14" s="6" t="s">
        <v>22</v>
      </c>
      <c r="R14" s="6" t="s">
        <v>98</v>
      </c>
      <c r="S14" s="10">
        <v>15</v>
      </c>
      <c r="T14" s="10">
        <v>100</v>
      </c>
    </row>
    <row r="15" spans="3:20" ht="20.100000000000001" customHeight="1" x14ac:dyDescent="0.2">
      <c r="C15" s="5">
        <v>10010</v>
      </c>
      <c r="D15" s="10" t="s">
        <v>10</v>
      </c>
      <c r="E15" s="10" t="s">
        <v>82</v>
      </c>
      <c r="F15" s="9">
        <v>10</v>
      </c>
      <c r="G15" s="5">
        <v>10010</v>
      </c>
      <c r="H15" s="11" t="s">
        <v>74</v>
      </c>
      <c r="I15" s="10">
        <v>3</v>
      </c>
      <c r="J15" s="10">
        <v>15300</v>
      </c>
      <c r="K15" s="10">
        <f t="shared" si="0"/>
        <v>7650</v>
      </c>
      <c r="L15" s="10">
        <v>6479.9999999999982</v>
      </c>
      <c r="M15" s="10">
        <v>0.25</v>
      </c>
      <c r="N15" s="12">
        <v>10035010</v>
      </c>
      <c r="O15" s="6" t="s">
        <v>63</v>
      </c>
      <c r="P15" s="6" t="s">
        <v>99</v>
      </c>
      <c r="Q15" s="6" t="s">
        <v>63</v>
      </c>
      <c r="R15" s="6" t="s">
        <v>99</v>
      </c>
      <c r="S15" s="10">
        <v>17</v>
      </c>
      <c r="T15" s="10">
        <v>100</v>
      </c>
    </row>
    <row r="16" spans="3:20" ht="20.100000000000001" customHeight="1" x14ac:dyDescent="0.2">
      <c r="C16" s="5">
        <v>10011</v>
      </c>
      <c r="D16" s="10" t="s">
        <v>46</v>
      </c>
      <c r="E16" s="10" t="s">
        <v>85</v>
      </c>
      <c r="F16" s="9">
        <v>11</v>
      </c>
      <c r="G16" s="5">
        <v>10011</v>
      </c>
      <c r="H16" s="11" t="s">
        <v>52</v>
      </c>
      <c r="I16" s="10">
        <v>4</v>
      </c>
      <c r="J16" s="10">
        <v>22800</v>
      </c>
      <c r="K16" s="10">
        <f t="shared" si="0"/>
        <v>11400</v>
      </c>
      <c r="L16" s="10">
        <v>6479.9999999999982</v>
      </c>
      <c r="M16" s="10">
        <v>0.25</v>
      </c>
      <c r="N16" s="12">
        <v>10035011</v>
      </c>
      <c r="O16" s="6" t="s">
        <v>64</v>
      </c>
      <c r="P16" s="6" t="s">
        <v>100</v>
      </c>
      <c r="Q16" s="6" t="s">
        <v>64</v>
      </c>
      <c r="R16" s="6" t="s">
        <v>100</v>
      </c>
      <c r="S16" s="10">
        <v>19</v>
      </c>
      <c r="T16" s="10">
        <v>100</v>
      </c>
    </row>
    <row r="17" spans="3:20" ht="20.100000000000001" customHeight="1" x14ac:dyDescent="0.2">
      <c r="C17" s="5">
        <v>10012</v>
      </c>
      <c r="D17" s="10" t="s">
        <v>11</v>
      </c>
      <c r="E17" s="10" t="s">
        <v>86</v>
      </c>
      <c r="F17" s="9">
        <v>12</v>
      </c>
      <c r="G17" s="5">
        <v>10012</v>
      </c>
      <c r="H17" s="11" t="s">
        <v>75</v>
      </c>
      <c r="I17" s="10">
        <v>4</v>
      </c>
      <c r="J17" s="10">
        <v>25200</v>
      </c>
      <c r="K17" s="10">
        <f t="shared" si="0"/>
        <v>12600</v>
      </c>
      <c r="L17" s="10">
        <v>7020.0000000000018</v>
      </c>
      <c r="M17" s="10">
        <v>0.25</v>
      </c>
      <c r="N17" s="12">
        <v>10035012</v>
      </c>
      <c r="O17" s="6" t="s">
        <v>55</v>
      </c>
      <c r="P17" s="6" t="s">
        <v>101</v>
      </c>
      <c r="Q17" s="6" t="s">
        <v>55</v>
      </c>
      <c r="R17" s="6" t="s">
        <v>101</v>
      </c>
      <c r="S17" s="10">
        <v>21</v>
      </c>
      <c r="T17" s="10">
        <v>100</v>
      </c>
    </row>
    <row r="18" spans="3:20" ht="20.100000000000001" customHeight="1" x14ac:dyDescent="0.2">
      <c r="C18" s="5">
        <v>10013</v>
      </c>
      <c r="D18" s="10" t="s">
        <v>47</v>
      </c>
      <c r="E18" s="10" t="s">
        <v>87</v>
      </c>
      <c r="F18" s="9">
        <v>13</v>
      </c>
      <c r="G18" s="5">
        <v>10013</v>
      </c>
      <c r="H18" s="11" t="s">
        <v>53</v>
      </c>
      <c r="I18" s="10">
        <v>4</v>
      </c>
      <c r="J18" s="10">
        <v>27600</v>
      </c>
      <c r="K18" s="10">
        <f t="shared" si="0"/>
        <v>13800</v>
      </c>
      <c r="L18" s="10">
        <v>7559.9999999999982</v>
      </c>
      <c r="M18" s="10">
        <v>0.25</v>
      </c>
      <c r="N18" s="12">
        <v>10035013</v>
      </c>
      <c r="O18" s="6" t="s">
        <v>23</v>
      </c>
      <c r="P18" s="6" t="s">
        <v>102</v>
      </c>
      <c r="Q18" s="6" t="s">
        <v>23</v>
      </c>
      <c r="R18" s="6" t="s">
        <v>102</v>
      </c>
      <c r="S18" s="10">
        <v>23</v>
      </c>
      <c r="T18" s="10">
        <v>100</v>
      </c>
    </row>
    <row r="19" spans="3:20" ht="20.100000000000001" customHeight="1" x14ac:dyDescent="0.2">
      <c r="C19" s="5">
        <v>10014</v>
      </c>
      <c r="D19" s="10" t="s">
        <v>48</v>
      </c>
      <c r="E19" s="10" t="s">
        <v>88</v>
      </c>
      <c r="F19" s="9">
        <v>14</v>
      </c>
      <c r="G19" s="5">
        <v>10014</v>
      </c>
      <c r="H19" s="11" t="s">
        <v>54</v>
      </c>
      <c r="I19" s="10">
        <v>4</v>
      </c>
      <c r="J19" s="10">
        <v>30000</v>
      </c>
      <c r="K19" s="10">
        <f t="shared" si="0"/>
        <v>15000</v>
      </c>
      <c r="L19" s="10">
        <v>8100</v>
      </c>
      <c r="M19" s="10">
        <v>0.25</v>
      </c>
      <c r="N19" s="12">
        <v>10035014</v>
      </c>
      <c r="O19" s="6" t="s">
        <v>56</v>
      </c>
      <c r="P19" s="6" t="s">
        <v>103</v>
      </c>
      <c r="Q19" s="6" t="s">
        <v>56</v>
      </c>
      <c r="R19" s="6" t="s">
        <v>103</v>
      </c>
      <c r="S19" s="10">
        <v>25</v>
      </c>
      <c r="T19" s="10">
        <v>100</v>
      </c>
    </row>
    <row r="20" spans="3:20" ht="20.100000000000001" customHeight="1" x14ac:dyDescent="0.2"/>
    <row r="21" spans="3:20" ht="20.100000000000001" customHeight="1" x14ac:dyDescent="0.2"/>
    <row r="22" spans="3:20" ht="20.100000000000001" customHeight="1" x14ac:dyDescent="0.2"/>
    <row r="23" spans="3:20" ht="20.100000000000001" customHeight="1" x14ac:dyDescent="0.2"/>
    <row r="24" spans="3:20" ht="20.100000000000001" customHeight="1" x14ac:dyDescent="0.2"/>
  </sheetData>
  <phoneticPr fontId="8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JiaYuanPastureProto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2025-06-06T12:04:05Z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